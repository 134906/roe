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ktglbuc-my.sharepoint.com/personal/xinyi_deng_kantar_com/Documents/Desktop/代码修改中/"/>
    </mc:Choice>
  </mc:AlternateContent>
  <xr:revisionPtr revIDLastSave="3" documentId="11_AF06A0184A3E4375C76A2A56AEBF5B9D14ED45B6" xr6:coauthVersionLast="47" xr6:coauthVersionMax="47" xr10:uidLastSave="{2885EC07-D275-45EA-B842-980F4BB9E093}"/>
  <bookViews>
    <workbookView xWindow="-110" yWindow="-110" windowWidth="19420" windowHeight="10300" activeTab="1" xr2:uid="{00000000-000D-0000-FFFF-FFFF00000000}"/>
  </bookViews>
  <sheets>
    <sheet name="Descriptives" sheetId="1" r:id="rId1"/>
    <sheet name="Sample_Check" sheetId="2" r:id="rId2"/>
    <sheet name="CFA_Results" sheetId="3" r:id="rId3"/>
    <sheet name="FactorCorr" sheetId="4" r:id="rId4"/>
    <sheet name="RotationRule" sheetId="5" r:id="rId5"/>
    <sheet name="reg_Results" sheetId="6" r:id="rId6"/>
    <sheet name="seen vs no seen" sheetId="7" r:id="rId7"/>
    <sheet name="reg后Descriptiv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<sst xmlns="http://schemas.openxmlformats.org/spreadsheetml/2006/main" count="441" uniqueCount="135">
  <si>
    <t>Original KPIs</t>
  </si>
  <si>
    <t>Variable</t>
  </si>
  <si>
    <t>N</t>
  </si>
  <si>
    <t>Min</t>
  </si>
  <si>
    <t>Max</t>
  </si>
  <si>
    <t>Mean</t>
  </si>
  <si>
    <t>Std</t>
  </si>
  <si>
    <t>K301</t>
  </si>
  <si>
    <t>OEK1K2001</t>
  </si>
  <si>
    <t>K801</t>
  </si>
  <si>
    <t>IM1_Flip_V1_Slice06</t>
  </si>
  <si>
    <t>IM1_Flip_V1_Slice04</t>
  </si>
  <si>
    <t>bumo</t>
  </si>
  <si>
    <t>Valid N (listwise)</t>
  </si>
  <si>
    <t>Recoded KPIs</t>
  </si>
  <si>
    <t>dK301</t>
  </si>
  <si>
    <t>dOEK1K2001</t>
  </si>
  <si>
    <t>dK801</t>
  </si>
  <si>
    <t>dIM1_Flip_V1_Slice06</t>
  </si>
  <si>
    <t>dIM1_Flip_V1_Slice04</t>
  </si>
  <si>
    <t>dbumo</t>
  </si>
  <si>
    <t>Original Channels</t>
  </si>
  <si>
    <t>instagram</t>
  </si>
  <si>
    <t>youtube</t>
  </si>
  <si>
    <t>tiktok</t>
  </si>
  <si>
    <t>metro</t>
  </si>
  <si>
    <t>Recoded Channels</t>
  </si>
  <si>
    <t>dAdloopTVC_V2_A51</t>
  </si>
  <si>
    <t>dAdloopTVC_V1_A51</t>
  </si>
  <si>
    <t>dAdloopTVC_V2_A52</t>
  </si>
  <si>
    <t>dAdloopTVC_V1_A52</t>
  </si>
  <si>
    <t>dAdloopTVC_V2_A53</t>
  </si>
  <si>
    <t>dAdloopTVC_V1_A53</t>
  </si>
  <si>
    <t>dAdloopKV_V4_A55</t>
  </si>
  <si>
    <t>KPI 样本量校对</t>
  </si>
  <si>
    <t>表名</t>
  </si>
  <si>
    <t>KPI标签</t>
  </si>
  <si>
    <t>Full_Table样本量</t>
  </si>
  <si>
    <t>Mean*N (描述统计)</t>
  </si>
  <si>
    <t>差异</t>
  </si>
  <si>
    <t>KPI</t>
  </si>
  <si>
    <t>渠道样本量校对</t>
  </si>
  <si>
    <t>渠道名</t>
  </si>
  <si>
    <t>Channel/merge后</t>
  </si>
  <si>
    <t>Instagram</t>
  </si>
  <si>
    <t>YouTube</t>
  </si>
  <si>
    <t>TikTok</t>
  </si>
  <si>
    <t>Metro</t>
  </si>
  <si>
    <t>Channel/merge前</t>
  </si>
  <si>
    <t>样本量校对结果：</t>
  </si>
  <si>
    <t>失败（存在差异）</t>
  </si>
  <si>
    <t>Spend time = 00:00:02</t>
  </si>
  <si>
    <t>Factor Result</t>
  </si>
  <si>
    <t>TIME= 2026/08/19 12:10:35</t>
  </si>
  <si>
    <t>Rotation Method= Procrustes Method</t>
  </si>
  <si>
    <t>Total Variance Explained</t>
  </si>
  <si>
    <t>Initial Eigenvalues</t>
  </si>
  <si>
    <t>Extraction Method: Principal Component Analysis.</t>
  </si>
  <si>
    <t>Component</t>
  </si>
  <si>
    <t>Total</t>
  </si>
  <si>
    <t>% of Variance</t>
  </si>
  <si>
    <t>Cumulative %</t>
  </si>
  <si>
    <t>Factor1</t>
  </si>
  <si>
    <t>Factor2</t>
  </si>
  <si>
    <t>Factor3</t>
  </si>
  <si>
    <t>Factor4</t>
  </si>
  <si>
    <t>Component Matrix</t>
  </si>
  <si>
    <t>VariableID</t>
  </si>
  <si>
    <t>Lable</t>
  </si>
  <si>
    <t>Rotated Component Matrix</t>
  </si>
  <si>
    <t>Rotation Method: Procrustes with Kaiser Normalization.</t>
  </si>
  <si>
    <t>Available Rotation Rule Matrix</t>
  </si>
  <si>
    <t>You can Copy this Matrix to Rotation Rule Sheet.</t>
  </si>
  <si>
    <t>Component Score Coefficient Matrix</t>
  </si>
  <si>
    <t>Unstandardized Component Score Coefficient Matrix</t>
  </si>
  <si>
    <t>SPSS Syntax</t>
  </si>
  <si>
    <t>Compute Factor1 = 3.4013*instagram-0.3690*youtube-0.4902*tiktok-0.1369*metro.</t>
  </si>
  <si>
    <t>Compute Factor2 = -0.4536*instagram+2.8952*youtube-0.5835*tiktok-0.4634*metro.</t>
  </si>
  <si>
    <t>Compute Factor3 = -0.4842*instagram-0.4689*youtube+3.4881*tiktok-0.0848*metro.</t>
  </si>
  <si>
    <t>Compute Factor4 = -0.1527*instagram-0.4206*youtube-0.0958*tiktok+2.9549*metro.</t>
  </si>
  <si>
    <t>Name</t>
  </si>
  <si>
    <t>Dependent Variable: dK301</t>
  </si>
  <si>
    <t>Model Summary</t>
  </si>
  <si>
    <t>Model</t>
  </si>
  <si>
    <t>R</t>
  </si>
  <si>
    <t>R Square</t>
  </si>
  <si>
    <t>Adjusted R Square</t>
  </si>
  <si>
    <t>Std. Error of the Estimate</t>
  </si>
  <si>
    <t>a. Predictors: (Constant), bumo, Factor1, Factor2, Factor3, Factor4</t>
  </si>
  <si>
    <t>Coefficientsa</t>
  </si>
  <si>
    <t>Unstandardized Coefficients</t>
  </si>
  <si>
    <t>Standardized Coefficients</t>
  </si>
  <si>
    <t>t</t>
  </si>
  <si>
    <t>Sig.</t>
  </si>
  <si>
    <t>95.0% Confidence Interval for B</t>
  </si>
  <si>
    <t>B</t>
  </si>
  <si>
    <t>Std. Error</t>
  </si>
  <si>
    <t>Beta</t>
  </si>
  <si>
    <t>Lower Bound</t>
  </si>
  <si>
    <t>Upper Bound</t>
  </si>
  <si>
    <t>constant</t>
  </si>
  <si>
    <t>a. Dependent Variable: dK301</t>
  </si>
  <si>
    <t>Dependent Variable: dOEK1K2001</t>
  </si>
  <si>
    <t>a. Dependent Variable: dOEK1K2001</t>
  </si>
  <si>
    <t>Dependent Variable: dK801</t>
  </si>
  <si>
    <t>a. Dependent Variable: dK801</t>
  </si>
  <si>
    <t>Dependent Variable: dIM1_Flip_V1_Slice06</t>
  </si>
  <si>
    <t>a. Dependent Variable: dIM1_Flip_V1_Slice06</t>
  </si>
  <si>
    <t>Dependent Variable: dIM1_Flip_V1_Slice04</t>
  </si>
  <si>
    <t>a. Dependent Variable: dIM1_Flip_V1_Slice04</t>
  </si>
  <si>
    <t>Descriptive Statistics</t>
  </si>
  <si>
    <t>Minimum</t>
  </si>
  <si>
    <t>Maximum</t>
  </si>
  <si>
    <t>Std. Deviation</t>
  </si>
  <si>
    <t>qd</t>
  </si>
  <si>
    <t>qd=0</t>
  </si>
  <si>
    <t>qd=1</t>
  </si>
  <si>
    <t>instagram (No)</t>
  </si>
  <si>
    <t>instagram (Yes)</t>
  </si>
  <si>
    <t>youtube (No)</t>
  </si>
  <si>
    <t>youtube (Yes)</t>
  </si>
  <si>
    <t>tiktok (No)</t>
  </si>
  <si>
    <t>tiktok (Yes)</t>
  </si>
  <si>
    <t>metro (No)</t>
  </si>
  <si>
    <t>metro (Yes)</t>
  </si>
  <si>
    <t>qd (Diff)</t>
  </si>
  <si>
    <t>instagram (Diff)</t>
  </si>
  <si>
    <t>youtube (Diff)</t>
  </si>
  <si>
    <t>tiktok (Diff)</t>
  </si>
  <si>
    <t>metro (Diff)</t>
  </si>
  <si>
    <t>Regression 1</t>
  </si>
  <si>
    <t>Original Y Variables</t>
  </si>
  <si>
    <t>Recoded Y Variables</t>
  </si>
  <si>
    <t>X Variables (Recoded/ Merged)</t>
  </si>
  <si>
    <t>Recoded X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</si>
</sst>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i/>
      <sz val="11"/>
      <color rgb="FFFF0000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2" fontId="1" fillId="2" borderId="0" xfId="0" applyNumberFormat="1" applyFont="1" applyFill="1"/>
    <xf numFmtId="2" fontId="2" fillId="2" borderId="0" xfId="0" applyNumberFormat="1" applyFont="1" applyFill="1"/>
    <xf numFmtId="17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workbookViewId="0">
      <selection activeCell="I12" sqref="I12"/>
    </sheetView>
  </sheetViews>
  <sheetFormatPr defaultRowHeight="14" x14ac:dyDescent="0.25"/>
  <cols>
    <col min="1" max="1" width="20" customWidth="1"/>
    <col min="2" max="2" width="19" customWidth="1"/>
    <col min="3" max="4" width="5" customWidth="1"/>
    <col min="5" max="6" width="20" customWidth="1"/>
  </cols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s="1">
        <v>1090.0031224221379</v>
      </c>
      <c r="C3" s="2">
        <v>0</v>
      </c>
      <c r="D3" s="2">
        <v>1</v>
      </c>
      <c r="E3" s="1">
        <v>0.52060077050021125</v>
      </c>
      <c r="F3" s="1">
        <v>0.49957542799340882</v>
      </c>
    </row>
    <row r="4" spans="1:6" x14ac:dyDescent="0.25">
      <c r="A4" t="s">
        <v>8</v>
      </c>
      <c r="B4" s="1">
        <v>1090.0031224221379</v>
      </c>
      <c r="C4" s="2">
        <v>0</v>
      </c>
      <c r="D4" s="2">
        <v>1</v>
      </c>
      <c r="E4" s="1">
        <v>0.21654228012048529</v>
      </c>
      <c r="F4" s="1">
        <v>0.41188799574727419</v>
      </c>
    </row>
    <row r="5" spans="1:6" x14ac:dyDescent="0.25">
      <c r="A5" t="s">
        <v>9</v>
      </c>
      <c r="B5" s="1">
        <v>1090.0031224221379</v>
      </c>
      <c r="C5" s="2">
        <v>0</v>
      </c>
      <c r="D5" s="2">
        <v>1</v>
      </c>
      <c r="E5" s="1">
        <v>0.1247945763387204</v>
      </c>
      <c r="F5" s="1">
        <v>0.33048583941700088</v>
      </c>
    </row>
    <row r="6" spans="1:6" x14ac:dyDescent="0.25">
      <c r="A6" t="s">
        <v>10</v>
      </c>
      <c r="B6" s="1">
        <v>567.45646538060112</v>
      </c>
      <c r="C6" s="2">
        <v>0</v>
      </c>
      <c r="D6" s="2">
        <v>1</v>
      </c>
      <c r="E6" s="1">
        <v>0.26776808263049529</v>
      </c>
      <c r="F6" s="1">
        <v>0.44279604396932398</v>
      </c>
    </row>
    <row r="7" spans="1:6" x14ac:dyDescent="0.25">
      <c r="A7" t="s">
        <v>11</v>
      </c>
      <c r="B7" s="1">
        <v>567.45646538060112</v>
      </c>
      <c r="C7" s="2">
        <v>0</v>
      </c>
      <c r="D7" s="2">
        <v>1</v>
      </c>
      <c r="E7" s="1">
        <v>0.26438138846759501</v>
      </c>
      <c r="F7" s="1">
        <v>0.44100325384235162</v>
      </c>
    </row>
    <row r="8" spans="1:6" x14ac:dyDescent="0.25">
      <c r="A8" t="s">
        <v>12</v>
      </c>
      <c r="B8" s="1">
        <v>1090.0031224221379</v>
      </c>
      <c r="C8" s="2">
        <v>0</v>
      </c>
      <c r="D8" s="2">
        <v>1</v>
      </c>
      <c r="E8" s="1">
        <v>3.4791491393073588E-2</v>
      </c>
      <c r="F8" s="1">
        <v>0.18325131246383819</v>
      </c>
    </row>
    <row r="9" spans="1:6" x14ac:dyDescent="0.25">
      <c r="A9" t="s">
        <v>13</v>
      </c>
      <c r="B9" s="1">
        <v>567.45646538060112</v>
      </c>
    </row>
    <row r="11" spans="1:6" x14ac:dyDescent="0.25">
      <c r="A11" t="s">
        <v>14</v>
      </c>
    </row>
    <row r="12" spans="1:6" x14ac:dyDescent="0.25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</row>
    <row r="13" spans="1:6" x14ac:dyDescent="0.25">
      <c r="A13" t="s">
        <v>15</v>
      </c>
      <c r="B13" s="1">
        <v>1090.0031224221379</v>
      </c>
      <c r="C13" s="2">
        <v>0</v>
      </c>
      <c r="D13" s="2">
        <v>1</v>
      </c>
      <c r="E13" s="1">
        <v>0.52060077050021125</v>
      </c>
      <c r="F13" s="1">
        <v>0.49957542799340882</v>
      </c>
    </row>
    <row r="14" spans="1:6" x14ac:dyDescent="0.25">
      <c r="A14" t="s">
        <v>16</v>
      </c>
      <c r="B14" s="1">
        <v>1090.0031224221379</v>
      </c>
      <c r="C14" s="2">
        <v>0</v>
      </c>
      <c r="D14" s="2">
        <v>1</v>
      </c>
      <c r="E14" s="1">
        <v>0.21654228012048529</v>
      </c>
      <c r="F14" s="1">
        <v>0.41188799574727419</v>
      </c>
    </row>
    <row r="15" spans="1:6" x14ac:dyDescent="0.25">
      <c r="A15" t="s">
        <v>17</v>
      </c>
      <c r="B15" s="1">
        <v>1090.0031224221379</v>
      </c>
      <c r="C15" s="2">
        <v>0</v>
      </c>
      <c r="D15" s="2">
        <v>1</v>
      </c>
      <c r="E15" s="1">
        <v>0.1247945763387204</v>
      </c>
      <c r="F15" s="1">
        <v>0.33048583941700088</v>
      </c>
    </row>
    <row r="16" spans="1:6" x14ac:dyDescent="0.25">
      <c r="A16" t="s">
        <v>18</v>
      </c>
      <c r="B16" s="1">
        <v>1090.0031224221379</v>
      </c>
      <c r="C16" s="2">
        <v>0</v>
      </c>
      <c r="D16" s="2">
        <v>1</v>
      </c>
      <c r="E16" s="1">
        <v>0.1394002701328001</v>
      </c>
      <c r="F16" s="1">
        <v>0.34636373196352771</v>
      </c>
    </row>
    <row r="17" spans="1:6" x14ac:dyDescent="0.25">
      <c r="A17" t="s">
        <v>19</v>
      </c>
      <c r="B17" s="1">
        <v>1090.0031224221379</v>
      </c>
      <c r="C17" s="2">
        <v>0</v>
      </c>
      <c r="D17" s="2">
        <v>1</v>
      </c>
      <c r="E17" s="1">
        <v>0.13763715454214559</v>
      </c>
      <c r="F17" s="1">
        <v>0.34451874873755001</v>
      </c>
    </row>
    <row r="18" spans="1:6" x14ac:dyDescent="0.25">
      <c r="A18" t="s">
        <v>20</v>
      </c>
      <c r="B18" s="1">
        <v>1090.0031224221379</v>
      </c>
      <c r="C18" s="2">
        <v>0</v>
      </c>
      <c r="D18" s="2">
        <v>1</v>
      </c>
      <c r="E18" s="1">
        <v>3.4791491393073588E-2</v>
      </c>
      <c r="F18" s="1">
        <v>0.18325131246383819</v>
      </c>
    </row>
    <row r="19" spans="1:6" x14ac:dyDescent="0.25">
      <c r="A19" t="s">
        <v>13</v>
      </c>
      <c r="B19" s="1">
        <v>1090.0031224221379</v>
      </c>
    </row>
    <row r="21" spans="1:6" x14ac:dyDescent="0.25">
      <c r="A21" t="s">
        <v>21</v>
      </c>
    </row>
    <row r="22" spans="1:6" x14ac:dyDescent="0.25">
      <c r="A22" t="s">
        <v>1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</row>
    <row r="23" spans="1:6" x14ac:dyDescent="0.25">
      <c r="A23" t="s">
        <v>22</v>
      </c>
      <c r="B23" s="1">
        <v>1090.0031224221379</v>
      </c>
      <c r="C23" s="2">
        <v>0</v>
      </c>
      <c r="D23" s="2">
        <v>1</v>
      </c>
      <c r="E23" s="1">
        <v>0.11498454998908771</v>
      </c>
      <c r="F23" s="1">
        <v>0.31900329661759719</v>
      </c>
    </row>
    <row r="24" spans="1:6" x14ac:dyDescent="0.25">
      <c r="A24" t="s">
        <v>23</v>
      </c>
      <c r="B24" s="1">
        <v>1090.0031224221379</v>
      </c>
      <c r="C24" s="2">
        <v>0</v>
      </c>
      <c r="D24" s="2">
        <v>1</v>
      </c>
      <c r="E24" s="1">
        <v>0.189776244098597</v>
      </c>
      <c r="F24" s="1">
        <v>0.39212398711941437</v>
      </c>
    </row>
    <row r="25" spans="1:6" x14ac:dyDescent="0.25">
      <c r="A25" t="s">
        <v>24</v>
      </c>
      <c r="B25" s="1">
        <v>1090.0031224221379</v>
      </c>
      <c r="C25" s="2">
        <v>0</v>
      </c>
      <c r="D25" s="2">
        <v>1</v>
      </c>
      <c r="E25" s="1">
        <v>0.11176343853623461</v>
      </c>
      <c r="F25" s="1">
        <v>0.31507518522218148</v>
      </c>
    </row>
    <row r="26" spans="1:6" x14ac:dyDescent="0.25">
      <c r="A26" t="s">
        <v>25</v>
      </c>
      <c r="B26" s="1">
        <v>1090.0031224221379</v>
      </c>
      <c r="C26" s="2">
        <v>0</v>
      </c>
      <c r="D26" s="2">
        <v>1</v>
      </c>
      <c r="E26" s="1">
        <v>0.1488182227068803</v>
      </c>
      <c r="F26" s="1">
        <v>0.35590920091681483</v>
      </c>
    </row>
    <row r="27" spans="1:6" x14ac:dyDescent="0.25">
      <c r="A27" t="s">
        <v>13</v>
      </c>
      <c r="B27" s="1">
        <v>1090.0031224221379</v>
      </c>
    </row>
    <row r="29" spans="1:6" x14ac:dyDescent="0.25">
      <c r="A29" t="s">
        <v>26</v>
      </c>
    </row>
    <row r="30" spans="1:6" x14ac:dyDescent="0.25">
      <c r="A30" t="s">
        <v>1</v>
      </c>
      <c r="B30" t="s">
        <v>2</v>
      </c>
      <c r="C30" t="s">
        <v>3</v>
      </c>
      <c r="D30" t="s">
        <v>4</v>
      </c>
      <c r="E30" t="s">
        <v>5</v>
      </c>
      <c r="F30" t="s">
        <v>6</v>
      </c>
    </row>
    <row r="31" spans="1:6" x14ac:dyDescent="0.25">
      <c r="A31" t="s">
        <v>27</v>
      </c>
      <c r="B31" s="1">
        <v>1090.0031224221379</v>
      </c>
      <c r="C31" s="2">
        <v>0</v>
      </c>
      <c r="D31" s="2">
        <v>1</v>
      </c>
      <c r="E31" s="1">
        <v>8.0989789456073907E-2</v>
      </c>
      <c r="F31" s="1">
        <v>0.27281943380180002</v>
      </c>
    </row>
    <row r="32" spans="1:6" x14ac:dyDescent="0.25">
      <c r="A32" t="s">
        <v>28</v>
      </c>
      <c r="B32" s="1">
        <v>1090.0031224221379</v>
      </c>
      <c r="C32" s="2">
        <v>0</v>
      </c>
      <c r="D32" s="2">
        <v>1</v>
      </c>
      <c r="E32" s="1">
        <v>6.9643211057922857E-2</v>
      </c>
      <c r="F32" s="1">
        <v>0.25454475875858151</v>
      </c>
    </row>
    <row r="33" spans="1:6" x14ac:dyDescent="0.25">
      <c r="A33" t="s">
        <v>29</v>
      </c>
      <c r="B33" s="1">
        <v>1090.0031224221379</v>
      </c>
      <c r="C33" s="2">
        <v>0</v>
      </c>
      <c r="D33" s="2">
        <v>1</v>
      </c>
      <c r="E33" s="1">
        <v>0.1272437741348571</v>
      </c>
      <c r="F33" s="1">
        <v>0.33324584930464562</v>
      </c>
    </row>
    <row r="34" spans="1:6" x14ac:dyDescent="0.25">
      <c r="A34" t="s">
        <v>30</v>
      </c>
      <c r="B34" s="1">
        <v>1090.0031224221379</v>
      </c>
      <c r="C34" s="2">
        <v>0</v>
      </c>
      <c r="D34" s="2">
        <v>1</v>
      </c>
      <c r="E34" s="1">
        <v>0.13638995157339301</v>
      </c>
      <c r="F34" s="1">
        <v>0.34320217464812269</v>
      </c>
    </row>
    <row r="35" spans="1:6" x14ac:dyDescent="0.25">
      <c r="A35" t="s">
        <v>31</v>
      </c>
      <c r="B35" s="1">
        <v>1090.0031224221379</v>
      </c>
      <c r="C35" s="2">
        <v>0</v>
      </c>
      <c r="D35" s="2">
        <v>1</v>
      </c>
      <c r="E35" s="1">
        <v>7.7324347000349264E-2</v>
      </c>
      <c r="F35" s="1">
        <v>0.26710539560502861</v>
      </c>
    </row>
    <row r="36" spans="1:6" x14ac:dyDescent="0.25">
      <c r="A36" t="s">
        <v>32</v>
      </c>
      <c r="B36" s="1">
        <v>1090.0031224221379</v>
      </c>
      <c r="C36" s="2">
        <v>0</v>
      </c>
      <c r="D36" s="2">
        <v>1</v>
      </c>
      <c r="E36" s="1">
        <v>6.9789573623332782E-2</v>
      </c>
      <c r="F36" s="1">
        <v>0.25479205057616328</v>
      </c>
    </row>
    <row r="37" spans="1:6" x14ac:dyDescent="0.25">
      <c r="A37" t="s">
        <v>33</v>
      </c>
      <c r="B37" s="1">
        <v>1090.0031224221379</v>
      </c>
      <c r="C37" s="2">
        <v>0</v>
      </c>
      <c r="D37" s="2">
        <v>1</v>
      </c>
      <c r="E37" s="1">
        <v>0.1488182227068803</v>
      </c>
      <c r="F37" s="1">
        <v>0.35590920091681483</v>
      </c>
    </row>
    <row r="38" spans="1:6" x14ac:dyDescent="0.25">
      <c r="A38" t="s">
        <v>13</v>
      </c>
      <c r="B38" s="1">
        <v>1090.0031224221379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H8" sqref="H8"/>
    </sheetView>
  </sheetViews>
  <sheetFormatPr defaultRowHeight="14" x14ac:dyDescent="0.25"/>
  <cols>
    <col min="1" max="1" width="16" customWidth="1"/>
    <col min="2" max="2" width="21" customWidth="1"/>
    <col min="3" max="3" width="19.81640625" customWidth="1"/>
    <col min="4" max="5" width="19" customWidth="1"/>
  </cols>
  <sheetData>
    <row r="1" spans="1:5" x14ac:dyDescent="0.25">
      <c r="A1" t="s">
        <v>34</v>
      </c>
    </row>
    <row r="2" spans="1: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</row>
    <row r="3" spans="1:5" x14ac:dyDescent="0.25">
      <c r="A3" t="s">
        <v>40</v>
      </c>
      <c r="B3" t="s">
        <v>7</v>
      </c>
      <c r="C3">
        <v>567</v>
      </c>
      <c r="D3">
        <v>1090.0031224221379</v>
      </c>
      <c r="E3">
        <v>523.00312242213795</v>
      </c>
    </row>
    <row r="4" spans="1:5" x14ac:dyDescent="0.25">
      <c r="A4" t="s">
        <v>40</v>
      </c>
      <c r="B4" t="s">
        <v>8</v>
      </c>
      <c r="C4">
        <v>236</v>
      </c>
      <c r="D4">
        <v>1090.0031224221379</v>
      </c>
      <c r="E4">
        <v>854.00312242213795</v>
      </c>
    </row>
    <row r="5" spans="1:5" x14ac:dyDescent="0.25">
      <c r="A5" t="s">
        <v>40</v>
      </c>
      <c r="B5" t="s">
        <v>9</v>
      </c>
      <c r="C5">
        <v>136</v>
      </c>
      <c r="D5">
        <v>1090.0031224221379</v>
      </c>
      <c r="E5">
        <v>954.00312242213795</v>
      </c>
    </row>
    <row r="6" spans="1:5" x14ac:dyDescent="0.25">
      <c r="A6" t="s">
        <v>40</v>
      </c>
      <c r="B6" t="s">
        <v>10</v>
      </c>
      <c r="C6">
        <v>152</v>
      </c>
      <c r="D6">
        <v>1090.0031224221379</v>
      </c>
      <c r="E6">
        <v>938.00312242213795</v>
      </c>
    </row>
    <row r="7" spans="1:5" x14ac:dyDescent="0.25">
      <c r="A7" t="s">
        <v>40</v>
      </c>
      <c r="B7" t="s">
        <v>11</v>
      </c>
      <c r="C7">
        <v>150</v>
      </c>
      <c r="D7">
        <v>1090.0031224221379</v>
      </c>
      <c r="E7">
        <v>940.00312242213795</v>
      </c>
    </row>
    <row r="8" spans="1:5" x14ac:dyDescent="0.25">
      <c r="A8" t="s">
        <v>40</v>
      </c>
      <c r="B8" t="s">
        <v>12</v>
      </c>
      <c r="C8">
        <v>38</v>
      </c>
      <c r="D8">
        <v>1090.0031224221379</v>
      </c>
      <c r="E8">
        <v>1052.0031224221379</v>
      </c>
    </row>
    <row r="10" spans="1:5" x14ac:dyDescent="0.25">
      <c r="A10" t="s">
        <v>41</v>
      </c>
    </row>
    <row r="11" spans="1:5" x14ac:dyDescent="0.25">
      <c r="A11" t="s">
        <v>35</v>
      </c>
      <c r="B11" t="s">
        <v>42</v>
      </c>
      <c r="C11" t="s">
        <v>37</v>
      </c>
      <c r="D11" t="s">
        <v>38</v>
      </c>
      <c r="E11" t="s">
        <v>39</v>
      </c>
    </row>
    <row r="12" spans="1:5" x14ac:dyDescent="0.25">
      <c r="A12" t="s">
        <v>43</v>
      </c>
      <c r="B12" t="s">
        <v>44</v>
      </c>
      <c r="C12">
        <v>125</v>
      </c>
      <c r="D12">
        <v>1090.0031224221379</v>
      </c>
      <c r="E12">
        <v>965.00312242213795</v>
      </c>
    </row>
    <row r="13" spans="1:5" x14ac:dyDescent="0.25">
      <c r="A13" t="s">
        <v>43</v>
      </c>
      <c r="B13" t="s">
        <v>45</v>
      </c>
      <c r="C13">
        <v>207</v>
      </c>
      <c r="D13">
        <v>1090.0031224221379</v>
      </c>
      <c r="E13">
        <v>883.00312242213795</v>
      </c>
    </row>
    <row r="14" spans="1:5" x14ac:dyDescent="0.25">
      <c r="A14" t="s">
        <v>43</v>
      </c>
      <c r="B14" t="s">
        <v>46</v>
      </c>
      <c r="C14">
        <v>122</v>
      </c>
      <c r="D14">
        <v>1090.0031224221379</v>
      </c>
      <c r="E14">
        <v>968.00312242213795</v>
      </c>
    </row>
    <row r="15" spans="1:5" x14ac:dyDescent="0.25">
      <c r="A15" t="s">
        <v>43</v>
      </c>
      <c r="B15" t="s">
        <v>47</v>
      </c>
      <c r="C15">
        <v>162</v>
      </c>
      <c r="D15">
        <v>1090.0031224221379</v>
      </c>
      <c r="E15">
        <v>928.00312242213795</v>
      </c>
    </row>
    <row r="16" spans="1:5" x14ac:dyDescent="0.25">
      <c r="A16" t="s">
        <v>48</v>
      </c>
      <c r="B16" t="s">
        <v>44</v>
      </c>
      <c r="C16">
        <v>125</v>
      </c>
      <c r="D16">
        <v>1090.0031224221379</v>
      </c>
      <c r="E16">
        <v>965.00312242213795</v>
      </c>
    </row>
    <row r="17" spans="1:5" x14ac:dyDescent="0.25">
      <c r="A17" t="s">
        <v>48</v>
      </c>
      <c r="B17" t="s">
        <v>45</v>
      </c>
      <c r="C17">
        <v>207</v>
      </c>
      <c r="D17">
        <v>1090.0031224221379</v>
      </c>
      <c r="E17">
        <v>883.00312242213795</v>
      </c>
    </row>
    <row r="18" spans="1:5" x14ac:dyDescent="0.25">
      <c r="A18" t="s">
        <v>48</v>
      </c>
      <c r="B18" t="s">
        <v>46</v>
      </c>
      <c r="C18">
        <v>122</v>
      </c>
      <c r="D18">
        <v>1090.0031224221379</v>
      </c>
      <c r="E18">
        <v>968.00312242213795</v>
      </c>
    </row>
    <row r="20" spans="1:5" x14ac:dyDescent="0.25">
      <c r="A20" t="s">
        <v>49</v>
      </c>
      <c r="B20" t="s">
        <v>50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5"/>
  <sheetViews>
    <sheetView workbookViewId="0"/>
  </sheetViews>
  <sheetFormatPr defaultRowHeight="14" x14ac:dyDescent="0.25"/>
  <sheetData>
    <row r="1" spans="1:4" x14ac:dyDescent="0.25">
      <c r="A1" t="s">
        <v>51</v>
      </c>
    </row>
    <row r="2" spans="1:4" x14ac:dyDescent="0.25">
      <c r="A2" t="s">
        <v>52</v>
      </c>
    </row>
    <row r="3" spans="1:4" x14ac:dyDescent="0.25">
      <c r="A3" t="s">
        <v>53</v>
      </c>
    </row>
    <row r="4" spans="1:4" x14ac:dyDescent="0.25">
      <c r="A4" t="s">
        <v>54</v>
      </c>
    </row>
    <row r="7" spans="1:4" x14ac:dyDescent="0.25">
      <c r="A7" t="s">
        <v>55</v>
      </c>
    </row>
    <row r="8" spans="1:4" x14ac:dyDescent="0.25">
      <c r="A8" t="s">
        <v>56</v>
      </c>
    </row>
    <row r="9" spans="1:4" x14ac:dyDescent="0.25">
      <c r="A9" t="s">
        <v>57</v>
      </c>
    </row>
    <row r="11" spans="1:4" x14ac:dyDescent="0.25">
      <c r="A11" t="s">
        <v>58</v>
      </c>
      <c r="B11" t="s">
        <v>59</v>
      </c>
      <c r="C11" t="s">
        <v>60</v>
      </c>
      <c r="D11" t="s">
        <v>61</v>
      </c>
    </row>
    <row r="12" spans="1:4" x14ac:dyDescent="0.25">
      <c r="A12" t="s">
        <v>62</v>
      </c>
      <c r="B12" s="1">
        <v>1.914756179416365</v>
      </c>
      <c r="C12" s="3">
        <v>0.47868904485409108</v>
      </c>
      <c r="D12" s="3">
        <v>0.47868904485409108</v>
      </c>
    </row>
    <row r="13" spans="1:4" x14ac:dyDescent="0.25">
      <c r="A13" t="s">
        <v>63</v>
      </c>
      <c r="B13" s="1">
        <v>0.87841936173480073</v>
      </c>
      <c r="C13" s="3">
        <v>0.2196048404337001</v>
      </c>
      <c r="D13" s="3">
        <v>0.69829388528779124</v>
      </c>
    </row>
    <row r="14" spans="1:4" x14ac:dyDescent="0.25">
      <c r="A14" t="s">
        <v>64</v>
      </c>
      <c r="B14" s="1">
        <v>0.65355876802012725</v>
      </c>
      <c r="C14" s="3">
        <v>0.16338969200503181</v>
      </c>
      <c r="D14" s="3">
        <v>0.86168357729282308</v>
      </c>
    </row>
    <row r="15" spans="1:4" x14ac:dyDescent="0.25">
      <c r="A15" t="s">
        <v>65</v>
      </c>
      <c r="B15" s="1">
        <v>0.55326569082870825</v>
      </c>
      <c r="C15" s="3">
        <v>0.13831642270717701</v>
      </c>
      <c r="D15" s="3">
        <v>1</v>
      </c>
    </row>
    <row r="17" spans="1:7" x14ac:dyDescent="0.25">
      <c r="A17" t="s">
        <v>66</v>
      </c>
    </row>
    <row r="18" spans="1:7" x14ac:dyDescent="0.25">
      <c r="A18" t="s">
        <v>57</v>
      </c>
    </row>
    <row r="20" spans="1:7" x14ac:dyDescent="0.25">
      <c r="A20" t="s">
        <v>67</v>
      </c>
      <c r="B20" t="s">
        <v>1</v>
      </c>
      <c r="C20" t="s">
        <v>68</v>
      </c>
      <c r="D20" t="s">
        <v>62</v>
      </c>
      <c r="E20" t="s">
        <v>63</v>
      </c>
      <c r="F20" t="s">
        <v>64</v>
      </c>
      <c r="G20" t="s">
        <v>65</v>
      </c>
    </row>
    <row r="21" spans="1:7" x14ac:dyDescent="0.25">
      <c r="A21">
        <v>1</v>
      </c>
      <c r="B21" t="s">
        <v>22</v>
      </c>
      <c r="C21" t="s">
        <v>22</v>
      </c>
      <c r="D21" s="4">
        <v>-0.69192802969452794</v>
      </c>
      <c r="E21" s="4">
        <v>-0.35128285716691832</v>
      </c>
      <c r="F21" s="4">
        <v>0.62856967394997265</v>
      </c>
      <c r="G21" s="1">
        <v>5.2307943699981513E-2</v>
      </c>
    </row>
    <row r="22" spans="1:7" x14ac:dyDescent="0.25">
      <c r="A22">
        <v>2</v>
      </c>
      <c r="B22" t="s">
        <v>23</v>
      </c>
      <c r="C22" t="s">
        <v>23</v>
      </c>
      <c r="D22" s="4">
        <v>-0.78400897532539326</v>
      </c>
      <c r="E22" s="1">
        <v>0.1015887049964371</v>
      </c>
      <c r="F22" s="1">
        <v>-0.19528106831925271</v>
      </c>
      <c r="G22" s="4">
        <v>-0.58040930900741627</v>
      </c>
    </row>
    <row r="23" spans="1:7" x14ac:dyDescent="0.25">
      <c r="A23">
        <v>3</v>
      </c>
      <c r="B23" t="s">
        <v>24</v>
      </c>
      <c r="C23" t="s">
        <v>24</v>
      </c>
      <c r="D23" s="4">
        <v>-0.71193673043043104</v>
      </c>
      <c r="E23" s="4">
        <v>-0.38053718804768338</v>
      </c>
      <c r="F23" s="4">
        <v>-0.46184885387383029</v>
      </c>
      <c r="G23" s="4">
        <v>0.36746860621312788</v>
      </c>
    </row>
    <row r="24" spans="1:7" x14ac:dyDescent="0.25">
      <c r="A24">
        <v>4</v>
      </c>
      <c r="B24" t="s">
        <v>25</v>
      </c>
      <c r="C24" t="s">
        <v>25</v>
      </c>
      <c r="D24" s="4">
        <v>-0.56077428579836763</v>
      </c>
      <c r="E24" s="4">
        <v>0.77452624198625808</v>
      </c>
      <c r="F24" s="1">
        <v>8.3784685605857945E-2</v>
      </c>
      <c r="G24" s="1">
        <v>0.28039512713294851</v>
      </c>
    </row>
    <row r="26" spans="1:7" x14ac:dyDescent="0.25">
      <c r="A26" t="s">
        <v>69</v>
      </c>
    </row>
    <row r="27" spans="1:7" x14ac:dyDescent="0.25">
      <c r="A27" t="s">
        <v>70</v>
      </c>
    </row>
    <row r="29" spans="1:7" x14ac:dyDescent="0.25">
      <c r="A29" t="s">
        <v>67</v>
      </c>
      <c r="B29" t="s">
        <v>1</v>
      </c>
      <c r="C29" t="s">
        <v>68</v>
      </c>
      <c r="D29" t="s">
        <v>62</v>
      </c>
      <c r="E29" t="s">
        <v>63</v>
      </c>
      <c r="F29" t="s">
        <v>64</v>
      </c>
      <c r="G29" t="s">
        <v>65</v>
      </c>
    </row>
    <row r="30" spans="1:7" x14ac:dyDescent="0.25">
      <c r="A30">
        <v>1</v>
      </c>
      <c r="B30" t="s">
        <v>22</v>
      </c>
      <c r="C30" t="s">
        <v>22</v>
      </c>
      <c r="D30" s="5">
        <v>0.97005745326556003</v>
      </c>
      <c r="E30" s="1">
        <v>0.16130811549770979</v>
      </c>
      <c r="F30" s="1">
        <v>0.1653691918542233</v>
      </c>
      <c r="G30" s="1">
        <v>7.4975060013277528E-2</v>
      </c>
    </row>
    <row r="31" spans="1:7" x14ac:dyDescent="0.25">
      <c r="A31">
        <v>2</v>
      </c>
      <c r="B31" t="s">
        <v>23</v>
      </c>
      <c r="C31" t="s">
        <v>23</v>
      </c>
      <c r="D31" s="1">
        <v>0.1613081154977096</v>
      </c>
      <c r="E31" s="5">
        <v>0.9552891040931818</v>
      </c>
      <c r="F31" s="1">
        <v>0.18694773983641441</v>
      </c>
      <c r="G31" s="1">
        <v>0.16264366586339041</v>
      </c>
    </row>
    <row r="32" spans="1:7" x14ac:dyDescent="0.25">
      <c r="A32">
        <v>3</v>
      </c>
      <c r="B32" t="s">
        <v>24</v>
      </c>
      <c r="C32" t="s">
        <v>24</v>
      </c>
      <c r="D32" s="1">
        <v>0.1653691918542233</v>
      </c>
      <c r="E32" s="1">
        <v>0.18694773983641449</v>
      </c>
      <c r="F32" s="5">
        <v>0.96618682810334788</v>
      </c>
      <c r="G32" s="1">
        <v>6.4703834160962259E-2</v>
      </c>
    </row>
    <row r="33" spans="1:7" x14ac:dyDescent="0.25">
      <c r="A33">
        <v>4</v>
      </c>
      <c r="B33" t="s">
        <v>25</v>
      </c>
      <c r="C33" t="s">
        <v>25</v>
      </c>
      <c r="D33" s="1">
        <v>7.4975060013277417E-2</v>
      </c>
      <c r="E33" s="1">
        <v>0.1626436658633906</v>
      </c>
      <c r="F33" s="1">
        <v>6.4703834160962315E-2</v>
      </c>
      <c r="G33" s="5">
        <v>0.98170219118396274</v>
      </c>
    </row>
    <row r="35" spans="1:7" x14ac:dyDescent="0.25">
      <c r="A35" t="s">
        <v>71</v>
      </c>
    </row>
    <row r="36" spans="1:7" x14ac:dyDescent="0.25">
      <c r="A36" t="s">
        <v>72</v>
      </c>
    </row>
    <row r="38" spans="1:7" x14ac:dyDescent="0.25">
      <c r="A38" t="s">
        <v>67</v>
      </c>
      <c r="B38" t="s">
        <v>1</v>
      </c>
      <c r="C38" t="s">
        <v>68</v>
      </c>
      <c r="D38" t="s">
        <v>62</v>
      </c>
      <c r="E38" t="s">
        <v>63</v>
      </c>
      <c r="F38" t="s">
        <v>64</v>
      </c>
      <c r="G38" t="s">
        <v>65</v>
      </c>
    </row>
    <row r="39" spans="1:7" x14ac:dyDescent="0.25">
      <c r="A39">
        <v>1</v>
      </c>
      <c r="B39" t="s">
        <v>22</v>
      </c>
      <c r="C39" t="s">
        <v>22</v>
      </c>
      <c r="D39">
        <v>1</v>
      </c>
    </row>
    <row r="40" spans="1:7" x14ac:dyDescent="0.25">
      <c r="A40">
        <v>2</v>
      </c>
      <c r="B40" t="s">
        <v>23</v>
      </c>
      <c r="C40" t="s">
        <v>23</v>
      </c>
      <c r="E40">
        <v>1</v>
      </c>
    </row>
    <row r="41" spans="1:7" x14ac:dyDescent="0.25">
      <c r="A41">
        <v>3</v>
      </c>
      <c r="B41" t="s">
        <v>24</v>
      </c>
      <c r="C41" t="s">
        <v>24</v>
      </c>
      <c r="F41">
        <v>1</v>
      </c>
    </row>
    <row r="42" spans="1:7" x14ac:dyDescent="0.25">
      <c r="A42">
        <v>4</v>
      </c>
      <c r="B42" t="s">
        <v>25</v>
      </c>
      <c r="C42" t="s">
        <v>25</v>
      </c>
      <c r="G42">
        <v>1</v>
      </c>
    </row>
    <row r="44" spans="1:7" x14ac:dyDescent="0.25">
      <c r="A44" t="s">
        <v>73</v>
      </c>
    </row>
    <row r="46" spans="1:7" x14ac:dyDescent="0.25">
      <c r="A46" t="s">
        <v>67</v>
      </c>
      <c r="B46" t="s">
        <v>1</v>
      </c>
      <c r="C46" t="s">
        <v>68</v>
      </c>
      <c r="D46" t="s">
        <v>62</v>
      </c>
      <c r="E46" t="s">
        <v>63</v>
      </c>
      <c r="F46" t="s">
        <v>64</v>
      </c>
      <c r="G46" t="s">
        <v>65</v>
      </c>
    </row>
    <row r="47" spans="1:7" x14ac:dyDescent="0.25">
      <c r="A47">
        <v>1</v>
      </c>
      <c r="B47" t="s">
        <v>22</v>
      </c>
      <c r="C47" t="s">
        <v>22</v>
      </c>
      <c r="D47" s="1">
        <v>1.08502234270672</v>
      </c>
      <c r="E47" s="1">
        <v>-0.14469546142178771</v>
      </c>
      <c r="F47" s="1">
        <v>-0.1544492330286259</v>
      </c>
      <c r="G47" s="1">
        <v>-4.8713711602193337E-2</v>
      </c>
    </row>
    <row r="48" spans="1:7" x14ac:dyDescent="0.25">
      <c r="A48">
        <v>2</v>
      </c>
      <c r="B48" t="s">
        <v>23</v>
      </c>
      <c r="C48" t="s">
        <v>23</v>
      </c>
      <c r="D48" s="1">
        <v>-0.1446954614217878</v>
      </c>
      <c r="E48" s="1">
        <v>1.1352960528469489</v>
      </c>
      <c r="F48" s="1">
        <v>-0.1838586501339475</v>
      </c>
      <c r="G48" s="1">
        <v>-0.16492150350498019</v>
      </c>
    </row>
    <row r="49" spans="1:7" x14ac:dyDescent="0.25">
      <c r="A49">
        <v>3</v>
      </c>
      <c r="B49" t="s">
        <v>24</v>
      </c>
      <c r="C49" t="s">
        <v>24</v>
      </c>
      <c r="D49" s="1">
        <v>-0.15444923302862579</v>
      </c>
      <c r="E49" s="1">
        <v>-0.1838586501339475</v>
      </c>
      <c r="F49" s="1">
        <v>1.0990274864438021</v>
      </c>
      <c r="G49" s="1">
        <v>-3.0180239092327012E-2</v>
      </c>
    </row>
    <row r="50" spans="1:7" x14ac:dyDescent="0.25">
      <c r="A50">
        <v>4</v>
      </c>
      <c r="B50" t="s">
        <v>25</v>
      </c>
      <c r="C50" t="s">
        <v>25</v>
      </c>
      <c r="D50" s="1">
        <v>-4.8713711602193448E-2</v>
      </c>
      <c r="E50" s="1">
        <v>-0.16492150350497989</v>
      </c>
      <c r="F50" s="1">
        <v>-3.0180239092327012E-2</v>
      </c>
      <c r="G50" s="1">
        <v>1.0516718184163609</v>
      </c>
    </row>
    <row r="52" spans="1:7" x14ac:dyDescent="0.25">
      <c r="A52" t="s">
        <v>74</v>
      </c>
    </row>
    <row r="54" spans="1:7" x14ac:dyDescent="0.25">
      <c r="A54" t="s">
        <v>67</v>
      </c>
      <c r="B54" t="s">
        <v>1</v>
      </c>
      <c r="C54" t="s">
        <v>68</v>
      </c>
      <c r="D54" t="s">
        <v>62</v>
      </c>
      <c r="E54" t="s">
        <v>63</v>
      </c>
      <c r="F54" t="s">
        <v>64</v>
      </c>
      <c r="G54" t="s">
        <v>65</v>
      </c>
    </row>
    <row r="55" spans="1:7" x14ac:dyDescent="0.25">
      <c r="A55">
        <v>1</v>
      </c>
      <c r="B55" t="s">
        <v>22</v>
      </c>
      <c r="C55" t="s">
        <v>22</v>
      </c>
      <c r="D55" s="1">
        <v>3.4012888086463331</v>
      </c>
      <c r="E55" s="1">
        <v>-0.36900436131116671</v>
      </c>
      <c r="F55" s="1">
        <v>-0.49019802343276558</v>
      </c>
      <c r="G55" s="1">
        <v>-0.13687117803278989</v>
      </c>
    </row>
    <row r="56" spans="1:7" x14ac:dyDescent="0.25">
      <c r="A56">
        <v>2</v>
      </c>
      <c r="B56" t="s">
        <v>23</v>
      </c>
      <c r="C56" t="s">
        <v>23</v>
      </c>
      <c r="D56" s="1">
        <v>-0.45358610069550592</v>
      </c>
      <c r="E56" s="1">
        <v>2.895247651608762</v>
      </c>
      <c r="F56" s="1">
        <v>-0.58353897341771288</v>
      </c>
      <c r="G56" s="1">
        <v>-0.46338083724766282</v>
      </c>
    </row>
    <row r="57" spans="1:7" x14ac:dyDescent="0.25">
      <c r="A57">
        <v>3</v>
      </c>
      <c r="B57" t="s">
        <v>24</v>
      </c>
      <c r="C57" t="s">
        <v>24</v>
      </c>
      <c r="D57" s="1">
        <v>-0.48416187126044219</v>
      </c>
      <c r="E57" s="1">
        <v>-0.46887886529103512</v>
      </c>
      <c r="F57" s="1">
        <v>3.4881435860104339</v>
      </c>
      <c r="G57" s="1">
        <v>-8.4797580435075404E-2</v>
      </c>
    </row>
    <row r="58" spans="1:7" x14ac:dyDescent="0.25">
      <c r="A58">
        <v>4</v>
      </c>
      <c r="B58" t="s">
        <v>25</v>
      </c>
      <c r="C58" t="s">
        <v>25</v>
      </c>
      <c r="D58" s="1">
        <v>-0.15270598178359471</v>
      </c>
      <c r="E58" s="1">
        <v>-0.42058509278279882</v>
      </c>
      <c r="F58" s="1">
        <v>-9.5787419980551056E-2</v>
      </c>
      <c r="G58" s="1">
        <v>2.954887976223362</v>
      </c>
    </row>
    <row r="60" spans="1:7" x14ac:dyDescent="0.25">
      <c r="A60" t="s">
        <v>75</v>
      </c>
    </row>
    <row r="62" spans="1:7" x14ac:dyDescent="0.25">
      <c r="A62" t="s">
        <v>76</v>
      </c>
    </row>
    <row r="63" spans="1:7" x14ac:dyDescent="0.25">
      <c r="A63" t="s">
        <v>77</v>
      </c>
    </row>
    <row r="64" spans="1:7" x14ac:dyDescent="0.25">
      <c r="A64" t="s">
        <v>78</v>
      </c>
    </row>
    <row r="65" spans="1:1" x14ac:dyDescent="0.25">
      <c r="A65" t="s">
        <v>79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4" x14ac:dyDescent="0.25"/>
  <cols>
    <col min="1" max="1" width="9" customWidth="1"/>
    <col min="2" max="5" width="12" customWidth="1"/>
  </cols>
  <sheetData>
    <row r="1" spans="1:5" x14ac:dyDescent="0.25">
      <c r="B1" t="s">
        <v>62</v>
      </c>
      <c r="C1" t="s">
        <v>63</v>
      </c>
      <c r="D1" t="s">
        <v>64</v>
      </c>
      <c r="E1" t="s">
        <v>65</v>
      </c>
    </row>
    <row r="2" spans="1:5" x14ac:dyDescent="0.25">
      <c r="A2" t="s">
        <v>62</v>
      </c>
      <c r="B2" s="2">
        <v>1</v>
      </c>
      <c r="C2" s="6">
        <v>7.3941186307868945E-2</v>
      </c>
      <c r="D2" s="6">
        <v>1.7503928741071911E-3</v>
      </c>
      <c r="E2" s="6">
        <v>1.6172155960517E-2</v>
      </c>
    </row>
    <row r="3" spans="1:5" x14ac:dyDescent="0.25">
      <c r="A3" t="s">
        <v>63</v>
      </c>
      <c r="B3" s="6">
        <v>7.3941186307868945E-2</v>
      </c>
      <c r="C3" s="2">
        <v>1</v>
      </c>
      <c r="D3" s="6">
        <v>-1.158062548779403E-2</v>
      </c>
      <c r="E3" s="6">
        <v>1.0388673569693771E-2</v>
      </c>
    </row>
    <row r="4" spans="1:5" x14ac:dyDescent="0.25">
      <c r="A4" t="s">
        <v>64</v>
      </c>
      <c r="B4" s="6">
        <v>1.7503928741071911E-3</v>
      </c>
      <c r="C4" s="6">
        <v>-1.158062548779403E-2</v>
      </c>
      <c r="D4" s="2">
        <v>0.99999999999999978</v>
      </c>
      <c r="E4" s="6">
        <v>4.6899408262325852E-2</v>
      </c>
    </row>
    <row r="5" spans="1:5" x14ac:dyDescent="0.25">
      <c r="A5" t="s">
        <v>65</v>
      </c>
      <c r="B5" s="6">
        <v>1.6172155960516989E-2</v>
      </c>
      <c r="C5" s="6">
        <v>1.0388673569693771E-2</v>
      </c>
      <c r="D5" s="6">
        <v>4.6899408262325852E-2</v>
      </c>
      <c r="E5" s="2">
        <v>0.99999999999999978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6"/>
  <sheetViews>
    <sheetView workbookViewId="0"/>
  </sheetViews>
  <sheetFormatPr defaultRowHeight="14" x14ac:dyDescent="0.25"/>
  <sheetData>
    <row r="2" spans="2:8" x14ac:dyDescent="0.25">
      <c r="B2" t="s">
        <v>67</v>
      </c>
      <c r="C2" t="s">
        <v>80</v>
      </c>
      <c r="D2" t="s">
        <v>68</v>
      </c>
      <c r="E2" t="s">
        <v>62</v>
      </c>
      <c r="F2" t="s">
        <v>63</v>
      </c>
      <c r="G2" t="s">
        <v>64</v>
      </c>
      <c r="H2" t="s">
        <v>65</v>
      </c>
    </row>
    <row r="3" spans="2:8" x14ac:dyDescent="0.25">
      <c r="B3">
        <v>1</v>
      </c>
      <c r="C3" t="s">
        <v>22</v>
      </c>
      <c r="D3" t="s">
        <v>22</v>
      </c>
      <c r="E3" s="7">
        <v>1</v>
      </c>
    </row>
    <row r="4" spans="2:8" x14ac:dyDescent="0.25">
      <c r="B4">
        <v>2</v>
      </c>
      <c r="C4" t="s">
        <v>23</v>
      </c>
      <c r="D4" t="s">
        <v>23</v>
      </c>
      <c r="F4" s="7">
        <v>1</v>
      </c>
    </row>
    <row r="5" spans="2:8" x14ac:dyDescent="0.25">
      <c r="B5">
        <v>3</v>
      </c>
      <c r="C5" t="s">
        <v>24</v>
      </c>
      <c r="D5" t="s">
        <v>24</v>
      </c>
      <c r="G5" s="7">
        <v>1</v>
      </c>
    </row>
    <row r="6" spans="2:8" x14ac:dyDescent="0.25">
      <c r="B6">
        <v>4</v>
      </c>
      <c r="C6" t="s">
        <v>25</v>
      </c>
      <c r="D6" t="s">
        <v>25</v>
      </c>
      <c r="H6" s="7">
        <v>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4"/>
  <sheetViews>
    <sheetView workbookViewId="0"/>
  </sheetViews>
  <sheetFormatPr defaultRowHeight="14" x14ac:dyDescent="0.25"/>
  <cols>
    <col min="1" max="3" width="25" customWidth="1"/>
    <col min="4" max="4" width="22" customWidth="1"/>
    <col min="5" max="5" width="25" customWidth="1"/>
    <col min="6" max="6" width="22" customWidth="1"/>
    <col min="7" max="7" width="24" customWidth="1"/>
    <col min="8" max="8" width="25" customWidth="1"/>
    <col min="9" max="9" width="22" customWidth="1"/>
  </cols>
  <sheetData>
    <row r="1" spans="1:9" x14ac:dyDescent="0.25">
      <c r="A1" t="s">
        <v>81</v>
      </c>
    </row>
    <row r="2" spans="1:9" x14ac:dyDescent="0.25">
      <c r="A2" t="s">
        <v>82</v>
      </c>
    </row>
    <row r="3" spans="1:9" x14ac:dyDescent="0.25">
      <c r="A3" t="s">
        <v>83</v>
      </c>
      <c r="B3" t="s">
        <v>84</v>
      </c>
      <c r="C3" t="s">
        <v>85</v>
      </c>
      <c r="D3" t="s">
        <v>86</v>
      </c>
      <c r="E3" t="s">
        <v>87</v>
      </c>
    </row>
    <row r="4" spans="1:9" x14ac:dyDescent="0.25">
      <c r="A4">
        <v>1</v>
      </c>
      <c r="B4" s="1">
        <v>0.2087400038640474</v>
      </c>
      <c r="C4" s="1">
        <v>4.3572389213162532E-2</v>
      </c>
      <c r="D4" s="1">
        <v>3.9160822742743462E-2</v>
      </c>
      <c r="E4" s="1">
        <v>0.48992062843927808</v>
      </c>
    </row>
    <row r="5" spans="1:9" x14ac:dyDescent="0.25">
      <c r="A5" t="s">
        <v>88</v>
      </c>
    </row>
    <row r="7" spans="1:9" x14ac:dyDescent="0.25">
      <c r="A7" t="s">
        <v>89</v>
      </c>
    </row>
    <row r="8" spans="1:9" x14ac:dyDescent="0.25">
      <c r="A8" t="s">
        <v>83</v>
      </c>
      <c r="C8" t="s">
        <v>90</v>
      </c>
      <c r="E8" t="s">
        <v>91</v>
      </c>
      <c r="F8" t="s">
        <v>92</v>
      </c>
      <c r="G8" t="s">
        <v>93</v>
      </c>
      <c r="H8" t="s">
        <v>94</v>
      </c>
    </row>
    <row r="9" spans="1:9" x14ac:dyDescent="0.25">
      <c r="C9" t="s">
        <v>95</v>
      </c>
      <c r="D9" t="s">
        <v>96</v>
      </c>
      <c r="E9" t="s">
        <v>97</v>
      </c>
      <c r="H9" t="s">
        <v>98</v>
      </c>
      <c r="I9" t="s">
        <v>99</v>
      </c>
    </row>
    <row r="10" spans="1:9" x14ac:dyDescent="0.25">
      <c r="A10">
        <v>1</v>
      </c>
      <c r="B10" t="s">
        <v>100</v>
      </c>
      <c r="C10" s="1">
        <v>0.47575874934473178</v>
      </c>
      <c r="D10" s="1">
        <v>1.7486788326124419E-2</v>
      </c>
      <c r="F10" s="1">
        <v>27.20675406323592</v>
      </c>
      <c r="G10" s="2">
        <v>0</v>
      </c>
      <c r="H10" s="1">
        <v>0.44144696326847471</v>
      </c>
      <c r="I10" s="1">
        <v>0.51007053542098901</v>
      </c>
    </row>
    <row r="11" spans="1:9" x14ac:dyDescent="0.25">
      <c r="B11" t="s">
        <v>12</v>
      </c>
      <c r="C11" s="1">
        <v>0.49683089046008932</v>
      </c>
      <c r="D11" s="1">
        <v>8.1092074517007964E-2</v>
      </c>
      <c r="E11">
        <v>0.18343330084289619</v>
      </c>
      <c r="F11" s="1">
        <v>6.1267502825554887</v>
      </c>
      <c r="G11" s="1">
        <v>1.253188663952187E-9</v>
      </c>
      <c r="H11" s="1">
        <v>0.33771568523108281</v>
      </c>
      <c r="I11" s="1">
        <v>0.65594609568909579</v>
      </c>
    </row>
    <row r="12" spans="1:9" x14ac:dyDescent="0.25">
      <c r="B12" t="s">
        <v>62</v>
      </c>
      <c r="C12" s="1">
        <v>3.39476185522678E-2</v>
      </c>
      <c r="D12" s="1">
        <v>1.4846378521956371E-2</v>
      </c>
      <c r="E12">
        <v>6.7934996970193617E-2</v>
      </c>
      <c r="F12" s="1">
        <v>2.2865925519858279</v>
      </c>
      <c r="G12" s="1">
        <v>2.2411758771879731E-2</v>
      </c>
      <c r="H12" s="1">
        <v>4.8167253114845092E-3</v>
      </c>
      <c r="I12" s="1">
        <v>6.3078511793051087E-2</v>
      </c>
    </row>
    <row r="13" spans="1:9" x14ac:dyDescent="0.25">
      <c r="B13" t="s">
        <v>63</v>
      </c>
      <c r="C13" s="1">
        <v>1.529164106307075E-2</v>
      </c>
      <c r="D13" s="1">
        <v>1.4851172803825689E-2</v>
      </c>
      <c r="E13">
        <v>3.0593107499774591E-2</v>
      </c>
      <c r="F13" s="1">
        <v>1.0296588198833421</v>
      </c>
      <c r="G13" s="1">
        <v>0.30339987703601051</v>
      </c>
      <c r="H13" s="1">
        <v>-1.3848659301011659E-2</v>
      </c>
      <c r="I13" s="1">
        <v>4.4431941427153149E-2</v>
      </c>
    </row>
    <row r="14" spans="1:9" x14ac:dyDescent="0.25">
      <c r="B14" t="s">
        <v>64</v>
      </c>
      <c r="C14" s="1">
        <v>1.261588946803E-2</v>
      </c>
      <c r="D14" s="1">
        <v>1.4839503541710351E-2</v>
      </c>
      <c r="E14">
        <v>2.5238068130548071E-2</v>
      </c>
      <c r="F14" s="1">
        <v>0.85015576380771152</v>
      </c>
      <c r="G14" s="1">
        <v>0.39542622433932467</v>
      </c>
      <c r="H14" s="1">
        <v>-1.6501513997096338E-2</v>
      </c>
      <c r="I14" s="1">
        <v>4.1733292933156342E-2</v>
      </c>
    </row>
    <row r="15" spans="1:9" x14ac:dyDescent="0.25">
      <c r="B15" t="s">
        <v>65</v>
      </c>
      <c r="C15" s="1">
        <v>3.2327186678241138E-2</v>
      </c>
      <c r="D15" s="1">
        <v>1.484092256270546E-2</v>
      </c>
      <c r="E15">
        <v>6.4695817694233715E-2</v>
      </c>
      <c r="F15" s="1">
        <v>2.1782464359377389</v>
      </c>
      <c r="G15" s="1">
        <v>2.9602631840714318E-2</v>
      </c>
      <c r="H15" s="1">
        <v>3.206998874223418E-3</v>
      </c>
      <c r="I15" s="1">
        <v>6.1447374482258871E-2</v>
      </c>
    </row>
    <row r="16" spans="1:9" x14ac:dyDescent="0.25">
      <c r="B16" t="s">
        <v>101</v>
      </c>
    </row>
    <row r="18" spans="1:9" x14ac:dyDescent="0.25">
      <c r="A18" t="s">
        <v>102</v>
      </c>
    </row>
    <row r="19" spans="1:9" x14ac:dyDescent="0.25">
      <c r="A19" t="s">
        <v>82</v>
      </c>
    </row>
    <row r="20" spans="1:9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9" x14ac:dyDescent="0.25">
      <c r="A21">
        <v>2</v>
      </c>
      <c r="B21" s="1">
        <v>0.36300038500846682</v>
      </c>
      <c r="C21" s="1">
        <v>0.13176927951629511</v>
      </c>
      <c r="D21" s="1">
        <v>0.12776452527052151</v>
      </c>
      <c r="E21" s="1">
        <v>0.38485338738566149</v>
      </c>
    </row>
    <row r="22" spans="1:9" x14ac:dyDescent="0.25">
      <c r="A22" t="s">
        <v>88</v>
      </c>
    </row>
    <row r="24" spans="1:9" x14ac:dyDescent="0.25">
      <c r="A24" t="s">
        <v>89</v>
      </c>
    </row>
    <row r="25" spans="1:9" x14ac:dyDescent="0.25">
      <c r="A25" t="s">
        <v>83</v>
      </c>
      <c r="C25" t="s">
        <v>90</v>
      </c>
      <c r="E25" t="s">
        <v>91</v>
      </c>
      <c r="F25" t="s">
        <v>92</v>
      </c>
      <c r="G25" t="s">
        <v>93</v>
      </c>
      <c r="H25" t="s">
        <v>94</v>
      </c>
    </row>
    <row r="26" spans="1:9" x14ac:dyDescent="0.25">
      <c r="C26" t="s">
        <v>95</v>
      </c>
      <c r="D26" t="s">
        <v>96</v>
      </c>
      <c r="E26" t="s">
        <v>97</v>
      </c>
      <c r="H26" t="s">
        <v>98</v>
      </c>
      <c r="I26" t="s">
        <v>99</v>
      </c>
    </row>
    <row r="27" spans="1:9" x14ac:dyDescent="0.25">
      <c r="A27">
        <v>2</v>
      </c>
      <c r="B27" t="s">
        <v>100</v>
      </c>
      <c r="C27" s="1">
        <v>0.1666587434409699</v>
      </c>
      <c r="D27" s="1">
        <v>1.3736612281960971E-2</v>
      </c>
      <c r="F27" s="1">
        <v>12.13244867221211</v>
      </c>
      <c r="G27" s="2">
        <v>0</v>
      </c>
      <c r="H27" s="1">
        <v>0.13970538338187941</v>
      </c>
      <c r="I27" s="1">
        <v>0.19361210350006031</v>
      </c>
    </row>
    <row r="28" spans="1:9" x14ac:dyDescent="0.25">
      <c r="B28" t="s">
        <v>12</v>
      </c>
      <c r="C28" s="1">
        <v>0.77806446544139563</v>
      </c>
      <c r="D28" s="1">
        <v>6.3701256400288647E-2</v>
      </c>
      <c r="E28">
        <v>0.34799651135156923</v>
      </c>
      <c r="F28" s="1">
        <v>12.21427189052852</v>
      </c>
      <c r="G28" s="2">
        <v>0</v>
      </c>
      <c r="H28" s="1">
        <v>0.65307273787926945</v>
      </c>
      <c r="I28" s="1">
        <v>0.9030561930035218</v>
      </c>
    </row>
    <row r="29" spans="1:9" x14ac:dyDescent="0.25">
      <c r="B29" t="s">
        <v>62</v>
      </c>
      <c r="C29" s="1">
        <v>3.5551189593676702E-2</v>
      </c>
      <c r="D29" s="1">
        <v>1.1662458636996959E-2</v>
      </c>
      <c r="E29">
        <v>8.6184288790751934E-2</v>
      </c>
      <c r="F29" s="1">
        <v>3.0483443243174491</v>
      </c>
      <c r="G29" s="1">
        <v>2.356836668371276E-3</v>
      </c>
      <c r="H29" s="1">
        <v>1.26676401154676E-2</v>
      </c>
      <c r="I29" s="1">
        <v>5.8434739071885802E-2</v>
      </c>
    </row>
    <row r="30" spans="1:9" x14ac:dyDescent="0.25">
      <c r="B30" t="s">
        <v>63</v>
      </c>
      <c r="C30" s="1">
        <v>1.130690199828225E-2</v>
      </c>
      <c r="D30" s="1">
        <v>1.166622474830232E-2</v>
      </c>
      <c r="E30">
        <v>2.740329861705779E-2</v>
      </c>
      <c r="F30" s="1">
        <v>0.96919974046682422</v>
      </c>
      <c r="G30" s="1">
        <v>0.3326617345889169</v>
      </c>
      <c r="H30" s="1">
        <v>-1.158403717339364E-2</v>
      </c>
      <c r="I30" s="1">
        <v>3.4197841169958137E-2</v>
      </c>
    </row>
    <row r="31" spans="1:9" x14ac:dyDescent="0.25">
      <c r="B31" t="s">
        <v>64</v>
      </c>
      <c r="C31" s="1">
        <v>2.5866465946592639E-2</v>
      </c>
      <c r="D31" s="1">
        <v>1.1657058049060261E-2</v>
      </c>
      <c r="E31">
        <v>6.2685204569472117E-2</v>
      </c>
      <c r="F31" s="1">
        <v>2.218953173067356</v>
      </c>
      <c r="G31" s="1">
        <v>2.6696385176327549E-2</v>
      </c>
      <c r="H31" s="1">
        <v>2.9935132580577901E-3</v>
      </c>
      <c r="I31" s="1">
        <v>4.8739418635127499E-2</v>
      </c>
    </row>
    <row r="32" spans="1:9" x14ac:dyDescent="0.25">
      <c r="B32" t="s">
        <v>65</v>
      </c>
      <c r="C32" s="1">
        <v>1.190813210139083E-2</v>
      </c>
      <c r="D32" s="1">
        <v>1.1658172750105779E-2</v>
      </c>
      <c r="E32">
        <v>2.8869659183985139E-2</v>
      </c>
      <c r="F32" s="1">
        <v>1.021440697152372</v>
      </c>
      <c r="G32" s="1">
        <v>0.3072735916071061</v>
      </c>
      <c r="H32" s="1">
        <v>-1.0967007803178171E-2</v>
      </c>
      <c r="I32" s="1">
        <v>3.4783272005959827E-2</v>
      </c>
    </row>
    <row r="33" spans="1:9" x14ac:dyDescent="0.25">
      <c r="B33" t="s">
        <v>103</v>
      </c>
    </row>
    <row r="35" spans="1:9" x14ac:dyDescent="0.25">
      <c r="A35" t="s">
        <v>104</v>
      </c>
    </row>
    <row r="36" spans="1:9" x14ac:dyDescent="0.25">
      <c r="A36" t="s">
        <v>82</v>
      </c>
    </row>
    <row r="37" spans="1:9" x14ac:dyDescent="0.25">
      <c r="A37" t="s">
        <v>83</v>
      </c>
      <c r="B37" t="s">
        <v>84</v>
      </c>
      <c r="C37" t="s">
        <v>85</v>
      </c>
      <c r="D37" t="s">
        <v>86</v>
      </c>
      <c r="E37" t="s">
        <v>87</v>
      </c>
    </row>
    <row r="38" spans="1:9" x14ac:dyDescent="0.25">
      <c r="A38">
        <v>3</v>
      </c>
      <c r="B38" s="1">
        <v>0.34061458528177851</v>
      </c>
      <c r="C38" s="1">
        <v>0.116018295706678</v>
      </c>
      <c r="D38" s="1">
        <v>0.1119408893215611</v>
      </c>
      <c r="E38" s="1">
        <v>0.31158252926225077</v>
      </c>
    </row>
    <row r="39" spans="1:9" x14ac:dyDescent="0.25">
      <c r="A39" t="s">
        <v>88</v>
      </c>
    </row>
    <row r="41" spans="1:9" x14ac:dyDescent="0.25">
      <c r="A41" t="s">
        <v>89</v>
      </c>
    </row>
    <row r="42" spans="1:9" x14ac:dyDescent="0.25">
      <c r="A42" t="s">
        <v>83</v>
      </c>
      <c r="C42" t="s">
        <v>90</v>
      </c>
      <c r="E42" t="s">
        <v>91</v>
      </c>
      <c r="F42" t="s">
        <v>92</v>
      </c>
      <c r="G42" t="s">
        <v>93</v>
      </c>
      <c r="H42" t="s">
        <v>94</v>
      </c>
    </row>
    <row r="43" spans="1:9" x14ac:dyDescent="0.25">
      <c r="C43" t="s">
        <v>95</v>
      </c>
      <c r="D43" t="s">
        <v>96</v>
      </c>
      <c r="E43" t="s">
        <v>97</v>
      </c>
      <c r="H43" t="s">
        <v>98</v>
      </c>
      <c r="I43" t="s">
        <v>99</v>
      </c>
    </row>
    <row r="44" spans="1:9" x14ac:dyDescent="0.25">
      <c r="A44">
        <v>3</v>
      </c>
      <c r="B44" t="s">
        <v>100</v>
      </c>
      <c r="C44" s="1">
        <v>9.6722743298353273E-2</v>
      </c>
      <c r="D44" s="1">
        <v>1.112134786543848E-2</v>
      </c>
      <c r="F44" s="1">
        <v>8.697034250581801</v>
      </c>
      <c r="G44" s="2">
        <v>0</v>
      </c>
      <c r="H44" s="1">
        <v>7.4900936931058121E-2</v>
      </c>
      <c r="I44" s="1">
        <v>0.1185445496656484</v>
      </c>
    </row>
    <row r="45" spans="1:9" x14ac:dyDescent="0.25">
      <c r="B45" t="s">
        <v>12</v>
      </c>
      <c r="C45" s="1">
        <v>0.57911449654885538</v>
      </c>
      <c r="D45" s="1">
        <v>5.1573402331769533E-2</v>
      </c>
      <c r="E45">
        <v>0.32339360214552793</v>
      </c>
      <c r="F45" s="1">
        <v>11.22893721115074</v>
      </c>
      <c r="G45" s="2">
        <v>0</v>
      </c>
      <c r="H45" s="1">
        <v>0.47791949635612369</v>
      </c>
      <c r="I45" s="1">
        <v>0.68030949674158703</v>
      </c>
    </row>
    <row r="46" spans="1:9" x14ac:dyDescent="0.25">
      <c r="B46" t="s">
        <v>62</v>
      </c>
      <c r="C46" s="1">
        <v>4.0603922948491487E-2</v>
      </c>
      <c r="D46" s="1">
        <v>9.4420849046352468E-3</v>
      </c>
      <c r="E46">
        <v>0.12289936476802189</v>
      </c>
      <c r="F46" s="1">
        <v>4.3003132632876966</v>
      </c>
      <c r="G46" s="1">
        <v>1.8592637260894659E-5</v>
      </c>
      <c r="H46" s="1">
        <v>2.2077090501066099E-2</v>
      </c>
      <c r="I46" s="1">
        <v>5.913075539591689E-2</v>
      </c>
    </row>
    <row r="47" spans="1:9" x14ac:dyDescent="0.25">
      <c r="B47" t="s">
        <v>63</v>
      </c>
      <c r="C47" s="1">
        <v>-1.479278488490854E-3</v>
      </c>
      <c r="D47" s="1">
        <v>9.445133999496997E-3</v>
      </c>
      <c r="E47">
        <v>-4.4762757843354014E-3</v>
      </c>
      <c r="F47" s="1">
        <v>-0.15661805206465401</v>
      </c>
      <c r="G47" s="1">
        <v>0.87557503804069703</v>
      </c>
      <c r="H47" s="1">
        <v>-2.001209373210909E-2</v>
      </c>
      <c r="I47" s="1">
        <v>1.7053536755127389E-2</v>
      </c>
    </row>
    <row r="48" spans="1:9" x14ac:dyDescent="0.25">
      <c r="B48" t="s">
        <v>64</v>
      </c>
      <c r="C48" s="1">
        <v>3.7072088747473839E-3</v>
      </c>
      <c r="D48" s="1">
        <v>9.4377125152943324E-3</v>
      </c>
      <c r="E48">
        <v>1.1217154085005711E-2</v>
      </c>
      <c r="F48" s="1">
        <v>0.39280798909053949</v>
      </c>
      <c r="G48" s="1">
        <v>0.69453853349092842</v>
      </c>
      <c r="H48" s="1">
        <v>-1.4811044267838859E-2</v>
      </c>
      <c r="I48" s="1">
        <v>2.2225462017333629E-2</v>
      </c>
    </row>
    <row r="49" spans="1:9" x14ac:dyDescent="0.25">
      <c r="B49" t="s">
        <v>65</v>
      </c>
      <c r="C49" s="1">
        <v>-7.1955615490859551E-3</v>
      </c>
      <c r="D49" s="1">
        <v>9.4386149923999397E-3</v>
      </c>
      <c r="E49">
        <v>-2.1780627318935559E-2</v>
      </c>
      <c r="F49" s="1">
        <v>-0.76235353967503583</v>
      </c>
      <c r="G49" s="1">
        <v>0.44601487334502782</v>
      </c>
      <c r="H49" s="1">
        <v>-2.5715585491478819E-2</v>
      </c>
      <c r="I49" s="1">
        <v>1.132446239330691E-2</v>
      </c>
    </row>
    <row r="50" spans="1:9" x14ac:dyDescent="0.25">
      <c r="B50" t="s">
        <v>105</v>
      </c>
    </row>
    <row r="52" spans="1:9" x14ac:dyDescent="0.25">
      <c r="A52" t="s">
        <v>106</v>
      </c>
    </row>
    <row r="53" spans="1:9" x14ac:dyDescent="0.25">
      <c r="A53" t="s">
        <v>82</v>
      </c>
    </row>
    <row r="54" spans="1:9" x14ac:dyDescent="0.25">
      <c r="A54" t="s">
        <v>83</v>
      </c>
      <c r="B54" t="s">
        <v>84</v>
      </c>
      <c r="C54" t="s">
        <v>85</v>
      </c>
      <c r="D54" t="s">
        <v>86</v>
      </c>
      <c r="E54" t="s">
        <v>87</v>
      </c>
    </row>
    <row r="55" spans="1:9" x14ac:dyDescent="0.25">
      <c r="A55">
        <v>4</v>
      </c>
      <c r="B55" s="1">
        <v>0.32684810253143909</v>
      </c>
      <c r="C55" s="1">
        <v>0.1068296821284022</v>
      </c>
      <c r="D55" s="1">
        <v>0.1027098928393264</v>
      </c>
      <c r="E55" s="1">
        <v>0.32824502752215262</v>
      </c>
    </row>
    <row r="56" spans="1:9" x14ac:dyDescent="0.25">
      <c r="A56" t="s">
        <v>88</v>
      </c>
    </row>
    <row r="58" spans="1:9" x14ac:dyDescent="0.25">
      <c r="A58" t="s">
        <v>89</v>
      </c>
    </row>
    <row r="59" spans="1:9" x14ac:dyDescent="0.25">
      <c r="A59" t="s">
        <v>83</v>
      </c>
      <c r="C59" t="s">
        <v>90</v>
      </c>
      <c r="E59" t="s">
        <v>91</v>
      </c>
      <c r="F59" t="s">
        <v>92</v>
      </c>
      <c r="G59" t="s">
        <v>93</v>
      </c>
      <c r="H59" t="s">
        <v>94</v>
      </c>
    </row>
    <row r="60" spans="1:9" x14ac:dyDescent="0.25">
      <c r="C60" t="s">
        <v>95</v>
      </c>
      <c r="D60" t="s">
        <v>96</v>
      </c>
      <c r="E60" t="s">
        <v>97</v>
      </c>
      <c r="H60" t="s">
        <v>98</v>
      </c>
      <c r="I60" t="s">
        <v>99</v>
      </c>
    </row>
    <row r="61" spans="1:9" x14ac:dyDescent="0.25">
      <c r="A61">
        <v>4</v>
      </c>
      <c r="B61" t="s">
        <v>100</v>
      </c>
      <c r="C61" s="1">
        <v>9.9682490273194813E-2</v>
      </c>
      <c r="D61" s="1">
        <v>1.171608416177191E-2</v>
      </c>
      <c r="F61" s="1">
        <v>8.5081746509167377</v>
      </c>
      <c r="G61" s="2">
        <v>0</v>
      </c>
      <c r="H61" s="1">
        <v>7.6693719212840974E-2</v>
      </c>
      <c r="I61" s="1">
        <v>0.12267126133354871</v>
      </c>
    </row>
    <row r="62" spans="1:9" x14ac:dyDescent="0.25">
      <c r="B62" t="s">
        <v>12</v>
      </c>
      <c r="C62" s="1">
        <v>0.5618923188536169</v>
      </c>
      <c r="D62" s="1">
        <v>5.433139305944297E-2</v>
      </c>
      <c r="E62">
        <v>0.29942360345020769</v>
      </c>
      <c r="F62" s="1">
        <v>10.3419457373173</v>
      </c>
      <c r="G62" s="2">
        <v>0</v>
      </c>
      <c r="H62" s="1">
        <v>0.45528571384910532</v>
      </c>
      <c r="I62" s="1">
        <v>0.66849892385812848</v>
      </c>
    </row>
    <row r="63" spans="1:9" x14ac:dyDescent="0.25">
      <c r="B63" t="s">
        <v>62</v>
      </c>
      <c r="C63" s="1">
        <v>3.040596788030105E-2</v>
      </c>
      <c r="D63" s="1">
        <v>9.9470192591571312E-3</v>
      </c>
      <c r="E63">
        <v>8.7822627355135824E-2</v>
      </c>
      <c r="F63" s="1">
        <v>3.0567918979657751</v>
      </c>
      <c r="G63" s="1">
        <v>2.2919798438016952E-3</v>
      </c>
      <c r="H63" s="1">
        <v>1.088837605317727E-2</v>
      </c>
      <c r="I63" s="1">
        <v>4.9923559707424833E-2</v>
      </c>
    </row>
    <row r="64" spans="1:9" x14ac:dyDescent="0.25">
      <c r="B64" t="s">
        <v>63</v>
      </c>
      <c r="C64" s="1">
        <v>3.3968561052605331E-2</v>
      </c>
      <c r="D64" s="1">
        <v>9.950231410458369E-3</v>
      </c>
      <c r="E64">
        <v>9.8086670723918912E-2</v>
      </c>
      <c r="F64" s="1">
        <v>3.4138463369708232</v>
      </c>
      <c r="G64" s="1">
        <v>6.6421532881122403E-4</v>
      </c>
      <c r="H64" s="1">
        <v>1.444466648730933E-2</v>
      </c>
      <c r="I64" s="1">
        <v>5.3492455617901342E-2</v>
      </c>
    </row>
    <row r="65" spans="1:9" x14ac:dyDescent="0.25">
      <c r="B65" t="s">
        <v>64</v>
      </c>
      <c r="C65" s="1">
        <v>7.3525000727769473E-3</v>
      </c>
      <c r="D65" s="1">
        <v>9.9424130475606557E-3</v>
      </c>
      <c r="E65">
        <v>2.1229346082169181E-2</v>
      </c>
      <c r="F65" s="1">
        <v>0.73950861200449358</v>
      </c>
      <c r="G65" s="1">
        <v>0.45975832142338091</v>
      </c>
      <c r="H65" s="1">
        <v>-1.2156053654040889E-2</v>
      </c>
      <c r="I65" s="1">
        <v>2.6861053799594789E-2</v>
      </c>
    </row>
    <row r="66" spans="1:9" x14ac:dyDescent="0.25">
      <c r="B66" t="s">
        <v>65</v>
      </c>
      <c r="C66" s="1">
        <v>-4.0795499898658664E-3</v>
      </c>
      <c r="D66" s="1">
        <v>9.9433637864325373E-3</v>
      </c>
      <c r="E66">
        <v>-1.1783760332039289E-2</v>
      </c>
      <c r="F66" s="1">
        <v>-0.41027866197878698</v>
      </c>
      <c r="G66" s="1">
        <v>0.68168261742861058</v>
      </c>
      <c r="H66" s="1">
        <v>-2.3589969213547859E-2</v>
      </c>
      <c r="I66" s="1">
        <v>1.5430869233816121E-2</v>
      </c>
    </row>
    <row r="67" spans="1:9" x14ac:dyDescent="0.25">
      <c r="B67" t="s">
        <v>107</v>
      </c>
    </row>
    <row r="69" spans="1:9" x14ac:dyDescent="0.25">
      <c r="A69" t="s">
        <v>108</v>
      </c>
    </row>
    <row r="70" spans="1:9" x14ac:dyDescent="0.25">
      <c r="A70" t="s">
        <v>82</v>
      </c>
    </row>
    <row r="71" spans="1:9" x14ac:dyDescent="0.25">
      <c r="A71" t="s">
        <v>83</v>
      </c>
      <c r="B71" t="s">
        <v>84</v>
      </c>
      <c r="C71" t="s">
        <v>85</v>
      </c>
      <c r="D71" t="s">
        <v>86</v>
      </c>
      <c r="E71" t="s">
        <v>87</v>
      </c>
    </row>
    <row r="72" spans="1:9" x14ac:dyDescent="0.25">
      <c r="A72">
        <v>5</v>
      </c>
      <c r="B72" s="1">
        <v>0.26619458084310782</v>
      </c>
      <c r="C72" s="1">
        <v>7.0859554870237873E-2</v>
      </c>
      <c r="D72" s="1">
        <v>6.6573851710045151E-2</v>
      </c>
      <c r="E72" s="1">
        <v>0.33300606875818878</v>
      </c>
    </row>
    <row r="73" spans="1:9" x14ac:dyDescent="0.25">
      <c r="A73" t="s">
        <v>88</v>
      </c>
    </row>
    <row r="75" spans="1:9" x14ac:dyDescent="0.25">
      <c r="A75" t="s">
        <v>89</v>
      </c>
    </row>
    <row r="76" spans="1:9" x14ac:dyDescent="0.25">
      <c r="A76" t="s">
        <v>83</v>
      </c>
      <c r="C76" t="s">
        <v>90</v>
      </c>
      <c r="E76" t="s">
        <v>91</v>
      </c>
      <c r="F76" t="s">
        <v>92</v>
      </c>
      <c r="G76" t="s">
        <v>93</v>
      </c>
      <c r="H76" t="s">
        <v>94</v>
      </c>
    </row>
    <row r="77" spans="1:9" x14ac:dyDescent="0.25">
      <c r="C77" t="s">
        <v>95</v>
      </c>
      <c r="D77" t="s">
        <v>96</v>
      </c>
      <c r="E77" t="s">
        <v>97</v>
      </c>
      <c r="H77" t="s">
        <v>98</v>
      </c>
      <c r="I77" t="s">
        <v>99</v>
      </c>
    </row>
    <row r="78" spans="1:9" x14ac:dyDescent="0.25">
      <c r="A78">
        <v>5</v>
      </c>
      <c r="B78" t="s">
        <v>100</v>
      </c>
      <c r="C78" s="1">
        <v>0.1015910515085838</v>
      </c>
      <c r="D78" s="1">
        <v>1.188602050548484E-2</v>
      </c>
      <c r="F78" s="1">
        <v>8.5471038403226984</v>
      </c>
      <c r="G78" s="2">
        <v>0</v>
      </c>
      <c r="H78" s="1">
        <v>7.8268839031583548E-2</v>
      </c>
      <c r="I78" s="1">
        <v>0.1249132639855841</v>
      </c>
    </row>
    <row r="79" spans="1:9" x14ac:dyDescent="0.25">
      <c r="B79" t="s">
        <v>12</v>
      </c>
      <c r="C79" s="1">
        <v>0.45867709395343442</v>
      </c>
      <c r="D79" s="1">
        <v>5.5119444609591249E-2</v>
      </c>
      <c r="E79">
        <v>0.24568340355114621</v>
      </c>
      <c r="F79" s="1">
        <v>8.3215115319507547</v>
      </c>
      <c r="G79" s="2">
        <v>2.2204460492503131E-16</v>
      </c>
      <c r="H79" s="1">
        <v>0.3505242097979735</v>
      </c>
      <c r="I79" s="1">
        <v>0.56682997810889535</v>
      </c>
    </row>
    <row r="80" spans="1:9" x14ac:dyDescent="0.25">
      <c r="B80" t="s">
        <v>62</v>
      </c>
      <c r="C80" s="1">
        <v>2.4796351662303411E-2</v>
      </c>
      <c r="D80" s="1">
        <v>1.0091296140443009E-2</v>
      </c>
      <c r="E80">
        <v>7.1989840339174938E-2</v>
      </c>
      <c r="F80" s="1">
        <v>2.4572018616049509</v>
      </c>
      <c r="G80" s="1">
        <v>1.415817717504186E-2</v>
      </c>
      <c r="H80" s="1">
        <v>4.9956662565243219E-3</v>
      </c>
      <c r="I80" s="1">
        <v>4.4597037068082497E-2</v>
      </c>
    </row>
    <row r="81" spans="2:9" x14ac:dyDescent="0.25">
      <c r="B81" t="s">
        <v>63</v>
      </c>
      <c r="C81" s="1">
        <v>1.485459576646374E-2</v>
      </c>
      <c r="D81" s="1">
        <v>1.0094554882502729E-2</v>
      </c>
      <c r="E81">
        <v>4.3115111355260229E-2</v>
      </c>
      <c r="F81" s="1">
        <v>1.471545396440586</v>
      </c>
      <c r="G81" s="1">
        <v>0.14143391654641449</v>
      </c>
      <c r="H81" s="1">
        <v>-4.9524837957691161E-3</v>
      </c>
      <c r="I81" s="1">
        <v>3.4661675328696587E-2</v>
      </c>
    </row>
    <row r="82" spans="2:9" x14ac:dyDescent="0.25">
      <c r="B82" t="s">
        <v>64</v>
      </c>
      <c r="C82" s="1">
        <v>6.8576054100614849E-3</v>
      </c>
      <c r="D82" s="1">
        <v>1.008662311789278E-2</v>
      </c>
      <c r="E82">
        <v>1.9902603991694658E-2</v>
      </c>
      <c r="F82" s="1">
        <v>0.67987128396784202</v>
      </c>
      <c r="G82" s="1">
        <v>0.49673112504621608</v>
      </c>
      <c r="H82" s="1">
        <v>-1.293391080197645E-2</v>
      </c>
      <c r="I82" s="1">
        <v>2.6649121622099418E-2</v>
      </c>
    </row>
    <row r="83" spans="2:9" x14ac:dyDescent="0.25">
      <c r="B83" t="s">
        <v>65</v>
      </c>
      <c r="C83" s="1">
        <v>2.1110405425176629E-2</v>
      </c>
      <c r="D83" s="1">
        <v>1.0087587646789169E-2</v>
      </c>
      <c r="E83">
        <v>6.1292035710623617E-2</v>
      </c>
      <c r="F83" s="1">
        <v>2.092710979507173</v>
      </c>
      <c r="G83" s="1">
        <v>3.6607022281709638E-2</v>
      </c>
      <c r="H83" s="1">
        <v>1.3169966581114271E-3</v>
      </c>
      <c r="I83" s="1">
        <v>4.0903814192241823E-2</v>
      </c>
    </row>
    <row r="84" spans="2:9" x14ac:dyDescent="0.25">
      <c r="B84" t="s">
        <v>109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"/>
  <sheetViews>
    <sheetView workbookViewId="0"/>
  </sheetViews>
  <sheetFormatPr defaultRowHeight="14" x14ac:dyDescent="0.25"/>
  <cols>
    <col min="1" max="1" width="20" customWidth="1"/>
    <col min="2" max="11" width="10" customWidth="1"/>
  </cols>
  <sheetData>
    <row r="1" spans="1:11" x14ac:dyDescent="0.25">
      <c r="A1" t="s">
        <v>110</v>
      </c>
    </row>
    <row r="2" spans="1:11" x14ac:dyDescent="0.25">
      <c r="B2" t="s">
        <v>2</v>
      </c>
      <c r="C2" t="s">
        <v>111</v>
      </c>
      <c r="D2" t="s">
        <v>112</v>
      </c>
      <c r="E2" t="s">
        <v>5</v>
      </c>
      <c r="F2" t="s">
        <v>113</v>
      </c>
    </row>
    <row r="3" spans="1:11" x14ac:dyDescent="0.25">
      <c r="A3" t="s">
        <v>114</v>
      </c>
      <c r="B3" s="1">
        <v>1090.0031224221379</v>
      </c>
      <c r="C3" s="2">
        <v>0</v>
      </c>
      <c r="D3" s="2">
        <v>1</v>
      </c>
      <c r="E3" s="1">
        <v>0.32181163203412477</v>
      </c>
      <c r="F3" s="1">
        <v>0.46717117368439792</v>
      </c>
    </row>
    <row r="4" spans="1:11" x14ac:dyDescent="0.25">
      <c r="A4" t="s">
        <v>13</v>
      </c>
      <c r="B4" s="1">
        <v>1090.0031224221379</v>
      </c>
    </row>
    <row r="6" spans="1:11" x14ac:dyDescent="0.25">
      <c r="B6" t="s">
        <v>115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</row>
    <row r="7" spans="1:11" x14ac:dyDescent="0.25">
      <c r="A7" t="s">
        <v>7</v>
      </c>
      <c r="B7" s="1">
        <v>0.48597644465024259</v>
      </c>
      <c r="C7" s="1">
        <v>0.59356834750071841</v>
      </c>
      <c r="D7" s="1">
        <v>0.50698470282732111</v>
      </c>
      <c r="E7" s="1">
        <v>0.62540120029747981</v>
      </c>
      <c r="F7" s="1">
        <v>0.50567003436039415</v>
      </c>
      <c r="G7" s="1">
        <v>0.58434550931636386</v>
      </c>
      <c r="H7" s="1">
        <v>0.51260517256583193</v>
      </c>
      <c r="I7" s="1">
        <v>0.58414554425712639</v>
      </c>
      <c r="J7" s="1">
        <v>0.50417947424872811</v>
      </c>
      <c r="K7" s="1">
        <v>0.61452413468609546</v>
      </c>
    </row>
    <row r="8" spans="1:11" x14ac:dyDescent="0.25">
      <c r="A8" t="s">
        <v>8</v>
      </c>
      <c r="B8" s="1">
        <v>0.18845504674162031</v>
      </c>
      <c r="C8" s="1">
        <v>0.27573353696066449</v>
      </c>
      <c r="D8" s="1">
        <v>0.20279430474318469</v>
      </c>
      <c r="E8" s="1">
        <v>0.32235797985088688</v>
      </c>
      <c r="F8" s="1">
        <v>0.2028740075472798</v>
      </c>
      <c r="G8" s="1">
        <v>0.27489710315720361</v>
      </c>
      <c r="H8" s="1">
        <v>0.20468697592858079</v>
      </c>
      <c r="I8" s="1">
        <v>0.31076195310513671</v>
      </c>
      <c r="J8" s="1">
        <v>0.207965288981066</v>
      </c>
      <c r="K8" s="1">
        <v>0.26559930035017759</v>
      </c>
    </row>
    <row r="9" spans="1:11" x14ac:dyDescent="0.25">
      <c r="A9" t="s">
        <v>9</v>
      </c>
      <c r="B9" s="1">
        <v>0.10317780182468091</v>
      </c>
      <c r="C9" s="1">
        <v>0.17034993720525429</v>
      </c>
      <c r="D9" s="1">
        <v>0.1115526257366652</v>
      </c>
      <c r="E9" s="1">
        <v>0.22671549416822279</v>
      </c>
      <c r="F9" s="1">
        <v>0.12076246120440839</v>
      </c>
      <c r="G9" s="1">
        <v>0.14200914122731581</v>
      </c>
      <c r="H9" s="1">
        <v>0.1214935340475579</v>
      </c>
      <c r="I9" s="1">
        <v>0.15102951052069</v>
      </c>
      <c r="J9" s="1">
        <v>0.12565272129823199</v>
      </c>
      <c r="K9" s="1">
        <v>0.1198863242542232</v>
      </c>
    </row>
    <row r="10" spans="1:11" x14ac:dyDescent="0.25">
      <c r="A10" t="s">
        <v>10</v>
      </c>
      <c r="B10" s="1">
        <v>0.23890557864957851</v>
      </c>
      <c r="C10" s="1">
        <v>0.31756782434557668</v>
      </c>
      <c r="D10" s="1">
        <v>0.25116123301879822</v>
      </c>
      <c r="E10" s="1">
        <v>0.37138597648066762</v>
      </c>
      <c r="F10" s="1">
        <v>0.23583245597733291</v>
      </c>
      <c r="G10" s="1">
        <v>0.38575560338669013</v>
      </c>
      <c r="H10" s="1">
        <v>0.25950435365106239</v>
      </c>
      <c r="I10" s="1">
        <v>0.32540050474170212</v>
      </c>
      <c r="J10" s="1">
        <v>0.27136009356604712</v>
      </c>
      <c r="K10" s="1">
        <v>0.25091225540443568</v>
      </c>
    </row>
    <row r="11" spans="1:11" x14ac:dyDescent="0.25">
      <c r="A11" t="s">
        <v>11</v>
      </c>
      <c r="B11" s="1">
        <v>0.23875607826744941</v>
      </c>
      <c r="C11" s="1">
        <v>0.30859563371048299</v>
      </c>
      <c r="D11" s="1">
        <v>0.25214495412960808</v>
      </c>
      <c r="E11" s="1">
        <v>0.34073021946110632</v>
      </c>
      <c r="F11" s="1">
        <v>0.24748134945484601</v>
      </c>
      <c r="G11" s="1">
        <v>0.32681929599491671</v>
      </c>
      <c r="H11" s="1">
        <v>0.25835186685618622</v>
      </c>
      <c r="I11" s="1">
        <v>0.30643213039078943</v>
      </c>
      <c r="J11" s="1">
        <v>0.25059883581924602</v>
      </c>
      <c r="K11" s="1">
        <v>0.32905722892100159</v>
      </c>
    </row>
    <row r="12" spans="1:11" x14ac:dyDescent="0.25">
      <c r="A12" t="s">
        <v>12</v>
      </c>
      <c r="B12" s="1">
        <v>3.304654611247973E-2</v>
      </c>
      <c r="C12" s="1">
        <v>3.8468802820741978E-2</v>
      </c>
      <c r="D12" s="1">
        <v>3.6338661532842223E-2</v>
      </c>
      <c r="E12" s="1">
        <v>2.288320043032481E-2</v>
      </c>
      <c r="F12" s="1">
        <v>3.1722786094161022E-2</v>
      </c>
      <c r="G12" s="1">
        <v>4.7892909565032532E-2</v>
      </c>
      <c r="H12" s="1">
        <v>3.4943588281022682E-2</v>
      </c>
      <c r="I12" s="1">
        <v>3.3582705957240423E-2</v>
      </c>
      <c r="J12" s="1">
        <v>3.3370525333944197E-2</v>
      </c>
      <c r="K12" s="1">
        <v>4.2918859088260042E-2</v>
      </c>
    </row>
    <row r="14" spans="1:11" x14ac:dyDescent="0.25">
      <c r="C14" t="s">
        <v>125</v>
      </c>
      <c r="E14" t="s">
        <v>126</v>
      </c>
      <c r="G14" t="s">
        <v>127</v>
      </c>
      <c r="I14" t="s">
        <v>128</v>
      </c>
      <c r="K14" t="s">
        <v>129</v>
      </c>
    </row>
    <row r="15" spans="1:11" x14ac:dyDescent="0.25">
      <c r="A15" t="s">
        <v>7</v>
      </c>
      <c r="C15" s="3">
        <v>0.1075919028504758</v>
      </c>
      <c r="E15" s="3">
        <v>0.1184164974701587</v>
      </c>
      <c r="G15" s="3">
        <v>7.8675474955969715E-2</v>
      </c>
      <c r="I15" s="3">
        <v>7.1540371691294458E-2</v>
      </c>
      <c r="K15" s="3">
        <v>0.11034466043736731</v>
      </c>
    </row>
    <row r="16" spans="1:11" x14ac:dyDescent="0.25">
      <c r="A16" t="s">
        <v>8</v>
      </c>
      <c r="C16" s="3">
        <v>8.7278490219044214E-2</v>
      </c>
      <c r="E16" s="3">
        <v>0.1195636751077022</v>
      </c>
      <c r="G16" s="3">
        <v>7.2023095609923732E-2</v>
      </c>
      <c r="I16" s="3">
        <v>0.1060749771765558</v>
      </c>
      <c r="K16" s="3">
        <v>5.7634011369111671E-2</v>
      </c>
    </row>
    <row r="17" spans="1:11" x14ac:dyDescent="0.25">
      <c r="A17" t="s">
        <v>9</v>
      </c>
      <c r="C17" s="3">
        <v>6.7172135380573414E-2</v>
      </c>
      <c r="E17" s="3">
        <v>0.1151628684315575</v>
      </c>
      <c r="G17" s="3">
        <v>2.1246680022907461E-2</v>
      </c>
      <c r="I17" s="3">
        <v>2.9535976473132091E-2</v>
      </c>
      <c r="K17" s="3">
        <v>-5.766397044008803E-3</v>
      </c>
    </row>
    <row r="18" spans="1:11" x14ac:dyDescent="0.25">
      <c r="A18" t="s">
        <v>10</v>
      </c>
      <c r="C18" s="3">
        <v>7.8662245695998223E-2</v>
      </c>
      <c r="E18" s="3">
        <v>0.1202247434618694</v>
      </c>
      <c r="G18" s="3">
        <v>0.14992314740935719</v>
      </c>
      <c r="I18" s="3">
        <v>6.5896151090639676E-2</v>
      </c>
      <c r="K18" s="3">
        <v>-2.0447838161611439E-2</v>
      </c>
    </row>
    <row r="19" spans="1:11" x14ac:dyDescent="0.25">
      <c r="A19" t="s">
        <v>11</v>
      </c>
      <c r="C19" s="3">
        <v>6.9839555443033691E-2</v>
      </c>
      <c r="E19" s="3">
        <v>8.8585265331498186E-2</v>
      </c>
      <c r="G19" s="3">
        <v>7.9337946540070703E-2</v>
      </c>
      <c r="I19" s="3">
        <v>4.8080263534603263E-2</v>
      </c>
      <c r="K19" s="3">
        <v>7.8458393101755675E-2</v>
      </c>
    </row>
    <row r="20" spans="1:11" x14ac:dyDescent="0.25">
      <c r="A20" t="s">
        <v>12</v>
      </c>
      <c r="C20" s="3">
        <v>5.4222567082622478E-3</v>
      </c>
      <c r="E20" s="3">
        <v>-1.345546110251741E-2</v>
      </c>
      <c r="G20" s="3">
        <v>1.61701234708715E-2</v>
      </c>
      <c r="I20" s="3">
        <v>-1.3608823237822589E-3</v>
      </c>
      <c r="K20" s="3">
        <v>9.548333754315845E-3</v>
      </c>
    </row>
  </sheetData>
  <phoneticPr fontId="3" type="noConversion"/>
  <conditionalFormatting sqref="C15:C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:E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5:G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:I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:K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workbookViewId="0"/>
  </sheetViews>
  <sheetFormatPr defaultRowHeight="14" x14ac:dyDescent="0.25"/>
  <sheetData>
    <row r="1" spans="1:6" x14ac:dyDescent="0.25">
      <c r="A1" t="s">
        <v>130</v>
      </c>
    </row>
    <row r="2" spans="1:6" x14ac:dyDescent="0.25">
      <c r="A2" t="s">
        <v>131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7</v>
      </c>
      <c r="B4" s="2">
        <v>1090</v>
      </c>
      <c r="C4" s="2">
        <v>0</v>
      </c>
      <c r="D4" s="2">
        <v>1</v>
      </c>
      <c r="E4" s="1">
        <v>0.5394495412844037</v>
      </c>
      <c r="F4" s="1">
        <v>0.4986701044032027</v>
      </c>
    </row>
    <row r="5" spans="1:6" x14ac:dyDescent="0.25">
      <c r="A5" t="s">
        <v>8</v>
      </c>
      <c r="B5" s="2">
        <v>1090</v>
      </c>
      <c r="C5" s="2">
        <v>0</v>
      </c>
      <c r="D5" s="2">
        <v>1</v>
      </c>
      <c r="E5" s="1">
        <v>0.24220183486238531</v>
      </c>
      <c r="F5" s="1">
        <v>0.42861246609725112</v>
      </c>
    </row>
    <row r="6" spans="1:6" x14ac:dyDescent="0.25">
      <c r="A6" t="s">
        <v>9</v>
      </c>
      <c r="B6" s="2">
        <v>1090</v>
      </c>
      <c r="C6" s="2">
        <v>0</v>
      </c>
      <c r="D6" s="2">
        <v>1</v>
      </c>
      <c r="E6" s="1">
        <v>0.1302752293577982</v>
      </c>
      <c r="F6" s="1">
        <v>0.33676050492577492</v>
      </c>
    </row>
    <row r="7" spans="1:6" x14ac:dyDescent="0.25">
      <c r="A7" t="s">
        <v>10</v>
      </c>
      <c r="B7" s="2">
        <v>588</v>
      </c>
      <c r="C7" s="2">
        <v>0</v>
      </c>
      <c r="D7" s="2">
        <v>1</v>
      </c>
      <c r="E7" s="1">
        <v>0.26360544217687082</v>
      </c>
      <c r="F7" s="1">
        <v>0.44096293203851239</v>
      </c>
    </row>
    <row r="8" spans="1:6" x14ac:dyDescent="0.25">
      <c r="A8" t="s">
        <v>11</v>
      </c>
      <c r="B8" s="2">
        <v>588</v>
      </c>
      <c r="C8" s="2">
        <v>0</v>
      </c>
      <c r="D8" s="2">
        <v>1</v>
      </c>
      <c r="E8" s="1">
        <v>0.2687074829931973</v>
      </c>
      <c r="F8" s="1">
        <v>0.44366488590274039</v>
      </c>
    </row>
    <row r="10" spans="1:6" x14ac:dyDescent="0.25">
      <c r="A10" t="s">
        <v>132</v>
      </c>
    </row>
    <row r="11" spans="1:6" x14ac:dyDescent="0.25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</row>
    <row r="12" spans="1:6" x14ac:dyDescent="0.25">
      <c r="A12" t="s">
        <v>15</v>
      </c>
      <c r="B12" s="2">
        <v>1090</v>
      </c>
      <c r="C12" s="2">
        <v>0</v>
      </c>
      <c r="D12" s="2">
        <v>1</v>
      </c>
      <c r="E12" s="1">
        <v>0.5394495412844037</v>
      </c>
      <c r="F12" s="1">
        <v>0.4986701044032027</v>
      </c>
    </row>
    <row r="13" spans="1:6" x14ac:dyDescent="0.25">
      <c r="A13" t="s">
        <v>16</v>
      </c>
      <c r="B13" s="2">
        <v>1090</v>
      </c>
      <c r="C13" s="2">
        <v>0</v>
      </c>
      <c r="D13" s="2">
        <v>1</v>
      </c>
      <c r="E13" s="1">
        <v>0.24220183486238531</v>
      </c>
      <c r="F13" s="1">
        <v>0.42861246609725112</v>
      </c>
    </row>
    <row r="14" spans="1:6" x14ac:dyDescent="0.25">
      <c r="A14" t="s">
        <v>17</v>
      </c>
      <c r="B14" s="2">
        <v>1090</v>
      </c>
      <c r="C14" s="2">
        <v>0</v>
      </c>
      <c r="D14" s="2">
        <v>1</v>
      </c>
      <c r="E14" s="1">
        <v>0.1302752293577982</v>
      </c>
      <c r="F14" s="1">
        <v>0.33676050492577492</v>
      </c>
    </row>
    <row r="15" spans="1:6" x14ac:dyDescent="0.25">
      <c r="A15" t="s">
        <v>18</v>
      </c>
      <c r="B15" s="2">
        <v>1090</v>
      </c>
      <c r="C15" s="2">
        <v>0</v>
      </c>
      <c r="D15" s="2">
        <v>1</v>
      </c>
      <c r="E15" s="1">
        <v>0.1422018348623853</v>
      </c>
      <c r="F15" s="1">
        <v>0.34941734999539681</v>
      </c>
    </row>
    <row r="16" spans="1:6" x14ac:dyDescent="0.25">
      <c r="A16" t="s">
        <v>19</v>
      </c>
      <c r="B16" s="2">
        <v>1090</v>
      </c>
      <c r="C16" s="2">
        <v>0</v>
      </c>
      <c r="D16" s="2">
        <v>1</v>
      </c>
      <c r="E16" s="1">
        <v>0.14495412844036701</v>
      </c>
      <c r="F16" s="1">
        <v>0.35221618667326671</v>
      </c>
    </row>
    <row r="18" spans="1:6" x14ac:dyDescent="0.25">
      <c r="A18" t="s">
        <v>133</v>
      </c>
    </row>
    <row r="19" spans="1:6" x14ac:dyDescent="0.25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</row>
    <row r="20" spans="1:6" x14ac:dyDescent="0.25">
      <c r="A20" t="s">
        <v>22</v>
      </c>
      <c r="B20" s="2">
        <v>1090</v>
      </c>
      <c r="C20" s="2">
        <v>0</v>
      </c>
      <c r="D20" s="2">
        <v>1</v>
      </c>
      <c r="E20" s="1">
        <v>0.108256880733945</v>
      </c>
      <c r="F20" s="1">
        <v>0.31084719106384318</v>
      </c>
    </row>
    <row r="21" spans="1:6" x14ac:dyDescent="0.25">
      <c r="A21" t="s">
        <v>23</v>
      </c>
      <c r="B21" s="2">
        <v>1090</v>
      </c>
      <c r="C21" s="2">
        <v>0</v>
      </c>
      <c r="D21" s="2">
        <v>1</v>
      </c>
      <c r="E21" s="1">
        <v>0.19816513761467891</v>
      </c>
      <c r="F21" s="1">
        <v>0.39880023269437598</v>
      </c>
    </row>
    <row r="22" spans="1:6" x14ac:dyDescent="0.25">
      <c r="A22" t="s">
        <v>24</v>
      </c>
      <c r="B22" s="2">
        <v>1090</v>
      </c>
      <c r="C22" s="2">
        <v>0</v>
      </c>
      <c r="D22" s="2">
        <v>1</v>
      </c>
      <c r="E22" s="1">
        <v>0.1165137614678899</v>
      </c>
      <c r="F22" s="1">
        <v>0.32098727449691911</v>
      </c>
    </row>
    <row r="23" spans="1:6" x14ac:dyDescent="0.25">
      <c r="A23" t="s">
        <v>25</v>
      </c>
      <c r="B23" s="2">
        <v>1090</v>
      </c>
      <c r="C23" s="2">
        <v>0</v>
      </c>
      <c r="D23" s="2">
        <v>1</v>
      </c>
      <c r="E23" s="1">
        <v>0.16055045871559631</v>
      </c>
      <c r="F23" s="1">
        <v>0.36728431540470857</v>
      </c>
    </row>
    <row r="25" spans="1:6" x14ac:dyDescent="0.25">
      <c r="A25" t="s">
        <v>134</v>
      </c>
    </row>
    <row r="26" spans="1:6" x14ac:dyDescent="0.25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</row>
    <row r="27" spans="1:6" x14ac:dyDescent="0.25">
      <c r="A27" t="s">
        <v>27</v>
      </c>
      <c r="B27" s="2">
        <v>1090</v>
      </c>
      <c r="C27" s="2">
        <v>0</v>
      </c>
      <c r="D27" s="2">
        <v>1</v>
      </c>
      <c r="E27" s="1">
        <v>7.3394495412844041E-2</v>
      </c>
      <c r="F27" s="1">
        <v>0.26090265076163321</v>
      </c>
    </row>
    <row r="28" spans="1:6" x14ac:dyDescent="0.25">
      <c r="A28" t="s">
        <v>28</v>
      </c>
      <c r="B28" s="2">
        <v>1090</v>
      </c>
      <c r="C28" s="2">
        <v>0</v>
      </c>
      <c r="D28" s="2">
        <v>1</v>
      </c>
      <c r="E28" s="1">
        <v>7.155963302752294E-2</v>
      </c>
      <c r="F28" s="1">
        <v>0.25787566964580788</v>
      </c>
    </row>
    <row r="29" spans="1:6" x14ac:dyDescent="0.25">
      <c r="A29" t="s">
        <v>29</v>
      </c>
      <c r="B29" s="2">
        <v>1090</v>
      </c>
      <c r="C29" s="2">
        <v>0</v>
      </c>
      <c r="D29" s="2">
        <v>1</v>
      </c>
      <c r="E29" s="1">
        <v>0.1311926605504587</v>
      </c>
      <c r="F29" s="1">
        <v>0.33776591339409878</v>
      </c>
    </row>
    <row r="30" spans="1:6" x14ac:dyDescent="0.25">
      <c r="A30" t="s">
        <v>30</v>
      </c>
      <c r="B30" s="2">
        <v>1090</v>
      </c>
      <c r="C30" s="2">
        <v>0</v>
      </c>
      <c r="D30" s="2">
        <v>1</v>
      </c>
      <c r="E30" s="1">
        <v>0.1440366972477064</v>
      </c>
      <c r="F30" s="1">
        <v>0.35128811703236601</v>
      </c>
    </row>
    <row r="31" spans="1:6" x14ac:dyDescent="0.25">
      <c r="A31" t="s">
        <v>31</v>
      </c>
      <c r="B31" s="2">
        <v>1090</v>
      </c>
      <c r="C31" s="2">
        <v>0</v>
      </c>
      <c r="D31" s="2">
        <v>1</v>
      </c>
      <c r="E31" s="1">
        <v>7.9816513761467894E-2</v>
      </c>
      <c r="F31" s="1">
        <v>0.27113332747883462</v>
      </c>
    </row>
    <row r="32" spans="1:6" x14ac:dyDescent="0.25">
      <c r="A32" t="s">
        <v>32</v>
      </c>
      <c r="B32" s="2">
        <v>1090</v>
      </c>
      <c r="C32" s="2">
        <v>0</v>
      </c>
      <c r="D32" s="2">
        <v>1</v>
      </c>
      <c r="E32" s="1">
        <v>7.5229357798165142E-2</v>
      </c>
      <c r="F32" s="1">
        <v>0.26388214363714152</v>
      </c>
    </row>
    <row r="33" spans="1:6" x14ac:dyDescent="0.25">
      <c r="A33" t="s">
        <v>33</v>
      </c>
      <c r="B33" s="2">
        <v>1090</v>
      </c>
      <c r="C33" s="2">
        <v>0</v>
      </c>
      <c r="D33" s="2">
        <v>1</v>
      </c>
      <c r="E33" s="1">
        <v>0.16055045871559631</v>
      </c>
      <c r="F33" s="1">
        <v>0.36728431540470857</v>
      </c>
    </row>
  </sheetData>
  <phoneticPr fontId="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Descriptives</vt:lpstr>
      <vt:lpstr>Sample_Check</vt:lpstr>
      <vt:lpstr>CFA_Results</vt:lpstr>
      <vt:lpstr>FactorCorr</vt:lpstr>
      <vt:lpstr>RotationRule</vt:lpstr>
      <vt:lpstr>reg_Results</vt:lpstr>
      <vt:lpstr>seen vs no seen</vt:lpstr>
      <vt:lpstr>reg后Descriptives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Xinyi Deng (external)</cp:lastModifiedBy>
  <dcterms:created xsi:type="dcterms:W3CDTF">2026-08-19T04:10:35Z</dcterms:created>
  <dcterms:modified xsi:type="dcterms:W3CDTF">2026-08-19T04:21:16Z</dcterms:modified>
</cp:coreProperties>
</file>
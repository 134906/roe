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https://ktglbuc-my.sharepoint.com/personal/xinyi_deng_kantar_com/Documents/Desktop/代码修改中/"/>
    </mc:Choice>
  </mc:AlternateContent>
  <xr:revisionPtr revIDLastSave="3" documentId="11_5785C2110358D5B2AC16FE1AA3403965F1FF7759" xr6:coauthVersionLast="47" xr6:coauthVersionMax="47" xr10:uidLastSave="{08073F71-3FAC-4327-9DE0-78FE015C682E}"/>
  <bookViews>
    <workbookView xWindow="-110" yWindow="-110" windowWidth="19420" windowHeight="10300" tabRatio="800" firstSheet="7" activeTab="12" xr2:uid="{00000000-000D-0000-FFFF-FFFF00000000}"/>
  </bookViews>
  <sheets>
    <sheet name="Instruction" sheetId="1" r:id="rId1"/>
    <sheet name="2A 回归syntax" sheetId="2" r:id="rId2"/>
    <sheet name="2A Regression" sheetId="3" r:id="rId3"/>
    <sheet name="2B RotationRule" sheetId="4" r:id="rId4"/>
    <sheet name="2B FL" sheetId="5" r:id="rId5"/>
    <sheet name="2C 均值" sheetId="6" r:id="rId6"/>
    <sheet name="2D Mapping" sheetId="7" r:id="rId7"/>
    <sheet name="2E.Analysis_MIA" sheetId="8" r:id="rId8"/>
    <sheet name="2F.Results to CS_MIA" sheetId="9" r:id="rId9"/>
    <sheet name="uplift check" sheetId="10" state="hidden" r:id="rId10"/>
    <sheet name="seenvsnoseen" sheetId="11" r:id="rId11"/>
    <sheet name="2E.ROE Scan" sheetId="12" r:id="rId12"/>
    <sheet name="2F.Results to CS_ROE SCAN" sheetId="13" r:id="rId13"/>
    <sheet name="Sample_Check" sheetId="14" r:id="rId14"/>
  </sheets>
  <calcPr calcId="191029" calcCompleted="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7" i="13" l="1"/>
  <c r="F87" i="13"/>
  <c r="V2" i="13"/>
  <c r="O2" i="13"/>
  <c r="N2" i="13"/>
  <c r="G2" i="13"/>
  <c r="F2" i="13"/>
  <c r="C2" i="13" a="1"/>
  <c r="U2" i="13" s="1"/>
  <c r="D128" i="12"/>
  <c r="Z92" i="12" a="1"/>
  <c r="Z92" i="12" s="1"/>
  <c r="D92" i="12"/>
  <c r="D209" i="12" s="1"/>
  <c r="B83" i="13" s="1"/>
  <c r="C92" i="12"/>
  <c r="D91" i="12"/>
  <c r="Y90" i="12"/>
  <c r="C120" i="13" s="1"/>
  <c r="D90" i="12"/>
  <c r="Z90" i="12" s="1" a="1"/>
  <c r="Z90" i="12" s="1"/>
  <c r="Z89" i="12" a="1"/>
  <c r="Z89" i="12" s="1"/>
  <c r="Y89" i="12"/>
  <c r="C119" i="13" s="1"/>
  <c r="D89" i="12"/>
  <c r="D206" i="12" s="1"/>
  <c r="B80" i="13" s="1"/>
  <c r="C89" i="12"/>
  <c r="Y88" i="12"/>
  <c r="C118" i="13" s="1"/>
  <c r="D88" i="12"/>
  <c r="C88" i="12"/>
  <c r="Z87" i="12" a="1"/>
  <c r="Z87" i="12" s="1"/>
  <c r="D87" i="12"/>
  <c r="Y87" i="12" s="1"/>
  <c r="C117" i="13" s="1"/>
  <c r="D86" i="12"/>
  <c r="Z85" i="12" a="1"/>
  <c r="Z85" i="12" s="1"/>
  <c r="T85" i="12"/>
  <c r="T124" i="12" s="1"/>
  <c r="S85" i="12"/>
  <c r="S124" i="12" s="1"/>
  <c r="K85" i="12"/>
  <c r="K124" i="12" s="1"/>
  <c r="J85" i="12"/>
  <c r="J124" i="12" s="1"/>
  <c r="D85" i="12"/>
  <c r="C85" i="12"/>
  <c r="P85" i="12" s="1"/>
  <c r="P124" i="12" s="1"/>
  <c r="Y84" i="12"/>
  <c r="C114" i="13" s="1"/>
  <c r="D84" i="12"/>
  <c r="D83" i="12"/>
  <c r="D82" i="12"/>
  <c r="D81" i="12"/>
  <c r="D198" i="12" s="1"/>
  <c r="B72" i="13" s="1"/>
  <c r="C81" i="12"/>
  <c r="D80" i="12"/>
  <c r="Y79" i="12"/>
  <c r="C109" i="13" s="1"/>
  <c r="D79" i="12"/>
  <c r="Y78" i="12"/>
  <c r="C108" i="13" s="1"/>
  <c r="D78" i="12"/>
  <c r="C78" i="12"/>
  <c r="D77" i="12"/>
  <c r="Y77" i="12" s="1"/>
  <c r="C107" i="13" s="1"/>
  <c r="C77" i="12"/>
  <c r="D76" i="12"/>
  <c r="C76" i="12"/>
  <c r="D75" i="12"/>
  <c r="D74" i="12"/>
  <c r="D73" i="12"/>
  <c r="D190" i="12" s="1"/>
  <c r="B64" i="13" s="1"/>
  <c r="C73" i="12"/>
  <c r="D72" i="12"/>
  <c r="Y71" i="12"/>
  <c r="C101" i="13" s="1"/>
  <c r="D71" i="12"/>
  <c r="Y70" i="12"/>
  <c r="C100" i="13" s="1"/>
  <c r="D70" i="12"/>
  <c r="C70" i="12"/>
  <c r="D69" i="12"/>
  <c r="D68" i="12"/>
  <c r="C68" i="12" s="1"/>
  <c r="Y67" i="12"/>
  <c r="C97" i="13" s="1"/>
  <c r="D67" i="12"/>
  <c r="D66" i="12"/>
  <c r="Z65" i="12" a="1"/>
  <c r="Z65" i="12" s="1"/>
  <c r="D65" i="12"/>
  <c r="D182" i="12" s="1"/>
  <c r="B56" i="13" s="1"/>
  <c r="C65" i="12"/>
  <c r="Y64" i="12"/>
  <c r="C94" i="13" s="1"/>
  <c r="D64" i="12"/>
  <c r="Y63" i="12"/>
  <c r="C93" i="13" s="1"/>
  <c r="D63" i="12"/>
  <c r="Z62" i="12" a="1"/>
  <c r="Z62" i="12" s="1"/>
  <c r="Y62" i="12"/>
  <c r="C92" i="13" s="1"/>
  <c r="D62" i="12"/>
  <c r="C62" i="12"/>
  <c r="D61" i="12"/>
  <c r="D60" i="12"/>
  <c r="C60" i="12" s="1"/>
  <c r="Y59" i="12"/>
  <c r="C89" i="13" s="1"/>
  <c r="D59" i="12"/>
  <c r="D58" i="12"/>
  <c r="D97" i="12" s="1"/>
  <c r="D214" i="12" s="1"/>
  <c r="C58" i="12"/>
  <c r="D43" i="12"/>
  <c r="D42" i="12"/>
  <c r="U1" i="12"/>
  <c r="S1" i="12"/>
  <c r="Q1" i="12"/>
  <c r="L1" i="12"/>
  <c r="J1" i="12"/>
  <c r="H1" i="12"/>
  <c r="E1" i="12" a="1"/>
  <c r="W1" i="12" s="1"/>
  <c r="BS25" i="10"/>
  <c r="BQ25" i="10"/>
  <c r="BO25" i="10"/>
  <c r="BM25" i="10"/>
  <c r="BK25" i="10"/>
  <c r="BI25" i="10"/>
  <c r="BG25" i="10"/>
  <c r="BE25" i="10"/>
  <c r="BC25" i="10"/>
  <c r="BA25" i="10"/>
  <c r="AY25" i="10"/>
  <c r="AW25" i="10"/>
  <c r="AU25" i="10"/>
  <c r="AS25" i="10"/>
  <c r="AQ25" i="10"/>
  <c r="AO25" i="10"/>
  <c r="AM25" i="10"/>
  <c r="AK25" i="10"/>
  <c r="AI25" i="10"/>
  <c r="AG25" i="10"/>
  <c r="AE25" i="10"/>
  <c r="AC25" i="10"/>
  <c r="AA25" i="10"/>
  <c r="Y25" i="10"/>
  <c r="W25" i="10"/>
  <c r="U25" i="10"/>
  <c r="S25" i="10"/>
  <c r="Q25" i="10"/>
  <c r="O25" i="10"/>
  <c r="M25" i="10"/>
  <c r="K25" i="10"/>
  <c r="I25" i="10"/>
  <c r="G25" i="10"/>
  <c r="E25" i="10"/>
  <c r="C25" i="10"/>
  <c r="A25" i="10"/>
  <c r="BS24" i="10"/>
  <c r="BQ24" i="10"/>
  <c r="BO24" i="10"/>
  <c r="BM24" i="10"/>
  <c r="BK24" i="10"/>
  <c r="BI24" i="10"/>
  <c r="BG24" i="10"/>
  <c r="BE24" i="10"/>
  <c r="BC24" i="10"/>
  <c r="BA24" i="10"/>
  <c r="AY24" i="10"/>
  <c r="AW24" i="10"/>
  <c r="AU24" i="10"/>
  <c r="AS24" i="10"/>
  <c r="AQ24" i="10"/>
  <c r="AO24" i="10"/>
  <c r="AM24" i="10"/>
  <c r="AK24" i="10"/>
  <c r="AI24" i="10"/>
  <c r="AG24" i="10"/>
  <c r="AE24" i="10"/>
  <c r="AC24" i="10"/>
  <c r="AA24" i="10"/>
  <c r="Y24" i="10"/>
  <c r="W24" i="10"/>
  <c r="U24" i="10"/>
  <c r="S24" i="10"/>
  <c r="Q24" i="10"/>
  <c r="O24" i="10"/>
  <c r="M24" i="10"/>
  <c r="K24" i="10"/>
  <c r="I24" i="10"/>
  <c r="G24" i="10"/>
  <c r="E24" i="10"/>
  <c r="C24" i="10"/>
  <c r="A24" i="10"/>
  <c r="BS23" i="10"/>
  <c r="BQ23" i="10"/>
  <c r="BO23" i="10"/>
  <c r="BM23" i="10"/>
  <c r="BK23" i="10"/>
  <c r="BI23" i="10"/>
  <c r="BG23" i="10"/>
  <c r="BE23" i="10"/>
  <c r="BC23" i="10"/>
  <c r="BA23" i="10"/>
  <c r="AY23" i="10"/>
  <c r="AW23" i="10"/>
  <c r="AU23" i="10"/>
  <c r="AS23" i="10"/>
  <c r="AQ23" i="10"/>
  <c r="AO23" i="10"/>
  <c r="AM23" i="10"/>
  <c r="AK23" i="10"/>
  <c r="AI23" i="10"/>
  <c r="AG23" i="10"/>
  <c r="AE23" i="10"/>
  <c r="AC23" i="10"/>
  <c r="AA23" i="10"/>
  <c r="Y23" i="10"/>
  <c r="W23" i="10"/>
  <c r="U23" i="10"/>
  <c r="S23" i="10"/>
  <c r="Q23" i="10"/>
  <c r="O23" i="10"/>
  <c r="M23" i="10"/>
  <c r="K23" i="10"/>
  <c r="I23" i="10"/>
  <c r="G23" i="10"/>
  <c r="E23" i="10"/>
  <c r="C23" i="10"/>
  <c r="A23" i="10"/>
  <c r="BS22" i="10"/>
  <c r="BQ22" i="10"/>
  <c r="BO22" i="10"/>
  <c r="BM22" i="10"/>
  <c r="BK22" i="10"/>
  <c r="BI22" i="10"/>
  <c r="BG22" i="10"/>
  <c r="BE22" i="10"/>
  <c r="BC22" i="10"/>
  <c r="BA22" i="10"/>
  <c r="AY22" i="10"/>
  <c r="AW22" i="10"/>
  <c r="AU22" i="10"/>
  <c r="AS22" i="10"/>
  <c r="AQ22" i="10"/>
  <c r="AO22" i="10"/>
  <c r="AM22" i="10"/>
  <c r="AK22" i="10"/>
  <c r="AI22" i="10"/>
  <c r="AG22" i="10"/>
  <c r="AE22" i="10"/>
  <c r="AC22" i="10"/>
  <c r="AA22" i="10"/>
  <c r="Y22" i="10"/>
  <c r="W22" i="10"/>
  <c r="U22" i="10"/>
  <c r="S22" i="10"/>
  <c r="Q22" i="10"/>
  <c r="O22" i="10"/>
  <c r="M22" i="10"/>
  <c r="K22" i="10"/>
  <c r="I22" i="10"/>
  <c r="G22" i="10"/>
  <c r="E22" i="10"/>
  <c r="C22" i="10"/>
  <c r="A22" i="10"/>
  <c r="BS21" i="10"/>
  <c r="BQ21" i="10"/>
  <c r="BO21" i="10"/>
  <c r="BM21" i="10"/>
  <c r="BK21" i="10"/>
  <c r="BI21" i="10"/>
  <c r="BG21" i="10"/>
  <c r="BE21" i="10"/>
  <c r="BC21" i="10"/>
  <c r="BA21" i="10"/>
  <c r="AY21" i="10"/>
  <c r="AW21" i="10"/>
  <c r="AU21" i="10"/>
  <c r="AS21" i="10"/>
  <c r="AQ21" i="10"/>
  <c r="AO21" i="10"/>
  <c r="AM21" i="10"/>
  <c r="AK21" i="10"/>
  <c r="AI21" i="10"/>
  <c r="AG21" i="10"/>
  <c r="AE21" i="10"/>
  <c r="AC21" i="10"/>
  <c r="AA21" i="10"/>
  <c r="Y21" i="10"/>
  <c r="W21" i="10"/>
  <c r="U21" i="10"/>
  <c r="S21" i="10"/>
  <c r="Q21" i="10"/>
  <c r="O21" i="10"/>
  <c r="M21" i="10"/>
  <c r="K21" i="10"/>
  <c r="I21" i="10"/>
  <c r="G21" i="10"/>
  <c r="E21" i="10"/>
  <c r="C21" i="10"/>
  <c r="A21" i="10"/>
  <c r="BS20" i="10"/>
  <c r="BQ20" i="10"/>
  <c r="BO20" i="10"/>
  <c r="BM20" i="10"/>
  <c r="BK20" i="10"/>
  <c r="BI20" i="10"/>
  <c r="BG20" i="10"/>
  <c r="BE20" i="10"/>
  <c r="BC20" i="10"/>
  <c r="BA20" i="10"/>
  <c r="AY20" i="10"/>
  <c r="AW20" i="10"/>
  <c r="AU20" i="10"/>
  <c r="AS20" i="10"/>
  <c r="AQ20" i="10"/>
  <c r="AO20" i="10"/>
  <c r="AM20" i="10"/>
  <c r="AK20" i="10"/>
  <c r="AI20" i="10"/>
  <c r="AG20" i="10"/>
  <c r="AE20" i="10"/>
  <c r="AC20" i="10"/>
  <c r="AA20" i="10"/>
  <c r="Y20" i="10"/>
  <c r="W20" i="10"/>
  <c r="U20" i="10"/>
  <c r="S20" i="10"/>
  <c r="Q20" i="10"/>
  <c r="O20" i="10"/>
  <c r="M20" i="10"/>
  <c r="K20" i="10"/>
  <c r="I20" i="10"/>
  <c r="G20" i="10"/>
  <c r="E20" i="10"/>
  <c r="C20" i="10"/>
  <c r="A20" i="10"/>
  <c r="BS19" i="10"/>
  <c r="BQ19" i="10"/>
  <c r="BO19" i="10"/>
  <c r="BM19" i="10"/>
  <c r="BK19" i="10"/>
  <c r="BI19" i="10"/>
  <c r="BG19" i="10"/>
  <c r="BE19" i="10"/>
  <c r="BC19" i="10"/>
  <c r="BA19" i="10"/>
  <c r="AY19" i="10"/>
  <c r="AW19" i="10"/>
  <c r="AU19" i="10"/>
  <c r="AS19" i="10"/>
  <c r="AQ19" i="10"/>
  <c r="AO19" i="10"/>
  <c r="AM19" i="10"/>
  <c r="AK19" i="10"/>
  <c r="AI19" i="10"/>
  <c r="AG19" i="10"/>
  <c r="AE19" i="10"/>
  <c r="AC19" i="10"/>
  <c r="AA19" i="10"/>
  <c r="Y19" i="10"/>
  <c r="W19" i="10"/>
  <c r="U19" i="10"/>
  <c r="S19" i="10"/>
  <c r="Q19" i="10"/>
  <c r="O19" i="10"/>
  <c r="M19" i="10"/>
  <c r="K19" i="10"/>
  <c r="I19" i="10"/>
  <c r="G19" i="10"/>
  <c r="E19" i="10"/>
  <c r="C19" i="10"/>
  <c r="A19" i="10"/>
  <c r="BS18" i="10"/>
  <c r="BQ18" i="10"/>
  <c r="BO18" i="10"/>
  <c r="BM18" i="10"/>
  <c r="BK18" i="10"/>
  <c r="BI18" i="10"/>
  <c r="BG18" i="10"/>
  <c r="BE18" i="10"/>
  <c r="BC18" i="10"/>
  <c r="BA18" i="10"/>
  <c r="AY18" i="10"/>
  <c r="AW18" i="10"/>
  <c r="AU18" i="10"/>
  <c r="AS18" i="10"/>
  <c r="AQ18" i="10"/>
  <c r="AO18" i="10"/>
  <c r="AM18" i="10"/>
  <c r="AK18" i="10"/>
  <c r="AI18" i="10"/>
  <c r="AG18" i="10"/>
  <c r="AE18" i="10"/>
  <c r="AC18" i="10"/>
  <c r="AA18" i="10"/>
  <c r="Y18" i="10"/>
  <c r="W18" i="10"/>
  <c r="U18" i="10"/>
  <c r="S18" i="10"/>
  <c r="Q18" i="10"/>
  <c r="O18" i="10"/>
  <c r="M18" i="10"/>
  <c r="K18" i="10"/>
  <c r="I18" i="10"/>
  <c r="G18" i="10"/>
  <c r="E18" i="10"/>
  <c r="C18" i="10"/>
  <c r="A18" i="10"/>
  <c r="BS17" i="10"/>
  <c r="BQ17" i="10"/>
  <c r="BO17" i="10"/>
  <c r="BM17" i="10"/>
  <c r="BK17" i="10"/>
  <c r="BI17" i="10"/>
  <c r="BG17" i="10"/>
  <c r="BE17" i="10"/>
  <c r="BC17" i="10"/>
  <c r="BA17" i="10"/>
  <c r="AY17" i="10"/>
  <c r="AW17" i="10"/>
  <c r="AU17" i="10"/>
  <c r="AS17" i="10"/>
  <c r="AQ17" i="10"/>
  <c r="AO17" i="10"/>
  <c r="AM17" i="10"/>
  <c r="AK17" i="10"/>
  <c r="AI17" i="10"/>
  <c r="AG17" i="10"/>
  <c r="AE17" i="10"/>
  <c r="AC17" i="10"/>
  <c r="AA17" i="10"/>
  <c r="Y17" i="10"/>
  <c r="W17" i="10"/>
  <c r="U17" i="10"/>
  <c r="S17" i="10"/>
  <c r="Q17" i="10"/>
  <c r="O17" i="10"/>
  <c r="M17" i="10"/>
  <c r="K17" i="10"/>
  <c r="I17" i="10"/>
  <c r="G17" i="10"/>
  <c r="E17" i="10"/>
  <c r="C17" i="10"/>
  <c r="A17" i="10"/>
  <c r="BS16" i="10"/>
  <c r="BQ16" i="10"/>
  <c r="BO16" i="10"/>
  <c r="BM16" i="10"/>
  <c r="BK16" i="10"/>
  <c r="BI16" i="10"/>
  <c r="BG16" i="10"/>
  <c r="BE16" i="10"/>
  <c r="BC16" i="10"/>
  <c r="BA16" i="10"/>
  <c r="AY16" i="10"/>
  <c r="AW16" i="10"/>
  <c r="AU16" i="10"/>
  <c r="AS16" i="10"/>
  <c r="AQ16" i="10"/>
  <c r="AO16" i="10"/>
  <c r="AM16" i="10"/>
  <c r="AK16" i="10"/>
  <c r="AI16" i="10"/>
  <c r="AG16" i="10"/>
  <c r="AE16" i="10"/>
  <c r="AC16" i="10"/>
  <c r="AA16" i="10"/>
  <c r="Y16" i="10"/>
  <c r="W16" i="10"/>
  <c r="U16" i="10"/>
  <c r="S16" i="10"/>
  <c r="Q16" i="10"/>
  <c r="O16" i="10"/>
  <c r="M16" i="10"/>
  <c r="K16" i="10"/>
  <c r="I16" i="10"/>
  <c r="G16" i="10"/>
  <c r="E16" i="10"/>
  <c r="C16" i="10"/>
  <c r="A16" i="10"/>
  <c r="B44" i="9"/>
  <c r="B43" i="9"/>
  <c r="B42" i="9"/>
  <c r="B41" i="9"/>
  <c r="B40" i="9"/>
  <c r="B39" i="9"/>
  <c r="B38" i="9"/>
  <c r="B37" i="9"/>
  <c r="B36" i="9"/>
  <c r="B35" i="9"/>
  <c r="B34" i="9"/>
  <c r="B33" i="9"/>
  <c r="B32" i="9"/>
  <c r="B31" i="9"/>
  <c r="B30" i="9"/>
  <c r="B29" i="9"/>
  <c r="B28" i="9"/>
  <c r="B27" i="9"/>
  <c r="B26" i="9"/>
  <c r="B25" i="9"/>
  <c r="B24" i="9"/>
  <c r="B23" i="9"/>
  <c r="B22" i="9"/>
  <c r="B21" i="9"/>
  <c r="B20" i="9"/>
  <c r="B19" i="9"/>
  <c r="B18" i="9"/>
  <c r="B17" i="9"/>
  <c r="B16" i="9"/>
  <c r="B15" i="9"/>
  <c r="B14" i="9"/>
  <c r="B13" i="9"/>
  <c r="B12" i="9"/>
  <c r="B11" i="9"/>
  <c r="B10" i="9"/>
  <c r="C2" i="9" a="1"/>
  <c r="U2" i="9" s="1"/>
  <c r="B22" i="7" a="1"/>
  <c r="B22" i="7" s="1"/>
  <c r="B21" i="7" a="1"/>
  <c r="B21" i="7" s="1"/>
  <c r="B20" i="7" a="1"/>
  <c r="B20" i="7" s="1"/>
  <c r="B19" i="7" a="1"/>
  <c r="B19" i="7" s="1"/>
  <c r="B18" i="7" a="1"/>
  <c r="B18" i="7" s="1"/>
  <c r="B17" i="7" a="1"/>
  <c r="B17" i="7" s="1"/>
  <c r="B16" i="7" a="1"/>
  <c r="B16" i="7" s="1"/>
  <c r="B15" i="7" a="1"/>
  <c r="B15" i="7" s="1"/>
  <c r="B14" i="7" a="1"/>
  <c r="B14" i="7" s="1"/>
  <c r="B13" i="7" a="1"/>
  <c r="B13" i="7" s="1"/>
  <c r="B12" i="7" a="1"/>
  <c r="B12" i="7" s="1"/>
  <c r="B11" i="7" a="1"/>
  <c r="B11" i="7" s="1"/>
  <c r="B10" i="7" a="1"/>
  <c r="B10" i="7" s="1"/>
  <c r="B9" i="7" a="1"/>
  <c r="B9" i="7" s="1"/>
  <c r="B8" i="7" a="1"/>
  <c r="B8" i="7" s="1"/>
  <c r="B7" i="7" a="1"/>
  <c r="B7" i="7" s="1"/>
  <c r="B6" i="7" a="1"/>
  <c r="B6" i="7" s="1"/>
  <c r="B5" i="7" a="1"/>
  <c r="B5" i="7" s="1"/>
  <c r="B4" i="7" a="1"/>
  <c r="B4" i="7" s="1"/>
  <c r="B3" i="7" a="1"/>
  <c r="B3" i="7" s="1"/>
  <c r="C11" i="2"/>
  <c r="C10" i="2"/>
  <c r="C9" i="2"/>
  <c r="C8" i="2"/>
  <c r="C7" i="2"/>
  <c r="C6" i="2"/>
  <c r="C5" i="2"/>
  <c r="C4" i="2"/>
  <c r="C3" i="2"/>
  <c r="C2" i="2"/>
  <c r="D170" i="8"/>
  <c r="D169" i="8"/>
  <c r="D168" i="8"/>
  <c r="D164" i="8"/>
  <c r="D158" i="8"/>
  <c r="D150" i="8"/>
  <c r="D130" i="8"/>
  <c r="D129" i="8"/>
  <c r="D128" i="8"/>
  <c r="D167" i="8" s="1"/>
  <c r="D124" i="8"/>
  <c r="D163" i="8" s="1"/>
  <c r="D121" i="8"/>
  <c r="D160" i="8" s="1"/>
  <c r="D120" i="8"/>
  <c r="D159" i="8" s="1"/>
  <c r="D116" i="8"/>
  <c r="D155" i="8" s="1"/>
  <c r="D111" i="8"/>
  <c r="D103" i="8"/>
  <c r="D142" i="8" s="1"/>
  <c r="Z92" i="8" a="1"/>
  <c r="Z92" i="8"/>
  <c r="Y92" i="8"/>
  <c r="Q92" i="8"/>
  <c r="Q131" i="8" s="1"/>
  <c r="D92" i="8"/>
  <c r="D131" i="8" s="1"/>
  <c r="C92" i="8"/>
  <c r="Z91" i="8" a="1"/>
  <c r="Z91" i="8" s="1"/>
  <c r="V91" i="8"/>
  <c r="V130" i="8" s="1"/>
  <c r="D91" i="8"/>
  <c r="Y91" i="8" s="1"/>
  <c r="C91" i="8"/>
  <c r="Z90" i="8" a="1"/>
  <c r="Z90" i="8" s="1"/>
  <c r="Y90" i="8"/>
  <c r="U90" i="8"/>
  <c r="U129" i="8" s="1"/>
  <c r="D90" i="8"/>
  <c r="C90" i="8"/>
  <c r="T90" i="8" s="1"/>
  <c r="T129" i="8" s="1"/>
  <c r="Y89" i="8"/>
  <c r="D89" i="8"/>
  <c r="Z88" i="8" a="1"/>
  <c r="Z88" i="8"/>
  <c r="Y88" i="8"/>
  <c r="X88" i="8"/>
  <c r="X127" i="8" s="1"/>
  <c r="W88" i="8"/>
  <c r="W127" i="8" s="1"/>
  <c r="G88" i="8"/>
  <c r="G127" i="8" s="1"/>
  <c r="F88" i="8"/>
  <c r="F127" i="8" s="1"/>
  <c r="E88" i="8"/>
  <c r="E127" i="8" s="1"/>
  <c r="D88" i="8"/>
  <c r="D127" i="8" s="1"/>
  <c r="D166" i="8" s="1"/>
  <c r="C88" i="8"/>
  <c r="O88" i="8" s="1"/>
  <c r="O127" i="8" s="1"/>
  <c r="D87" i="8"/>
  <c r="C87" i="8" s="1"/>
  <c r="Z86" i="8" a="1"/>
  <c r="Z86" i="8"/>
  <c r="Y86" i="8"/>
  <c r="L86" i="8"/>
  <c r="L125" i="8" s="1"/>
  <c r="K86" i="8"/>
  <c r="K125" i="8" s="1"/>
  <c r="J86" i="8"/>
  <c r="J125" i="8" s="1"/>
  <c r="D86" i="8"/>
  <c r="D125" i="8" s="1"/>
  <c r="C86" i="8"/>
  <c r="P86" i="8" s="1"/>
  <c r="P125" i="8" s="1"/>
  <c r="Z85" i="8" a="1"/>
  <c r="Z85" i="8"/>
  <c r="Y85" i="8"/>
  <c r="X85" i="8"/>
  <c r="X124" i="8" s="1"/>
  <c r="N85" i="8"/>
  <c r="N124" i="8" s="1"/>
  <c r="J85" i="8"/>
  <c r="J124" i="8" s="1"/>
  <c r="D85" i="8"/>
  <c r="C85" i="8"/>
  <c r="U85" i="8" s="1"/>
  <c r="U124" i="8" s="1"/>
  <c r="Y84" i="8"/>
  <c r="D84" i="8"/>
  <c r="D83" i="8"/>
  <c r="Y82" i="8"/>
  <c r="D82" i="8"/>
  <c r="C82" i="8"/>
  <c r="Y81" i="8"/>
  <c r="D81" i="8"/>
  <c r="Y80" i="8"/>
  <c r="D80" i="8"/>
  <c r="D119" i="8" s="1"/>
  <c r="C80" i="8"/>
  <c r="D79" i="8"/>
  <c r="C79" i="8"/>
  <c r="Y78" i="8"/>
  <c r="D78" i="8"/>
  <c r="D117" i="8" s="1"/>
  <c r="D156" i="8" s="1"/>
  <c r="C78" i="8"/>
  <c r="Z77" i="8" a="1"/>
  <c r="Z77" i="8" s="1"/>
  <c r="Y77" i="8"/>
  <c r="D77" i="8"/>
  <c r="C77" i="8"/>
  <c r="D76" i="8"/>
  <c r="C76" i="8"/>
  <c r="D75" i="8"/>
  <c r="C75" i="8"/>
  <c r="Y74" i="8"/>
  <c r="D74" i="8"/>
  <c r="D113" i="8" s="1"/>
  <c r="D152" i="8" s="1"/>
  <c r="C74" i="8"/>
  <c r="D73" i="8"/>
  <c r="D112" i="8" s="1"/>
  <c r="D151" i="8" s="1"/>
  <c r="Y72" i="8"/>
  <c r="D72" i="8"/>
  <c r="C72" i="8"/>
  <c r="D71" i="8"/>
  <c r="Y70" i="8"/>
  <c r="D70" i="8"/>
  <c r="D109" i="8" s="1"/>
  <c r="D148" i="8" s="1"/>
  <c r="C70" i="8"/>
  <c r="D69" i="8"/>
  <c r="Y69" i="8" s="1"/>
  <c r="D68" i="8"/>
  <c r="C68" i="8"/>
  <c r="D67" i="8"/>
  <c r="D106" i="8" s="1"/>
  <c r="D145" i="8" s="1"/>
  <c r="Z66" i="8" a="1"/>
  <c r="Z66" i="8" s="1"/>
  <c r="Y66" i="8"/>
  <c r="D66" i="8"/>
  <c r="D105" i="8" s="1"/>
  <c r="D144" i="8" s="1"/>
  <c r="C66" i="8"/>
  <c r="D65" i="8"/>
  <c r="Y64" i="8"/>
  <c r="D64" i="8"/>
  <c r="C64" i="8"/>
  <c r="D63" i="8"/>
  <c r="Z62" i="8" a="1"/>
  <c r="Z62" i="8" s="1"/>
  <c r="Y62" i="8"/>
  <c r="D62" i="8"/>
  <c r="D101" i="8" s="1"/>
  <c r="D140" i="8" s="1"/>
  <c r="C62" i="8"/>
  <c r="D61" i="8"/>
  <c r="D60" i="8"/>
  <c r="D99" i="8" s="1"/>
  <c r="D138" i="8" s="1"/>
  <c r="C60" i="8"/>
  <c r="D59" i="8"/>
  <c r="Z58" i="8" a="1"/>
  <c r="Z58" i="8" s="1"/>
  <c r="Y58" i="8"/>
  <c r="D58" i="8"/>
  <c r="D97" i="8" s="1"/>
  <c r="D136" i="8" s="1"/>
  <c r="C58" i="8"/>
  <c r="D43" i="8"/>
  <c r="D42" i="8"/>
  <c r="P19" i="8" a="1"/>
  <c r="P19" i="8" s="1"/>
  <c r="O17" i="8" a="1"/>
  <c r="O17" i="8" s="1"/>
  <c r="O14" i="8" a="1"/>
  <c r="O14" i="8" s="1"/>
  <c r="P12" i="8" a="1"/>
  <c r="P12" i="8" s="1"/>
  <c r="M10" i="8" a="1"/>
  <c r="M10" i="8" s="1"/>
  <c r="P3" i="8" a="1"/>
  <c r="P3" i="8" s="1"/>
  <c r="M3" i="8" a="1"/>
  <c r="M3" i="8" s="1"/>
  <c r="P2" i="8"/>
  <c r="P37" i="8" s="1" a="1"/>
  <c r="P37" i="8" s="1"/>
  <c r="O2" i="8"/>
  <c r="O3" i="8" s="1" a="1"/>
  <c r="O3" i="8" s="1"/>
  <c r="M2" i="8"/>
  <c r="J2" i="8"/>
  <c r="J18" i="8" s="1" a="1"/>
  <c r="J18" i="8" s="1"/>
  <c r="E2" i="8" a="1"/>
  <c r="R2" i="8" s="1"/>
  <c r="T1" i="8"/>
  <c r="O1" i="8"/>
  <c r="E1" i="8" a="1"/>
  <c r="J1" i="8" s="1"/>
  <c r="E1" i="8"/>
  <c r="R44" i="8" l="1" a="1"/>
  <c r="R44" i="8" s="1"/>
  <c r="R46" i="8" s="1"/>
  <c r="R49" i="8" s="1"/>
  <c r="R37" i="8" a="1"/>
  <c r="R37" i="8" s="1"/>
  <c r="R29" i="8" a="1"/>
  <c r="R29" i="8" s="1"/>
  <c r="R48" i="8"/>
  <c r="R34" i="8" a="1"/>
  <c r="R34" i="8" s="1"/>
  <c r="R35" i="8" a="1"/>
  <c r="R35" i="8" s="1"/>
  <c r="R43" i="8"/>
  <c r="R32" i="8" a="1"/>
  <c r="R32" i="8" s="1"/>
  <c r="R19" i="8" a="1"/>
  <c r="R19" i="8" s="1"/>
  <c r="R38" i="8" a="1"/>
  <c r="R38" i="8" s="1"/>
  <c r="R33" i="8" a="1"/>
  <c r="R33" i="8" s="1"/>
  <c r="R21" i="8" a="1"/>
  <c r="R21" i="8" s="1"/>
  <c r="R13" i="8" a="1"/>
  <c r="R13" i="8" s="1"/>
  <c r="R57" i="8"/>
  <c r="R96" i="8" s="1"/>
  <c r="R135" i="8" s="1"/>
  <c r="R40" i="8" a="1"/>
  <c r="R40" i="8" s="1"/>
  <c r="R36" i="8" a="1"/>
  <c r="R36" i="8" s="1"/>
  <c r="R26" i="8" a="1"/>
  <c r="R26" i="8" s="1"/>
  <c r="R39" i="8" a="1"/>
  <c r="R39" i="8" s="1"/>
  <c r="R31" i="8" a="1"/>
  <c r="R31" i="8" s="1"/>
  <c r="R30" i="8" a="1"/>
  <c r="R30" i="8" s="1"/>
  <c r="R25" i="8" a="1"/>
  <c r="R25" i="8" s="1"/>
  <c r="R9" i="8" a="1"/>
  <c r="R9" i="8" s="1"/>
  <c r="R16" i="8" a="1"/>
  <c r="R16" i="8" s="1"/>
  <c r="R6" i="8" a="1"/>
  <c r="R6" i="8" s="1"/>
  <c r="R23" i="8" a="1"/>
  <c r="R23" i="8" s="1"/>
  <c r="R42" i="8" a="1"/>
  <c r="R42" i="8" s="1"/>
  <c r="R24" i="8" a="1"/>
  <c r="R24" i="8" s="1"/>
  <c r="R15" i="8" a="1"/>
  <c r="R15" i="8" s="1"/>
  <c r="R8" i="8" a="1"/>
  <c r="R8" i="8" s="1"/>
  <c r="R28" i="8" a="1"/>
  <c r="R28" i="8" s="1"/>
  <c r="R14" i="8" a="1"/>
  <c r="R14" i="8" s="1"/>
  <c r="R7" i="8" a="1"/>
  <c r="R7" i="8" s="1"/>
  <c r="R27" i="8" a="1"/>
  <c r="R27" i="8" s="1"/>
  <c r="R22" i="8" a="1"/>
  <c r="R22" i="8" s="1"/>
  <c r="R77" i="8" s="1"/>
  <c r="R116" i="8" s="1"/>
  <c r="R18" i="8" a="1"/>
  <c r="R18" i="8" s="1"/>
  <c r="R5" i="8" a="1"/>
  <c r="R5" i="8" s="1"/>
  <c r="R10" i="8" a="1"/>
  <c r="R10" i="8" s="1"/>
  <c r="R4" i="8" a="1"/>
  <c r="R4" i="8" s="1"/>
  <c r="R3" i="8" a="1"/>
  <c r="R3" i="8" s="1"/>
  <c r="R20" i="8" a="1"/>
  <c r="R20" i="8" s="1"/>
  <c r="R17" i="8" a="1"/>
  <c r="R17" i="8" s="1"/>
  <c r="R12" i="8" a="1"/>
  <c r="R12" i="8" s="1"/>
  <c r="R11" i="8" a="1"/>
  <c r="R11" i="8" s="1"/>
  <c r="J5" i="8" a="1"/>
  <c r="J5" i="8" s="1"/>
  <c r="R1" i="8"/>
  <c r="M48" i="8"/>
  <c r="M44" i="8" a="1"/>
  <c r="M44" i="8" s="1"/>
  <c r="M46" i="8" s="1"/>
  <c r="M49" i="8" s="1"/>
  <c r="K3" i="9" s="1"/>
  <c r="M43" i="8"/>
  <c r="M22" i="8" a="1"/>
  <c r="M22" i="8" s="1"/>
  <c r="M77" i="8" s="1"/>
  <c r="M116" i="8" s="1"/>
  <c r="M24" i="8" a="1"/>
  <c r="M24" i="8" s="1"/>
  <c r="M16" i="8" a="1"/>
  <c r="M16" i="8" s="1"/>
  <c r="M21" i="8" a="1"/>
  <c r="M21" i="8" s="1"/>
  <c r="M20" i="8" a="1"/>
  <c r="M20" i="8" s="1"/>
  <c r="M9" i="8" a="1"/>
  <c r="M9" i="8" s="1"/>
  <c r="M19" i="8" a="1"/>
  <c r="M19" i="8" s="1"/>
  <c r="M27" i="8" a="1"/>
  <c r="M27" i="8" s="1"/>
  <c r="M6" i="8" a="1"/>
  <c r="M6" i="8" s="1"/>
  <c r="M42" i="8" a="1"/>
  <c r="M42" i="8" s="1"/>
  <c r="M26" i="8" a="1"/>
  <c r="M26" i="8" s="1"/>
  <c r="M18" i="8" a="1"/>
  <c r="M18" i="8" s="1"/>
  <c r="M8" i="8" a="1"/>
  <c r="M8" i="8" s="1"/>
  <c r="M17" i="8" a="1"/>
  <c r="M17" i="8" s="1"/>
  <c r="M14" i="8" a="1"/>
  <c r="M14" i="8" s="1"/>
  <c r="M7" i="8" a="1"/>
  <c r="M7" i="8" s="1"/>
  <c r="M4" i="8" a="1"/>
  <c r="M4" i="8" s="1"/>
  <c r="J6" i="8" a="1"/>
  <c r="J6" i="8" s="1"/>
  <c r="P13" i="8" a="1"/>
  <c r="P13" i="8" s="1"/>
  <c r="M25" i="8" a="1"/>
  <c r="M25" i="8" s="1"/>
  <c r="O57" i="8"/>
  <c r="O96" i="8" s="1"/>
  <c r="O135" i="8" s="1"/>
  <c r="O42" i="8" a="1"/>
  <c r="O42" i="8" s="1"/>
  <c r="O36" i="8" a="1"/>
  <c r="O36" i="8" s="1"/>
  <c r="O28" i="8" a="1"/>
  <c r="O28" i="8" s="1"/>
  <c r="O38" i="8" a="1"/>
  <c r="O38" i="8" s="1"/>
  <c r="O32" i="8" a="1"/>
  <c r="O32" i="8" s="1"/>
  <c r="O39" i="8" a="1"/>
  <c r="O39" i="8" s="1"/>
  <c r="O37" i="8" a="1"/>
  <c r="O37" i="8" s="1"/>
  <c r="O26" i="8" a="1"/>
  <c r="O26" i="8" s="1"/>
  <c r="O18" i="8" a="1"/>
  <c r="O18" i="8" s="1"/>
  <c r="O48" i="8"/>
  <c r="O31" i="8" a="1"/>
  <c r="O31" i="8" s="1"/>
  <c r="O30" i="8" a="1"/>
  <c r="O30" i="8" s="1"/>
  <c r="O20" i="8" a="1"/>
  <c r="O20" i="8" s="1"/>
  <c r="O43" i="8"/>
  <c r="O33" i="8" a="1"/>
  <c r="O33" i="8" s="1"/>
  <c r="O25" i="8" a="1"/>
  <c r="O25" i="8" s="1"/>
  <c r="O44" i="8" a="1"/>
  <c r="O44" i="8" s="1"/>
  <c r="O46" i="8" s="1"/>
  <c r="O49" i="8" s="1"/>
  <c r="O35" i="8" a="1"/>
  <c r="O35" i="8" s="1"/>
  <c r="O24" i="8" a="1"/>
  <c r="O24" i="8" s="1"/>
  <c r="O21" i="8" a="1"/>
  <c r="O21" i="8" s="1"/>
  <c r="O8" i="8" a="1"/>
  <c r="O8" i="8" s="1"/>
  <c r="O5" i="8" a="1"/>
  <c r="O5" i="8" s="1"/>
  <c r="O40" i="8" a="1"/>
  <c r="O40" i="8" s="1"/>
  <c r="O34" i="8" a="1"/>
  <c r="O34" i="8" s="1"/>
  <c r="O13" i="8" a="1"/>
  <c r="O13" i="8" s="1"/>
  <c r="O29" i="8" a="1"/>
  <c r="O29" i="8" s="1"/>
  <c r="O7" i="8" a="1"/>
  <c r="O7" i="8" s="1"/>
  <c r="O22" i="8" a="1"/>
  <c r="O22" i="8" s="1"/>
  <c r="O19" i="8" a="1"/>
  <c r="O19" i="8" s="1"/>
  <c r="O6" i="8" a="1"/>
  <c r="O6" i="8" s="1"/>
  <c r="O16" i="8" a="1"/>
  <c r="O16" i="8" s="1"/>
  <c r="J44" i="8" a="1"/>
  <c r="J44" i="8" s="1"/>
  <c r="J46" i="8" s="1"/>
  <c r="J49" i="8" s="1"/>
  <c r="H3" i="9" s="1"/>
  <c r="J57" i="8"/>
  <c r="J96" i="8" s="1"/>
  <c r="J135" i="8" s="1"/>
  <c r="J39" i="8" a="1"/>
  <c r="J39" i="8" s="1"/>
  <c r="J31" i="8" a="1"/>
  <c r="J31" i="8" s="1"/>
  <c r="J38" i="8" a="1"/>
  <c r="J38" i="8" s="1"/>
  <c r="J32" i="8" a="1"/>
  <c r="J32" i="8" s="1"/>
  <c r="J21" i="8" a="1"/>
  <c r="J21" i="8" s="1"/>
  <c r="J33" i="8" a="1"/>
  <c r="J33" i="8" s="1"/>
  <c r="J40" i="8" a="1"/>
  <c r="J40" i="8" s="1"/>
  <c r="J23" i="8" a="1"/>
  <c r="J23" i="8" s="1"/>
  <c r="J15" i="8" a="1"/>
  <c r="J15" i="8" s="1"/>
  <c r="J48" i="8"/>
  <c r="J34" i="8" a="1"/>
  <c r="J34" i="8" s="1"/>
  <c r="J20" i="8" a="1"/>
  <c r="J20" i="8" s="1"/>
  <c r="J42" i="8" a="1"/>
  <c r="J42" i="8" s="1"/>
  <c r="J37" i="8" a="1"/>
  <c r="J37" i="8" s="1"/>
  <c r="J28" i="8" a="1"/>
  <c r="J28" i="8" s="1"/>
  <c r="J27" i="8" a="1"/>
  <c r="J27" i="8" s="1"/>
  <c r="J24" i="8" a="1"/>
  <c r="J24" i="8" s="1"/>
  <c r="J11" i="8" a="1"/>
  <c r="J11" i="8" s="1"/>
  <c r="J66" i="8" s="1"/>
  <c r="J105" i="8" s="1"/>
  <c r="J3" i="8" a="1"/>
  <c r="J3" i="8" s="1"/>
  <c r="J17" i="8" a="1"/>
  <c r="J17" i="8" s="1"/>
  <c r="J30" i="8" a="1"/>
  <c r="J30" i="8" s="1"/>
  <c r="J8" i="8" a="1"/>
  <c r="J8" i="8" s="1"/>
  <c r="J36" i="8" a="1"/>
  <c r="J36" i="8" s="1"/>
  <c r="J35" i="8" a="1"/>
  <c r="J35" i="8" s="1"/>
  <c r="J22" i="8" a="1"/>
  <c r="J22" i="8" s="1"/>
  <c r="J10" i="8" a="1"/>
  <c r="J10" i="8" s="1"/>
  <c r="J29" i="8" a="1"/>
  <c r="J29" i="8" s="1"/>
  <c r="J25" i="8" a="1"/>
  <c r="J25" i="8" s="1"/>
  <c r="J9" i="8" a="1"/>
  <c r="J9" i="8" s="1"/>
  <c r="J12" i="8" a="1"/>
  <c r="J12" i="8" s="1"/>
  <c r="M23" i="8" a="1"/>
  <c r="M23" i="8" s="1"/>
  <c r="M57" i="8"/>
  <c r="M96" i="8" s="1"/>
  <c r="M135" i="8" s="1"/>
  <c r="G1" i="8"/>
  <c r="W1" i="8"/>
  <c r="P4" i="8" a="1"/>
  <c r="P4" i="8" s="1"/>
  <c r="O10" i="8" a="1"/>
  <c r="O10" i="8" s="1"/>
  <c r="M11" i="8" a="1"/>
  <c r="M11" i="8" s="1"/>
  <c r="J13" i="8" a="1"/>
  <c r="J13" i="8" s="1"/>
  <c r="J14" i="8" a="1"/>
  <c r="J14" i="8" s="1"/>
  <c r="M15" i="8" a="1"/>
  <c r="M15" i="8" s="1"/>
  <c r="O23" i="8" a="1"/>
  <c r="O23" i="8" s="1"/>
  <c r="J43" i="8"/>
  <c r="M82" i="8"/>
  <c r="M121" i="8" s="1"/>
  <c r="P82" i="8"/>
  <c r="P121" i="8" s="1"/>
  <c r="Z82" i="8" a="1"/>
  <c r="Z82" i="8" s="1"/>
  <c r="O11" i="8" a="1"/>
  <c r="O11" i="8" s="1"/>
  <c r="O66" i="8" s="1"/>
  <c r="O105" i="8" s="1"/>
  <c r="M12" i="8" a="1"/>
  <c r="M12" i="8" s="1"/>
  <c r="O15" i="8" a="1"/>
  <c r="O15" i="8" s="1"/>
  <c r="P18" i="8" a="1"/>
  <c r="P18" i="8" s="1"/>
  <c r="J19" i="8" a="1"/>
  <c r="J19" i="8" s="1"/>
  <c r="P23" i="8" a="1"/>
  <c r="P23" i="8" s="1"/>
  <c r="D100" i="8"/>
  <c r="D139" i="8" s="1"/>
  <c r="C61" i="8"/>
  <c r="Z61" i="8" a="1"/>
  <c r="Z61" i="8" s="1"/>
  <c r="Y61" i="8"/>
  <c r="O9" i="8" a="1"/>
  <c r="O9" i="8" s="1"/>
  <c r="Q1" i="8"/>
  <c r="I1" i="8"/>
  <c r="X1" i="8"/>
  <c r="H1" i="8"/>
  <c r="P1" i="8"/>
  <c r="V1" i="8"/>
  <c r="N1" i="8"/>
  <c r="F1" i="8"/>
  <c r="S1" i="8"/>
  <c r="K1" i="8"/>
  <c r="U1" i="8"/>
  <c r="P57" i="8"/>
  <c r="P96" i="8" s="1"/>
  <c r="P135" i="8" s="1"/>
  <c r="P48" i="8"/>
  <c r="P38" i="8" a="1"/>
  <c r="P38" i="8" s="1"/>
  <c r="P30" i="8" a="1"/>
  <c r="P30" i="8" s="1"/>
  <c r="P32" i="8" a="1"/>
  <c r="P32" i="8" s="1"/>
  <c r="P39" i="8" a="1"/>
  <c r="P39" i="8" s="1"/>
  <c r="P33" i="8" a="1"/>
  <c r="P33" i="8" s="1"/>
  <c r="P40" i="8" a="1"/>
  <c r="P40" i="8" s="1"/>
  <c r="P42" i="8" a="1"/>
  <c r="P42" i="8" s="1"/>
  <c r="P20" i="8" a="1"/>
  <c r="P20" i="8" s="1"/>
  <c r="P31" i="8" a="1"/>
  <c r="P31" i="8" s="1"/>
  <c r="P43" i="8"/>
  <c r="P22" i="8" a="1"/>
  <c r="P22" i="8" s="1"/>
  <c r="P14" i="8" a="1"/>
  <c r="P14" i="8" s="1"/>
  <c r="P34" i="8" a="1"/>
  <c r="P34" i="8" s="1"/>
  <c r="P29" i="8" a="1"/>
  <c r="P29" i="8" s="1"/>
  <c r="P27" i="8" a="1"/>
  <c r="P27" i="8" s="1"/>
  <c r="P36" i="8" a="1"/>
  <c r="P36" i="8" s="1"/>
  <c r="P28" i="8" a="1"/>
  <c r="P28" i="8" s="1"/>
  <c r="P26" i="8" a="1"/>
  <c r="P26" i="8" s="1"/>
  <c r="P10" i="8" a="1"/>
  <c r="P10" i="8" s="1"/>
  <c r="P25" i="8" a="1"/>
  <c r="P25" i="8" s="1"/>
  <c r="P17" i="8" a="1"/>
  <c r="P17" i="8" s="1"/>
  <c r="P7" i="8" a="1"/>
  <c r="P7" i="8" s="1"/>
  <c r="P24" i="8" a="1"/>
  <c r="P24" i="8" s="1"/>
  <c r="P16" i="8" a="1"/>
  <c r="P16" i="8" s="1"/>
  <c r="P9" i="8" a="1"/>
  <c r="P9" i="8" s="1"/>
  <c r="P44" i="8" a="1"/>
  <c r="P44" i="8" s="1"/>
  <c r="P46" i="8" s="1"/>
  <c r="P49" i="8" s="1"/>
  <c r="P15" i="8" a="1"/>
  <c r="P15" i="8" s="1"/>
  <c r="P8" i="8" a="1"/>
  <c r="P8" i="8" s="1"/>
  <c r="O4" i="8" a="1"/>
  <c r="O4" i="8" s="1"/>
  <c r="T2" i="8"/>
  <c r="L2" i="8"/>
  <c r="E2" i="8"/>
  <c r="E34" i="8" s="1" a="1"/>
  <c r="E34" i="8" s="1"/>
  <c r="S2" i="8"/>
  <c r="K2" i="8"/>
  <c r="Q2" i="8"/>
  <c r="I2" i="8"/>
  <c r="V2" i="8"/>
  <c r="N2" i="8"/>
  <c r="F2" i="8"/>
  <c r="U2" i="8"/>
  <c r="U34" i="8" s="1" a="1"/>
  <c r="U34" i="8" s="1"/>
  <c r="P5" i="8" a="1"/>
  <c r="P5" i="8" s="1"/>
  <c r="L1" i="8"/>
  <c r="G2" i="8"/>
  <c r="W2" i="8"/>
  <c r="J4" i="8" a="1"/>
  <c r="J4" i="8" s="1"/>
  <c r="P11" i="8" a="1"/>
  <c r="P11" i="8" s="1"/>
  <c r="J26" i="8" a="1"/>
  <c r="J26" i="8" s="1"/>
  <c r="O27" i="8" a="1"/>
  <c r="O27" i="8" s="1"/>
  <c r="O82" i="8" s="1"/>
  <c r="O121" i="8" s="1"/>
  <c r="M5" i="8" a="1"/>
  <c r="M5" i="8" s="1"/>
  <c r="J7" i="8" a="1"/>
  <c r="J7" i="8" s="1"/>
  <c r="M1" i="8"/>
  <c r="H2" i="8"/>
  <c r="X2" i="8"/>
  <c r="P6" i="8" a="1"/>
  <c r="P6" i="8" s="1"/>
  <c r="O12" i="8" a="1"/>
  <c r="O12" i="8" s="1"/>
  <c r="M13" i="8" a="1"/>
  <c r="M13" i="8" s="1"/>
  <c r="J16" i="8" a="1"/>
  <c r="J16" i="8" s="1"/>
  <c r="P21" i="8" a="1"/>
  <c r="P21" i="8" s="1"/>
  <c r="P35" i="8" a="1"/>
  <c r="P35" i="8" s="1"/>
  <c r="R62" i="8"/>
  <c r="R101" i="8" s="1"/>
  <c r="O62" i="8"/>
  <c r="O101" i="8" s="1"/>
  <c r="Y63" i="8"/>
  <c r="D102" i="8"/>
  <c r="D141" i="8" s="1"/>
  <c r="C63" i="8"/>
  <c r="Z63" i="8" a="1"/>
  <c r="Z63" i="8" s="1"/>
  <c r="D108" i="8"/>
  <c r="D147" i="8" s="1"/>
  <c r="C69" i="8"/>
  <c r="Z69" i="8" s="1" a="1"/>
  <c r="Z69" i="8" s="1"/>
  <c r="P58" i="8"/>
  <c r="P97" i="8" s="1"/>
  <c r="O58" i="8"/>
  <c r="O97" i="8" s="1"/>
  <c r="P66" i="8"/>
  <c r="P105" i="8" s="1"/>
  <c r="Z72" i="8" a="1"/>
  <c r="Z72" i="8" s="1"/>
  <c r="Y59" i="8"/>
  <c r="D98" i="8"/>
  <c r="D137" i="8" s="1"/>
  <c r="C59" i="8"/>
  <c r="O68" i="8"/>
  <c r="O107" i="8" s="1"/>
  <c r="D110" i="8"/>
  <c r="D149" i="8" s="1"/>
  <c r="Y71" i="8"/>
  <c r="C71" i="8"/>
  <c r="D104" i="8"/>
  <c r="D143" i="8" s="1"/>
  <c r="Y65" i="8"/>
  <c r="Y83" i="8"/>
  <c r="D122" i="8"/>
  <c r="D161" i="8" s="1"/>
  <c r="C83" i="8"/>
  <c r="T87" i="8"/>
  <c r="T126" i="8" s="1"/>
  <c r="R87" i="8"/>
  <c r="R126" i="8" s="1"/>
  <c r="I87" i="8"/>
  <c r="I126" i="8" s="1"/>
  <c r="H87" i="8"/>
  <c r="H126" i="8" s="1"/>
  <c r="G87" i="8"/>
  <c r="G126" i="8" s="1"/>
  <c r="O87" i="8"/>
  <c r="O126" i="8" s="1"/>
  <c r="J87" i="8"/>
  <c r="J126" i="8" s="1"/>
  <c r="X87" i="8"/>
  <c r="X126" i="8" s="1"/>
  <c r="W87" i="8"/>
  <c r="W126" i="8" s="1"/>
  <c r="V87" i="8"/>
  <c r="V126" i="8" s="1"/>
  <c r="J77" i="8"/>
  <c r="J116" i="8" s="1"/>
  <c r="P77" i="8"/>
  <c r="P116" i="8" s="1"/>
  <c r="D123" i="8"/>
  <c r="D162" i="8" s="1"/>
  <c r="Z84" i="8" a="1"/>
  <c r="Z84" i="8" s="1"/>
  <c r="C84" i="8"/>
  <c r="M75" i="8"/>
  <c r="M114" i="8" s="1"/>
  <c r="R75" i="8"/>
  <c r="R114" i="8" s="1"/>
  <c r="R79" i="8"/>
  <c r="R118" i="8" s="1"/>
  <c r="Y67" i="8"/>
  <c r="Z67" i="8" a="1"/>
  <c r="Z67" i="8" s="1"/>
  <c r="C67" i="8"/>
  <c r="Z79" i="8" a="1"/>
  <c r="Z79" i="8" s="1"/>
  <c r="T85" i="8"/>
  <c r="T124" i="8" s="1"/>
  <c r="K85" i="8"/>
  <c r="K124" i="8" s="1"/>
  <c r="M85" i="8"/>
  <c r="M124" i="8" s="1"/>
  <c r="V85" i="8"/>
  <c r="V124" i="8" s="1"/>
  <c r="I85" i="8"/>
  <c r="I124" i="8" s="1"/>
  <c r="S85" i="8"/>
  <c r="S124" i="8" s="1"/>
  <c r="H85" i="8"/>
  <c r="H124" i="8" s="1"/>
  <c r="R85" i="8"/>
  <c r="R124" i="8" s="1"/>
  <c r="F85" i="8"/>
  <c r="F124" i="8" s="1"/>
  <c r="Q85" i="8"/>
  <c r="Q124" i="8" s="1"/>
  <c r="E85" i="8"/>
  <c r="E124" i="8" s="1"/>
  <c r="P85" i="8"/>
  <c r="P124" i="8" s="1"/>
  <c r="H91" i="8"/>
  <c r="H130" i="8" s="1"/>
  <c r="X91" i="8"/>
  <c r="X130" i="8" s="1"/>
  <c r="O91" i="8"/>
  <c r="O130" i="8" s="1"/>
  <c r="F91" i="8"/>
  <c r="F130" i="8" s="1"/>
  <c r="R92" i="8"/>
  <c r="R131" i="8" s="1"/>
  <c r="I92" i="8"/>
  <c r="I131" i="8" s="1"/>
  <c r="E92" i="8"/>
  <c r="E131" i="8" s="1"/>
  <c r="J62" i="8"/>
  <c r="J101" i="8" s="1"/>
  <c r="M66" i="8"/>
  <c r="M105" i="8" s="1"/>
  <c r="D107" i="8"/>
  <c r="D146" i="8" s="1"/>
  <c r="Z68" i="8" a="1"/>
  <c r="Z68" i="8" s="1"/>
  <c r="J68" i="8" s="1"/>
  <c r="J107" i="8" s="1"/>
  <c r="Y68" i="8"/>
  <c r="Y75" i="8"/>
  <c r="D114" i="8"/>
  <c r="D153" i="8" s="1"/>
  <c r="D115" i="8"/>
  <c r="D154" i="8" s="1"/>
  <c r="Z76" i="8" a="1"/>
  <c r="Z76" i="8" s="1"/>
  <c r="K88" i="8"/>
  <c r="K127" i="8" s="1"/>
  <c r="G90" i="8"/>
  <c r="G129" i="8" s="1"/>
  <c r="T91" i="8"/>
  <c r="T130" i="8" s="1"/>
  <c r="V92" i="8"/>
  <c r="V131" i="8" s="1"/>
  <c r="Z70" i="8" a="1"/>
  <c r="Z70" i="8" s="1"/>
  <c r="R86" i="8"/>
  <c r="R125" i="8" s="1"/>
  <c r="I86" i="8"/>
  <c r="I125" i="8" s="1"/>
  <c r="X86" i="8"/>
  <c r="X125" i="8" s="1"/>
  <c r="O86" i="8"/>
  <c r="O125" i="8" s="1"/>
  <c r="E86" i="8"/>
  <c r="E125" i="8" s="1"/>
  <c r="W86" i="8"/>
  <c r="W125" i="8" s="1"/>
  <c r="M86" i="8"/>
  <c r="M125" i="8" s="1"/>
  <c r="Q86" i="8"/>
  <c r="Q125" i="8" s="1"/>
  <c r="D126" i="8"/>
  <c r="D165" i="8" s="1"/>
  <c r="Z87" i="8" a="1"/>
  <c r="Z87" i="8" s="1"/>
  <c r="Y87" i="8"/>
  <c r="N88" i="8"/>
  <c r="N127" i="8" s="1"/>
  <c r="K90" i="8"/>
  <c r="K129" i="8" s="1"/>
  <c r="M62" i="8"/>
  <c r="M101" i="8" s="1"/>
  <c r="R70" i="8"/>
  <c r="R109" i="8" s="1"/>
  <c r="Y73" i="8"/>
  <c r="O78" i="8"/>
  <c r="O117" i="8" s="1"/>
  <c r="M78" i="8"/>
  <c r="M117" i="8" s="1"/>
  <c r="P78" i="8"/>
  <c r="P117" i="8" s="1"/>
  <c r="Z78" i="8" a="1"/>
  <c r="Z78" i="8" s="1"/>
  <c r="S86" i="8"/>
  <c r="S125" i="8" s="1"/>
  <c r="L90" i="8"/>
  <c r="L129" i="8" s="1"/>
  <c r="E91" i="8"/>
  <c r="E130" i="8" s="1"/>
  <c r="F92" i="8"/>
  <c r="F131" i="8" s="1"/>
  <c r="Z80" i="8" a="1"/>
  <c r="Z80" i="8" s="1"/>
  <c r="R80" i="8" s="1"/>
  <c r="R119" i="8" s="1"/>
  <c r="G86" i="8"/>
  <c r="G125" i="8" s="1"/>
  <c r="T86" i="8"/>
  <c r="T125" i="8" s="1"/>
  <c r="V88" i="8"/>
  <c r="V127" i="8" s="1"/>
  <c r="M88" i="8"/>
  <c r="M127" i="8" s="1"/>
  <c r="S88" i="8"/>
  <c r="S127" i="8" s="1"/>
  <c r="J88" i="8"/>
  <c r="J127" i="8" s="1"/>
  <c r="R88" i="8"/>
  <c r="R127" i="8" s="1"/>
  <c r="I88" i="8"/>
  <c r="I127" i="8" s="1"/>
  <c r="Q88" i="8"/>
  <c r="Q127" i="8" s="1"/>
  <c r="H88" i="8"/>
  <c r="H127" i="8" s="1"/>
  <c r="P88" i="8"/>
  <c r="P127" i="8" s="1"/>
  <c r="P90" i="8"/>
  <c r="P129" i="8" s="1"/>
  <c r="M91" i="8"/>
  <c r="M130" i="8" s="1"/>
  <c r="G92" i="8"/>
  <c r="G131" i="8" s="1"/>
  <c r="M58" i="8"/>
  <c r="M97" i="8" s="1"/>
  <c r="Z60" i="8" a="1"/>
  <c r="Z60" i="8" s="1"/>
  <c r="Y60" i="8"/>
  <c r="P62" i="8"/>
  <c r="P101" i="8" s="1"/>
  <c r="Z64" i="8" a="1"/>
  <c r="Z64" i="8" s="1"/>
  <c r="D118" i="8"/>
  <c r="D157" i="8" s="1"/>
  <c r="Y79" i="8"/>
  <c r="H86" i="8"/>
  <c r="H125" i="8" s="1"/>
  <c r="U86" i="8"/>
  <c r="U125" i="8" s="1"/>
  <c r="U88" i="8"/>
  <c r="U127" i="8" s="1"/>
  <c r="N91" i="8"/>
  <c r="N130" i="8" s="1"/>
  <c r="O92" i="8"/>
  <c r="O131" i="8" s="1"/>
  <c r="M70" i="8"/>
  <c r="M109" i="8" s="1"/>
  <c r="Z74" i="8" a="1"/>
  <c r="Z74" i="8" s="1"/>
  <c r="Z75" i="8" a="1"/>
  <c r="Z75" i="8" s="1"/>
  <c r="Y76" i="8"/>
  <c r="Q90" i="8"/>
  <c r="Q129" i="8" s="1"/>
  <c r="H90" i="8"/>
  <c r="H129" i="8" s="1"/>
  <c r="X90" i="8"/>
  <c r="X129" i="8" s="1"/>
  <c r="O90" i="8"/>
  <c r="O129" i="8" s="1"/>
  <c r="F90" i="8"/>
  <c r="F129" i="8" s="1"/>
  <c r="W90" i="8"/>
  <c r="W129" i="8" s="1"/>
  <c r="N90" i="8"/>
  <c r="N129" i="8" s="1"/>
  <c r="E90" i="8"/>
  <c r="E129" i="8" s="1"/>
  <c r="V90" i="8"/>
  <c r="V129" i="8" s="1"/>
  <c r="M90" i="8"/>
  <c r="M129" i="8" s="1"/>
  <c r="S90" i="8"/>
  <c r="S129" i="8" s="1"/>
  <c r="I90" i="8"/>
  <c r="I129" i="8" s="1"/>
  <c r="W91" i="8"/>
  <c r="W130" i="8" s="1"/>
  <c r="L91" i="8"/>
  <c r="L130" i="8" s="1"/>
  <c r="U91" i="8"/>
  <c r="U130" i="8" s="1"/>
  <c r="N92" i="8"/>
  <c r="N131" i="8" s="1"/>
  <c r="W92" i="8"/>
  <c r="W131" i="8" s="1"/>
  <c r="L85" i="8"/>
  <c r="L124" i="8" s="1"/>
  <c r="G91" i="8"/>
  <c r="G130" i="8" s="1"/>
  <c r="P91" i="8"/>
  <c r="P130" i="8" s="1"/>
  <c r="J92" i="8"/>
  <c r="J131" i="8" s="1"/>
  <c r="S92" i="8"/>
  <c r="S131" i="8" s="1"/>
  <c r="R91" i="8"/>
  <c r="R130" i="8" s="1"/>
  <c r="K92" i="8"/>
  <c r="K131" i="8" s="1"/>
  <c r="T92" i="8"/>
  <c r="T131" i="8" s="1"/>
  <c r="J91" i="8"/>
  <c r="J130" i="8" s="1"/>
  <c r="S91" i="8"/>
  <c r="S130" i="8" s="1"/>
  <c r="L92" i="8"/>
  <c r="L131" i="8" s="1"/>
  <c r="U92" i="8"/>
  <c r="U131" i="8" s="1"/>
  <c r="K91" i="8"/>
  <c r="K130" i="8" s="1"/>
  <c r="M92" i="8"/>
  <c r="M131" i="8" s="1"/>
  <c r="R89" i="12"/>
  <c r="R128" i="12" s="1"/>
  <c r="H89" i="12"/>
  <c r="H128" i="12" s="1"/>
  <c r="E2" i="12" a="1"/>
  <c r="W89" i="12"/>
  <c r="W128" i="12" s="1"/>
  <c r="E40" i="8" a="1"/>
  <c r="E40" i="8" s="1"/>
  <c r="E38" i="8" a="1"/>
  <c r="E38" i="8" s="1"/>
  <c r="E37" i="8" a="1"/>
  <c r="E37" i="8" s="1"/>
  <c r="E35" i="8" a="1"/>
  <c r="E35" i="8" s="1"/>
  <c r="E31" i="8" a="1"/>
  <c r="E31" i="8" s="1"/>
  <c r="E30" i="8" a="1"/>
  <c r="E30" i="8" s="1"/>
  <c r="I40" i="8" a="1"/>
  <c r="I40" i="8" s="1"/>
  <c r="I39" i="8" a="1"/>
  <c r="I39" i="8" s="1"/>
  <c r="I38" i="8" a="1"/>
  <c r="I38" i="8" s="1"/>
  <c r="I37" i="8" a="1"/>
  <c r="I37" i="8" s="1"/>
  <c r="I36" i="8" a="1"/>
  <c r="I36" i="8" s="1"/>
  <c r="I35" i="8" a="1"/>
  <c r="I35" i="8" s="1"/>
  <c r="I34" i="8" a="1"/>
  <c r="I34" i="8" s="1"/>
  <c r="I33" i="8" a="1"/>
  <c r="I33" i="8" s="1"/>
  <c r="I32" i="8" a="1"/>
  <c r="I32" i="8" s="1"/>
  <c r="I31" i="8" a="1"/>
  <c r="I31" i="8" s="1"/>
  <c r="I30" i="8" a="1"/>
  <c r="I30" i="8" s="1"/>
  <c r="I29" i="8" a="1"/>
  <c r="I29" i="8" s="1"/>
  <c r="I28" i="8" a="1"/>
  <c r="I28" i="8" s="1"/>
  <c r="L48" i="8"/>
  <c r="L43" i="8"/>
  <c r="M40" i="8" a="1"/>
  <c r="M40" i="8" s="1"/>
  <c r="M39" i="8" a="1"/>
  <c r="M39" i="8" s="1"/>
  <c r="M38" i="8" a="1"/>
  <c r="M38" i="8" s="1"/>
  <c r="M37" i="8" a="1"/>
  <c r="M37" i="8" s="1"/>
  <c r="M36" i="8" a="1"/>
  <c r="M36" i="8" s="1"/>
  <c r="M35" i="8" a="1"/>
  <c r="M35" i="8" s="1"/>
  <c r="M34" i="8" a="1"/>
  <c r="M34" i="8" s="1"/>
  <c r="M33" i="8" a="1"/>
  <c r="M33" i="8" s="1"/>
  <c r="M32" i="8" a="1"/>
  <c r="M32" i="8" s="1"/>
  <c r="M31" i="8" a="1"/>
  <c r="M31" i="8" s="1"/>
  <c r="M30" i="8" a="1"/>
  <c r="M30" i="8" s="1"/>
  <c r="M29" i="8" a="1"/>
  <c r="M29" i="8" s="1"/>
  <c r="M28" i="8" a="1"/>
  <c r="M28" i="8" s="1"/>
  <c r="Q40" i="8" a="1"/>
  <c r="Q40" i="8" s="1"/>
  <c r="Q39" i="8" a="1"/>
  <c r="Q39" i="8" s="1"/>
  <c r="Q38" i="8" a="1"/>
  <c r="Q38" i="8" s="1"/>
  <c r="Q36" i="8" a="1"/>
  <c r="Q36" i="8" s="1"/>
  <c r="Q35" i="8" a="1"/>
  <c r="Q35" i="8" s="1"/>
  <c r="Q34" i="8" a="1"/>
  <c r="Q34" i="8" s="1"/>
  <c r="Q33" i="8" a="1"/>
  <c r="Q33" i="8" s="1"/>
  <c r="Q32" i="8" a="1"/>
  <c r="Q32" i="8" s="1"/>
  <c r="Q31" i="8" a="1"/>
  <c r="Q31" i="8" s="1"/>
  <c r="Q30" i="8" a="1"/>
  <c r="Q30" i="8" s="1"/>
  <c r="Q28" i="8" a="1"/>
  <c r="Q28" i="8" s="1"/>
  <c r="Q27" i="8" a="1"/>
  <c r="Q27" i="8" s="1"/>
  <c r="Q82" i="8" s="1"/>
  <c r="Q121" i="8" s="1"/>
  <c r="T48" i="8"/>
  <c r="T43" i="8"/>
  <c r="U40" i="8" a="1"/>
  <c r="U40" i="8" s="1"/>
  <c r="U39" i="8" a="1"/>
  <c r="U39" i="8" s="1"/>
  <c r="U38" i="8" a="1"/>
  <c r="U38" i="8" s="1"/>
  <c r="U36" i="8" a="1"/>
  <c r="U36" i="8" s="1"/>
  <c r="U35" i="8" a="1"/>
  <c r="U35" i="8" s="1"/>
  <c r="U33" i="8" a="1"/>
  <c r="U33" i="8" s="1"/>
  <c r="U32" i="8" a="1"/>
  <c r="U32" i="8" s="1"/>
  <c r="U31" i="8" a="1"/>
  <c r="U31" i="8" s="1"/>
  <c r="U30" i="8" a="1"/>
  <c r="U30" i="8" s="1"/>
  <c r="U28" i="8" a="1"/>
  <c r="U28" i="8" s="1"/>
  <c r="U27" i="8" a="1"/>
  <c r="U27" i="8" s="1"/>
  <c r="R58" i="8"/>
  <c r="R97" i="8" s="1"/>
  <c r="J58" i="8"/>
  <c r="J97" i="8" s="1"/>
  <c r="O61" i="8"/>
  <c r="O100" i="8" s="1"/>
  <c r="M63" i="8"/>
  <c r="M102" i="8" s="1"/>
  <c r="Z65" i="8" a="1"/>
  <c r="Z65" i="8" s="1"/>
  <c r="C65" i="8"/>
  <c r="R66" i="8"/>
  <c r="R105" i="8" s="1"/>
  <c r="P68" i="8"/>
  <c r="P107" i="8" s="1"/>
  <c r="C73" i="8"/>
  <c r="Z73" i="8" s="1" a="1"/>
  <c r="Z73" i="8" s="1"/>
  <c r="R74" i="8"/>
  <c r="R113" i="8" s="1"/>
  <c r="J74" i="8"/>
  <c r="J113" i="8" s="1"/>
  <c r="O77" i="8"/>
  <c r="O116" i="8" s="1"/>
  <c r="M79" i="8"/>
  <c r="M118" i="8" s="1"/>
  <c r="Z81" i="8" a="1"/>
  <c r="Z81" i="8" s="1"/>
  <c r="C81" i="8"/>
  <c r="R82" i="8"/>
  <c r="R121" i="8" s="1"/>
  <c r="J82" i="8"/>
  <c r="J121" i="8" s="1"/>
  <c r="P84" i="8"/>
  <c r="P123" i="8" s="1"/>
  <c r="W85" i="8"/>
  <c r="W124" i="8" s="1"/>
  <c r="O85" i="8"/>
  <c r="O124" i="8" s="1"/>
  <c r="G85" i="8"/>
  <c r="G124" i="8" s="1"/>
  <c r="V86" i="8"/>
  <c r="V125" i="8" s="1"/>
  <c r="N86" i="8"/>
  <c r="N125" i="8" s="1"/>
  <c r="F86" i="8"/>
  <c r="F125" i="8" s="1"/>
  <c r="U87" i="8"/>
  <c r="U126" i="8" s="1"/>
  <c r="M87" i="8"/>
  <c r="M126" i="8" s="1"/>
  <c r="E87" i="8"/>
  <c r="E126" i="8" s="1"/>
  <c r="T88" i="8"/>
  <c r="T127" i="8" s="1"/>
  <c r="L88" i="8"/>
  <c r="L127" i="8" s="1"/>
  <c r="Z89" i="8" a="1"/>
  <c r="Z89" i="8" s="1"/>
  <c r="C89" i="8"/>
  <c r="R90" i="8"/>
  <c r="R129" i="8" s="1"/>
  <c r="J90" i="8"/>
  <c r="J129" i="8" s="1"/>
  <c r="Q91" i="8"/>
  <c r="Q130" i="8" s="1"/>
  <c r="I91" i="8"/>
  <c r="I130" i="8" s="1"/>
  <c r="X92" i="8"/>
  <c r="X131" i="8" s="1"/>
  <c r="P92" i="8"/>
  <c r="P131" i="8" s="1"/>
  <c r="H92" i="8"/>
  <c r="H131" i="8" s="1"/>
  <c r="Q2" i="12"/>
  <c r="I2" i="12"/>
  <c r="P2" i="12"/>
  <c r="G2" i="12"/>
  <c r="X2" i="12"/>
  <c r="O2" i="12"/>
  <c r="W2" i="12"/>
  <c r="N2" i="12"/>
  <c r="V2" i="12"/>
  <c r="M2" i="12"/>
  <c r="E2" i="12"/>
  <c r="U2" i="12"/>
  <c r="L2" i="12"/>
  <c r="K2" i="12"/>
  <c r="S2" i="12"/>
  <c r="J2" i="12"/>
  <c r="R2" i="12"/>
  <c r="H2" i="12"/>
  <c r="F2" i="9"/>
  <c r="F9" i="9" s="1"/>
  <c r="N2" i="9"/>
  <c r="V2" i="9"/>
  <c r="K1" i="12"/>
  <c r="T1" i="12"/>
  <c r="D189" i="12"/>
  <c r="B63" i="13" s="1"/>
  <c r="D111" i="12"/>
  <c r="Z72" i="12" a="1"/>
  <c r="Z72" i="12" s="1"/>
  <c r="C72" i="12"/>
  <c r="Y72" i="12"/>
  <c r="C102" i="13" s="1"/>
  <c r="F102" i="13" s="1"/>
  <c r="D203" i="12"/>
  <c r="B77" i="13" s="1"/>
  <c r="D125" i="12"/>
  <c r="Y86" i="12"/>
  <c r="C116" i="13" s="1"/>
  <c r="F116" i="13" s="1"/>
  <c r="Z86" i="12" a="1"/>
  <c r="Z86" i="12" s="1"/>
  <c r="C86" i="12"/>
  <c r="G2" i="9"/>
  <c r="G9" i="9" s="1"/>
  <c r="O2" i="9"/>
  <c r="D178" i="12"/>
  <c r="B52" i="13" s="1"/>
  <c r="D100" i="12"/>
  <c r="Y61" i="12"/>
  <c r="C91" i="13" s="1"/>
  <c r="C61" i="12"/>
  <c r="Z61" i="12" s="1" a="1"/>
  <c r="Z61" i="12" s="1"/>
  <c r="D186" i="12"/>
  <c r="B60" i="13" s="1"/>
  <c r="D108" i="12"/>
  <c r="Y69" i="12"/>
  <c r="C99" i="13" s="1"/>
  <c r="F99" i="13" s="1"/>
  <c r="C69" i="12"/>
  <c r="Z69" i="12" a="1"/>
  <c r="Z69" i="12" s="1"/>
  <c r="Z74" i="12" a="1"/>
  <c r="Z74" i="12" s="1"/>
  <c r="Z79" i="12" a="1"/>
  <c r="Z79" i="12" s="1"/>
  <c r="H2" i="9"/>
  <c r="H9" i="9" s="1"/>
  <c r="P2" i="9"/>
  <c r="E1" i="12"/>
  <c r="M1" i="12"/>
  <c r="D193" i="12"/>
  <c r="B67" i="13" s="1"/>
  <c r="D115" i="12"/>
  <c r="Y76" i="12"/>
  <c r="C106" i="13" s="1"/>
  <c r="I2" i="9"/>
  <c r="I9" i="9" s="1"/>
  <c r="Q2" i="9"/>
  <c r="V1" i="12"/>
  <c r="N1" i="12"/>
  <c r="F1" i="12"/>
  <c r="O1" i="12"/>
  <c r="X1" i="12"/>
  <c r="C2" i="9"/>
  <c r="C9" i="9" s="1"/>
  <c r="J2" i="9"/>
  <c r="J9" i="9" s="1"/>
  <c r="R2" i="9"/>
  <c r="G1" i="12"/>
  <c r="P1" i="12"/>
  <c r="K2" i="9"/>
  <c r="K9" i="9" s="1"/>
  <c r="S2" i="9"/>
  <c r="Z76" i="12" a="1"/>
  <c r="Z76" i="12" s="1"/>
  <c r="D2" i="9"/>
  <c r="D9" i="9" s="1"/>
  <c r="L2" i="9"/>
  <c r="L9" i="9" s="1"/>
  <c r="T2" i="9"/>
  <c r="I1" i="12"/>
  <c r="R1" i="12"/>
  <c r="E2" i="9"/>
  <c r="E9" i="9" s="1"/>
  <c r="M2" i="9"/>
  <c r="D197" i="12"/>
  <c r="B71" i="13" s="1"/>
  <c r="D119" i="12"/>
  <c r="C80" i="12"/>
  <c r="Z80" i="12" s="1" a="1"/>
  <c r="Z80" i="12" s="1"/>
  <c r="Y80" i="12"/>
  <c r="C110" i="13" s="1"/>
  <c r="D177" i="12"/>
  <c r="B51" i="13" s="1"/>
  <c r="D99" i="12"/>
  <c r="Y60" i="12"/>
  <c r="C90" i="13" s="1"/>
  <c r="F90" i="13" s="1"/>
  <c r="D185" i="12"/>
  <c r="B59" i="13" s="1"/>
  <c r="D107" i="12"/>
  <c r="Y68" i="12"/>
  <c r="C98" i="13" s="1"/>
  <c r="F98" i="13" s="1"/>
  <c r="V88" i="12"/>
  <c r="V127" i="12" s="1"/>
  <c r="N88" i="12"/>
  <c r="N127" i="12" s="1"/>
  <c r="E88" i="12"/>
  <c r="E127" i="12" s="1"/>
  <c r="R88" i="12"/>
  <c r="R127" i="12" s="1"/>
  <c r="Q88" i="12"/>
  <c r="Q127" i="12" s="1"/>
  <c r="G88" i="12"/>
  <c r="G127" i="12" s="1"/>
  <c r="P88" i="12"/>
  <c r="P127" i="12" s="1"/>
  <c r="J88" i="12"/>
  <c r="J127" i="12" s="1"/>
  <c r="S88" i="12"/>
  <c r="S127" i="12" s="1"/>
  <c r="Z73" i="12" a="1"/>
  <c r="Z73" i="12" s="1"/>
  <c r="Z77" i="12" a="1"/>
  <c r="Z77" i="12" s="1"/>
  <c r="D176" i="12"/>
  <c r="B50" i="13" s="1"/>
  <c r="D98" i="12"/>
  <c r="Z59" i="12" a="1"/>
  <c r="Z59" i="12" s="1"/>
  <c r="C59" i="12"/>
  <c r="Z60" i="12" a="1"/>
  <c r="Z60" i="12" s="1"/>
  <c r="D184" i="12"/>
  <c r="B58" i="13" s="1"/>
  <c r="D106" i="12"/>
  <c r="Z67" i="12" a="1"/>
  <c r="Z67" i="12" s="1"/>
  <c r="C67" i="12"/>
  <c r="Z68" i="12" a="1"/>
  <c r="Z68" i="12" s="1"/>
  <c r="R85" i="12"/>
  <c r="R124" i="12" s="1"/>
  <c r="H85" i="12"/>
  <c r="H124" i="12" s="1"/>
  <c r="O88" i="12"/>
  <c r="O127" i="12" s="1"/>
  <c r="D181" i="12"/>
  <c r="B55" i="13" s="1"/>
  <c r="D103" i="12"/>
  <c r="Z64" i="12" a="1"/>
  <c r="Z64" i="12" s="1"/>
  <c r="C64" i="12"/>
  <c r="D192" i="12"/>
  <c r="B66" i="13" s="1"/>
  <c r="D114" i="12"/>
  <c r="Z75" i="12" a="1"/>
  <c r="Z75" i="12" s="1"/>
  <c r="C75" i="12"/>
  <c r="Y75" i="12"/>
  <c r="C105" i="13" s="1"/>
  <c r="X88" i="12"/>
  <c r="X127" i="12" s="1"/>
  <c r="Z81" i="12" a="1"/>
  <c r="Z81" i="12" s="1"/>
  <c r="D201" i="12"/>
  <c r="B75" i="13" s="1"/>
  <c r="D123" i="12"/>
  <c r="F85" i="12"/>
  <c r="F124" i="12" s="1"/>
  <c r="O85" i="12"/>
  <c r="O124" i="12" s="1"/>
  <c r="X85" i="12"/>
  <c r="X124" i="12" s="1"/>
  <c r="O89" i="12"/>
  <c r="O128" i="12" s="1"/>
  <c r="Z58" i="12" a="1"/>
  <c r="Z58" i="12" s="1"/>
  <c r="C66" i="12"/>
  <c r="Z66" i="12" s="1" a="1"/>
  <c r="Z66" i="12" s="1"/>
  <c r="C74" i="12"/>
  <c r="C82" i="12"/>
  <c r="Z82" i="12" s="1" a="1"/>
  <c r="Z82" i="12" s="1"/>
  <c r="G85" i="12"/>
  <c r="G124" i="12" s="1"/>
  <c r="C87" i="12"/>
  <c r="F89" i="12"/>
  <c r="F128" i="12" s="1"/>
  <c r="P89" i="12"/>
  <c r="P128" i="12" s="1"/>
  <c r="D136" i="12"/>
  <c r="B10" i="13" s="1"/>
  <c r="B88" i="13" s="1"/>
  <c r="B127" i="13" s="1"/>
  <c r="D183" i="12"/>
  <c r="B57" i="13" s="1"/>
  <c r="D105" i="12"/>
  <c r="D191" i="12"/>
  <c r="B65" i="13" s="1"/>
  <c r="D113" i="12"/>
  <c r="D199" i="12"/>
  <c r="B73" i="13" s="1"/>
  <c r="D121" i="12"/>
  <c r="C83" i="12"/>
  <c r="Z83" i="12" s="1" a="1"/>
  <c r="Z83" i="12" s="1"/>
  <c r="D200" i="12"/>
  <c r="B74" i="13" s="1"/>
  <c r="D122" i="12"/>
  <c r="D204" i="12"/>
  <c r="B78" i="13" s="1"/>
  <c r="D126" i="12"/>
  <c r="G89" i="12"/>
  <c r="G128" i="12" s="1"/>
  <c r="Q89" i="12"/>
  <c r="Q128" i="12" s="1"/>
  <c r="D112" i="12"/>
  <c r="I89" i="12"/>
  <c r="I128" i="12" s="1"/>
  <c r="S89" i="12"/>
  <c r="S128" i="12" s="1"/>
  <c r="D208" i="12"/>
  <c r="B82" i="13" s="1"/>
  <c r="Z91" i="12" a="1"/>
  <c r="Z91" i="12" s="1"/>
  <c r="C91" i="12"/>
  <c r="Y91" i="12"/>
  <c r="C121" i="13" s="1"/>
  <c r="F121" i="13" s="1"/>
  <c r="D130" i="12"/>
  <c r="R92" i="12"/>
  <c r="R131" i="12" s="1"/>
  <c r="J92" i="12"/>
  <c r="J131" i="12" s="1"/>
  <c r="Q92" i="12"/>
  <c r="Q131" i="12" s="1"/>
  <c r="I92" i="12"/>
  <c r="I131" i="12" s="1"/>
  <c r="X92" i="12"/>
  <c r="X131" i="12" s="1"/>
  <c r="P92" i="12"/>
  <c r="P131" i="12" s="1"/>
  <c r="H92" i="12"/>
  <c r="H131" i="12" s="1"/>
  <c r="W92" i="12"/>
  <c r="W131" i="12" s="1"/>
  <c r="O92" i="12"/>
  <c r="O131" i="12" s="1"/>
  <c r="G92" i="12"/>
  <c r="G131" i="12" s="1"/>
  <c r="V92" i="12"/>
  <c r="V131" i="12" s="1"/>
  <c r="N92" i="12"/>
  <c r="N131" i="12" s="1"/>
  <c r="F92" i="12"/>
  <c r="F131" i="12" s="1"/>
  <c r="U92" i="12"/>
  <c r="U131" i="12" s="1"/>
  <c r="M92" i="12"/>
  <c r="M131" i="12" s="1"/>
  <c r="E92" i="12"/>
  <c r="E131" i="12" s="1"/>
  <c r="T92" i="12"/>
  <c r="T131" i="12" s="1"/>
  <c r="L92" i="12"/>
  <c r="L131" i="12" s="1"/>
  <c r="D245" i="12"/>
  <c r="D167" i="12"/>
  <c r="B41" i="13" s="1"/>
  <c r="B119" i="13" s="1"/>
  <c r="B158" i="13" s="1"/>
  <c r="Z70" i="12" a="1"/>
  <c r="Z70" i="12" s="1"/>
  <c r="D194" i="12"/>
  <c r="B68" i="13" s="1"/>
  <c r="D116" i="12"/>
  <c r="Z78" i="12" a="1"/>
  <c r="Z78" i="12" s="1"/>
  <c r="Y83" i="12"/>
  <c r="C113" i="13" s="1"/>
  <c r="Q85" i="12"/>
  <c r="Q124" i="12" s="1"/>
  <c r="I85" i="12"/>
  <c r="I124" i="12" s="1"/>
  <c r="L85" i="12"/>
  <c r="L124" i="12" s="1"/>
  <c r="U85" i="12"/>
  <c r="U124" i="12" s="1"/>
  <c r="D205" i="12"/>
  <c r="B79" i="13" s="1"/>
  <c r="D127" i="12"/>
  <c r="J89" i="12"/>
  <c r="J128" i="12" s="1"/>
  <c r="V89" i="12"/>
  <c r="V128" i="12" s="1"/>
  <c r="D104" i="12"/>
  <c r="D175" i="12"/>
  <c r="B49" i="13" s="1"/>
  <c r="D179" i="12"/>
  <c r="B53" i="13" s="1"/>
  <c r="D101" i="12"/>
  <c r="C63" i="12"/>
  <c r="Z63" i="12" s="1" a="1"/>
  <c r="Z63" i="12" s="1"/>
  <c r="Y65" i="12"/>
  <c r="C95" i="13" s="1"/>
  <c r="G95" i="13" s="1"/>
  <c r="D187" i="12"/>
  <c r="B61" i="13" s="1"/>
  <c r="D109" i="12"/>
  <c r="C71" i="12"/>
  <c r="Z71" i="12" s="1" a="1"/>
  <c r="Z71" i="12" s="1"/>
  <c r="Y73" i="12"/>
  <c r="C103" i="13" s="1"/>
  <c r="F103" i="13" s="1"/>
  <c r="D195" i="12"/>
  <c r="B69" i="13" s="1"/>
  <c r="D117" i="12"/>
  <c r="C79" i="12"/>
  <c r="Y81" i="12"/>
  <c r="C111" i="13" s="1"/>
  <c r="G111" i="13" s="1"/>
  <c r="D202" i="12"/>
  <c r="B76" i="13" s="1"/>
  <c r="Y85" i="12"/>
  <c r="D124" i="12"/>
  <c r="M85" i="12"/>
  <c r="M124" i="12" s="1"/>
  <c r="V85" i="12"/>
  <c r="V124" i="12" s="1"/>
  <c r="Z88" i="12" a="1"/>
  <c r="Z88" i="12" s="1"/>
  <c r="H88" i="12" s="1"/>
  <c r="H127" i="12" s="1"/>
  <c r="K89" i="12"/>
  <c r="K128" i="12" s="1"/>
  <c r="K92" i="12"/>
  <c r="K131" i="12" s="1"/>
  <c r="Y58" i="12"/>
  <c r="C88" i="13" s="1"/>
  <c r="F88" i="13" s="1"/>
  <c r="D180" i="12"/>
  <c r="B54" i="13" s="1"/>
  <c r="D102" i="12"/>
  <c r="Y66" i="12"/>
  <c r="C96" i="13" s="1"/>
  <c r="D188" i="12"/>
  <c r="B62" i="13" s="1"/>
  <c r="D110" i="12"/>
  <c r="Y74" i="12"/>
  <c r="C104" i="13" s="1"/>
  <c r="D196" i="12"/>
  <c r="B70" i="13" s="1"/>
  <c r="D118" i="12"/>
  <c r="Y82" i="12"/>
  <c r="C112" i="13" s="1"/>
  <c r="G112" i="13" s="1"/>
  <c r="C84" i="12"/>
  <c r="E85" i="12"/>
  <c r="E124" i="12" s="1"/>
  <c r="N85" i="12"/>
  <c r="N124" i="12" s="1"/>
  <c r="W85" i="12"/>
  <c r="W124" i="12" s="1"/>
  <c r="U89" i="12"/>
  <c r="U128" i="12" s="1"/>
  <c r="M89" i="12"/>
  <c r="M128" i="12" s="1"/>
  <c r="E89" i="12"/>
  <c r="E128" i="12" s="1"/>
  <c r="T89" i="12"/>
  <c r="T128" i="12" s="1"/>
  <c r="L89" i="12"/>
  <c r="L128" i="12" s="1"/>
  <c r="X89" i="12"/>
  <c r="X128" i="12" s="1"/>
  <c r="N89" i="12"/>
  <c r="N128" i="12" s="1"/>
  <c r="S92" i="12"/>
  <c r="S131" i="12" s="1"/>
  <c r="D120" i="12"/>
  <c r="D129" i="12"/>
  <c r="D207" i="12"/>
  <c r="B81" i="13" s="1"/>
  <c r="C90" i="12"/>
  <c r="Y92" i="12"/>
  <c r="C122" i="13" s="1"/>
  <c r="D131" i="12"/>
  <c r="F117" i="13"/>
  <c r="F109" i="13"/>
  <c r="F101" i="13"/>
  <c r="F122" i="13"/>
  <c r="F114" i="13"/>
  <c r="F106" i="13"/>
  <c r="F119" i="13"/>
  <c r="F108" i="13"/>
  <c r="F100" i="13"/>
  <c r="F113" i="13"/>
  <c r="F105" i="13"/>
  <c r="F97" i="13"/>
  <c r="F118" i="13"/>
  <c r="F110" i="13"/>
  <c r="F107" i="13"/>
  <c r="F92" i="13"/>
  <c r="F89" i="13"/>
  <c r="F104" i="13"/>
  <c r="F94" i="13"/>
  <c r="F91" i="13"/>
  <c r="F120" i="13"/>
  <c r="F96" i="13"/>
  <c r="F93" i="13"/>
  <c r="G122" i="13"/>
  <c r="G114" i="13"/>
  <c r="G106" i="13"/>
  <c r="G98" i="13"/>
  <c r="G119" i="13"/>
  <c r="G108" i="13"/>
  <c r="G100" i="13"/>
  <c r="G113" i="13"/>
  <c r="G105" i="13"/>
  <c r="G97" i="13"/>
  <c r="G118" i="13"/>
  <c r="G110" i="13"/>
  <c r="G102" i="13"/>
  <c r="G107" i="13"/>
  <c r="G99" i="13"/>
  <c r="G120" i="13"/>
  <c r="G104" i="13"/>
  <c r="G117" i="13"/>
  <c r="G89" i="13"/>
  <c r="G94" i="13"/>
  <c r="G91" i="13"/>
  <c r="G109" i="13"/>
  <c r="G96" i="13"/>
  <c r="G93" i="13"/>
  <c r="G90" i="13"/>
  <c r="G101" i="13"/>
  <c r="F126" i="13"/>
  <c r="F48" i="13"/>
  <c r="F9" i="13"/>
  <c r="G92" i="13"/>
  <c r="F95" i="13"/>
  <c r="G126" i="13"/>
  <c r="G48" i="13"/>
  <c r="G9" i="13"/>
  <c r="H2" i="13"/>
  <c r="P2" i="13"/>
  <c r="I2" i="13"/>
  <c r="Q2" i="13"/>
  <c r="C2" i="13"/>
  <c r="J2" i="13"/>
  <c r="R2" i="13"/>
  <c r="K2" i="13"/>
  <c r="S2" i="13"/>
  <c r="D2" i="13"/>
  <c r="L2" i="13"/>
  <c r="T2" i="13"/>
  <c r="E2" i="13"/>
  <c r="M2" i="13"/>
  <c r="G116" i="13" l="1"/>
  <c r="F112" i="13"/>
  <c r="F111" i="13"/>
  <c r="G103" i="13"/>
  <c r="G88" i="13"/>
  <c r="I88" i="12"/>
  <c r="I127" i="12" s="1"/>
  <c r="O69" i="8"/>
  <c r="O108" i="8" s="1"/>
  <c r="J65" i="8"/>
  <c r="J104" i="8" s="1"/>
  <c r="O65" i="8"/>
  <c r="O104" i="8" s="1"/>
  <c r="M65" i="8"/>
  <c r="M104" i="8" s="1"/>
  <c r="R65" i="8"/>
  <c r="R104" i="8" s="1"/>
  <c r="P65" i="8"/>
  <c r="P104" i="8" s="1"/>
  <c r="E29" i="8" a="1"/>
  <c r="E29" i="8" s="1"/>
  <c r="E39" i="8" a="1"/>
  <c r="E39" i="8" s="1"/>
  <c r="P64" i="8"/>
  <c r="P103" i="8" s="1"/>
  <c r="O70" i="8"/>
  <c r="O109" i="8" s="1"/>
  <c r="P70" i="8"/>
  <c r="P109" i="8" s="1"/>
  <c r="J70" i="8"/>
  <c r="J109" i="8" s="1"/>
  <c r="R68" i="8"/>
  <c r="R107" i="8" s="1"/>
  <c r="O60" i="8"/>
  <c r="O99" i="8" s="1"/>
  <c r="R60" i="8"/>
  <c r="R99" i="8" s="1"/>
  <c r="P63" i="8"/>
  <c r="P102" i="8" s="1"/>
  <c r="R63" i="8"/>
  <c r="R102" i="8" s="1"/>
  <c r="O63" i="8"/>
  <c r="O102" i="8" s="1"/>
  <c r="J63" i="8"/>
  <c r="J102" i="8" s="1"/>
  <c r="X89" i="8"/>
  <c r="X128" i="8" s="1"/>
  <c r="O89" i="8"/>
  <c r="O128" i="8" s="1"/>
  <c r="F89" i="8"/>
  <c r="F128" i="8" s="1"/>
  <c r="V89" i="8"/>
  <c r="V128" i="8" s="1"/>
  <c r="M89" i="8"/>
  <c r="M128" i="8" s="1"/>
  <c r="U89" i="8"/>
  <c r="U128" i="8" s="1"/>
  <c r="L89" i="8"/>
  <c r="L128" i="8" s="1"/>
  <c r="T89" i="8"/>
  <c r="T128" i="8" s="1"/>
  <c r="J89" i="8"/>
  <c r="J128" i="8" s="1"/>
  <c r="I89" i="8"/>
  <c r="I128" i="8" s="1"/>
  <c r="G89" i="8"/>
  <c r="G128" i="8" s="1"/>
  <c r="W89" i="8"/>
  <c r="W128" i="8" s="1"/>
  <c r="E89" i="8"/>
  <c r="E128" i="8" s="1"/>
  <c r="R89" i="8"/>
  <c r="R128" i="8" s="1"/>
  <c r="Q89" i="8"/>
  <c r="Q128" i="8" s="1"/>
  <c r="P89" i="8"/>
  <c r="P128" i="8" s="1"/>
  <c r="N89" i="8"/>
  <c r="N128" i="8" s="1"/>
  <c r="H89" i="8"/>
  <c r="H128" i="8" s="1"/>
  <c r="P72" i="8"/>
  <c r="P111" i="8" s="1"/>
  <c r="N44" i="8" a="1"/>
  <c r="N44" i="8" s="1"/>
  <c r="N46" i="8" s="1"/>
  <c r="N49" i="8" s="1"/>
  <c r="L3" i="9" s="1"/>
  <c r="N34" i="8" a="1"/>
  <c r="N34" i="8" s="1"/>
  <c r="N35" i="8" a="1"/>
  <c r="N35" i="8" s="1"/>
  <c r="N48" i="8"/>
  <c r="N31" i="8" a="1"/>
  <c r="N31" i="8" s="1"/>
  <c r="N36" i="8" a="1"/>
  <c r="N36" i="8" s="1"/>
  <c r="N24" i="8" a="1"/>
  <c r="N24" i="8" s="1"/>
  <c r="N79" i="8" s="1"/>
  <c r="N118" i="8" s="1"/>
  <c r="N16" i="8" a="1"/>
  <c r="N16" i="8" s="1"/>
  <c r="N39" i="8" a="1"/>
  <c r="N39" i="8" s="1"/>
  <c r="N37" i="8" a="1"/>
  <c r="N37" i="8" s="1"/>
  <c r="N26" i="8" a="1"/>
  <c r="N26" i="8" s="1"/>
  <c r="N18" i="8" a="1"/>
  <c r="N18" i="8" s="1"/>
  <c r="N42" i="8" a="1"/>
  <c r="N42" i="8" s="1"/>
  <c r="N23" i="8" a="1"/>
  <c r="N23" i="8" s="1"/>
  <c r="N78" i="8" s="1"/>
  <c r="N117" i="8" s="1"/>
  <c r="N22" i="8" a="1"/>
  <c r="N22" i="8" s="1"/>
  <c r="N77" i="8" s="1"/>
  <c r="N116" i="8" s="1"/>
  <c r="N27" i="8" a="1"/>
  <c r="N27" i="8" s="1"/>
  <c r="N19" i="8" a="1"/>
  <c r="N19" i="8" s="1"/>
  <c r="N15" i="8" a="1"/>
  <c r="N15" i="8" s="1"/>
  <c r="N70" i="8" s="1"/>
  <c r="N109" i="8" s="1"/>
  <c r="N6" i="8" a="1"/>
  <c r="N6" i="8" s="1"/>
  <c r="N3" i="8" a="1"/>
  <c r="N3" i="8" s="1"/>
  <c r="N58" i="8" s="1"/>
  <c r="N97" i="8" s="1"/>
  <c r="N28" i="8" a="1"/>
  <c r="N28" i="8" s="1"/>
  <c r="N21" i="8" a="1"/>
  <c r="N21" i="8" s="1"/>
  <c r="N11" i="8" a="1"/>
  <c r="N11" i="8" s="1"/>
  <c r="N66" i="8" s="1"/>
  <c r="N105" i="8" s="1"/>
  <c r="N40" i="8" a="1"/>
  <c r="N40" i="8" s="1"/>
  <c r="N33" i="8" a="1"/>
  <c r="N33" i="8" s="1"/>
  <c r="N32" i="8" a="1"/>
  <c r="N32" i="8" s="1"/>
  <c r="N20" i="8" a="1"/>
  <c r="N20" i="8" s="1"/>
  <c r="N43" i="8"/>
  <c r="N25" i="8" a="1"/>
  <c r="N25" i="8" s="1"/>
  <c r="N13" i="8" a="1"/>
  <c r="N13" i="8" s="1"/>
  <c r="N5" i="8" a="1"/>
  <c r="N5" i="8" s="1"/>
  <c r="N57" i="8"/>
  <c r="N96" i="8" s="1"/>
  <c r="N135" i="8" s="1"/>
  <c r="N30" i="8" a="1"/>
  <c r="N30" i="8" s="1"/>
  <c r="N12" i="8" a="1"/>
  <c r="N12" i="8" s="1"/>
  <c r="N4" i="8" a="1"/>
  <c r="N4" i="8" s="1"/>
  <c r="N17" i="8" a="1"/>
  <c r="N17" i="8" s="1"/>
  <c r="N14" i="8" a="1"/>
  <c r="N14" i="8" s="1"/>
  <c r="N7" i="8" a="1"/>
  <c r="N7" i="8" s="1"/>
  <c r="N62" i="8" s="1"/>
  <c r="N101" i="8" s="1"/>
  <c r="N10" i="8" a="1"/>
  <c r="N10" i="8" s="1"/>
  <c r="N65" i="8" s="1"/>
  <c r="N104" i="8" s="1"/>
  <c r="N29" i="8" a="1"/>
  <c r="N29" i="8" s="1"/>
  <c r="N9" i="8" a="1"/>
  <c r="N9" i="8" s="1"/>
  <c r="N38" i="8" a="1"/>
  <c r="N38" i="8" s="1"/>
  <c r="N8" i="8" a="1"/>
  <c r="N8" i="8" s="1"/>
  <c r="N63" i="8" s="1"/>
  <c r="N102" i="8" s="1"/>
  <c r="T57" i="8"/>
  <c r="T96" i="8" s="1"/>
  <c r="T135" i="8" s="1"/>
  <c r="T33" i="8" a="1"/>
  <c r="T33" i="8" s="1"/>
  <c r="T36" i="8" a="1"/>
  <c r="T36" i="8" s="1"/>
  <c r="T44" i="8" a="1"/>
  <c r="T44" i="8" s="1"/>
  <c r="T46" i="8" s="1"/>
  <c r="T49" i="8" s="1"/>
  <c r="T50" i="8" s="1"/>
  <c r="T38" i="8" a="1"/>
  <c r="T38" i="8" s="1"/>
  <c r="T32" i="8" a="1"/>
  <c r="T32" i="8" s="1"/>
  <c r="T40" i="8" a="1"/>
  <c r="T40" i="8" s="1"/>
  <c r="T35" i="8" a="1"/>
  <c r="T35" i="8" s="1"/>
  <c r="T23" i="8" a="1"/>
  <c r="T23" i="8" s="1"/>
  <c r="T15" i="8" a="1"/>
  <c r="T15" i="8" s="1"/>
  <c r="T70" i="8" s="1"/>
  <c r="T109" i="8" s="1"/>
  <c r="T37" i="8" a="1"/>
  <c r="T37" i="8" s="1"/>
  <c r="T25" i="8" a="1"/>
  <c r="T25" i="8" s="1"/>
  <c r="T80" i="8" s="1"/>
  <c r="T119" i="8" s="1"/>
  <c r="T17" i="8" a="1"/>
  <c r="T17" i="8" s="1"/>
  <c r="T72" i="8" s="1"/>
  <c r="T111" i="8" s="1"/>
  <c r="T39" i="8" a="1"/>
  <c r="T39" i="8" s="1"/>
  <c r="T30" i="8" a="1"/>
  <c r="T30" i="8" s="1"/>
  <c r="T22" i="8" a="1"/>
  <c r="T22" i="8" s="1"/>
  <c r="T77" i="8" s="1"/>
  <c r="T116" i="8" s="1"/>
  <c r="T29" i="8" a="1"/>
  <c r="T29" i="8" s="1"/>
  <c r="T21" i="8" a="1"/>
  <c r="T21" i="8" s="1"/>
  <c r="T42" i="8" a="1"/>
  <c r="T42" i="8" s="1"/>
  <c r="T31" i="8" a="1"/>
  <c r="T31" i="8" s="1"/>
  <c r="T5" i="8" a="1"/>
  <c r="T5" i="8" s="1"/>
  <c r="T60" i="8" s="1"/>
  <c r="T99" i="8" s="1"/>
  <c r="T13" i="8" a="1"/>
  <c r="T13" i="8" s="1"/>
  <c r="T10" i="8" a="1"/>
  <c r="T10" i="8" s="1"/>
  <c r="T65" i="8" s="1"/>
  <c r="T104" i="8" s="1"/>
  <c r="T27" i="8" a="1"/>
  <c r="T27" i="8" s="1"/>
  <c r="T82" i="8" s="1"/>
  <c r="T121" i="8" s="1"/>
  <c r="T12" i="8" a="1"/>
  <c r="T12" i="8" s="1"/>
  <c r="T4" i="8" a="1"/>
  <c r="T4" i="8" s="1"/>
  <c r="T16" i="8" a="1"/>
  <c r="T16" i="8" s="1"/>
  <c r="T11" i="8" a="1"/>
  <c r="T11" i="8" s="1"/>
  <c r="T66" i="8" s="1"/>
  <c r="T105" i="8" s="1"/>
  <c r="T3" i="8" a="1"/>
  <c r="T3" i="8" s="1"/>
  <c r="T58" i="8" s="1"/>
  <c r="T97" i="8" s="1"/>
  <c r="T9" i="8" a="1"/>
  <c r="T9" i="8" s="1"/>
  <c r="T64" i="8" s="1"/>
  <c r="T103" i="8" s="1"/>
  <c r="T20" i="8" a="1"/>
  <c r="T20" i="8" s="1"/>
  <c r="T6" i="8" a="1"/>
  <c r="T6" i="8" s="1"/>
  <c r="T28" i="8" a="1"/>
  <c r="T28" i="8" s="1"/>
  <c r="T8" i="8" a="1"/>
  <c r="T8" i="8" s="1"/>
  <c r="T63" i="8" s="1"/>
  <c r="T102" i="8" s="1"/>
  <c r="T18" i="8" a="1"/>
  <c r="T18" i="8" s="1"/>
  <c r="T34" i="8" a="1"/>
  <c r="T34" i="8" s="1"/>
  <c r="T24" i="8" a="1"/>
  <c r="T24" i="8" s="1"/>
  <c r="T79" i="8" s="1"/>
  <c r="T118" i="8" s="1"/>
  <c r="T14" i="8" a="1"/>
  <c r="T14" i="8" s="1"/>
  <c r="T69" i="8" s="1"/>
  <c r="T108" i="8" s="1"/>
  <c r="T7" i="8" a="1"/>
  <c r="T7" i="8" s="1"/>
  <c r="T62" i="8" s="1"/>
  <c r="T101" i="8" s="1"/>
  <c r="T19" i="8" a="1"/>
  <c r="T19" i="8" s="1"/>
  <c r="T74" i="8" s="1"/>
  <c r="T113" i="8" s="1"/>
  <c r="T26" i="8" a="1"/>
  <c r="T26" i="8" s="1"/>
  <c r="P83" i="8"/>
  <c r="P122" i="8" s="1"/>
  <c r="O83" i="8"/>
  <c r="O122" i="8" s="1"/>
  <c r="N83" i="8"/>
  <c r="N122" i="8" s="1"/>
  <c r="J83" i="8"/>
  <c r="J122" i="8" s="1"/>
  <c r="R83" i="8"/>
  <c r="R122" i="8" s="1"/>
  <c r="M83" i="8"/>
  <c r="M122" i="8" s="1"/>
  <c r="Z83" i="8" a="1"/>
  <c r="Z83" i="8" s="1"/>
  <c r="P71" i="8"/>
  <c r="P110" i="8" s="1"/>
  <c r="N71" i="8"/>
  <c r="N110" i="8" s="1"/>
  <c r="O71" i="8"/>
  <c r="O110" i="8" s="1"/>
  <c r="T71" i="8"/>
  <c r="T110" i="8" s="1"/>
  <c r="J71" i="8"/>
  <c r="J110" i="8" s="1"/>
  <c r="R71" i="8"/>
  <c r="R110" i="8" s="1"/>
  <c r="Z71" i="8" a="1"/>
  <c r="Z71" i="8" s="1"/>
  <c r="M72" i="8"/>
  <c r="M111" i="8" s="1"/>
  <c r="R72" i="8"/>
  <c r="R111" i="8" s="1"/>
  <c r="R69" i="8"/>
  <c r="R108" i="8" s="1"/>
  <c r="P69" i="8"/>
  <c r="P108" i="8" s="1"/>
  <c r="M69" i="8"/>
  <c r="M108" i="8" s="1"/>
  <c r="J69" i="8"/>
  <c r="J108" i="8" s="1"/>
  <c r="N69" i="8"/>
  <c r="N108" i="8" s="1"/>
  <c r="X57" i="8"/>
  <c r="X96" i="8" s="1"/>
  <c r="X135" i="8" s="1"/>
  <c r="X42" i="8" a="1"/>
  <c r="X42" i="8" s="1"/>
  <c r="X36" i="8" a="1"/>
  <c r="X36" i="8" s="1"/>
  <c r="X28" i="8" a="1"/>
  <c r="X28" i="8" s="1"/>
  <c r="X43" i="8"/>
  <c r="X35" i="8" a="1"/>
  <c r="X35" i="8" s="1"/>
  <c r="X37" i="8" a="1"/>
  <c r="X37" i="8" s="1"/>
  <c r="X39" i="8" a="1"/>
  <c r="X39" i="8" s="1"/>
  <c r="X32" i="8" a="1"/>
  <c r="X32" i="8" s="1"/>
  <c r="X26" i="8" a="1"/>
  <c r="X26" i="8" s="1"/>
  <c r="X18" i="8" a="1"/>
  <c r="X18" i="8" s="1"/>
  <c r="X33" i="8" a="1"/>
  <c r="X33" i="8" s="1"/>
  <c r="X38" i="8" a="1"/>
  <c r="X38" i="8" s="1"/>
  <c r="X20" i="8" a="1"/>
  <c r="X20" i="8" s="1"/>
  <c r="X75" i="8" s="1"/>
  <c r="X114" i="8" s="1"/>
  <c r="X34" i="8" a="1"/>
  <c r="X34" i="8" s="1"/>
  <c r="X25" i="8" a="1"/>
  <c r="X25" i="8" s="1"/>
  <c r="X48" i="8"/>
  <c r="X44" i="8" a="1"/>
  <c r="X44" i="8" s="1"/>
  <c r="X46" i="8" s="1"/>
  <c r="X49" i="8" s="1"/>
  <c r="X30" i="8" a="1"/>
  <c r="X30" i="8" s="1"/>
  <c r="X24" i="8" a="1"/>
  <c r="X24" i="8" s="1"/>
  <c r="X79" i="8" s="1"/>
  <c r="X118" i="8" s="1"/>
  <c r="X27" i="8" a="1"/>
  <c r="X27" i="8" s="1"/>
  <c r="X82" i="8" s="1"/>
  <c r="X121" i="8" s="1"/>
  <c r="X21" i="8" a="1"/>
  <c r="X21" i="8" s="1"/>
  <c r="X76" i="8" s="1"/>
  <c r="X115" i="8" s="1"/>
  <c r="X8" i="8" a="1"/>
  <c r="X8" i="8" s="1"/>
  <c r="X63" i="8" s="1"/>
  <c r="X102" i="8" s="1"/>
  <c r="X5" i="8" a="1"/>
  <c r="X5" i="8" s="1"/>
  <c r="X60" i="8" s="1"/>
  <c r="X99" i="8" s="1"/>
  <c r="X16" i="8" a="1"/>
  <c r="X16" i="8" s="1"/>
  <c r="X71" i="8" s="1"/>
  <c r="X110" i="8" s="1"/>
  <c r="X19" i="8" a="1"/>
  <c r="X19" i="8" s="1"/>
  <c r="X15" i="8" a="1"/>
  <c r="X15" i="8" s="1"/>
  <c r="X70" i="8" s="1"/>
  <c r="X109" i="8" s="1"/>
  <c r="X13" i="8" a="1"/>
  <c r="X13" i="8" s="1"/>
  <c r="X68" i="8" s="1"/>
  <c r="X107" i="8" s="1"/>
  <c r="X7" i="8" a="1"/>
  <c r="X7" i="8" s="1"/>
  <c r="X62" i="8" s="1"/>
  <c r="X101" i="8" s="1"/>
  <c r="X40" i="8" a="1"/>
  <c r="X40" i="8" s="1"/>
  <c r="X22" i="8" a="1"/>
  <c r="X22" i="8" s="1"/>
  <c r="X77" i="8" s="1"/>
  <c r="X116" i="8" s="1"/>
  <c r="X17" i="8" a="1"/>
  <c r="X17" i="8" s="1"/>
  <c r="X72" i="8" s="1"/>
  <c r="X111" i="8" s="1"/>
  <c r="X6" i="8" a="1"/>
  <c r="X6" i="8" s="1"/>
  <c r="X23" i="8" a="1"/>
  <c r="X23" i="8" s="1"/>
  <c r="X78" i="8" s="1"/>
  <c r="X117" i="8" s="1"/>
  <c r="X12" i="8" a="1"/>
  <c r="X12" i="8" s="1"/>
  <c r="X14" i="8" a="1"/>
  <c r="X14" i="8" s="1"/>
  <c r="X69" i="8" s="1"/>
  <c r="X108" i="8" s="1"/>
  <c r="X29" i="8" a="1"/>
  <c r="X29" i="8" s="1"/>
  <c r="X84" i="8" s="1"/>
  <c r="X123" i="8" s="1"/>
  <c r="X11" i="8" a="1"/>
  <c r="X11" i="8" s="1"/>
  <c r="X66" i="8" s="1"/>
  <c r="X105" i="8" s="1"/>
  <c r="X10" i="8" a="1"/>
  <c r="X10" i="8" s="1"/>
  <c r="X65" i="8" s="1"/>
  <c r="X104" i="8" s="1"/>
  <c r="X31" i="8" a="1"/>
  <c r="X31" i="8" s="1"/>
  <c r="X4" i="8" a="1"/>
  <c r="X4" i="8" s="1"/>
  <c r="X9" i="8" a="1"/>
  <c r="X9" i="8" s="1"/>
  <c r="X3" i="8" a="1"/>
  <c r="X3" i="8" s="1"/>
  <c r="X58" i="8" s="1"/>
  <c r="X97" i="8" s="1"/>
  <c r="V44" i="8" a="1"/>
  <c r="V44" i="8" s="1"/>
  <c r="V46" i="8" s="1"/>
  <c r="V49" i="8" s="1"/>
  <c r="V48" i="8"/>
  <c r="V57" i="8"/>
  <c r="V96" i="8" s="1"/>
  <c r="V135" i="8" s="1"/>
  <c r="V43" i="8"/>
  <c r="V40" i="8" a="1"/>
  <c r="V40" i="8" s="1"/>
  <c r="V32" i="8" a="1"/>
  <c r="V32" i="8" s="1"/>
  <c r="V38" i="8" a="1"/>
  <c r="V38" i="8" s="1"/>
  <c r="V34" i="8" a="1"/>
  <c r="V34" i="8" s="1"/>
  <c r="V28" i="8" a="1"/>
  <c r="V28" i="8" s="1"/>
  <c r="V83" i="8" s="1"/>
  <c r="V122" i="8" s="1"/>
  <c r="V42" i="8" a="1"/>
  <c r="V42" i="8" s="1"/>
  <c r="V37" i="8" a="1"/>
  <c r="V37" i="8" s="1"/>
  <c r="V22" i="8" a="1"/>
  <c r="V22" i="8" s="1"/>
  <c r="V77" i="8" s="1"/>
  <c r="V116" i="8" s="1"/>
  <c r="V14" i="8" a="1"/>
  <c r="V14" i="8" s="1"/>
  <c r="V69" i="8" s="1"/>
  <c r="V108" i="8" s="1"/>
  <c r="V39" i="8" a="1"/>
  <c r="V39" i="8" s="1"/>
  <c r="V31" i="8" a="1"/>
  <c r="V31" i="8" s="1"/>
  <c r="V24" i="8" a="1"/>
  <c r="V24" i="8" s="1"/>
  <c r="V16" i="8" a="1"/>
  <c r="V16" i="8" s="1"/>
  <c r="V71" i="8" s="1"/>
  <c r="V110" i="8" s="1"/>
  <c r="V29" i="8" a="1"/>
  <c r="V29" i="8" s="1"/>
  <c r="V27" i="8" a="1"/>
  <c r="V27" i="8" s="1"/>
  <c r="V82" i="8" s="1"/>
  <c r="V121" i="8" s="1"/>
  <c r="V21" i="8" a="1"/>
  <c r="V21" i="8" s="1"/>
  <c r="V76" i="8" s="1"/>
  <c r="V115" i="8" s="1"/>
  <c r="V35" i="8" a="1"/>
  <c r="V35" i="8" s="1"/>
  <c r="V20" i="8" a="1"/>
  <c r="V20" i="8" s="1"/>
  <c r="V75" i="8" s="1"/>
  <c r="V114" i="8" s="1"/>
  <c r="V12" i="8" a="1"/>
  <c r="V12" i="8" s="1"/>
  <c r="V4" i="8" a="1"/>
  <c r="V4" i="8" s="1"/>
  <c r="V30" i="8" a="1"/>
  <c r="V30" i="8" s="1"/>
  <c r="V9" i="8" a="1"/>
  <c r="V9" i="8" s="1"/>
  <c r="V26" i="8" a="1"/>
  <c r="V26" i="8" s="1"/>
  <c r="V11" i="8" a="1"/>
  <c r="V11" i="8" s="1"/>
  <c r="V66" i="8" s="1"/>
  <c r="V105" i="8" s="1"/>
  <c r="V3" i="8" a="1"/>
  <c r="V3" i="8" s="1"/>
  <c r="V58" i="8" s="1"/>
  <c r="V97" i="8" s="1"/>
  <c r="V33" i="8" a="1"/>
  <c r="V33" i="8" s="1"/>
  <c r="V19" i="8" a="1"/>
  <c r="V19" i="8" s="1"/>
  <c r="V15" i="8" a="1"/>
  <c r="V15" i="8" s="1"/>
  <c r="V70" i="8" s="1"/>
  <c r="V109" i="8" s="1"/>
  <c r="V13" i="8" a="1"/>
  <c r="V13" i="8" s="1"/>
  <c r="V10" i="8" a="1"/>
  <c r="V10" i="8" s="1"/>
  <c r="V65" i="8" s="1"/>
  <c r="V104" i="8" s="1"/>
  <c r="V8" i="8" a="1"/>
  <c r="V8" i="8" s="1"/>
  <c r="V63" i="8" s="1"/>
  <c r="V102" i="8" s="1"/>
  <c r="V23" i="8" a="1"/>
  <c r="V23" i="8" s="1"/>
  <c r="V78" i="8" s="1"/>
  <c r="V117" i="8" s="1"/>
  <c r="V7" i="8" a="1"/>
  <c r="V7" i="8" s="1"/>
  <c r="V62" i="8" s="1"/>
  <c r="V101" i="8" s="1"/>
  <c r="V25" i="8" a="1"/>
  <c r="V25" i="8" s="1"/>
  <c r="V17" i="8" a="1"/>
  <c r="V17" i="8" s="1"/>
  <c r="V6" i="8" a="1"/>
  <c r="V6" i="8" s="1"/>
  <c r="V36" i="8" a="1"/>
  <c r="V36" i="8" s="1"/>
  <c r="V5" i="8" a="1"/>
  <c r="V5" i="8" s="1"/>
  <c r="V60" i="8" s="1"/>
  <c r="V99" i="8" s="1"/>
  <c r="V18" i="8" a="1"/>
  <c r="V18" i="8" s="1"/>
  <c r="P80" i="8"/>
  <c r="P119" i="8" s="1"/>
  <c r="X80" i="8"/>
  <c r="X119" i="8" s="1"/>
  <c r="J80" i="8"/>
  <c r="J119" i="8" s="1"/>
  <c r="O80" i="8"/>
  <c r="O119" i="8" s="1"/>
  <c r="G121" i="13"/>
  <c r="U88" i="12"/>
  <c r="U127" i="12" s="1"/>
  <c r="W88" i="12"/>
  <c r="W127" i="12" s="1"/>
  <c r="T88" i="12"/>
  <c r="T127" i="12" s="1"/>
  <c r="M88" i="12"/>
  <c r="M127" i="12" s="1"/>
  <c r="E32" i="8" a="1"/>
  <c r="E32" i="8" s="1"/>
  <c r="F2" i="12"/>
  <c r="T2" i="12"/>
  <c r="X74" i="8"/>
  <c r="X113" i="8" s="1"/>
  <c r="X64" i="8"/>
  <c r="X103" i="8" s="1"/>
  <c r="S87" i="8"/>
  <c r="S126" i="8" s="1"/>
  <c r="N87" i="8"/>
  <c r="N126" i="8" s="1"/>
  <c r="Q87" i="8"/>
  <c r="Q126" i="8" s="1"/>
  <c r="F87" i="8"/>
  <c r="F126" i="8" s="1"/>
  <c r="K87" i="8"/>
  <c r="K126" i="8" s="1"/>
  <c r="L87" i="8"/>
  <c r="L126" i="8" s="1"/>
  <c r="V80" i="8"/>
  <c r="V119" i="8" s="1"/>
  <c r="X67" i="8"/>
  <c r="X106" i="8" s="1"/>
  <c r="O67" i="8"/>
  <c r="O106" i="8" s="1"/>
  <c r="P67" i="8"/>
  <c r="P106" i="8" s="1"/>
  <c r="M67" i="8"/>
  <c r="M106" i="8" s="1"/>
  <c r="T67" i="8"/>
  <c r="T106" i="8" s="1"/>
  <c r="J67" i="8"/>
  <c r="J106" i="8" s="1"/>
  <c r="V67" i="8"/>
  <c r="V106" i="8" s="1"/>
  <c r="R67" i="8"/>
  <c r="R106" i="8" s="1"/>
  <c r="N67" i="8"/>
  <c r="N106" i="8" s="1"/>
  <c r="P87" i="8"/>
  <c r="P126" i="8" s="1"/>
  <c r="Z59" i="8" a="1"/>
  <c r="Z59" i="8" s="1"/>
  <c r="P59" i="8" s="1"/>
  <c r="P98" i="8" s="1"/>
  <c r="G72" i="8"/>
  <c r="G111" i="8" s="1"/>
  <c r="M60" i="8"/>
  <c r="M99" i="8" s="1"/>
  <c r="L88" i="12"/>
  <c r="L127" i="12" s="1"/>
  <c r="K88" i="12"/>
  <c r="K127" i="12" s="1"/>
  <c r="F88" i="12"/>
  <c r="F127" i="12" s="1"/>
  <c r="J75" i="8"/>
  <c r="J114" i="8" s="1"/>
  <c r="N75" i="8"/>
  <c r="N114" i="8" s="1"/>
  <c r="O75" i="8"/>
  <c r="O114" i="8" s="1"/>
  <c r="P75" i="8"/>
  <c r="P114" i="8" s="1"/>
  <c r="T75" i="8"/>
  <c r="T114" i="8" s="1"/>
  <c r="N60" i="8"/>
  <c r="N99" i="8" s="1"/>
  <c r="J60" i="8"/>
  <c r="J99" i="8" s="1"/>
  <c r="P60" i="8"/>
  <c r="P99" i="8" s="1"/>
  <c r="N64" i="8"/>
  <c r="N103" i="8" s="1"/>
  <c r="G57" i="8"/>
  <c r="G96" i="8" s="1"/>
  <c r="G135" i="8" s="1"/>
  <c r="G48" i="8"/>
  <c r="G38" i="8" a="1"/>
  <c r="G38" i="8" s="1"/>
  <c r="G30" i="8" a="1"/>
  <c r="G30" i="8" s="1"/>
  <c r="G39" i="8" a="1"/>
  <c r="G39" i="8" s="1"/>
  <c r="G33" i="8" a="1"/>
  <c r="G33" i="8" s="1"/>
  <c r="G42" i="8" a="1"/>
  <c r="G42" i="8" s="1"/>
  <c r="G35" i="8" a="1"/>
  <c r="G35" i="8" s="1"/>
  <c r="G29" i="8" a="1"/>
  <c r="G29" i="8" s="1"/>
  <c r="G44" i="8" a="1"/>
  <c r="G44" i="8" s="1"/>
  <c r="G46" i="8" s="1"/>
  <c r="G49" i="8" s="1"/>
  <c r="E3" i="9" s="1"/>
  <c r="G36" i="8" a="1"/>
  <c r="G36" i="8" s="1"/>
  <c r="G20" i="8" a="1"/>
  <c r="G20" i="8" s="1"/>
  <c r="G75" i="8" s="1"/>
  <c r="G114" i="8" s="1"/>
  <c r="G37" i="8" a="1"/>
  <c r="G37" i="8" s="1"/>
  <c r="G22" i="8" a="1"/>
  <c r="G22" i="8" s="1"/>
  <c r="G77" i="8" s="1"/>
  <c r="G116" i="8" s="1"/>
  <c r="G14" i="8" a="1"/>
  <c r="G14" i="8" s="1"/>
  <c r="G69" i="8" s="1"/>
  <c r="G108" i="8" s="1"/>
  <c r="G31" i="8" a="1"/>
  <c r="G31" i="8" s="1"/>
  <c r="G28" i="8" a="1"/>
  <c r="G28" i="8" s="1"/>
  <c r="G83" i="8" s="1"/>
  <c r="G122" i="8" s="1"/>
  <c r="G27" i="8" a="1"/>
  <c r="G27" i="8" s="1"/>
  <c r="G43" i="8"/>
  <c r="G34" i="8" a="1"/>
  <c r="G34" i="8" s="1"/>
  <c r="G26" i="8" a="1"/>
  <c r="G26" i="8" s="1"/>
  <c r="G19" i="8" a="1"/>
  <c r="G19" i="8" s="1"/>
  <c r="G74" i="8" s="1"/>
  <c r="G113" i="8" s="1"/>
  <c r="G10" i="8" a="1"/>
  <c r="G10" i="8" s="1"/>
  <c r="G65" i="8" s="1"/>
  <c r="G104" i="8" s="1"/>
  <c r="G7" i="8" a="1"/>
  <c r="G7" i="8" s="1"/>
  <c r="G62" i="8" s="1"/>
  <c r="G101" i="8" s="1"/>
  <c r="G25" i="8" a="1"/>
  <c r="G25" i="8" s="1"/>
  <c r="G80" i="8" s="1"/>
  <c r="G119" i="8" s="1"/>
  <c r="G24" i="8" a="1"/>
  <c r="G24" i="8" s="1"/>
  <c r="G79" i="8" s="1"/>
  <c r="G118" i="8" s="1"/>
  <c r="G18" i="8" a="1"/>
  <c r="G18" i="8" s="1"/>
  <c r="G9" i="8" a="1"/>
  <c r="G9" i="8" s="1"/>
  <c r="G8" i="8" a="1"/>
  <c r="G8" i="8" s="1"/>
  <c r="G63" i="8" s="1"/>
  <c r="G102" i="8" s="1"/>
  <c r="G3" i="8" a="1"/>
  <c r="G3" i="8" s="1"/>
  <c r="G58" i="8" s="1"/>
  <c r="G97" i="8" s="1"/>
  <c r="G6" i="8" a="1"/>
  <c r="G6" i="8" s="1"/>
  <c r="G61" i="8" s="1"/>
  <c r="G100" i="8" s="1"/>
  <c r="G11" i="8" a="1"/>
  <c r="G11" i="8" s="1"/>
  <c r="G66" i="8" s="1"/>
  <c r="G105" i="8" s="1"/>
  <c r="G40" i="8" a="1"/>
  <c r="G40" i="8" s="1"/>
  <c r="G16" i="8" a="1"/>
  <c r="G16" i="8" s="1"/>
  <c r="G5" i="8" a="1"/>
  <c r="G5" i="8" s="1"/>
  <c r="G60" i="8" s="1"/>
  <c r="G99" i="8" s="1"/>
  <c r="G4" i="8" a="1"/>
  <c r="G4" i="8" s="1"/>
  <c r="G32" i="8" a="1"/>
  <c r="G32" i="8" s="1"/>
  <c r="G21" i="8" a="1"/>
  <c r="G21" i="8" s="1"/>
  <c r="G76" i="8" s="1"/>
  <c r="G115" i="8" s="1"/>
  <c r="G23" i="8" a="1"/>
  <c r="G23" i="8" s="1"/>
  <c r="G17" i="8" a="1"/>
  <c r="G17" i="8" s="1"/>
  <c r="G13" i="8" a="1"/>
  <c r="G13" i="8" s="1"/>
  <c r="G68" i="8" s="1"/>
  <c r="G107" i="8" s="1"/>
  <c r="G15" i="8" a="1"/>
  <c r="G15" i="8" s="1"/>
  <c r="G70" i="8" s="1"/>
  <c r="G109" i="8" s="1"/>
  <c r="G12" i="8" a="1"/>
  <c r="G12" i="8" s="1"/>
  <c r="G67" i="8" s="1"/>
  <c r="G106" i="8" s="1"/>
  <c r="Q57" i="8"/>
  <c r="Q96" i="8" s="1"/>
  <c r="Q135" i="8" s="1"/>
  <c r="Q48" i="8"/>
  <c r="Q42" i="8" a="1"/>
  <c r="Q42" i="8" s="1"/>
  <c r="Q25" i="8" a="1"/>
  <c r="Q25" i="8" s="1"/>
  <c r="Q80" i="8" s="1"/>
  <c r="Q119" i="8" s="1"/>
  <c r="Q17" i="8" a="1"/>
  <c r="Q17" i="8" s="1"/>
  <c r="Q72" i="8" s="1"/>
  <c r="Q111" i="8" s="1"/>
  <c r="Q43" i="8"/>
  <c r="Q19" i="8" a="1"/>
  <c r="Q19" i="8" s="1"/>
  <c r="Q74" i="8" s="1"/>
  <c r="Q113" i="8" s="1"/>
  <c r="Q24" i="8" a="1"/>
  <c r="Q24" i="8" s="1"/>
  <c r="Q79" i="8" s="1"/>
  <c r="Q118" i="8" s="1"/>
  <c r="Q23" i="8" a="1"/>
  <c r="Q23" i="8" s="1"/>
  <c r="Q20" i="8" a="1"/>
  <c r="Q20" i="8" s="1"/>
  <c r="Q75" i="8" s="1"/>
  <c r="Q114" i="8" s="1"/>
  <c r="Q14" i="8" a="1"/>
  <c r="Q14" i="8" s="1"/>
  <c r="Q69" i="8" s="1"/>
  <c r="Q108" i="8" s="1"/>
  <c r="Q12" i="8" a="1"/>
  <c r="Q12" i="8" s="1"/>
  <c r="Q67" i="8" s="1"/>
  <c r="Q106" i="8" s="1"/>
  <c r="Q4" i="8" a="1"/>
  <c r="Q4" i="8" s="1"/>
  <c r="Q9" i="8" a="1"/>
  <c r="Q9" i="8" s="1"/>
  <c r="Q64" i="8" s="1"/>
  <c r="Q103" i="8" s="1"/>
  <c r="Q11" i="8" a="1"/>
  <c r="Q11" i="8" s="1"/>
  <c r="Q66" i="8" s="1"/>
  <c r="Q105" i="8" s="1"/>
  <c r="Q3" i="8" a="1"/>
  <c r="Q3" i="8" s="1"/>
  <c r="Q58" i="8" s="1"/>
  <c r="Q97" i="8" s="1"/>
  <c r="Q21" i="8" a="1"/>
  <c r="Q21" i="8" s="1"/>
  <c r="Q76" i="8" s="1"/>
  <c r="Q115" i="8" s="1"/>
  <c r="Q18" i="8" a="1"/>
  <c r="Q18" i="8" s="1"/>
  <c r="Q13" i="8" a="1"/>
  <c r="Q13" i="8" s="1"/>
  <c r="Q68" i="8" s="1"/>
  <c r="Q107" i="8" s="1"/>
  <c r="Q10" i="8" a="1"/>
  <c r="Q10" i="8" s="1"/>
  <c r="Q65" i="8" s="1"/>
  <c r="Q104" i="8" s="1"/>
  <c r="Q8" i="8" a="1"/>
  <c r="Q8" i="8" s="1"/>
  <c r="Q63" i="8" s="1"/>
  <c r="Q102" i="8" s="1"/>
  <c r="Q44" i="8" a="1"/>
  <c r="Q44" i="8" s="1"/>
  <c r="Q46" i="8" s="1"/>
  <c r="Q49" i="8" s="1"/>
  <c r="Q22" i="8" a="1"/>
  <c r="Q22" i="8" s="1"/>
  <c r="Q77" i="8" s="1"/>
  <c r="Q116" i="8" s="1"/>
  <c r="Q15" i="8" a="1"/>
  <c r="Q15" i="8" s="1"/>
  <c r="Q70" i="8" s="1"/>
  <c r="Q109" i="8" s="1"/>
  <c r="Q5" i="8" a="1"/>
  <c r="Q5" i="8" s="1"/>
  <c r="Q60" i="8" s="1"/>
  <c r="Q99" i="8" s="1"/>
  <c r="Q16" i="8" a="1"/>
  <c r="Q16" i="8" s="1"/>
  <c r="Q71" i="8" s="1"/>
  <c r="Q110" i="8" s="1"/>
  <c r="Q26" i="8" a="1"/>
  <c r="Q26" i="8" s="1"/>
  <c r="Q7" i="8" a="1"/>
  <c r="Q7" i="8" s="1"/>
  <c r="Q62" i="8" s="1"/>
  <c r="Q101" i="8" s="1"/>
  <c r="Q6" i="8" a="1"/>
  <c r="Q6" i="8" s="1"/>
  <c r="Q37" i="8" a="1"/>
  <c r="Q37" i="8" s="1"/>
  <c r="Q29" i="8" a="1"/>
  <c r="Q29" i="8" s="1"/>
  <c r="T81" i="8"/>
  <c r="T120" i="8" s="1"/>
  <c r="J81" i="8"/>
  <c r="J120" i="8" s="1"/>
  <c r="Q81" i="8"/>
  <c r="Q120" i="8" s="1"/>
  <c r="O81" i="8"/>
  <c r="O120" i="8" s="1"/>
  <c r="N81" i="8"/>
  <c r="N120" i="8" s="1"/>
  <c r="X81" i="8"/>
  <c r="X120" i="8" s="1"/>
  <c r="M81" i="8"/>
  <c r="M120" i="8" s="1"/>
  <c r="V81" i="8"/>
  <c r="V120" i="8" s="1"/>
  <c r="P81" i="8"/>
  <c r="P120" i="8" s="1"/>
  <c r="G81" i="8"/>
  <c r="G120" i="8" s="1"/>
  <c r="R81" i="8"/>
  <c r="R120" i="8" s="1"/>
  <c r="P74" i="8"/>
  <c r="P113" i="8" s="1"/>
  <c r="N74" i="8"/>
  <c r="N113" i="8" s="1"/>
  <c r="M74" i="8"/>
  <c r="M113" i="8" s="1"/>
  <c r="V74" i="8"/>
  <c r="V113" i="8" s="1"/>
  <c r="N76" i="8"/>
  <c r="N115" i="8" s="1"/>
  <c r="T76" i="8"/>
  <c r="T115" i="8" s="1"/>
  <c r="M76" i="8"/>
  <c r="M115" i="8" s="1"/>
  <c r="P76" i="8"/>
  <c r="P115" i="8" s="1"/>
  <c r="M68" i="8"/>
  <c r="M107" i="8" s="1"/>
  <c r="V68" i="8"/>
  <c r="V107" i="8" s="1"/>
  <c r="N68" i="8"/>
  <c r="N107" i="8" s="1"/>
  <c r="T68" i="8"/>
  <c r="T107" i="8" s="1"/>
  <c r="K43" i="8"/>
  <c r="K33" i="8" a="1"/>
  <c r="K33" i="8" s="1"/>
  <c r="K38" i="8" a="1"/>
  <c r="K38" i="8" s="1"/>
  <c r="K32" i="8" a="1"/>
  <c r="K32" i="8" s="1"/>
  <c r="K39" i="8" a="1"/>
  <c r="K39" i="8" s="1"/>
  <c r="K48" i="8"/>
  <c r="K40" i="8" a="1"/>
  <c r="K40" i="8" s="1"/>
  <c r="K23" i="8" a="1"/>
  <c r="K23" i="8" s="1"/>
  <c r="K15" i="8" a="1"/>
  <c r="K15" i="8" s="1"/>
  <c r="K70" i="8" s="1"/>
  <c r="K109" i="8" s="1"/>
  <c r="K44" i="8" a="1"/>
  <c r="K44" i="8" s="1"/>
  <c r="K46" i="8" s="1"/>
  <c r="K49" i="8" s="1"/>
  <c r="I3" i="9" s="1"/>
  <c r="K34" i="8" a="1"/>
  <c r="K34" i="8" s="1"/>
  <c r="K35" i="8" a="1"/>
  <c r="K35" i="8" s="1"/>
  <c r="K29" i="8" a="1"/>
  <c r="K29" i="8" s="1"/>
  <c r="K25" i="8" a="1"/>
  <c r="K25" i="8" s="1"/>
  <c r="K17" i="8" a="1"/>
  <c r="K17" i="8" s="1"/>
  <c r="K72" i="8" s="1"/>
  <c r="K111" i="8" s="1"/>
  <c r="K22" i="8" a="1"/>
  <c r="K22" i="8" s="1"/>
  <c r="K77" i="8" s="1"/>
  <c r="K116" i="8" s="1"/>
  <c r="K57" i="8"/>
  <c r="K96" i="8" s="1"/>
  <c r="K135" i="8" s="1"/>
  <c r="K21" i="8" a="1"/>
  <c r="K21" i="8" s="1"/>
  <c r="K76" i="8" s="1"/>
  <c r="K115" i="8" s="1"/>
  <c r="K30" i="8" a="1"/>
  <c r="K30" i="8" s="1"/>
  <c r="K14" i="8" a="1"/>
  <c r="K14" i="8" s="1"/>
  <c r="K69" i="8" s="1"/>
  <c r="K108" i="8" s="1"/>
  <c r="K13" i="8" a="1"/>
  <c r="K13" i="8" s="1"/>
  <c r="K68" i="8" s="1"/>
  <c r="K107" i="8" s="1"/>
  <c r="K5" i="8" a="1"/>
  <c r="K5" i="8" s="1"/>
  <c r="K60" i="8" s="1"/>
  <c r="K99" i="8" s="1"/>
  <c r="K10" i="8" a="1"/>
  <c r="K10" i="8" s="1"/>
  <c r="K37" i="8" a="1"/>
  <c r="K37" i="8" s="1"/>
  <c r="K36" i="8" a="1"/>
  <c r="K36" i="8" s="1"/>
  <c r="K27" i="8" a="1"/>
  <c r="K27" i="8" s="1"/>
  <c r="K82" i="8" s="1"/>
  <c r="K121" i="8" s="1"/>
  <c r="K42" i="8" a="1"/>
  <c r="K42" i="8" s="1"/>
  <c r="K28" i="8" a="1"/>
  <c r="K28" i="8" s="1"/>
  <c r="K83" i="8" s="1"/>
  <c r="K122" i="8" s="1"/>
  <c r="K19" i="8" a="1"/>
  <c r="K19" i="8" s="1"/>
  <c r="K74" i="8" s="1"/>
  <c r="K113" i="8" s="1"/>
  <c r="K12" i="8" a="1"/>
  <c r="K12" i="8" s="1"/>
  <c r="K67" i="8" s="1"/>
  <c r="K106" i="8" s="1"/>
  <c r="K4" i="8" a="1"/>
  <c r="K4" i="8" s="1"/>
  <c r="K18" i="8" a="1"/>
  <c r="K18" i="8" s="1"/>
  <c r="K11" i="8" a="1"/>
  <c r="K11" i="8" s="1"/>
  <c r="K66" i="8" s="1"/>
  <c r="K105" i="8" s="1"/>
  <c r="K3" i="8" a="1"/>
  <c r="K3" i="8" s="1"/>
  <c r="K58" i="8" s="1"/>
  <c r="K97" i="8" s="1"/>
  <c r="K26" i="8" a="1"/>
  <c r="K26" i="8" s="1"/>
  <c r="K20" i="8" a="1"/>
  <c r="K20" i="8" s="1"/>
  <c r="K75" i="8" s="1"/>
  <c r="K114" i="8" s="1"/>
  <c r="K9" i="8" a="1"/>
  <c r="K9" i="8" s="1"/>
  <c r="K64" i="8" s="1"/>
  <c r="K103" i="8" s="1"/>
  <c r="K8" i="8" a="1"/>
  <c r="K8" i="8" s="1"/>
  <c r="K63" i="8" s="1"/>
  <c r="K102" i="8" s="1"/>
  <c r="K6" i="8" a="1"/>
  <c r="K6" i="8" s="1"/>
  <c r="K16" i="8" a="1"/>
  <c r="K16" i="8" s="1"/>
  <c r="K7" i="8" a="1"/>
  <c r="K7" i="8" s="1"/>
  <c r="K62" i="8" s="1"/>
  <c r="K101" i="8" s="1"/>
  <c r="K31" i="8" a="1"/>
  <c r="K31" i="8" s="1"/>
  <c r="K24" i="8" a="1"/>
  <c r="K24" i="8" s="1"/>
  <c r="K79" i="8" s="1"/>
  <c r="K118" i="8" s="1"/>
  <c r="O74" i="8"/>
  <c r="O113" i="8" s="1"/>
  <c r="N80" i="8"/>
  <c r="N119" i="8" s="1"/>
  <c r="K80" i="8"/>
  <c r="K119" i="8" s="1"/>
  <c r="R76" i="8"/>
  <c r="R115" i="8" s="1"/>
  <c r="J72" i="8"/>
  <c r="J111" i="8" s="1"/>
  <c r="V72" i="8"/>
  <c r="V111" i="8" s="1"/>
  <c r="S39" i="8" a="1"/>
  <c r="S39" i="8" s="1"/>
  <c r="S31" i="8" a="1"/>
  <c r="S31" i="8" s="1"/>
  <c r="S35" i="8" a="1"/>
  <c r="S35" i="8" s="1"/>
  <c r="S43" i="8"/>
  <c r="S29" i="8" a="1"/>
  <c r="S29" i="8" s="1"/>
  <c r="S21" i="8" a="1"/>
  <c r="S21" i="8" s="1"/>
  <c r="S76" i="8" s="1"/>
  <c r="S115" i="8" s="1"/>
  <c r="S48" i="8"/>
  <c r="S34" i="8" a="1"/>
  <c r="S34" i="8" s="1"/>
  <c r="S57" i="8"/>
  <c r="S96" i="8" s="1"/>
  <c r="S135" i="8" s="1"/>
  <c r="S44" i="8" a="1"/>
  <c r="S44" i="8" s="1"/>
  <c r="S46" i="8" s="1"/>
  <c r="S49" i="8" s="1"/>
  <c r="S40" i="8" a="1"/>
  <c r="S40" i="8" s="1"/>
  <c r="S36" i="8" a="1"/>
  <c r="S36" i="8" s="1"/>
  <c r="S28" i="8" a="1"/>
  <c r="S28" i="8" s="1"/>
  <c r="S23" i="8" a="1"/>
  <c r="S23" i="8" s="1"/>
  <c r="S15" i="8" a="1"/>
  <c r="S15" i="8" s="1"/>
  <c r="S70" i="8" s="1"/>
  <c r="S109" i="8" s="1"/>
  <c r="S37" i="8" a="1"/>
  <c r="S37" i="8" s="1"/>
  <c r="S20" i="8" a="1"/>
  <c r="S20" i="8" s="1"/>
  <c r="S75" i="8" s="1"/>
  <c r="S114" i="8" s="1"/>
  <c r="S42" i="8" a="1"/>
  <c r="S42" i="8" s="1"/>
  <c r="S32" i="8" a="1"/>
  <c r="S32" i="8" s="1"/>
  <c r="S33" i="8" a="1"/>
  <c r="S33" i="8" s="1"/>
  <c r="S24" i="8" a="1"/>
  <c r="S24" i="8" s="1"/>
  <c r="S16" i="8" a="1"/>
  <c r="S16" i="8" s="1"/>
  <c r="S71" i="8" s="1"/>
  <c r="S110" i="8" s="1"/>
  <c r="S11" i="8" a="1"/>
  <c r="S11" i="8" s="1"/>
  <c r="S66" i="8" s="1"/>
  <c r="S105" i="8" s="1"/>
  <c r="S3" i="8" a="1"/>
  <c r="S3" i="8" s="1"/>
  <c r="S58" i="8" s="1"/>
  <c r="S97" i="8" s="1"/>
  <c r="S8" i="8" a="1"/>
  <c r="S8" i="8" s="1"/>
  <c r="S63" i="8" s="1"/>
  <c r="S102" i="8" s="1"/>
  <c r="S19" i="8" a="1"/>
  <c r="S19" i="8" s="1"/>
  <c r="S74" i="8" s="1"/>
  <c r="S113" i="8" s="1"/>
  <c r="S30" i="8" a="1"/>
  <c r="S30" i="8" s="1"/>
  <c r="S22" i="8" a="1"/>
  <c r="S22" i="8" s="1"/>
  <c r="S77" i="8" s="1"/>
  <c r="S116" i="8" s="1"/>
  <c r="S18" i="8" a="1"/>
  <c r="S18" i="8" s="1"/>
  <c r="S13" i="8" a="1"/>
  <c r="S13" i="8" s="1"/>
  <c r="S68" i="8" s="1"/>
  <c r="S107" i="8" s="1"/>
  <c r="S10" i="8" a="1"/>
  <c r="S10" i="8" s="1"/>
  <c r="S38" i="8" a="1"/>
  <c r="S38" i="8" s="1"/>
  <c r="S25" i="8" a="1"/>
  <c r="S25" i="8" s="1"/>
  <c r="S80" i="8" s="1"/>
  <c r="S119" i="8" s="1"/>
  <c r="S9" i="8" a="1"/>
  <c r="S9" i="8" s="1"/>
  <c r="S64" i="8" s="1"/>
  <c r="S103" i="8" s="1"/>
  <c r="S4" i="8" a="1"/>
  <c r="S4" i="8" s="1"/>
  <c r="S14" i="8" a="1"/>
  <c r="S14" i="8" s="1"/>
  <c r="S69" i="8" s="1"/>
  <c r="S108" i="8" s="1"/>
  <c r="S7" i="8" a="1"/>
  <c r="S7" i="8" s="1"/>
  <c r="S62" i="8" s="1"/>
  <c r="S101" i="8" s="1"/>
  <c r="S17" i="8" a="1"/>
  <c r="S17" i="8" s="1"/>
  <c r="S72" i="8" s="1"/>
  <c r="S111" i="8" s="1"/>
  <c r="S12" i="8" a="1"/>
  <c r="S12" i="8" s="1"/>
  <c r="S67" i="8" s="1"/>
  <c r="S106" i="8" s="1"/>
  <c r="S26" i="8" a="1"/>
  <c r="S26" i="8" s="1"/>
  <c r="S6" i="8" a="1"/>
  <c r="S6" i="8" s="1"/>
  <c r="S27" i="8" a="1"/>
  <c r="S27" i="8" s="1"/>
  <c r="S82" i="8" s="1"/>
  <c r="S121" i="8" s="1"/>
  <c r="S5" i="8" a="1"/>
  <c r="S5" i="8" s="1"/>
  <c r="S60" i="8" s="1"/>
  <c r="S99" i="8" s="1"/>
  <c r="C115" i="13"/>
  <c r="T73" i="8"/>
  <c r="T112" i="8" s="1"/>
  <c r="J73" i="8"/>
  <c r="J112" i="8" s="1"/>
  <c r="Q73" i="8"/>
  <c r="Q112" i="8" s="1"/>
  <c r="G73" i="8"/>
  <c r="G112" i="8" s="1"/>
  <c r="O73" i="8"/>
  <c r="O112" i="8" s="1"/>
  <c r="X73" i="8"/>
  <c r="X112" i="8" s="1"/>
  <c r="N73" i="8"/>
  <c r="N112" i="8" s="1"/>
  <c r="M73" i="8"/>
  <c r="M112" i="8" s="1"/>
  <c r="R73" i="8"/>
  <c r="R112" i="8" s="1"/>
  <c r="V73" i="8"/>
  <c r="V112" i="8" s="1"/>
  <c r="P73" i="8"/>
  <c r="P112" i="8" s="1"/>
  <c r="G64" i="8"/>
  <c r="G103" i="8" s="1"/>
  <c r="R64" i="8"/>
  <c r="R103" i="8" s="1"/>
  <c r="O64" i="8"/>
  <c r="O103" i="8" s="1"/>
  <c r="J64" i="8"/>
  <c r="J103" i="8" s="1"/>
  <c r="M64" i="8"/>
  <c r="M103" i="8" s="1"/>
  <c r="M80" i="8"/>
  <c r="M119" i="8" s="1"/>
  <c r="O76" i="8"/>
  <c r="O115" i="8" s="1"/>
  <c r="J76" i="8"/>
  <c r="J115" i="8" s="1"/>
  <c r="V64" i="8"/>
  <c r="V103" i="8" s="1"/>
  <c r="O72" i="8"/>
  <c r="O111" i="8" s="1"/>
  <c r="N72" i="8"/>
  <c r="N111" i="8" s="1"/>
  <c r="U44" i="8" a="1"/>
  <c r="U44" i="8" s="1"/>
  <c r="U46" i="8" s="1"/>
  <c r="U49" i="8" s="1"/>
  <c r="U43" i="8"/>
  <c r="U57" i="8"/>
  <c r="U96" i="8" s="1"/>
  <c r="U135" i="8" s="1"/>
  <c r="U48" i="8"/>
  <c r="U50" i="8" s="1"/>
  <c r="U20" i="8" a="1"/>
  <c r="U20" i="8" s="1"/>
  <c r="U75" i="8" s="1"/>
  <c r="U114" i="8" s="1"/>
  <c r="U22" i="8" a="1"/>
  <c r="U22" i="8" s="1"/>
  <c r="U77" i="8" s="1"/>
  <c r="U116" i="8" s="1"/>
  <c r="U14" i="8" a="1"/>
  <c r="U14" i="8" s="1"/>
  <c r="U69" i="8" s="1"/>
  <c r="U108" i="8" s="1"/>
  <c r="U19" i="8" a="1"/>
  <c r="U19" i="8" s="1"/>
  <c r="U74" i="8" s="1"/>
  <c r="U113" i="8" s="1"/>
  <c r="U26" i="8" a="1"/>
  <c r="U26" i="8" s="1"/>
  <c r="U81" i="8" s="1"/>
  <c r="U120" i="8" s="1"/>
  <c r="U23" i="8" a="1"/>
  <c r="U23" i="8" s="1"/>
  <c r="U15" i="8" a="1"/>
  <c r="U15" i="8" s="1"/>
  <c r="U70" i="8" s="1"/>
  <c r="U109" i="8" s="1"/>
  <c r="U13" i="8" a="1"/>
  <c r="U13" i="8" s="1"/>
  <c r="U68" i="8" s="1"/>
  <c r="U107" i="8" s="1"/>
  <c r="U7" i="8" a="1"/>
  <c r="U7" i="8" s="1"/>
  <c r="U62" i="8" s="1"/>
  <c r="U101" i="8" s="1"/>
  <c r="U4" i="8" a="1"/>
  <c r="U4" i="8" s="1"/>
  <c r="U18" i="8" a="1"/>
  <c r="U18" i="8" s="1"/>
  <c r="U73" i="8" s="1"/>
  <c r="U112" i="8" s="1"/>
  <c r="U12" i="8" a="1"/>
  <c r="U12" i="8" s="1"/>
  <c r="U67" i="8" s="1"/>
  <c r="U106" i="8" s="1"/>
  <c r="U21" i="8" a="1"/>
  <c r="U21" i="8" s="1"/>
  <c r="U76" i="8" s="1"/>
  <c r="U115" i="8" s="1"/>
  <c r="U17" i="8" a="1"/>
  <c r="U17" i="8" s="1"/>
  <c r="U72" i="8" s="1"/>
  <c r="U111" i="8" s="1"/>
  <c r="U6" i="8" a="1"/>
  <c r="U6" i="8" s="1"/>
  <c r="U24" i="8" a="1"/>
  <c r="U24" i="8" s="1"/>
  <c r="U79" i="8" s="1"/>
  <c r="U118" i="8" s="1"/>
  <c r="U5" i="8" a="1"/>
  <c r="U5" i="8" s="1"/>
  <c r="U60" i="8" s="1"/>
  <c r="U99" i="8" s="1"/>
  <c r="U3" i="8" a="1"/>
  <c r="U3" i="8" s="1"/>
  <c r="U58" i="8" s="1"/>
  <c r="U97" i="8" s="1"/>
  <c r="U11" i="8" a="1"/>
  <c r="U11" i="8" s="1"/>
  <c r="U66" i="8" s="1"/>
  <c r="U105" i="8" s="1"/>
  <c r="U16" i="8" a="1"/>
  <c r="U16" i="8" s="1"/>
  <c r="U8" i="8" a="1"/>
  <c r="U8" i="8" s="1"/>
  <c r="U63" i="8" s="1"/>
  <c r="U102" i="8" s="1"/>
  <c r="U25" i="8" a="1"/>
  <c r="U25" i="8" s="1"/>
  <c r="U80" i="8" s="1"/>
  <c r="U119" i="8" s="1"/>
  <c r="U42" i="8" a="1"/>
  <c r="U42" i="8" s="1"/>
  <c r="U10" i="8" a="1"/>
  <c r="U10" i="8" s="1"/>
  <c r="U65" i="8" s="1"/>
  <c r="U104" i="8" s="1"/>
  <c r="U9" i="8" a="1"/>
  <c r="U9" i="8" s="1"/>
  <c r="U64" i="8" s="1"/>
  <c r="U103" i="8" s="1"/>
  <c r="U37" i="8" a="1"/>
  <c r="U37" i="8" s="1"/>
  <c r="U29" i="8" a="1"/>
  <c r="U29" i="8" s="1"/>
  <c r="E48" i="8"/>
  <c r="E43" i="8"/>
  <c r="E24" i="8" a="1"/>
  <c r="E24" i="8" s="1"/>
  <c r="E79" i="8" s="1"/>
  <c r="E118" i="8" s="1"/>
  <c r="E16" i="8" a="1"/>
  <c r="E16" i="8" s="1"/>
  <c r="E26" i="8" a="1"/>
  <c r="E26" i="8" s="1"/>
  <c r="E81" i="8" s="1"/>
  <c r="E120" i="8" s="1"/>
  <c r="E18" i="8" a="1"/>
  <c r="E18" i="8" s="1"/>
  <c r="E73" i="8" s="1"/>
  <c r="E112" i="8" s="1"/>
  <c r="E42" i="8" a="1"/>
  <c r="E42" i="8" s="1"/>
  <c r="E23" i="8" a="1"/>
  <c r="E23" i="8" s="1"/>
  <c r="E78" i="8" s="1"/>
  <c r="E117" i="8" s="1"/>
  <c r="E44" i="8" a="1"/>
  <c r="E44" i="8" s="1"/>
  <c r="E46" i="8" s="1"/>
  <c r="E49" i="8" s="1"/>
  <c r="C3" i="9" s="1"/>
  <c r="E22" i="8" a="1"/>
  <c r="E22" i="8" s="1"/>
  <c r="E77" i="8" s="1"/>
  <c r="E116" i="8" s="1"/>
  <c r="E57" i="8"/>
  <c r="E96" i="8" s="1"/>
  <c r="E135" i="8" s="1"/>
  <c r="E27" i="8" a="1"/>
  <c r="E27" i="8" s="1"/>
  <c r="E17" i="8" a="1"/>
  <c r="E17" i="8" s="1"/>
  <c r="E72" i="8" s="1"/>
  <c r="E111" i="8" s="1"/>
  <c r="E11" i="8" a="1"/>
  <c r="E11" i="8" s="1"/>
  <c r="E66" i="8" s="1"/>
  <c r="E105" i="8" s="1"/>
  <c r="E8" i="8" a="1"/>
  <c r="E8" i="8" s="1"/>
  <c r="E63" i="8" s="1"/>
  <c r="E102" i="8" s="1"/>
  <c r="E21" i="8" a="1"/>
  <c r="E21" i="8" s="1"/>
  <c r="E76" i="8" s="1"/>
  <c r="E115" i="8" s="1"/>
  <c r="E20" i="8" a="1"/>
  <c r="E20" i="8" s="1"/>
  <c r="E75" i="8" s="1"/>
  <c r="E114" i="8" s="1"/>
  <c r="E25" i="8" a="1"/>
  <c r="E25" i="8" s="1"/>
  <c r="E80" i="8" s="1"/>
  <c r="E119" i="8" s="1"/>
  <c r="E10" i="8" a="1"/>
  <c r="E10" i="8" s="1"/>
  <c r="E65" i="8" s="1"/>
  <c r="E104" i="8" s="1"/>
  <c r="E9" i="8" a="1"/>
  <c r="E9" i="8" s="1"/>
  <c r="E64" i="8" s="1"/>
  <c r="E103" i="8" s="1"/>
  <c r="E15" i="8" a="1"/>
  <c r="E15" i="8" s="1"/>
  <c r="E70" i="8" s="1"/>
  <c r="E109" i="8" s="1"/>
  <c r="E7" i="8" a="1"/>
  <c r="E7" i="8" s="1"/>
  <c r="E62" i="8" s="1"/>
  <c r="E101" i="8" s="1"/>
  <c r="E19" i="8" a="1"/>
  <c r="E19" i="8" s="1"/>
  <c r="E74" i="8" s="1"/>
  <c r="E113" i="8" s="1"/>
  <c r="E12" i="8" a="1"/>
  <c r="E12" i="8" s="1"/>
  <c r="E67" i="8" s="1"/>
  <c r="E106" i="8" s="1"/>
  <c r="E6" i="8" a="1"/>
  <c r="E6" i="8" s="1"/>
  <c r="E5" i="8" a="1"/>
  <c r="E5" i="8" s="1"/>
  <c r="E60" i="8" s="1"/>
  <c r="E99" i="8" s="1"/>
  <c r="E3" i="8" a="1"/>
  <c r="E3" i="8" s="1"/>
  <c r="E58" i="8" s="1"/>
  <c r="E97" i="8" s="1"/>
  <c r="E4" i="8" a="1"/>
  <c r="E4" i="8" s="1"/>
  <c r="E14" i="8" a="1"/>
  <c r="E14" i="8" s="1"/>
  <c r="E69" i="8" s="1"/>
  <c r="E108" i="8" s="1"/>
  <c r="E13" i="8" a="1"/>
  <c r="E13" i="8" s="1"/>
  <c r="E68" i="8" s="1"/>
  <c r="E107" i="8" s="1"/>
  <c r="E33" i="8" a="1"/>
  <c r="E33" i="8" s="1"/>
  <c r="E36" i="8" a="1"/>
  <c r="E36" i="8" s="1"/>
  <c r="E28" i="8" a="1"/>
  <c r="E28" i="8" s="1"/>
  <c r="N82" i="8"/>
  <c r="N121" i="8" s="1"/>
  <c r="V79" i="8"/>
  <c r="V118" i="8" s="1"/>
  <c r="S79" i="8"/>
  <c r="S118" i="8" s="1"/>
  <c r="O79" i="8"/>
  <c r="O118" i="8" s="1"/>
  <c r="J79" i="8"/>
  <c r="J118" i="8" s="1"/>
  <c r="P79" i="8"/>
  <c r="P118" i="8" s="1"/>
  <c r="H57" i="8"/>
  <c r="H96" i="8" s="1"/>
  <c r="H135" i="8" s="1"/>
  <c r="H44" i="8" a="1"/>
  <c r="H44" i="8" s="1"/>
  <c r="H46" i="8" s="1"/>
  <c r="H49" i="8" s="1"/>
  <c r="F3" i="9" s="1"/>
  <c r="H40" i="8" a="1"/>
  <c r="H40" i="8" s="1"/>
  <c r="H32" i="8" a="1"/>
  <c r="H32" i="8" s="1"/>
  <c r="H42" i="8" a="1"/>
  <c r="H42" i="8" s="1"/>
  <c r="H36" i="8" a="1"/>
  <c r="H36" i="8" s="1"/>
  <c r="H30" i="8" a="1"/>
  <c r="H30" i="8" s="1"/>
  <c r="H43" i="8"/>
  <c r="H22" i="8" a="1"/>
  <c r="H22" i="8" s="1"/>
  <c r="H77" i="8" s="1"/>
  <c r="H116" i="8" s="1"/>
  <c r="H31" i="8" a="1"/>
  <c r="H31" i="8" s="1"/>
  <c r="H38" i="8" a="1"/>
  <c r="H38" i="8" s="1"/>
  <c r="H24" i="8" a="1"/>
  <c r="H24" i="8" s="1"/>
  <c r="H79" i="8" s="1"/>
  <c r="H118" i="8" s="1"/>
  <c r="H16" i="8" a="1"/>
  <c r="H16" i="8" s="1"/>
  <c r="H71" i="8" s="1"/>
  <c r="H110" i="8" s="1"/>
  <c r="H21" i="8" a="1"/>
  <c r="H21" i="8" s="1"/>
  <c r="H76" i="8" s="1"/>
  <c r="H115" i="8" s="1"/>
  <c r="H35" i="8" a="1"/>
  <c r="H35" i="8" s="1"/>
  <c r="H29" i="8" a="1"/>
  <c r="H29" i="8" s="1"/>
  <c r="H84" i="8" s="1"/>
  <c r="H123" i="8" s="1"/>
  <c r="H20" i="8" a="1"/>
  <c r="H20" i="8" s="1"/>
  <c r="H75" i="8" s="1"/>
  <c r="H114" i="8" s="1"/>
  <c r="H48" i="8"/>
  <c r="H25" i="8" a="1"/>
  <c r="H25" i="8" s="1"/>
  <c r="H80" i="8" s="1"/>
  <c r="H119" i="8" s="1"/>
  <c r="H15" i="8" a="1"/>
  <c r="H15" i="8" s="1"/>
  <c r="H70" i="8" s="1"/>
  <c r="H12" i="8" a="1"/>
  <c r="H12" i="8" s="1"/>
  <c r="H67" i="8" s="1"/>
  <c r="H106" i="8" s="1"/>
  <c r="H4" i="8" a="1"/>
  <c r="H4" i="8" s="1"/>
  <c r="H18" i="8" a="1"/>
  <c r="H18" i="8" s="1"/>
  <c r="H73" i="8" s="1"/>
  <c r="H112" i="8" s="1"/>
  <c r="H9" i="8" a="1"/>
  <c r="H9" i="8" s="1"/>
  <c r="H64" i="8" s="1"/>
  <c r="H103" i="8" s="1"/>
  <c r="H37" i="8" a="1"/>
  <c r="H37" i="8" s="1"/>
  <c r="H39" i="8" a="1"/>
  <c r="H39" i="8" s="1"/>
  <c r="H23" i="8" a="1"/>
  <c r="H23" i="8" s="1"/>
  <c r="H78" i="8" s="1"/>
  <c r="H117" i="8" s="1"/>
  <c r="H11" i="8" a="1"/>
  <c r="H11" i="8" s="1"/>
  <c r="H66" i="8" s="1"/>
  <c r="H105" i="8" s="1"/>
  <c r="H26" i="8" a="1"/>
  <c r="H26" i="8" s="1"/>
  <c r="H81" i="8" s="1"/>
  <c r="H120" i="8" s="1"/>
  <c r="H10" i="8" a="1"/>
  <c r="H10" i="8" s="1"/>
  <c r="H65" i="8" s="1"/>
  <c r="H104" i="8" s="1"/>
  <c r="H34" i="8" a="1"/>
  <c r="H34" i="8" s="1"/>
  <c r="H28" i="8" a="1"/>
  <c r="H28" i="8" s="1"/>
  <c r="H83" i="8" s="1"/>
  <c r="H122" i="8" s="1"/>
  <c r="H5" i="8" a="1"/>
  <c r="H5" i="8" s="1"/>
  <c r="H60" i="8" s="1"/>
  <c r="H99" i="8" s="1"/>
  <c r="H8" i="8" a="1"/>
  <c r="H8" i="8" s="1"/>
  <c r="H63" i="8" s="1"/>
  <c r="H102" i="8" s="1"/>
  <c r="H33" i="8" a="1"/>
  <c r="H33" i="8" s="1"/>
  <c r="H27" i="8" a="1"/>
  <c r="H27" i="8" s="1"/>
  <c r="H82" i="8" s="1"/>
  <c r="H121" i="8" s="1"/>
  <c r="H19" i="8" a="1"/>
  <c r="H19" i="8" s="1"/>
  <c r="H74" i="8" s="1"/>
  <c r="H113" i="8" s="1"/>
  <c r="H17" i="8" a="1"/>
  <c r="H17" i="8" s="1"/>
  <c r="H72" i="8" s="1"/>
  <c r="H3" i="8" a="1"/>
  <c r="H3" i="8" s="1"/>
  <c r="H58" i="8" s="1"/>
  <c r="H97" i="8" s="1"/>
  <c r="H13" i="8" a="1"/>
  <c r="H13" i="8" s="1"/>
  <c r="H68" i="8" s="1"/>
  <c r="H107" i="8" s="1"/>
  <c r="H14" i="8" a="1"/>
  <c r="H14" i="8" s="1"/>
  <c r="H69" i="8" s="1"/>
  <c r="H108" i="8" s="1"/>
  <c r="H7" i="8" a="1"/>
  <c r="H7" i="8" s="1"/>
  <c r="H62" i="8" s="1"/>
  <c r="H101" i="8" s="1"/>
  <c r="H6" i="8" a="1"/>
  <c r="H6" i="8" s="1"/>
  <c r="W34" i="8" a="1"/>
  <c r="W34" i="8" s="1"/>
  <c r="W57" i="8"/>
  <c r="W96" i="8" s="1"/>
  <c r="W135" i="8" s="1"/>
  <c r="W35" i="8" a="1"/>
  <c r="W35" i="8" s="1"/>
  <c r="W29" i="8" a="1"/>
  <c r="W29" i="8" s="1"/>
  <c r="W43" i="8"/>
  <c r="W31" i="8" a="1"/>
  <c r="W31" i="8" s="1"/>
  <c r="W24" i="8" a="1"/>
  <c r="W24" i="8" s="1"/>
  <c r="W79" i="8" s="1"/>
  <c r="W118" i="8" s="1"/>
  <c r="W16" i="8" a="1"/>
  <c r="W16" i="8" s="1"/>
  <c r="W71" i="8" s="1"/>
  <c r="W110" i="8" s="1"/>
  <c r="W39" i="8" a="1"/>
  <c r="W39" i="8" s="1"/>
  <c r="W42" i="8" a="1"/>
  <c r="W42" i="8" s="1"/>
  <c r="W32" i="8" a="1"/>
  <c r="W32" i="8" s="1"/>
  <c r="W26" i="8" a="1"/>
  <c r="W26" i="8" s="1"/>
  <c r="W81" i="8" s="1"/>
  <c r="W120" i="8" s="1"/>
  <c r="W18" i="8" a="1"/>
  <c r="W18" i="8" s="1"/>
  <c r="W73" i="8" s="1"/>
  <c r="W112" i="8" s="1"/>
  <c r="W33" i="8" a="1"/>
  <c r="W33" i="8" s="1"/>
  <c r="W23" i="8" a="1"/>
  <c r="W23" i="8" s="1"/>
  <c r="W78" i="8" s="1"/>
  <c r="W117" i="8" s="1"/>
  <c r="W40" i="8" a="1"/>
  <c r="W40" i="8" s="1"/>
  <c r="W22" i="8" a="1"/>
  <c r="W22" i="8" s="1"/>
  <c r="W77" i="8" s="1"/>
  <c r="W116" i="8" s="1"/>
  <c r="W30" i="8" a="1"/>
  <c r="W30" i="8" s="1"/>
  <c r="W17" i="8" a="1"/>
  <c r="W17" i="8" s="1"/>
  <c r="W72" i="8" s="1"/>
  <c r="W111" i="8" s="1"/>
  <c r="W6" i="8" a="1"/>
  <c r="W6" i="8" s="1"/>
  <c r="W61" i="8" s="1"/>
  <c r="W100" i="8" s="1"/>
  <c r="W11" i="8" a="1"/>
  <c r="W11" i="8" s="1"/>
  <c r="W66" i="8" s="1"/>
  <c r="W105" i="8" s="1"/>
  <c r="W3" i="8" a="1"/>
  <c r="W3" i="8" s="1"/>
  <c r="W58" i="8" s="1"/>
  <c r="W97" i="8" s="1"/>
  <c r="W20" i="8" a="1"/>
  <c r="W20" i="8" s="1"/>
  <c r="W75" i="8" s="1"/>
  <c r="W114" i="8" s="1"/>
  <c r="W27" i="8" a="1"/>
  <c r="W27" i="8" s="1"/>
  <c r="W82" i="8" s="1"/>
  <c r="W121" i="8" s="1"/>
  <c r="W21" i="8" a="1"/>
  <c r="W21" i="8" s="1"/>
  <c r="W76" i="8" s="1"/>
  <c r="W115" i="8" s="1"/>
  <c r="W28" i="8" a="1"/>
  <c r="W28" i="8" s="1"/>
  <c r="W25" i="8" a="1"/>
  <c r="W25" i="8" s="1"/>
  <c r="W80" i="8" s="1"/>
  <c r="W119" i="8" s="1"/>
  <c r="W5" i="8" a="1"/>
  <c r="W5" i="8" s="1"/>
  <c r="W60" i="8" s="1"/>
  <c r="W99" i="8" s="1"/>
  <c r="W48" i="8"/>
  <c r="W12" i="8" a="1"/>
  <c r="W12" i="8" s="1"/>
  <c r="W67" i="8" s="1"/>
  <c r="W106" i="8" s="1"/>
  <c r="W4" i="8" a="1"/>
  <c r="W4" i="8" s="1"/>
  <c r="W44" i="8" a="1"/>
  <c r="W44" i="8" s="1"/>
  <c r="W46" i="8" s="1"/>
  <c r="W49" i="8" s="1"/>
  <c r="W37" i="8" a="1"/>
  <c r="W37" i="8" s="1"/>
  <c r="W13" i="8" a="1"/>
  <c r="W13" i="8" s="1"/>
  <c r="W68" i="8" s="1"/>
  <c r="W107" i="8" s="1"/>
  <c r="W7" i="8" a="1"/>
  <c r="W7" i="8" s="1"/>
  <c r="W62" i="8" s="1"/>
  <c r="W101" i="8" s="1"/>
  <c r="W15" i="8" a="1"/>
  <c r="W15" i="8" s="1"/>
  <c r="W70" i="8" s="1"/>
  <c r="W109" i="8" s="1"/>
  <c r="W10" i="8" a="1"/>
  <c r="W10" i="8" s="1"/>
  <c r="W65" i="8" s="1"/>
  <c r="W104" i="8" s="1"/>
  <c r="W14" i="8" a="1"/>
  <c r="W14" i="8" s="1"/>
  <c r="W69" i="8" s="1"/>
  <c r="W108" i="8" s="1"/>
  <c r="W36" i="8" a="1"/>
  <c r="W36" i="8" s="1"/>
  <c r="W19" i="8" a="1"/>
  <c r="W19" i="8" s="1"/>
  <c r="W74" i="8" s="1"/>
  <c r="W113" i="8" s="1"/>
  <c r="W38" i="8" a="1"/>
  <c r="W38" i="8" s="1"/>
  <c r="W9" i="8" a="1"/>
  <c r="W9" i="8" s="1"/>
  <c r="W64" i="8" s="1"/>
  <c r="W103" i="8" s="1"/>
  <c r="W8" i="8" a="1"/>
  <c r="W8" i="8" s="1"/>
  <c r="W63" i="8" s="1"/>
  <c r="W102" i="8" s="1"/>
  <c r="I57" i="8"/>
  <c r="I96" i="8" s="1"/>
  <c r="I135" i="8" s="1"/>
  <c r="I43" i="8"/>
  <c r="I42" i="8" a="1"/>
  <c r="I42" i="8" s="1"/>
  <c r="I27" i="8" a="1"/>
  <c r="I27" i="8" s="1"/>
  <c r="I19" i="8" a="1"/>
  <c r="I19" i="8" s="1"/>
  <c r="I74" i="8" s="1"/>
  <c r="I113" i="8" s="1"/>
  <c r="I21" i="8" a="1"/>
  <c r="I21" i="8" s="1"/>
  <c r="I76" i="8" s="1"/>
  <c r="I115" i="8" s="1"/>
  <c r="I44" i="8" a="1"/>
  <c r="I44" i="8" s="1"/>
  <c r="I46" i="8" s="1"/>
  <c r="I49" i="8" s="1"/>
  <c r="G3" i="9" s="1"/>
  <c r="I26" i="8" a="1"/>
  <c r="I26" i="8" s="1"/>
  <c r="I81" i="8" s="1"/>
  <c r="I120" i="8" s="1"/>
  <c r="I25" i="8" a="1"/>
  <c r="I25" i="8" s="1"/>
  <c r="I80" i="8" s="1"/>
  <c r="I119" i="8" s="1"/>
  <c r="I18" i="8" a="1"/>
  <c r="I18" i="8" s="1"/>
  <c r="I73" i="8" s="1"/>
  <c r="I112" i="8" s="1"/>
  <c r="I6" i="8" a="1"/>
  <c r="I6" i="8" s="1"/>
  <c r="I11" i="8" a="1"/>
  <c r="I11" i="8" s="1"/>
  <c r="I66" i="8" s="1"/>
  <c r="I105" i="8" s="1"/>
  <c r="I24" i="8" a="1"/>
  <c r="I24" i="8" s="1"/>
  <c r="I79" i="8" s="1"/>
  <c r="I118" i="8" s="1"/>
  <c r="I23" i="8" a="1"/>
  <c r="I23" i="8" s="1"/>
  <c r="I78" i="8" s="1"/>
  <c r="I117" i="8" s="1"/>
  <c r="I17" i="8" a="1"/>
  <c r="I17" i="8" s="1"/>
  <c r="I72" i="8" s="1"/>
  <c r="I111" i="8" s="1"/>
  <c r="I13" i="8" a="1"/>
  <c r="I13" i="8" s="1"/>
  <c r="I68" i="8" s="1"/>
  <c r="I107" i="8" s="1"/>
  <c r="I5" i="8" a="1"/>
  <c r="I5" i="8" s="1"/>
  <c r="I60" i="8" s="1"/>
  <c r="I99" i="8" s="1"/>
  <c r="I12" i="8" a="1"/>
  <c r="I12" i="8" s="1"/>
  <c r="I67" i="8" s="1"/>
  <c r="I106" i="8" s="1"/>
  <c r="I4" i="8" a="1"/>
  <c r="I4" i="8" s="1"/>
  <c r="I10" i="8" a="1"/>
  <c r="I10" i="8" s="1"/>
  <c r="I65" i="8" s="1"/>
  <c r="I104" i="8" s="1"/>
  <c r="I20" i="8" a="1"/>
  <c r="I20" i="8" s="1"/>
  <c r="I75" i="8" s="1"/>
  <c r="I114" i="8" s="1"/>
  <c r="I16" i="8" a="1"/>
  <c r="I16" i="8" s="1"/>
  <c r="I14" i="8" a="1"/>
  <c r="I14" i="8" s="1"/>
  <c r="I69" i="8" s="1"/>
  <c r="I108" i="8" s="1"/>
  <c r="I9" i="8" a="1"/>
  <c r="I9" i="8" s="1"/>
  <c r="I64" i="8" s="1"/>
  <c r="I103" i="8" s="1"/>
  <c r="I3" i="8" a="1"/>
  <c r="I3" i="8" s="1"/>
  <c r="I58" i="8" s="1"/>
  <c r="I97" i="8" s="1"/>
  <c r="I22" i="8" a="1"/>
  <c r="I22" i="8" s="1"/>
  <c r="I77" i="8" s="1"/>
  <c r="I116" i="8" s="1"/>
  <c r="I8" i="8" a="1"/>
  <c r="I8" i="8" s="1"/>
  <c r="I63" i="8" s="1"/>
  <c r="I102" i="8" s="1"/>
  <c r="I7" i="8" a="1"/>
  <c r="I7" i="8" s="1"/>
  <c r="I62" i="8" s="1"/>
  <c r="I101" i="8" s="1"/>
  <c r="I15" i="8" a="1"/>
  <c r="I15" i="8" s="1"/>
  <c r="I70" i="8" s="1"/>
  <c r="I109" i="8" s="1"/>
  <c r="I48" i="8"/>
  <c r="G82" i="8"/>
  <c r="G121" i="8" s="1"/>
  <c r="O50" i="8"/>
  <c r="K5" i="9"/>
  <c r="M50" i="8"/>
  <c r="K4" i="9" s="1"/>
  <c r="P50" i="8"/>
  <c r="T61" i="8"/>
  <c r="T100" i="8" s="1"/>
  <c r="K61" i="8"/>
  <c r="K100" i="8" s="1"/>
  <c r="X61" i="8"/>
  <c r="X100" i="8" s="1"/>
  <c r="M61" i="8"/>
  <c r="M100" i="8" s="1"/>
  <c r="U61" i="8"/>
  <c r="U100" i="8" s="1"/>
  <c r="J61" i="8"/>
  <c r="J100" i="8" s="1"/>
  <c r="R61" i="8"/>
  <c r="R100" i="8" s="1"/>
  <c r="H61" i="8"/>
  <c r="H100" i="8" s="1"/>
  <c r="Q61" i="8"/>
  <c r="Q100" i="8" s="1"/>
  <c r="F61" i="8"/>
  <c r="F100" i="8" s="1"/>
  <c r="P61" i="8"/>
  <c r="P100" i="8" s="1"/>
  <c r="P139" i="8" s="1"/>
  <c r="E61" i="8"/>
  <c r="E100" i="8" s="1"/>
  <c r="V61" i="8"/>
  <c r="V100" i="8" s="1"/>
  <c r="N61" i="8"/>
  <c r="N100" i="8" s="1"/>
  <c r="I61" i="8"/>
  <c r="I100" i="8" s="1"/>
  <c r="S61" i="8"/>
  <c r="S100" i="8" s="1"/>
  <c r="I82" i="8"/>
  <c r="I121" i="8" s="1"/>
  <c r="E82" i="8"/>
  <c r="E121" i="8" s="1"/>
  <c r="R50" i="8"/>
  <c r="T78" i="8"/>
  <c r="T117" i="8" s="1"/>
  <c r="R78" i="8"/>
  <c r="R117" i="8" s="1"/>
  <c r="G78" i="8"/>
  <c r="G117" i="8" s="1"/>
  <c r="K78" i="8"/>
  <c r="K117" i="8" s="1"/>
  <c r="U78" i="8"/>
  <c r="U117" i="8" s="1"/>
  <c r="S78" i="8"/>
  <c r="S117" i="8" s="1"/>
  <c r="Q78" i="8"/>
  <c r="Q117" i="8" s="1"/>
  <c r="J78" i="8"/>
  <c r="J117" i="8" s="1"/>
  <c r="S84" i="8"/>
  <c r="S123" i="8" s="1"/>
  <c r="J84" i="8"/>
  <c r="J123" i="8" s="1"/>
  <c r="R84" i="8"/>
  <c r="R123" i="8" s="1"/>
  <c r="I84" i="8"/>
  <c r="I123" i="8" s="1"/>
  <c r="N84" i="8"/>
  <c r="N123" i="8" s="1"/>
  <c r="W84" i="8"/>
  <c r="W123" i="8" s="1"/>
  <c r="V84" i="8"/>
  <c r="V123" i="8" s="1"/>
  <c r="K84" i="8"/>
  <c r="K123" i="8" s="1"/>
  <c r="U84" i="8"/>
  <c r="U123" i="8" s="1"/>
  <c r="G84" i="8"/>
  <c r="G123" i="8" s="1"/>
  <c r="T84" i="8"/>
  <c r="T123" i="8" s="1"/>
  <c r="Q84" i="8"/>
  <c r="Q123" i="8" s="1"/>
  <c r="E84" i="8"/>
  <c r="E123" i="8" s="1"/>
  <c r="O84" i="8"/>
  <c r="O123" i="8" s="1"/>
  <c r="M84" i="8"/>
  <c r="M123" i="8" s="1"/>
  <c r="F44" i="8" a="1"/>
  <c r="F44" i="8" s="1"/>
  <c r="F46" i="8" s="1"/>
  <c r="F49" i="8" s="1"/>
  <c r="D3" i="9" s="1"/>
  <c r="F42" i="8" a="1"/>
  <c r="F42" i="8" s="1"/>
  <c r="F36" i="8" a="1"/>
  <c r="F36" i="8" s="1"/>
  <c r="F28" i="8" a="1"/>
  <c r="F28" i="8" s="1"/>
  <c r="F38" i="8" a="1"/>
  <c r="F38" i="8" s="1"/>
  <c r="F32" i="8" a="1"/>
  <c r="F32" i="8" s="1"/>
  <c r="F39" i="8" a="1"/>
  <c r="F39" i="8" s="1"/>
  <c r="F57" i="8"/>
  <c r="F96" i="8" s="1"/>
  <c r="F135" i="8" s="1"/>
  <c r="F40" i="8" a="1"/>
  <c r="F40" i="8" s="1"/>
  <c r="F35" i="8" a="1"/>
  <c r="F35" i="8" s="1"/>
  <c r="F26" i="8" a="1"/>
  <c r="F26" i="8" s="1"/>
  <c r="F81" i="8" s="1"/>
  <c r="F120" i="8" s="1"/>
  <c r="F18" i="8" a="1"/>
  <c r="F18" i="8" s="1"/>
  <c r="F73" i="8" s="1"/>
  <c r="F112" i="8" s="1"/>
  <c r="F20" i="8" a="1"/>
  <c r="F20" i="8" s="1"/>
  <c r="F75" i="8" s="1"/>
  <c r="F114" i="8" s="1"/>
  <c r="F37" i="8" a="1"/>
  <c r="F37" i="8" s="1"/>
  <c r="F25" i="8" a="1"/>
  <c r="F25" i="8" s="1"/>
  <c r="F80" i="8" s="1"/>
  <c r="F119" i="8" s="1"/>
  <c r="F48" i="8"/>
  <c r="F33" i="8" a="1"/>
  <c r="F33" i="8" s="1"/>
  <c r="F30" i="8" a="1"/>
  <c r="F30" i="8" s="1"/>
  <c r="F24" i="8" a="1"/>
  <c r="F24" i="8" s="1"/>
  <c r="F79" i="8" s="1"/>
  <c r="F118" i="8" s="1"/>
  <c r="F21" i="8" a="1"/>
  <c r="F21" i="8" s="1"/>
  <c r="F76" i="8" s="1"/>
  <c r="F115" i="8" s="1"/>
  <c r="F14" i="8" a="1"/>
  <c r="F14" i="8" s="1"/>
  <c r="F69" i="8" s="1"/>
  <c r="F108" i="8" s="1"/>
  <c r="F8" i="8" a="1"/>
  <c r="F8" i="8" s="1"/>
  <c r="F63" i="8" s="1"/>
  <c r="F102" i="8" s="1"/>
  <c r="F3" i="8" a="1"/>
  <c r="F3" i="8" s="1"/>
  <c r="F58" i="8" s="1"/>
  <c r="F97" i="8" s="1"/>
  <c r="F16" i="8" a="1"/>
  <c r="F16" i="8" s="1"/>
  <c r="F71" i="8" s="1"/>
  <c r="F110" i="8" s="1"/>
  <c r="F13" i="8" a="1"/>
  <c r="F13" i="8" s="1"/>
  <c r="F68" i="8" s="1"/>
  <c r="F107" i="8" s="1"/>
  <c r="F19" i="8" a="1"/>
  <c r="F19" i="8" s="1"/>
  <c r="F74" i="8" s="1"/>
  <c r="F113" i="8" s="1"/>
  <c r="F29" i="8" a="1"/>
  <c r="F29" i="8" s="1"/>
  <c r="F84" i="8" s="1"/>
  <c r="F123" i="8" s="1"/>
  <c r="F5" i="8" a="1"/>
  <c r="F5" i="8" s="1"/>
  <c r="F60" i="8" s="1"/>
  <c r="F99" i="8" s="1"/>
  <c r="F15" i="8" a="1"/>
  <c r="F15" i="8" s="1"/>
  <c r="F70" i="8" s="1"/>
  <c r="F7" i="8" a="1"/>
  <c r="F7" i="8" s="1"/>
  <c r="F62" i="8" s="1"/>
  <c r="F101" i="8" s="1"/>
  <c r="F22" i="8" a="1"/>
  <c r="F22" i="8" s="1"/>
  <c r="F77" i="8" s="1"/>
  <c r="F116" i="8" s="1"/>
  <c r="F17" i="8" a="1"/>
  <c r="F17" i="8" s="1"/>
  <c r="F72" i="8" s="1"/>
  <c r="F6" i="8" a="1"/>
  <c r="F6" i="8" s="1"/>
  <c r="F12" i="8" a="1"/>
  <c r="F12" i="8" s="1"/>
  <c r="F67" i="8" s="1"/>
  <c r="F106" i="8" s="1"/>
  <c r="F4" i="8" a="1"/>
  <c r="F4" i="8" s="1"/>
  <c r="F34" i="8" a="1"/>
  <c r="F34" i="8" s="1"/>
  <c r="F11" i="8" a="1"/>
  <c r="F11" i="8" s="1"/>
  <c r="F66" i="8" s="1"/>
  <c r="F105" i="8" s="1"/>
  <c r="F10" i="8" a="1"/>
  <c r="F10" i="8" s="1"/>
  <c r="F65" i="8" s="1"/>
  <c r="F104" i="8" s="1"/>
  <c r="F43" i="8"/>
  <c r="F27" i="8" a="1"/>
  <c r="F27" i="8" s="1"/>
  <c r="F9" i="8" a="1"/>
  <c r="F9" i="8" s="1"/>
  <c r="F64" i="8" s="1"/>
  <c r="F103" i="8" s="1"/>
  <c r="F23" i="8" a="1"/>
  <c r="F23" i="8" s="1"/>
  <c r="F78" i="8" s="1"/>
  <c r="F117" i="8" s="1"/>
  <c r="F31" i="8" a="1"/>
  <c r="F31" i="8" s="1"/>
  <c r="L44" i="8" a="1"/>
  <c r="L44" i="8" s="1"/>
  <c r="L46" i="8" s="1"/>
  <c r="L49" i="8" s="1"/>
  <c r="J3" i="9" s="1"/>
  <c r="L35" i="8" a="1"/>
  <c r="L35" i="8" s="1"/>
  <c r="L57" i="8"/>
  <c r="L96" i="8" s="1"/>
  <c r="L135" i="8" s="1"/>
  <c r="L39" i="8" a="1"/>
  <c r="L39" i="8" s="1"/>
  <c r="L33" i="8" a="1"/>
  <c r="L33" i="8" s="1"/>
  <c r="L42" i="8" a="1"/>
  <c r="L42" i="8" s="1"/>
  <c r="L29" i="8" a="1"/>
  <c r="L29" i="8" s="1"/>
  <c r="L84" i="8" s="1"/>
  <c r="L123" i="8" s="1"/>
  <c r="L40" i="8" a="1"/>
  <c r="L40" i="8" s="1"/>
  <c r="L34" i="8" a="1"/>
  <c r="L34" i="8" s="1"/>
  <c r="L25" i="8" a="1"/>
  <c r="L25" i="8" s="1"/>
  <c r="L80" i="8" s="1"/>
  <c r="L119" i="8" s="1"/>
  <c r="L17" i="8" a="1"/>
  <c r="L17" i="8" s="1"/>
  <c r="L72" i="8" s="1"/>
  <c r="L111" i="8" s="1"/>
  <c r="L36" i="8" a="1"/>
  <c r="L36" i="8" s="1"/>
  <c r="L27" i="8" a="1"/>
  <c r="L27" i="8" s="1"/>
  <c r="L82" i="8" s="1"/>
  <c r="L121" i="8" s="1"/>
  <c r="L19" i="8" a="1"/>
  <c r="L19" i="8" s="1"/>
  <c r="L74" i="8" s="1"/>
  <c r="L113" i="8" s="1"/>
  <c r="L37" i="8" a="1"/>
  <c r="L37" i="8" s="1"/>
  <c r="L24" i="8" a="1"/>
  <c r="L24" i="8" s="1"/>
  <c r="L79" i="8" s="1"/>
  <c r="L118" i="8" s="1"/>
  <c r="L32" i="8" a="1"/>
  <c r="L32" i="8" s="1"/>
  <c r="L30" i="8" a="1"/>
  <c r="L30" i="8" s="1"/>
  <c r="L23" i="8" a="1"/>
  <c r="L23" i="8" s="1"/>
  <c r="L78" i="8" s="1"/>
  <c r="L117" i="8" s="1"/>
  <c r="L16" i="8" a="1"/>
  <c r="L16" i="8" s="1"/>
  <c r="L7" i="8" a="1"/>
  <c r="L7" i="8" s="1"/>
  <c r="L62" i="8" s="1"/>
  <c r="L101" i="8" s="1"/>
  <c r="L12" i="8" a="1"/>
  <c r="L12" i="8" s="1"/>
  <c r="L67" i="8" s="1"/>
  <c r="L106" i="8" s="1"/>
  <c r="L38" i="8" a="1"/>
  <c r="L38" i="8" s="1"/>
  <c r="L22" i="8" a="1"/>
  <c r="L22" i="8" s="1"/>
  <c r="L77" i="8" s="1"/>
  <c r="L116" i="8" s="1"/>
  <c r="L4" i="8" a="1"/>
  <c r="L4" i="8" s="1"/>
  <c r="L21" i="8" a="1"/>
  <c r="L21" i="8" s="1"/>
  <c r="L76" i="8" s="1"/>
  <c r="L115" i="8" s="1"/>
  <c r="L28" i="8" a="1"/>
  <c r="L28" i="8" s="1"/>
  <c r="L26" i="8" a="1"/>
  <c r="L26" i="8" s="1"/>
  <c r="L81" i="8" s="1"/>
  <c r="L120" i="8" s="1"/>
  <c r="L15" i="8" a="1"/>
  <c r="L15" i="8" s="1"/>
  <c r="L70" i="8" s="1"/>
  <c r="L109" i="8" s="1"/>
  <c r="L6" i="8" a="1"/>
  <c r="L6" i="8" s="1"/>
  <c r="L61" i="8" s="1"/>
  <c r="L100" i="8" s="1"/>
  <c r="L13" i="8" a="1"/>
  <c r="L13" i="8" s="1"/>
  <c r="L68" i="8" s="1"/>
  <c r="L107" i="8" s="1"/>
  <c r="L5" i="8" a="1"/>
  <c r="L5" i="8" s="1"/>
  <c r="L60" i="8" s="1"/>
  <c r="L99" i="8" s="1"/>
  <c r="L3" i="8" a="1"/>
  <c r="L3" i="8" s="1"/>
  <c r="L58" i="8" s="1"/>
  <c r="L97" i="8" s="1"/>
  <c r="L8" i="8" a="1"/>
  <c r="L8" i="8" s="1"/>
  <c r="L63" i="8" s="1"/>
  <c r="L102" i="8" s="1"/>
  <c r="L14" i="8" a="1"/>
  <c r="L14" i="8" s="1"/>
  <c r="L69" i="8" s="1"/>
  <c r="L108" i="8" s="1"/>
  <c r="L18" i="8" a="1"/>
  <c r="L18" i="8" s="1"/>
  <c r="L73" i="8" s="1"/>
  <c r="L112" i="8" s="1"/>
  <c r="L11" i="8" a="1"/>
  <c r="L11" i="8" s="1"/>
  <c r="L66" i="8" s="1"/>
  <c r="L105" i="8" s="1"/>
  <c r="L31" i="8" a="1"/>
  <c r="L31" i="8" s="1"/>
  <c r="L10" i="8" a="1"/>
  <c r="L10" i="8" s="1"/>
  <c r="L65" i="8" s="1"/>
  <c r="L104" i="8" s="1"/>
  <c r="L20" i="8" a="1"/>
  <c r="L20" i="8" s="1"/>
  <c r="L75" i="8" s="1"/>
  <c r="L114" i="8" s="1"/>
  <c r="L9" i="8" a="1"/>
  <c r="L9" i="8" s="1"/>
  <c r="L64" i="8" s="1"/>
  <c r="L103" i="8" s="1"/>
  <c r="F82" i="8"/>
  <c r="F121" i="8" s="1"/>
  <c r="U82" i="8"/>
  <c r="U121" i="8" s="1"/>
  <c r="H5" i="9"/>
  <c r="J50" i="8"/>
  <c r="H4" i="9" s="1"/>
  <c r="E126" i="13"/>
  <c r="E87" i="13"/>
  <c r="E48" i="13"/>
  <c r="E9" i="13"/>
  <c r="L126" i="13"/>
  <c r="L87" i="13"/>
  <c r="L48" i="13"/>
  <c r="L9" i="13"/>
  <c r="D126" i="13"/>
  <c r="D87" i="13"/>
  <c r="D48" i="13"/>
  <c r="D9" i="13"/>
  <c r="K126" i="13"/>
  <c r="K9" i="13"/>
  <c r="K87" i="13"/>
  <c r="K48" i="13"/>
  <c r="J126" i="13"/>
  <c r="J9" i="13"/>
  <c r="J87" i="13"/>
  <c r="J48" i="13"/>
  <c r="C126" i="13"/>
  <c r="C9" i="13"/>
  <c r="C87" i="13"/>
  <c r="C48" i="13"/>
  <c r="I126" i="13"/>
  <c r="I9" i="13"/>
  <c r="I87" i="13"/>
  <c r="I48" i="13"/>
  <c r="H126" i="13"/>
  <c r="H48" i="13"/>
  <c r="H9" i="13"/>
  <c r="H87" i="13"/>
  <c r="D248" i="12"/>
  <c r="D170" i="12"/>
  <c r="B44" i="13" s="1"/>
  <c r="B122" i="13" s="1"/>
  <c r="B161" i="13" s="1"/>
  <c r="T90" i="12"/>
  <c r="T129" i="12" s="1"/>
  <c r="L90" i="12"/>
  <c r="L129" i="12" s="1"/>
  <c r="S90" i="12"/>
  <c r="S129" i="12" s="1"/>
  <c r="K90" i="12"/>
  <c r="K129" i="12" s="1"/>
  <c r="R90" i="12"/>
  <c r="R129" i="12" s="1"/>
  <c r="J90" i="12"/>
  <c r="J129" i="12" s="1"/>
  <c r="X90" i="12"/>
  <c r="X129" i="12" s="1"/>
  <c r="P90" i="12"/>
  <c r="P129" i="12" s="1"/>
  <c r="H90" i="12"/>
  <c r="H129" i="12" s="1"/>
  <c r="W90" i="12"/>
  <c r="W129" i="12" s="1"/>
  <c r="O90" i="12"/>
  <c r="O129" i="12" s="1"/>
  <c r="G90" i="12"/>
  <c r="G129" i="12" s="1"/>
  <c r="N90" i="12"/>
  <c r="N129" i="12" s="1"/>
  <c r="M90" i="12"/>
  <c r="M129" i="12" s="1"/>
  <c r="I90" i="12"/>
  <c r="I129" i="12" s="1"/>
  <c r="F90" i="12"/>
  <c r="F129" i="12" s="1"/>
  <c r="V90" i="12"/>
  <c r="V129" i="12" s="1"/>
  <c r="U90" i="12"/>
  <c r="U129" i="12" s="1"/>
  <c r="Q90" i="12"/>
  <c r="Q129" i="12" s="1"/>
  <c r="E90" i="12"/>
  <c r="E129" i="12" s="1"/>
  <c r="D246" i="12"/>
  <c r="D168" i="12"/>
  <c r="B42" i="13" s="1"/>
  <c r="B120" i="13" s="1"/>
  <c r="B159" i="13" s="1"/>
  <c r="D237" i="12"/>
  <c r="D159" i="12"/>
  <c r="B33" i="13" s="1"/>
  <c r="B111" i="13" s="1"/>
  <c r="B150" i="13" s="1"/>
  <c r="Z84" i="12" a="1"/>
  <c r="Z84" i="12" s="1"/>
  <c r="H84" i="12"/>
  <c r="H123" i="12" s="1"/>
  <c r="D235" i="12"/>
  <c r="D157" i="12"/>
  <c r="B31" i="13" s="1"/>
  <c r="B109" i="13" s="1"/>
  <c r="B148" i="13" s="1"/>
  <c r="D227" i="12"/>
  <c r="D149" i="12"/>
  <c r="B23" i="13" s="1"/>
  <c r="B101" i="13" s="1"/>
  <c r="B140" i="13" s="1"/>
  <c r="D219" i="12"/>
  <c r="D141" i="12"/>
  <c r="B15" i="13" s="1"/>
  <c r="B93" i="13" s="1"/>
  <c r="B132" i="13" s="1"/>
  <c r="D241" i="12"/>
  <c r="D163" i="12"/>
  <c r="B37" i="13" s="1"/>
  <c r="B115" i="13" s="1"/>
  <c r="B154" i="13" s="1"/>
  <c r="D234" i="12"/>
  <c r="D156" i="12"/>
  <c r="B30" i="13" s="1"/>
  <c r="B108" i="13" s="1"/>
  <c r="B147" i="13" s="1"/>
  <c r="D226" i="12"/>
  <c r="D148" i="12"/>
  <c r="B22" i="13" s="1"/>
  <c r="B100" i="13" s="1"/>
  <c r="B139" i="13" s="1"/>
  <c r="H63" i="12"/>
  <c r="H102" i="12" s="1"/>
  <c r="D218" i="12"/>
  <c r="D140" i="12"/>
  <c r="B14" i="13" s="1"/>
  <c r="B92" i="13" s="1"/>
  <c r="B131" i="13" s="1"/>
  <c r="D221" i="12"/>
  <c r="D143" i="12"/>
  <c r="B17" i="13" s="1"/>
  <c r="B95" i="13" s="1"/>
  <c r="B134" i="13" s="1"/>
  <c r="D244" i="12"/>
  <c r="D166" i="12"/>
  <c r="B40" i="13" s="1"/>
  <c r="B118" i="13" s="1"/>
  <c r="B157" i="13" s="1"/>
  <c r="D233" i="12"/>
  <c r="D155" i="12"/>
  <c r="B29" i="13" s="1"/>
  <c r="B107" i="13" s="1"/>
  <c r="B146" i="13" s="1"/>
  <c r="D247" i="12"/>
  <c r="D169" i="12"/>
  <c r="B43" i="13" s="1"/>
  <c r="B121" i="13" s="1"/>
  <c r="B160" i="13" s="1"/>
  <c r="S91" i="12"/>
  <c r="S130" i="12" s="1"/>
  <c r="K91" i="12"/>
  <c r="K130" i="12" s="1"/>
  <c r="R91" i="12"/>
  <c r="R130" i="12" s="1"/>
  <c r="J91" i="12"/>
  <c r="J130" i="12" s="1"/>
  <c r="Q91" i="12"/>
  <c r="Q130" i="12" s="1"/>
  <c r="I91" i="12"/>
  <c r="I130" i="12" s="1"/>
  <c r="X91" i="12"/>
  <c r="X130" i="12" s="1"/>
  <c r="W91" i="12"/>
  <c r="W130" i="12" s="1"/>
  <c r="O91" i="12"/>
  <c r="O130" i="12" s="1"/>
  <c r="G91" i="12"/>
  <c r="G130" i="12" s="1"/>
  <c r="V91" i="12"/>
  <c r="V130" i="12" s="1"/>
  <c r="N91" i="12"/>
  <c r="N130" i="12" s="1"/>
  <c r="F91" i="12"/>
  <c r="F130" i="12" s="1"/>
  <c r="L91" i="12"/>
  <c r="L130" i="12" s="1"/>
  <c r="H91" i="12"/>
  <c r="H130" i="12" s="1"/>
  <c r="E91" i="12"/>
  <c r="E130" i="12" s="1"/>
  <c r="U91" i="12"/>
  <c r="U130" i="12" s="1"/>
  <c r="T91" i="12"/>
  <c r="T130" i="12" s="1"/>
  <c r="P91" i="12"/>
  <c r="P130" i="12" s="1"/>
  <c r="M91" i="12"/>
  <c r="M130" i="12" s="1"/>
  <c r="D229" i="12"/>
  <c r="D151" i="12"/>
  <c r="B25" i="13" s="1"/>
  <c r="B103" i="13" s="1"/>
  <c r="B142" i="13" s="1"/>
  <c r="D243" i="12"/>
  <c r="D165" i="12"/>
  <c r="B39" i="13" s="1"/>
  <c r="B117" i="13" s="1"/>
  <c r="B156" i="13" s="1"/>
  <c r="D239" i="12"/>
  <c r="D161" i="12"/>
  <c r="B35" i="13" s="1"/>
  <c r="B113" i="13" s="1"/>
  <c r="B152" i="13" s="1"/>
  <c r="D238" i="12"/>
  <c r="D160" i="12"/>
  <c r="B34" i="13" s="1"/>
  <c r="B112" i="13" s="1"/>
  <c r="B151" i="13" s="1"/>
  <c r="D230" i="12"/>
  <c r="D152" i="12"/>
  <c r="B26" i="13" s="1"/>
  <c r="B104" i="13" s="1"/>
  <c r="B143" i="13" s="1"/>
  <c r="D222" i="12"/>
  <c r="D144" i="12"/>
  <c r="B18" i="13" s="1"/>
  <c r="B96" i="13" s="1"/>
  <c r="B135" i="13" s="1"/>
  <c r="W87" i="12"/>
  <c r="W126" i="12" s="1"/>
  <c r="O87" i="12"/>
  <c r="O126" i="12" s="1"/>
  <c r="G87" i="12"/>
  <c r="G126" i="12" s="1"/>
  <c r="V87" i="12"/>
  <c r="V126" i="12" s="1"/>
  <c r="N87" i="12"/>
  <c r="N126" i="12" s="1"/>
  <c r="F87" i="12"/>
  <c r="F126" i="12" s="1"/>
  <c r="U87" i="12"/>
  <c r="U126" i="12" s="1"/>
  <c r="K87" i="12"/>
  <c r="K126" i="12" s="1"/>
  <c r="T87" i="12"/>
  <c r="T126" i="12" s="1"/>
  <c r="J87" i="12"/>
  <c r="J126" i="12" s="1"/>
  <c r="S87" i="12"/>
  <c r="S126" i="12" s="1"/>
  <c r="I87" i="12"/>
  <c r="I126" i="12" s="1"/>
  <c r="P87" i="12"/>
  <c r="P126" i="12" s="1"/>
  <c r="M87" i="12"/>
  <c r="M126" i="12" s="1"/>
  <c r="X87" i="12"/>
  <c r="X126" i="12" s="1"/>
  <c r="L87" i="12"/>
  <c r="L126" i="12" s="1"/>
  <c r="H87" i="12"/>
  <c r="H126" i="12" s="1"/>
  <c r="E87" i="12"/>
  <c r="E126" i="12" s="1"/>
  <c r="R87" i="12"/>
  <c r="R126" i="12" s="1"/>
  <c r="Q87" i="12"/>
  <c r="Q126" i="12" s="1"/>
  <c r="H82" i="12"/>
  <c r="H121" i="12" s="1"/>
  <c r="D240" i="12"/>
  <c r="D162" i="12"/>
  <c r="B36" i="13" s="1"/>
  <c r="B114" i="13" s="1"/>
  <c r="B153" i="13" s="1"/>
  <c r="D231" i="12"/>
  <c r="D153" i="12"/>
  <c r="B27" i="13" s="1"/>
  <c r="B105" i="13" s="1"/>
  <c r="B144" i="13" s="1"/>
  <c r="D220" i="12"/>
  <c r="D142" i="12"/>
  <c r="B16" i="13" s="1"/>
  <c r="B94" i="13" s="1"/>
  <c r="B133" i="13" s="1"/>
  <c r="D223" i="12"/>
  <c r="D145" i="12"/>
  <c r="B19" i="13" s="1"/>
  <c r="B97" i="13" s="1"/>
  <c r="B136" i="13" s="1"/>
  <c r="D215" i="12"/>
  <c r="D137" i="12"/>
  <c r="B11" i="13" s="1"/>
  <c r="B89" i="13" s="1"/>
  <c r="B128" i="13" s="1"/>
  <c r="D224" i="12"/>
  <c r="D146" i="12"/>
  <c r="B20" i="13" s="1"/>
  <c r="B98" i="13" s="1"/>
  <c r="B137" i="13" s="1"/>
  <c r="D216" i="12"/>
  <c r="D138" i="12"/>
  <c r="B12" i="13" s="1"/>
  <c r="B90" i="13" s="1"/>
  <c r="B129" i="13" s="1"/>
  <c r="D236" i="12"/>
  <c r="D158" i="12"/>
  <c r="B32" i="13" s="1"/>
  <c r="B110" i="13" s="1"/>
  <c r="B149" i="13" s="1"/>
  <c r="D232" i="12"/>
  <c r="D154" i="12"/>
  <c r="B28" i="13" s="1"/>
  <c r="B106" i="13" s="1"/>
  <c r="B145" i="13" s="1"/>
  <c r="R69" i="12"/>
  <c r="R108" i="12" s="1"/>
  <c r="D225" i="12"/>
  <c r="D147" i="12"/>
  <c r="B21" i="13" s="1"/>
  <c r="B99" i="13" s="1"/>
  <c r="B138" i="13" s="1"/>
  <c r="D217" i="12"/>
  <c r="D139" i="12"/>
  <c r="B13" i="13" s="1"/>
  <c r="B91" i="13" s="1"/>
  <c r="B130" i="13" s="1"/>
  <c r="X86" i="12"/>
  <c r="X125" i="12" s="1"/>
  <c r="P86" i="12"/>
  <c r="P125" i="12" s="1"/>
  <c r="H86" i="12"/>
  <c r="H125" i="12" s="1"/>
  <c r="Q86" i="12"/>
  <c r="Q125" i="12" s="1"/>
  <c r="G86" i="12"/>
  <c r="G125" i="12" s="1"/>
  <c r="O86" i="12"/>
  <c r="O125" i="12" s="1"/>
  <c r="F86" i="12"/>
  <c r="F125" i="12" s="1"/>
  <c r="W86" i="12"/>
  <c r="W125" i="12" s="1"/>
  <c r="N86" i="12"/>
  <c r="N125" i="12" s="1"/>
  <c r="E86" i="12"/>
  <c r="E125" i="12" s="1"/>
  <c r="T86" i="12"/>
  <c r="T125" i="12" s="1"/>
  <c r="K86" i="12"/>
  <c r="K125" i="12" s="1"/>
  <c r="S86" i="12"/>
  <c r="S125" i="12" s="1"/>
  <c r="J86" i="12"/>
  <c r="J125" i="12" s="1"/>
  <c r="R86" i="12"/>
  <c r="R125" i="12" s="1"/>
  <c r="I86" i="12"/>
  <c r="I125" i="12" s="1"/>
  <c r="V86" i="12"/>
  <c r="V125" i="12" s="1"/>
  <c r="U86" i="12"/>
  <c r="U125" i="12" s="1"/>
  <c r="M86" i="12"/>
  <c r="M125" i="12" s="1"/>
  <c r="L86" i="12"/>
  <c r="L125" i="12" s="1"/>
  <c r="D242" i="12"/>
  <c r="D164" i="12"/>
  <c r="B38" i="13" s="1"/>
  <c r="B116" i="13" s="1"/>
  <c r="B155" i="13" s="1"/>
  <c r="D228" i="12"/>
  <c r="D150" i="12"/>
  <c r="B24" i="13" s="1"/>
  <c r="B102" i="13" s="1"/>
  <c r="B141" i="13" s="1"/>
  <c r="H42" i="12" a="1"/>
  <c r="H42" i="12" s="1"/>
  <c r="H40" i="12" a="1"/>
  <c r="H40" i="12" s="1"/>
  <c r="H39" i="12" a="1"/>
  <c r="H39" i="12" s="1"/>
  <c r="H38" i="12" a="1"/>
  <c r="H38" i="12" s="1"/>
  <c r="H37" i="12" a="1"/>
  <c r="H37" i="12" s="1"/>
  <c r="H36" i="12" a="1"/>
  <c r="H36" i="12" s="1"/>
  <c r="H35" i="12" a="1"/>
  <c r="H35" i="12" s="1"/>
  <c r="H34" i="12" a="1"/>
  <c r="H34" i="12" s="1"/>
  <c r="H33" i="12" a="1"/>
  <c r="H33" i="12" s="1"/>
  <c r="H32" i="12" a="1"/>
  <c r="H32" i="12" s="1"/>
  <c r="H31" i="12" a="1"/>
  <c r="H31" i="12" s="1"/>
  <c r="H30" i="12" a="1"/>
  <c r="H30" i="12" s="1"/>
  <c r="H29" i="12" a="1"/>
  <c r="H29" i="12" s="1"/>
  <c r="H28" i="12" a="1"/>
  <c r="H28" i="12" s="1"/>
  <c r="H83" i="12" s="1"/>
  <c r="H122" i="12" s="1"/>
  <c r="H27" i="12" a="1"/>
  <c r="H27" i="12" s="1"/>
  <c r="H57" i="12"/>
  <c r="H96" i="12" s="1"/>
  <c r="H135" i="12" s="1"/>
  <c r="H174" i="12" s="1"/>
  <c r="H213" i="12" s="1"/>
  <c r="H21" i="12" a="1"/>
  <c r="H21" i="12" s="1"/>
  <c r="H76" i="12" s="1"/>
  <c r="H115" i="12" s="1"/>
  <c r="H13" i="12" a="1"/>
  <c r="H13" i="12" s="1"/>
  <c r="H68" i="12" s="1"/>
  <c r="H107" i="12" s="1"/>
  <c r="H5" i="12" a="1"/>
  <c r="H5" i="12" s="1"/>
  <c r="H60" i="12" s="1"/>
  <c r="H99" i="12" s="1"/>
  <c r="H26" i="12" a="1"/>
  <c r="H26" i="12" s="1"/>
  <c r="H81" i="12" s="1"/>
  <c r="H120" i="12" s="1"/>
  <c r="H18" i="12" a="1"/>
  <c r="H18" i="12" s="1"/>
  <c r="H73" i="12" s="1"/>
  <c r="H112" i="12" s="1"/>
  <c r="H10" i="12" a="1"/>
  <c r="H10" i="12" s="1"/>
  <c r="H65" i="12" s="1"/>
  <c r="H104" i="12" s="1"/>
  <c r="H20" i="12" a="1"/>
  <c r="H20" i="12" s="1"/>
  <c r="H75" i="12" s="1"/>
  <c r="H114" i="12" s="1"/>
  <c r="H12" i="12" a="1"/>
  <c r="H12" i="12" s="1"/>
  <c r="H67" i="12" s="1"/>
  <c r="H106" i="12" s="1"/>
  <c r="H44" i="12" a="1"/>
  <c r="H44" i="12" s="1"/>
  <c r="H46" i="12" s="1"/>
  <c r="H49" i="12" s="1"/>
  <c r="F3" i="13" s="1"/>
  <c r="H24" i="12" a="1"/>
  <c r="H24" i="12" s="1"/>
  <c r="H79" i="12" s="1"/>
  <c r="H118" i="12" s="1"/>
  <c r="H17" i="12" a="1"/>
  <c r="H17" i="12" s="1"/>
  <c r="H72" i="12" s="1"/>
  <c r="H25" i="12" a="1"/>
  <c r="H25" i="12" s="1"/>
  <c r="H80" i="12" s="1"/>
  <c r="H119" i="12" s="1"/>
  <c r="H8" i="12" a="1"/>
  <c r="H8" i="12" s="1"/>
  <c r="H14" i="12" a="1"/>
  <c r="H14" i="12" s="1"/>
  <c r="H69" i="12" s="1"/>
  <c r="H108" i="12" s="1"/>
  <c r="H3" i="12" a="1"/>
  <c r="H3" i="12" s="1"/>
  <c r="H58" i="12" s="1"/>
  <c r="H97" i="12" s="1"/>
  <c r="H22" i="12" a="1"/>
  <c r="H22" i="12" s="1"/>
  <c r="H77" i="12" s="1"/>
  <c r="H116" i="12" s="1"/>
  <c r="H43" i="12"/>
  <c r="H15" i="12" a="1"/>
  <c r="H15" i="12" s="1"/>
  <c r="H70" i="12" s="1"/>
  <c r="H11" i="12" a="1"/>
  <c r="H11" i="12" s="1"/>
  <c r="H66" i="12" s="1"/>
  <c r="H105" i="12" s="1"/>
  <c r="H48" i="12"/>
  <c r="H23" i="12" a="1"/>
  <c r="H23" i="12" s="1"/>
  <c r="H78" i="12" s="1"/>
  <c r="H117" i="12" s="1"/>
  <c r="H19" i="12" a="1"/>
  <c r="H19" i="12" s="1"/>
  <c r="H74" i="12" s="1"/>
  <c r="H113" i="12" s="1"/>
  <c r="H6" i="12" a="1"/>
  <c r="H6" i="12" s="1"/>
  <c r="H61" i="12" s="1"/>
  <c r="H100" i="12" s="1"/>
  <c r="H16" i="12" a="1"/>
  <c r="H16" i="12" s="1"/>
  <c r="H71" i="12" s="1"/>
  <c r="H110" i="12" s="1"/>
  <c r="H9" i="12" a="1"/>
  <c r="H9" i="12" s="1"/>
  <c r="H64" i="12" s="1"/>
  <c r="H103" i="12" s="1"/>
  <c r="H7" i="12" a="1"/>
  <c r="H7" i="12" s="1"/>
  <c r="H62" i="12" s="1"/>
  <c r="H101" i="12" s="1"/>
  <c r="H4" i="12" a="1"/>
  <c r="H4" i="12" s="1"/>
  <c r="H59" i="12" s="1"/>
  <c r="H98" i="12" s="1"/>
  <c r="R48" i="12"/>
  <c r="R50" i="12" s="1"/>
  <c r="R43" i="12"/>
  <c r="R57" i="12"/>
  <c r="R96" i="12" s="1"/>
  <c r="R135" i="12" s="1"/>
  <c r="R174" i="12" s="1"/>
  <c r="R213" i="12" s="1"/>
  <c r="R40" i="12" a="1"/>
  <c r="R40" i="12" s="1"/>
  <c r="R39" i="12" a="1"/>
  <c r="R39" i="12" s="1"/>
  <c r="R38" i="12" a="1"/>
  <c r="R38" i="12" s="1"/>
  <c r="R37" i="12" a="1"/>
  <c r="R37" i="12" s="1"/>
  <c r="R36" i="12" a="1"/>
  <c r="R36" i="12" s="1"/>
  <c r="R35" i="12" a="1"/>
  <c r="R35" i="12" s="1"/>
  <c r="R34" i="12" a="1"/>
  <c r="R34" i="12" s="1"/>
  <c r="R33" i="12" a="1"/>
  <c r="R33" i="12" s="1"/>
  <c r="R32" i="12" a="1"/>
  <c r="R32" i="12" s="1"/>
  <c r="R31" i="12" a="1"/>
  <c r="R31" i="12" s="1"/>
  <c r="R30" i="12" a="1"/>
  <c r="R30" i="12" s="1"/>
  <c r="R29" i="12" a="1"/>
  <c r="R29" i="12" s="1"/>
  <c r="R28" i="12" a="1"/>
  <c r="R28" i="12" s="1"/>
  <c r="R83" i="12" s="1"/>
  <c r="R122" i="12" s="1"/>
  <c r="R27" i="12" a="1"/>
  <c r="R27" i="12" s="1"/>
  <c r="R82" i="12" s="1"/>
  <c r="R121" i="12" s="1"/>
  <c r="R44" i="12" a="1"/>
  <c r="R44" i="12" s="1"/>
  <c r="R46" i="12" s="1"/>
  <c r="R49" i="12" s="1"/>
  <c r="R26" i="12" a="1"/>
  <c r="R26" i="12" s="1"/>
  <c r="R81" i="12" s="1"/>
  <c r="R120" i="12" s="1"/>
  <c r="R18" i="12" a="1"/>
  <c r="R18" i="12" s="1"/>
  <c r="R73" i="12" s="1"/>
  <c r="R112" i="12" s="1"/>
  <c r="R10" i="12" a="1"/>
  <c r="R10" i="12" s="1"/>
  <c r="R65" i="12" s="1"/>
  <c r="R104" i="12" s="1"/>
  <c r="R23" i="12" a="1"/>
  <c r="R23" i="12" s="1"/>
  <c r="R78" i="12" s="1"/>
  <c r="R117" i="12" s="1"/>
  <c r="R15" i="12" a="1"/>
  <c r="R15" i="12" s="1"/>
  <c r="R70" i="12" s="1"/>
  <c r="R109" i="12" s="1"/>
  <c r="R25" i="12" a="1"/>
  <c r="R25" i="12" s="1"/>
  <c r="R80" i="12" s="1"/>
  <c r="R119" i="12" s="1"/>
  <c r="R17" i="12" a="1"/>
  <c r="R17" i="12" s="1"/>
  <c r="R72" i="12" s="1"/>
  <c r="R111" i="12" s="1"/>
  <c r="R9" i="12" a="1"/>
  <c r="R9" i="12" s="1"/>
  <c r="R64" i="12" s="1"/>
  <c r="R103" i="12" s="1"/>
  <c r="R22" i="12" a="1"/>
  <c r="R22" i="12" s="1"/>
  <c r="R77" i="12" s="1"/>
  <c r="R116" i="12" s="1"/>
  <c r="R7" i="12" a="1"/>
  <c r="R7" i="12" s="1"/>
  <c r="R62" i="12" s="1"/>
  <c r="R101" i="12" s="1"/>
  <c r="R42" i="12" a="1"/>
  <c r="R42" i="12" s="1"/>
  <c r="R11" i="12" a="1"/>
  <c r="R11" i="12" s="1"/>
  <c r="R66" i="12" s="1"/>
  <c r="R105" i="12" s="1"/>
  <c r="R3" i="12" a="1"/>
  <c r="R3" i="12" s="1"/>
  <c r="R58" i="12" s="1"/>
  <c r="R97" i="12" s="1"/>
  <c r="R19" i="12" a="1"/>
  <c r="R19" i="12" s="1"/>
  <c r="R74" i="12" s="1"/>
  <c r="R113" i="12" s="1"/>
  <c r="R12" i="12" a="1"/>
  <c r="R12" i="12" s="1"/>
  <c r="R67" i="12" s="1"/>
  <c r="R106" i="12" s="1"/>
  <c r="R8" i="12" a="1"/>
  <c r="R8" i="12" s="1"/>
  <c r="R63" i="12" s="1"/>
  <c r="R102" i="12" s="1"/>
  <c r="R20" i="12" a="1"/>
  <c r="R20" i="12" s="1"/>
  <c r="R75" i="12" s="1"/>
  <c r="R114" i="12" s="1"/>
  <c r="R16" i="12" a="1"/>
  <c r="R16" i="12" s="1"/>
  <c r="R71" i="12" s="1"/>
  <c r="R110" i="12" s="1"/>
  <c r="R24" i="12" a="1"/>
  <c r="R24" i="12" s="1"/>
  <c r="R79" i="12" s="1"/>
  <c r="R118" i="12" s="1"/>
  <c r="R13" i="12" a="1"/>
  <c r="R13" i="12" s="1"/>
  <c r="R68" i="12" s="1"/>
  <c r="R107" i="12" s="1"/>
  <c r="R5" i="12" a="1"/>
  <c r="R5" i="12" s="1"/>
  <c r="R60" i="12" s="1"/>
  <c r="R99" i="12" s="1"/>
  <c r="R4" i="12" a="1"/>
  <c r="R4" i="12" s="1"/>
  <c r="R59" i="12" s="1"/>
  <c r="R98" i="12" s="1"/>
  <c r="R21" i="12" a="1"/>
  <c r="R21" i="12" s="1"/>
  <c r="R76" i="12" s="1"/>
  <c r="R115" i="12" s="1"/>
  <c r="R14" i="12" a="1"/>
  <c r="R14" i="12" s="1"/>
  <c r="R6" i="12" a="1"/>
  <c r="R6" i="12" s="1"/>
  <c r="R61" i="12" s="1"/>
  <c r="R100" i="12" s="1"/>
  <c r="J48" i="12"/>
  <c r="J43" i="12"/>
  <c r="J57" i="12"/>
  <c r="J96" i="12" s="1"/>
  <c r="J135" i="12" s="1"/>
  <c r="J174" i="12" s="1"/>
  <c r="J213" i="12" s="1"/>
  <c r="J40" i="12" a="1"/>
  <c r="J40" i="12" s="1"/>
  <c r="J39" i="12" a="1"/>
  <c r="J39" i="12" s="1"/>
  <c r="J38" i="12" a="1"/>
  <c r="J38" i="12" s="1"/>
  <c r="J37" i="12" a="1"/>
  <c r="J37" i="12" s="1"/>
  <c r="J36" i="12" a="1"/>
  <c r="J36" i="12" s="1"/>
  <c r="J35" i="12" a="1"/>
  <c r="J35" i="12" s="1"/>
  <c r="J34" i="12" a="1"/>
  <c r="J34" i="12" s="1"/>
  <c r="J33" i="12" a="1"/>
  <c r="J33" i="12" s="1"/>
  <c r="J32" i="12" a="1"/>
  <c r="J32" i="12" s="1"/>
  <c r="J31" i="12" a="1"/>
  <c r="J31" i="12" s="1"/>
  <c r="J30" i="12" a="1"/>
  <c r="J30" i="12" s="1"/>
  <c r="J29" i="12" a="1"/>
  <c r="J29" i="12" s="1"/>
  <c r="J84" i="12" s="1"/>
  <c r="J123" i="12" s="1"/>
  <c r="J28" i="12" a="1"/>
  <c r="J28" i="12" s="1"/>
  <c r="J83" i="12" s="1"/>
  <c r="J122" i="12" s="1"/>
  <c r="J27" i="12" a="1"/>
  <c r="J27" i="12" s="1"/>
  <c r="J82" i="12" s="1"/>
  <c r="J121" i="12" s="1"/>
  <c r="J44" i="12" a="1"/>
  <c r="J44" i="12" s="1"/>
  <c r="J46" i="12" s="1"/>
  <c r="J49" i="12" s="1"/>
  <c r="H3" i="13" s="1"/>
  <c r="J20" i="12" a="1"/>
  <c r="J20" i="12" s="1"/>
  <c r="J75" i="12" s="1"/>
  <c r="J114" i="12" s="1"/>
  <c r="J12" i="12" a="1"/>
  <c r="J12" i="12" s="1"/>
  <c r="J67" i="12" s="1"/>
  <c r="J106" i="12" s="1"/>
  <c r="J25" i="12" a="1"/>
  <c r="J25" i="12" s="1"/>
  <c r="J80" i="12" s="1"/>
  <c r="J119" i="12" s="1"/>
  <c r="J17" i="12" a="1"/>
  <c r="J17" i="12" s="1"/>
  <c r="J72" i="12" s="1"/>
  <c r="J111" i="12" s="1"/>
  <c r="J9" i="12" a="1"/>
  <c r="J9" i="12" s="1"/>
  <c r="J64" i="12" s="1"/>
  <c r="J103" i="12" s="1"/>
  <c r="J19" i="12" a="1"/>
  <c r="J19" i="12" s="1"/>
  <c r="J74" i="12" s="1"/>
  <c r="J113" i="12" s="1"/>
  <c r="J11" i="12" a="1"/>
  <c r="J11" i="12" s="1"/>
  <c r="J66" i="12" s="1"/>
  <c r="J105" i="12" s="1"/>
  <c r="J14" i="12" a="1"/>
  <c r="J14" i="12" s="1"/>
  <c r="J69" i="12" s="1"/>
  <c r="J108" i="12" s="1"/>
  <c r="J10" i="12" a="1"/>
  <c r="J10" i="12" s="1"/>
  <c r="J65" i="12" s="1"/>
  <c r="J104" i="12" s="1"/>
  <c r="J22" i="12" a="1"/>
  <c r="J22" i="12" s="1"/>
  <c r="J77" i="12" s="1"/>
  <c r="J116" i="12" s="1"/>
  <c r="J18" i="12" a="1"/>
  <c r="J18" i="12" s="1"/>
  <c r="J73" i="12" s="1"/>
  <c r="J112" i="12" s="1"/>
  <c r="J26" i="12" a="1"/>
  <c r="J26" i="12" s="1"/>
  <c r="J81" i="12" s="1"/>
  <c r="J120" i="12" s="1"/>
  <c r="J5" i="12" a="1"/>
  <c r="J5" i="12" s="1"/>
  <c r="J60" i="12" s="1"/>
  <c r="J99" i="12" s="1"/>
  <c r="J15" i="12" a="1"/>
  <c r="J15" i="12" s="1"/>
  <c r="J70" i="12" s="1"/>
  <c r="J109" i="12" s="1"/>
  <c r="J6" i="12" a="1"/>
  <c r="J6" i="12" s="1"/>
  <c r="J61" i="12" s="1"/>
  <c r="J100" i="12" s="1"/>
  <c r="J42" i="12" a="1"/>
  <c r="J42" i="12" s="1"/>
  <c r="J23" i="12" a="1"/>
  <c r="J23" i="12" s="1"/>
  <c r="J78" i="12" s="1"/>
  <c r="J117" i="12" s="1"/>
  <c r="J16" i="12" a="1"/>
  <c r="J16" i="12" s="1"/>
  <c r="J71" i="12" s="1"/>
  <c r="J110" i="12" s="1"/>
  <c r="J4" i="12" a="1"/>
  <c r="J4" i="12" s="1"/>
  <c r="J59" i="12" s="1"/>
  <c r="J98" i="12" s="1"/>
  <c r="J137" i="12" s="1"/>
  <c r="J24" i="12" a="1"/>
  <c r="J24" i="12" s="1"/>
  <c r="J79" i="12" s="1"/>
  <c r="J118" i="12" s="1"/>
  <c r="J7" i="12" a="1"/>
  <c r="J7" i="12" s="1"/>
  <c r="J62" i="12" s="1"/>
  <c r="J101" i="12" s="1"/>
  <c r="J13" i="12" a="1"/>
  <c r="J13" i="12" s="1"/>
  <c r="J68" i="12" s="1"/>
  <c r="J107" i="12" s="1"/>
  <c r="J8" i="12" a="1"/>
  <c r="J8" i="12" s="1"/>
  <c r="J63" i="12" s="1"/>
  <c r="J102" i="12" s="1"/>
  <c r="J21" i="12" a="1"/>
  <c r="J21" i="12" s="1"/>
  <c r="J76" i="12" s="1"/>
  <c r="J115" i="12" s="1"/>
  <c r="J3" i="12" a="1"/>
  <c r="J3" i="12" s="1"/>
  <c r="J58" i="12" s="1"/>
  <c r="J97" i="12" s="1"/>
  <c r="S48" i="12"/>
  <c r="S43" i="12"/>
  <c r="S44" i="12" a="1"/>
  <c r="S44" i="12" s="1"/>
  <c r="S46" i="12" s="1"/>
  <c r="S49" i="12" s="1"/>
  <c r="S28" i="12" a="1"/>
  <c r="S28" i="12" s="1"/>
  <c r="S83" i="12" s="1"/>
  <c r="S122" i="12" s="1"/>
  <c r="S20" i="12" a="1"/>
  <c r="S20" i="12" s="1"/>
  <c r="S75" i="12" s="1"/>
  <c r="S114" i="12" s="1"/>
  <c r="S12" i="12" a="1"/>
  <c r="S12" i="12" s="1"/>
  <c r="S67" i="12" s="1"/>
  <c r="S106" i="12" s="1"/>
  <c r="S27" i="12" a="1"/>
  <c r="S27" i="12" s="1"/>
  <c r="S82" i="12" s="1"/>
  <c r="S121" i="12" s="1"/>
  <c r="S25" i="12" a="1"/>
  <c r="S25" i="12" s="1"/>
  <c r="S80" i="12" s="1"/>
  <c r="S119" i="12" s="1"/>
  <c r="S17" i="12" a="1"/>
  <c r="S17" i="12" s="1"/>
  <c r="S72" i="12" s="1"/>
  <c r="S111" i="12" s="1"/>
  <c r="S9" i="12" a="1"/>
  <c r="S9" i="12" s="1"/>
  <c r="S64" i="12" s="1"/>
  <c r="S103" i="12" s="1"/>
  <c r="S57" i="12"/>
  <c r="S96" i="12" s="1"/>
  <c r="S135" i="12" s="1"/>
  <c r="S174" i="12" s="1"/>
  <c r="S213" i="12" s="1"/>
  <c r="S40" i="12" a="1"/>
  <c r="S40" i="12" s="1"/>
  <c r="S38" i="12" a="1"/>
  <c r="S38" i="12" s="1"/>
  <c r="S36" i="12" a="1"/>
  <c r="S36" i="12" s="1"/>
  <c r="S34" i="12" a="1"/>
  <c r="S34" i="12" s="1"/>
  <c r="S33" i="12" a="1"/>
  <c r="S33" i="12" s="1"/>
  <c r="S19" i="12" a="1"/>
  <c r="S19" i="12" s="1"/>
  <c r="S74" i="12" s="1"/>
  <c r="S113" i="12" s="1"/>
  <c r="S11" i="12" a="1"/>
  <c r="S11" i="12" s="1"/>
  <c r="S66" i="12" s="1"/>
  <c r="S105" i="12" s="1"/>
  <c r="S32" i="12" a="1"/>
  <c r="S32" i="12" s="1"/>
  <c r="S42" i="12" a="1"/>
  <c r="S42" i="12" s="1"/>
  <c r="S31" i="12" a="1"/>
  <c r="S31" i="12" s="1"/>
  <c r="S37" i="12" a="1"/>
  <c r="S37" i="12" s="1"/>
  <c r="S26" i="12" a="1"/>
  <c r="S26" i="12" s="1"/>
  <c r="S81" i="12" s="1"/>
  <c r="S120" i="12" s="1"/>
  <c r="S39" i="12" a="1"/>
  <c r="S39" i="12" s="1"/>
  <c r="S15" i="12" a="1"/>
  <c r="S15" i="12" s="1"/>
  <c r="S70" i="12" s="1"/>
  <c r="S109" i="12" s="1"/>
  <c r="S8" i="12" a="1"/>
  <c r="S8" i="12" s="1"/>
  <c r="S63" i="12" s="1"/>
  <c r="S102" i="12" s="1"/>
  <c r="S23" i="12" a="1"/>
  <c r="S23" i="12" s="1"/>
  <c r="S78" i="12" s="1"/>
  <c r="S117" i="12" s="1"/>
  <c r="S16" i="12" a="1"/>
  <c r="S16" i="12" s="1"/>
  <c r="S71" i="12" s="1"/>
  <c r="S110" i="12" s="1"/>
  <c r="S30" i="12" a="1"/>
  <c r="S30" i="12" s="1"/>
  <c r="S24" i="12" a="1"/>
  <c r="S24" i="12" s="1"/>
  <c r="S79" i="12" s="1"/>
  <c r="S118" i="12" s="1"/>
  <c r="S13" i="12" a="1"/>
  <c r="S13" i="12" s="1"/>
  <c r="S68" i="12" s="1"/>
  <c r="S107" i="12" s="1"/>
  <c r="S5" i="12" a="1"/>
  <c r="S5" i="12" s="1"/>
  <c r="S60" i="12" s="1"/>
  <c r="S99" i="12" s="1"/>
  <c r="S4" i="12" a="1"/>
  <c r="S4" i="12" s="1"/>
  <c r="S59" i="12" s="1"/>
  <c r="S98" i="12" s="1"/>
  <c r="S29" i="12" a="1"/>
  <c r="S29" i="12" s="1"/>
  <c r="S84" i="12" s="1"/>
  <c r="S123" i="12" s="1"/>
  <c r="S162" i="12" s="1"/>
  <c r="S21" i="12" a="1"/>
  <c r="S21" i="12" s="1"/>
  <c r="S76" i="12" s="1"/>
  <c r="S115" i="12" s="1"/>
  <c r="S6" i="12" a="1"/>
  <c r="S6" i="12" s="1"/>
  <c r="S61" i="12" s="1"/>
  <c r="S100" i="12" s="1"/>
  <c r="S14" i="12" a="1"/>
  <c r="S14" i="12" s="1"/>
  <c r="S69" i="12" s="1"/>
  <c r="S108" i="12" s="1"/>
  <c r="S10" i="12" a="1"/>
  <c r="S10" i="12" s="1"/>
  <c r="S65" i="12" s="1"/>
  <c r="S104" i="12" s="1"/>
  <c r="S35" i="12" a="1"/>
  <c r="S35" i="12" s="1"/>
  <c r="S22" i="12" a="1"/>
  <c r="S22" i="12" s="1"/>
  <c r="S77" i="12" s="1"/>
  <c r="S116" i="12" s="1"/>
  <c r="S18" i="12" a="1"/>
  <c r="S18" i="12" s="1"/>
  <c r="S73" i="12" s="1"/>
  <c r="S112" i="12" s="1"/>
  <c r="S7" i="12" a="1"/>
  <c r="S7" i="12" s="1"/>
  <c r="S62" i="12" s="1"/>
  <c r="S101" i="12" s="1"/>
  <c r="S3" i="12" a="1"/>
  <c r="S3" i="12" s="1"/>
  <c r="S58" i="12" s="1"/>
  <c r="S97" i="12" s="1"/>
  <c r="K48" i="12"/>
  <c r="K43" i="12"/>
  <c r="K44" i="12" a="1"/>
  <c r="K44" i="12" s="1"/>
  <c r="K46" i="12" s="1"/>
  <c r="K49" i="12" s="1"/>
  <c r="I3" i="13" s="1"/>
  <c r="K30" i="12" a="1"/>
  <c r="K30" i="12" s="1"/>
  <c r="K22" i="12" a="1"/>
  <c r="K22" i="12" s="1"/>
  <c r="K77" i="12" s="1"/>
  <c r="K116" i="12" s="1"/>
  <c r="K14" i="12" a="1"/>
  <c r="K14" i="12" s="1"/>
  <c r="K69" i="12" s="1"/>
  <c r="K108" i="12" s="1"/>
  <c r="K6" i="12" a="1"/>
  <c r="K6" i="12" s="1"/>
  <c r="K61" i="12" s="1"/>
  <c r="K100" i="12" s="1"/>
  <c r="K139" i="12" s="1"/>
  <c r="K29" i="12" a="1"/>
  <c r="K29" i="12" s="1"/>
  <c r="K84" i="12" s="1"/>
  <c r="K123" i="12" s="1"/>
  <c r="K19" i="12" a="1"/>
  <c r="K19" i="12" s="1"/>
  <c r="K74" i="12" s="1"/>
  <c r="K113" i="12" s="1"/>
  <c r="K11" i="12" a="1"/>
  <c r="K11" i="12" s="1"/>
  <c r="K66" i="12" s="1"/>
  <c r="K105" i="12" s="1"/>
  <c r="K40" i="12" a="1"/>
  <c r="K40" i="12" s="1"/>
  <c r="K38" i="12" a="1"/>
  <c r="K38" i="12" s="1"/>
  <c r="K36" i="12" a="1"/>
  <c r="K36" i="12" s="1"/>
  <c r="K27" i="12" a="1"/>
  <c r="K27" i="12" s="1"/>
  <c r="K82" i="12" s="1"/>
  <c r="K121" i="12" s="1"/>
  <c r="K21" i="12" a="1"/>
  <c r="K21" i="12" s="1"/>
  <c r="K76" i="12" s="1"/>
  <c r="K115" i="12" s="1"/>
  <c r="K13" i="12" a="1"/>
  <c r="K13" i="12" s="1"/>
  <c r="K68" i="12" s="1"/>
  <c r="K107" i="12" s="1"/>
  <c r="K34" i="12" a="1"/>
  <c r="K34" i="12" s="1"/>
  <c r="K42" i="12" a="1"/>
  <c r="K42" i="12" s="1"/>
  <c r="K33" i="12" a="1"/>
  <c r="K33" i="12" s="1"/>
  <c r="K26" i="12" a="1"/>
  <c r="K26" i="12" s="1"/>
  <c r="K81" i="12" s="1"/>
  <c r="K120" i="12" s="1"/>
  <c r="K5" i="12" a="1"/>
  <c r="K5" i="12" s="1"/>
  <c r="K60" i="12" s="1"/>
  <c r="K99" i="12" s="1"/>
  <c r="K15" i="12" a="1"/>
  <c r="K15" i="12" s="1"/>
  <c r="K70" i="12" s="1"/>
  <c r="K109" i="12" s="1"/>
  <c r="K57" i="12"/>
  <c r="K96" i="12" s="1"/>
  <c r="K135" i="12" s="1"/>
  <c r="K174" i="12" s="1"/>
  <c r="K213" i="12" s="1"/>
  <c r="K35" i="12" a="1"/>
  <c r="K35" i="12" s="1"/>
  <c r="K23" i="12" a="1"/>
  <c r="K23" i="12" s="1"/>
  <c r="K78" i="12" s="1"/>
  <c r="K117" i="12" s="1"/>
  <c r="K4" i="12" a="1"/>
  <c r="K4" i="12" s="1"/>
  <c r="K59" i="12" s="1"/>
  <c r="K98" i="12" s="1"/>
  <c r="K37" i="12" a="1"/>
  <c r="K37" i="12" s="1"/>
  <c r="K16" i="12" a="1"/>
  <c r="K16" i="12" s="1"/>
  <c r="K71" i="12" s="1"/>
  <c r="K110" i="12" s="1"/>
  <c r="K12" i="12" a="1"/>
  <c r="K12" i="12" s="1"/>
  <c r="K67" i="12" s="1"/>
  <c r="K106" i="12" s="1"/>
  <c r="K7" i="12" a="1"/>
  <c r="K7" i="12" s="1"/>
  <c r="K62" i="12" s="1"/>
  <c r="K101" i="12" s="1"/>
  <c r="K39" i="12" a="1"/>
  <c r="K39" i="12" s="1"/>
  <c r="K32" i="12" a="1"/>
  <c r="K32" i="12" s="1"/>
  <c r="K24" i="12" a="1"/>
  <c r="K24" i="12" s="1"/>
  <c r="K79" i="12" s="1"/>
  <c r="K118" i="12" s="1"/>
  <c r="K20" i="12" a="1"/>
  <c r="K20" i="12" s="1"/>
  <c r="K75" i="12" s="1"/>
  <c r="K114" i="12" s="1"/>
  <c r="K8" i="12" a="1"/>
  <c r="K8" i="12" s="1"/>
  <c r="K63" i="12" s="1"/>
  <c r="K102" i="12" s="1"/>
  <c r="K28" i="12" a="1"/>
  <c r="K28" i="12" s="1"/>
  <c r="K83" i="12" s="1"/>
  <c r="K122" i="12" s="1"/>
  <c r="K9" i="12" a="1"/>
  <c r="K9" i="12" s="1"/>
  <c r="K64" i="12" s="1"/>
  <c r="K103" i="12" s="1"/>
  <c r="K3" i="12" a="1"/>
  <c r="K3" i="12" s="1"/>
  <c r="K58" i="12" s="1"/>
  <c r="K97" i="12" s="1"/>
  <c r="K31" i="12" a="1"/>
  <c r="K31" i="12" s="1"/>
  <c r="K17" i="12" a="1"/>
  <c r="K17" i="12" s="1"/>
  <c r="K72" i="12" s="1"/>
  <c r="K111" i="12" s="1"/>
  <c r="K10" i="12" a="1"/>
  <c r="K10" i="12" s="1"/>
  <c r="K65" i="12" s="1"/>
  <c r="K104" i="12" s="1"/>
  <c r="K25" i="12" a="1"/>
  <c r="K25" i="12" s="1"/>
  <c r="K80" i="12" s="1"/>
  <c r="K119" i="12" s="1"/>
  <c r="K18" i="12" a="1"/>
  <c r="K18" i="12" s="1"/>
  <c r="K73" i="12" s="1"/>
  <c r="K112" i="12" s="1"/>
  <c r="T42" i="12" a="1"/>
  <c r="T42" i="12" s="1"/>
  <c r="T40" i="12" a="1"/>
  <c r="T40" i="12" s="1"/>
  <c r="T39" i="12" a="1"/>
  <c r="T39" i="12" s="1"/>
  <c r="T38" i="12" a="1"/>
  <c r="T38" i="12" s="1"/>
  <c r="T37" i="12" a="1"/>
  <c r="T37" i="12" s="1"/>
  <c r="T36" i="12" a="1"/>
  <c r="T36" i="12" s="1"/>
  <c r="T35" i="12" a="1"/>
  <c r="T35" i="12" s="1"/>
  <c r="T34" i="12" a="1"/>
  <c r="T34" i="12" s="1"/>
  <c r="T33" i="12" a="1"/>
  <c r="T33" i="12" s="1"/>
  <c r="T32" i="12" a="1"/>
  <c r="T32" i="12" s="1"/>
  <c r="T31" i="12" a="1"/>
  <c r="T31" i="12" s="1"/>
  <c r="T30" i="12" a="1"/>
  <c r="T30" i="12" s="1"/>
  <c r="T29" i="12" a="1"/>
  <c r="T29" i="12" s="1"/>
  <c r="T84" i="12" s="1"/>
  <c r="T123" i="12" s="1"/>
  <c r="T28" i="12" a="1"/>
  <c r="T28" i="12" s="1"/>
  <c r="T83" i="12" s="1"/>
  <c r="T122" i="12" s="1"/>
  <c r="T27" i="12" a="1"/>
  <c r="T27" i="12" s="1"/>
  <c r="T82" i="12" s="1"/>
  <c r="T121" i="12" s="1"/>
  <c r="T48" i="12"/>
  <c r="T50" i="12" s="1"/>
  <c r="T43" i="12"/>
  <c r="T22" i="12" a="1"/>
  <c r="T22" i="12" s="1"/>
  <c r="T77" i="12" s="1"/>
  <c r="T116" i="12" s="1"/>
  <c r="T14" i="12" a="1"/>
  <c r="T14" i="12" s="1"/>
  <c r="T69" i="12" s="1"/>
  <c r="T108" i="12" s="1"/>
  <c r="T6" i="12" a="1"/>
  <c r="T6" i="12" s="1"/>
  <c r="T61" i="12" s="1"/>
  <c r="T100" i="12" s="1"/>
  <c r="T19" i="12" a="1"/>
  <c r="T19" i="12" s="1"/>
  <c r="T74" i="12" s="1"/>
  <c r="T113" i="12" s="1"/>
  <c r="T11" i="12" a="1"/>
  <c r="T11" i="12" s="1"/>
  <c r="T66" i="12" s="1"/>
  <c r="T105" i="12" s="1"/>
  <c r="T21" i="12" a="1"/>
  <c r="T21" i="12" s="1"/>
  <c r="T76" i="12" s="1"/>
  <c r="T115" i="12" s="1"/>
  <c r="T13" i="12" a="1"/>
  <c r="T13" i="12" s="1"/>
  <c r="T68" i="12" s="1"/>
  <c r="T107" i="12" s="1"/>
  <c r="T57" i="12"/>
  <c r="T96" i="12" s="1"/>
  <c r="T135" i="12" s="1"/>
  <c r="T174" i="12" s="1"/>
  <c r="T213" i="12" s="1"/>
  <c r="T23" i="12" a="1"/>
  <c r="T23" i="12" s="1"/>
  <c r="T78" i="12" s="1"/>
  <c r="T117" i="12" s="1"/>
  <c r="T8" i="12" a="1"/>
  <c r="T8" i="12" s="1"/>
  <c r="T63" i="12" s="1"/>
  <c r="T102" i="12" s="1"/>
  <c r="T16" i="12" a="1"/>
  <c r="T16" i="12" s="1"/>
  <c r="T71" i="12" s="1"/>
  <c r="T110" i="12" s="1"/>
  <c r="T12" i="12" a="1"/>
  <c r="T12" i="12" s="1"/>
  <c r="T67" i="12" s="1"/>
  <c r="T106" i="12" s="1"/>
  <c r="T24" i="12" a="1"/>
  <c r="T24" i="12" s="1"/>
  <c r="T79" i="12" s="1"/>
  <c r="T118" i="12" s="1"/>
  <c r="T20" i="12" a="1"/>
  <c r="T20" i="12" s="1"/>
  <c r="T75" i="12" s="1"/>
  <c r="T114" i="12" s="1"/>
  <c r="T5" i="12" a="1"/>
  <c r="T5" i="12" s="1"/>
  <c r="T60" i="12" s="1"/>
  <c r="T99" i="12" s="1"/>
  <c r="T4" i="12" a="1"/>
  <c r="T4" i="12" s="1"/>
  <c r="T59" i="12" s="1"/>
  <c r="T98" i="12" s="1"/>
  <c r="T44" i="12" a="1"/>
  <c r="T44" i="12" s="1"/>
  <c r="T46" i="12" s="1"/>
  <c r="T49" i="12" s="1"/>
  <c r="T9" i="12" a="1"/>
  <c r="T9" i="12" s="1"/>
  <c r="T64" i="12" s="1"/>
  <c r="T103" i="12" s="1"/>
  <c r="T17" i="12" a="1"/>
  <c r="T17" i="12" s="1"/>
  <c r="T72" i="12" s="1"/>
  <c r="T111" i="12" s="1"/>
  <c r="T150" i="12" s="1"/>
  <c r="T189" i="12" s="1"/>
  <c r="T10" i="12" a="1"/>
  <c r="T10" i="12" s="1"/>
  <c r="T65" i="12" s="1"/>
  <c r="T104" i="12" s="1"/>
  <c r="T25" i="12" a="1"/>
  <c r="T25" i="12" s="1"/>
  <c r="T80" i="12" s="1"/>
  <c r="T119" i="12" s="1"/>
  <c r="T18" i="12" a="1"/>
  <c r="T18" i="12" s="1"/>
  <c r="T73" i="12" s="1"/>
  <c r="T112" i="12" s="1"/>
  <c r="T7" i="12" a="1"/>
  <c r="T7" i="12" s="1"/>
  <c r="T62" i="12" s="1"/>
  <c r="T101" i="12" s="1"/>
  <c r="T3" i="12" a="1"/>
  <c r="T3" i="12" s="1"/>
  <c r="T58" i="12" s="1"/>
  <c r="T97" i="12" s="1"/>
  <c r="T26" i="12" a="1"/>
  <c r="T26" i="12" s="1"/>
  <c r="T81" i="12" s="1"/>
  <c r="T120" i="12" s="1"/>
  <c r="T15" i="12" a="1"/>
  <c r="T15" i="12" s="1"/>
  <c r="T70" i="12" s="1"/>
  <c r="T109" i="12" s="1"/>
  <c r="L42" i="12" a="1"/>
  <c r="L42" i="12" s="1"/>
  <c r="L40" i="12" a="1"/>
  <c r="L40" i="12" s="1"/>
  <c r="L39" i="12" a="1"/>
  <c r="L39" i="12" s="1"/>
  <c r="L38" i="12" a="1"/>
  <c r="L38" i="12" s="1"/>
  <c r="L37" i="12" a="1"/>
  <c r="L37" i="12" s="1"/>
  <c r="L36" i="12" a="1"/>
  <c r="L36" i="12" s="1"/>
  <c r="L35" i="12" a="1"/>
  <c r="L35" i="12" s="1"/>
  <c r="L34" i="12" a="1"/>
  <c r="L34" i="12" s="1"/>
  <c r="L33" i="12" a="1"/>
  <c r="L33" i="12" s="1"/>
  <c r="L32" i="12" a="1"/>
  <c r="L32" i="12" s="1"/>
  <c r="L31" i="12" a="1"/>
  <c r="L31" i="12" s="1"/>
  <c r="L30" i="12" a="1"/>
  <c r="L30" i="12" s="1"/>
  <c r="L29" i="12" a="1"/>
  <c r="L29" i="12" s="1"/>
  <c r="L84" i="12" s="1"/>
  <c r="L123" i="12" s="1"/>
  <c r="L28" i="12" a="1"/>
  <c r="L28" i="12" s="1"/>
  <c r="L83" i="12" s="1"/>
  <c r="L122" i="12" s="1"/>
  <c r="L27" i="12" a="1"/>
  <c r="L27" i="12" s="1"/>
  <c r="L82" i="12" s="1"/>
  <c r="L121" i="12" s="1"/>
  <c r="L24" i="12" a="1"/>
  <c r="L24" i="12" s="1"/>
  <c r="L79" i="12" s="1"/>
  <c r="L118" i="12" s="1"/>
  <c r="L16" i="12" a="1"/>
  <c r="L16" i="12" s="1"/>
  <c r="L71" i="12" s="1"/>
  <c r="L110" i="12" s="1"/>
  <c r="L8" i="12" a="1"/>
  <c r="L8" i="12" s="1"/>
  <c r="L63" i="12" s="1"/>
  <c r="L102" i="12" s="1"/>
  <c r="L21" i="12" a="1"/>
  <c r="L21" i="12" s="1"/>
  <c r="L76" i="12" s="1"/>
  <c r="L115" i="12" s="1"/>
  <c r="L13" i="12" a="1"/>
  <c r="L13" i="12" s="1"/>
  <c r="L68" i="12" s="1"/>
  <c r="L107" i="12" s="1"/>
  <c r="L23" i="12" a="1"/>
  <c r="L23" i="12" s="1"/>
  <c r="L78" i="12" s="1"/>
  <c r="L117" i="12" s="1"/>
  <c r="L15" i="12" a="1"/>
  <c r="L15" i="12" s="1"/>
  <c r="L70" i="12" s="1"/>
  <c r="L109" i="12" s="1"/>
  <c r="L48" i="12"/>
  <c r="L43" i="12"/>
  <c r="L11" i="12" a="1"/>
  <c r="L11" i="12" s="1"/>
  <c r="L66" i="12" s="1"/>
  <c r="L105" i="12" s="1"/>
  <c r="L6" i="12" a="1"/>
  <c r="L6" i="12" s="1"/>
  <c r="L61" i="12" s="1"/>
  <c r="L100" i="12" s="1"/>
  <c r="L4" i="12" a="1"/>
  <c r="L4" i="12" s="1"/>
  <c r="L59" i="12" s="1"/>
  <c r="L98" i="12" s="1"/>
  <c r="L57" i="12"/>
  <c r="L96" i="12" s="1"/>
  <c r="L135" i="12" s="1"/>
  <c r="L174" i="12" s="1"/>
  <c r="L213" i="12" s="1"/>
  <c r="L19" i="12" a="1"/>
  <c r="L19" i="12" s="1"/>
  <c r="L74" i="12" s="1"/>
  <c r="L113" i="12" s="1"/>
  <c r="L12" i="12" a="1"/>
  <c r="L12" i="12" s="1"/>
  <c r="L67" i="12" s="1"/>
  <c r="L106" i="12" s="1"/>
  <c r="L7" i="12" a="1"/>
  <c r="L7" i="12" s="1"/>
  <c r="L62" i="12" s="1"/>
  <c r="L101" i="12" s="1"/>
  <c r="L20" i="12" a="1"/>
  <c r="L20" i="12" s="1"/>
  <c r="L75" i="12" s="1"/>
  <c r="L114" i="12" s="1"/>
  <c r="L9" i="12" a="1"/>
  <c r="L9" i="12" s="1"/>
  <c r="L64" i="12" s="1"/>
  <c r="L103" i="12" s="1"/>
  <c r="L142" i="12" s="1"/>
  <c r="L3" i="12" a="1"/>
  <c r="L3" i="12" s="1"/>
  <c r="L58" i="12" s="1"/>
  <c r="L97" i="12" s="1"/>
  <c r="L17" i="12" a="1"/>
  <c r="L17" i="12" s="1"/>
  <c r="L72" i="12" s="1"/>
  <c r="L111" i="12" s="1"/>
  <c r="L25" i="12" a="1"/>
  <c r="L25" i="12" s="1"/>
  <c r="L80" i="12" s="1"/>
  <c r="L119" i="12" s="1"/>
  <c r="L10" i="12" a="1"/>
  <c r="L10" i="12" s="1"/>
  <c r="L65" i="12" s="1"/>
  <c r="L104" i="12" s="1"/>
  <c r="L44" i="12" a="1"/>
  <c r="L44" i="12" s="1"/>
  <c r="L46" i="12" s="1"/>
  <c r="L49" i="12" s="1"/>
  <c r="J3" i="13" s="1"/>
  <c r="L18" i="12" a="1"/>
  <c r="L18" i="12" s="1"/>
  <c r="L73" i="12" s="1"/>
  <c r="L112" i="12" s="1"/>
  <c r="L14" i="12" a="1"/>
  <c r="L14" i="12" s="1"/>
  <c r="L69" i="12" s="1"/>
  <c r="L108" i="12" s="1"/>
  <c r="L5" i="12" a="1"/>
  <c r="L5" i="12" s="1"/>
  <c r="L60" i="12" s="1"/>
  <c r="L99" i="12" s="1"/>
  <c r="L26" i="12" a="1"/>
  <c r="L26" i="12" s="1"/>
  <c r="L81" i="12" s="1"/>
  <c r="L120" i="12" s="1"/>
  <c r="L22" i="12" a="1"/>
  <c r="L22" i="12" s="1"/>
  <c r="L77" i="12" s="1"/>
  <c r="L116" i="12" s="1"/>
  <c r="U44" i="12" a="1"/>
  <c r="U44" i="12" s="1"/>
  <c r="U46" i="12" s="1"/>
  <c r="U49" i="12" s="1"/>
  <c r="U48" i="12"/>
  <c r="U50" i="12" s="1"/>
  <c r="U43" i="12"/>
  <c r="U42" i="12" a="1"/>
  <c r="U42" i="12" s="1"/>
  <c r="U19" i="12" a="1"/>
  <c r="U19" i="12" s="1"/>
  <c r="U74" i="12" s="1"/>
  <c r="U113" i="12" s="1"/>
  <c r="U11" i="12" a="1"/>
  <c r="U11" i="12" s="1"/>
  <c r="U66" i="12" s="1"/>
  <c r="U105" i="12" s="1"/>
  <c r="U57" i="12"/>
  <c r="U96" i="12" s="1"/>
  <c r="U135" i="12" s="1"/>
  <c r="U174" i="12" s="1"/>
  <c r="U213" i="12" s="1"/>
  <c r="U40" i="12" a="1"/>
  <c r="U40" i="12" s="1"/>
  <c r="U38" i="12" a="1"/>
  <c r="U38" i="12" s="1"/>
  <c r="U36" i="12" a="1"/>
  <c r="U36" i="12" s="1"/>
  <c r="U34" i="12" a="1"/>
  <c r="U34" i="12" s="1"/>
  <c r="U33" i="12" a="1"/>
  <c r="U33" i="12" s="1"/>
  <c r="U24" i="12" a="1"/>
  <c r="U24" i="12" s="1"/>
  <c r="U79" i="12" s="1"/>
  <c r="U118" i="12" s="1"/>
  <c r="U16" i="12" a="1"/>
  <c r="U16" i="12" s="1"/>
  <c r="U71" i="12" s="1"/>
  <c r="U110" i="12" s="1"/>
  <c r="U8" i="12" a="1"/>
  <c r="U8" i="12" s="1"/>
  <c r="U63" i="12" s="1"/>
  <c r="U102" i="12" s="1"/>
  <c r="U31" i="12" a="1"/>
  <c r="U31" i="12" s="1"/>
  <c r="U26" i="12" a="1"/>
  <c r="U26" i="12" s="1"/>
  <c r="U81" i="12" s="1"/>
  <c r="U120" i="12" s="1"/>
  <c r="U18" i="12" a="1"/>
  <c r="U18" i="12" s="1"/>
  <c r="U73" i="12" s="1"/>
  <c r="U112" i="12" s="1"/>
  <c r="U10" i="12" a="1"/>
  <c r="U10" i="12" s="1"/>
  <c r="U65" i="12" s="1"/>
  <c r="U104" i="12" s="1"/>
  <c r="U30" i="12" a="1"/>
  <c r="U30" i="12" s="1"/>
  <c r="U39" i="12" a="1"/>
  <c r="U39" i="12" s="1"/>
  <c r="U37" i="12" a="1"/>
  <c r="U37" i="12" s="1"/>
  <c r="U35" i="12" a="1"/>
  <c r="U35" i="12" s="1"/>
  <c r="U29" i="12" a="1"/>
  <c r="U29" i="12" s="1"/>
  <c r="U84" i="12" s="1"/>
  <c r="U123" i="12" s="1"/>
  <c r="U32" i="12" a="1"/>
  <c r="U32" i="12" s="1"/>
  <c r="U12" i="12" a="1"/>
  <c r="U12" i="12" s="1"/>
  <c r="U67" i="12" s="1"/>
  <c r="U106" i="12" s="1"/>
  <c r="U20" i="12" a="1"/>
  <c r="U20" i="12" s="1"/>
  <c r="U75" i="12" s="1"/>
  <c r="U114" i="12" s="1"/>
  <c r="U5" i="12" a="1"/>
  <c r="U5" i="12" s="1"/>
  <c r="U60" i="12" s="1"/>
  <c r="U99" i="12" s="1"/>
  <c r="U4" i="12" a="1"/>
  <c r="U4" i="12" s="1"/>
  <c r="U59" i="12" s="1"/>
  <c r="U98" i="12" s="1"/>
  <c r="U13" i="12" a="1"/>
  <c r="U13" i="12" s="1"/>
  <c r="U68" i="12" s="1"/>
  <c r="U107" i="12" s="1"/>
  <c r="U9" i="12" a="1"/>
  <c r="U9" i="12" s="1"/>
  <c r="U64" i="12" s="1"/>
  <c r="U103" i="12" s="1"/>
  <c r="U21" i="12" a="1"/>
  <c r="U21" i="12" s="1"/>
  <c r="U76" i="12" s="1"/>
  <c r="U115" i="12" s="1"/>
  <c r="U17" i="12" a="1"/>
  <c r="U17" i="12" s="1"/>
  <c r="U72" i="12" s="1"/>
  <c r="U111" i="12" s="1"/>
  <c r="U6" i="12" a="1"/>
  <c r="U6" i="12" s="1"/>
  <c r="U61" i="12" s="1"/>
  <c r="U100" i="12" s="1"/>
  <c r="U25" i="12" a="1"/>
  <c r="U25" i="12" s="1"/>
  <c r="U80" i="12" s="1"/>
  <c r="U119" i="12" s="1"/>
  <c r="U7" i="12" a="1"/>
  <c r="U7" i="12" s="1"/>
  <c r="U62" i="12" s="1"/>
  <c r="U101" i="12" s="1"/>
  <c r="U3" i="12" a="1"/>
  <c r="U3" i="12" s="1"/>
  <c r="U58" i="12" s="1"/>
  <c r="U97" i="12" s="1"/>
  <c r="U27" i="12" a="1"/>
  <c r="U27" i="12" s="1"/>
  <c r="U82" i="12" s="1"/>
  <c r="U121" i="12" s="1"/>
  <c r="U160" i="12" s="1"/>
  <c r="U199" i="12" s="1"/>
  <c r="U14" i="12" a="1"/>
  <c r="U14" i="12" s="1"/>
  <c r="U69" i="12" s="1"/>
  <c r="U108" i="12" s="1"/>
  <c r="U22" i="12" a="1"/>
  <c r="U22" i="12" s="1"/>
  <c r="U77" i="12" s="1"/>
  <c r="U116" i="12" s="1"/>
  <c r="U15" i="12" a="1"/>
  <c r="U15" i="12" s="1"/>
  <c r="U70" i="12" s="1"/>
  <c r="U109" i="12" s="1"/>
  <c r="U28" i="12" a="1"/>
  <c r="U28" i="12" s="1"/>
  <c r="U83" i="12" s="1"/>
  <c r="U122" i="12" s="1"/>
  <c r="U23" i="12" a="1"/>
  <c r="U23" i="12" s="1"/>
  <c r="U78" i="12" s="1"/>
  <c r="U117" i="12" s="1"/>
  <c r="E44" i="12" a="1"/>
  <c r="E44" i="12" s="1"/>
  <c r="E46" i="12" s="1"/>
  <c r="E49" i="12" s="1"/>
  <c r="C3" i="13" s="1"/>
  <c r="E48" i="12"/>
  <c r="E43" i="12"/>
  <c r="E42" i="12" a="1"/>
  <c r="E42" i="12" s="1"/>
  <c r="E30" i="12" a="1"/>
  <c r="E30" i="12" s="1"/>
  <c r="E23" i="12" a="1"/>
  <c r="E23" i="12" s="1"/>
  <c r="E78" i="12" s="1"/>
  <c r="E117" i="12" s="1"/>
  <c r="E15" i="12" a="1"/>
  <c r="E15" i="12" s="1"/>
  <c r="E70" i="12" s="1"/>
  <c r="E109" i="12" s="1"/>
  <c r="E7" i="12" a="1"/>
  <c r="E7" i="12" s="1"/>
  <c r="E62" i="12" s="1"/>
  <c r="E101" i="12" s="1"/>
  <c r="E57" i="12"/>
  <c r="E96" i="12" s="1"/>
  <c r="E135" i="12" s="1"/>
  <c r="E174" i="12" s="1"/>
  <c r="E213" i="12" s="1"/>
  <c r="E40" i="12" a="1"/>
  <c r="E40" i="12" s="1"/>
  <c r="E38" i="12" a="1"/>
  <c r="E38" i="12" s="1"/>
  <c r="E36" i="12" a="1"/>
  <c r="E36" i="12" s="1"/>
  <c r="E29" i="12" a="1"/>
  <c r="E29" i="12" s="1"/>
  <c r="E84" i="12" s="1"/>
  <c r="E123" i="12" s="1"/>
  <c r="E20" i="12" a="1"/>
  <c r="E20" i="12" s="1"/>
  <c r="E75" i="12" s="1"/>
  <c r="E114" i="12" s="1"/>
  <c r="E12" i="12" a="1"/>
  <c r="E12" i="12" s="1"/>
  <c r="E67" i="12" s="1"/>
  <c r="E106" i="12" s="1"/>
  <c r="E22" i="12" a="1"/>
  <c r="E22" i="12" s="1"/>
  <c r="E77" i="12" s="1"/>
  <c r="E116" i="12" s="1"/>
  <c r="E14" i="12" a="1"/>
  <c r="E14" i="12" s="1"/>
  <c r="E69" i="12" s="1"/>
  <c r="E108" i="12" s="1"/>
  <c r="E34" i="12" a="1"/>
  <c r="E34" i="12" s="1"/>
  <c r="E39" i="12" a="1"/>
  <c r="E39" i="12" s="1"/>
  <c r="E37" i="12" a="1"/>
  <c r="E37" i="12" s="1"/>
  <c r="E35" i="12" a="1"/>
  <c r="E35" i="12" s="1"/>
  <c r="E33" i="12" a="1"/>
  <c r="E33" i="12" s="1"/>
  <c r="E26" i="12" a="1"/>
  <c r="E26" i="12" s="1"/>
  <c r="E81" i="12" s="1"/>
  <c r="E120" i="12" s="1"/>
  <c r="E19" i="12" a="1"/>
  <c r="E19" i="12" s="1"/>
  <c r="E74" i="12" s="1"/>
  <c r="E113" i="12" s="1"/>
  <c r="E3" i="12" a="1"/>
  <c r="E3" i="12" s="1"/>
  <c r="E58" i="12" s="1"/>
  <c r="E97" i="12" s="1"/>
  <c r="E31" i="12" a="1"/>
  <c r="E31" i="12" s="1"/>
  <c r="E28" i="12" a="1"/>
  <c r="E28" i="12" s="1"/>
  <c r="E83" i="12" s="1"/>
  <c r="E122" i="12" s="1"/>
  <c r="E27" i="12" a="1"/>
  <c r="E27" i="12" s="1"/>
  <c r="E82" i="12" s="1"/>
  <c r="E121" i="12" s="1"/>
  <c r="E16" i="12" a="1"/>
  <c r="E16" i="12" s="1"/>
  <c r="E71" i="12" s="1"/>
  <c r="E110" i="12" s="1"/>
  <c r="E5" i="12" a="1"/>
  <c r="E5" i="12" s="1"/>
  <c r="E60" i="12" s="1"/>
  <c r="E99" i="12" s="1"/>
  <c r="E24" i="12" a="1"/>
  <c r="E24" i="12" s="1"/>
  <c r="E79" i="12" s="1"/>
  <c r="E118" i="12" s="1"/>
  <c r="E9" i="12" a="1"/>
  <c r="E9" i="12" s="1"/>
  <c r="E64" i="12" s="1"/>
  <c r="E103" i="12" s="1"/>
  <c r="E6" i="12" a="1"/>
  <c r="E6" i="12" s="1"/>
  <c r="E61" i="12" s="1"/>
  <c r="E100" i="12" s="1"/>
  <c r="E17" i="12" a="1"/>
  <c r="E17" i="12" s="1"/>
  <c r="E72" i="12" s="1"/>
  <c r="E111" i="12" s="1"/>
  <c r="E13" i="12" a="1"/>
  <c r="E13" i="12" s="1"/>
  <c r="E68" i="12" s="1"/>
  <c r="E107" i="12" s="1"/>
  <c r="E25" i="12" a="1"/>
  <c r="E25" i="12" s="1"/>
  <c r="E80" i="12" s="1"/>
  <c r="E119" i="12" s="1"/>
  <c r="E21" i="12" a="1"/>
  <c r="E21" i="12" s="1"/>
  <c r="E76" i="12" s="1"/>
  <c r="E115" i="12" s="1"/>
  <c r="E4" i="12" a="1"/>
  <c r="E4" i="12" s="1"/>
  <c r="E59" i="12" s="1"/>
  <c r="E98" i="12" s="1"/>
  <c r="E10" i="12" a="1"/>
  <c r="E10" i="12" s="1"/>
  <c r="E65" i="12" s="1"/>
  <c r="E104" i="12" s="1"/>
  <c r="E8" i="12" a="1"/>
  <c r="E8" i="12" s="1"/>
  <c r="E63" i="12" s="1"/>
  <c r="E102" i="12" s="1"/>
  <c r="E32" i="12" a="1"/>
  <c r="E32" i="12" s="1"/>
  <c r="E18" i="12" a="1"/>
  <c r="E18" i="12" s="1"/>
  <c r="E73" i="12" s="1"/>
  <c r="E112" i="12" s="1"/>
  <c r="E11" i="12" a="1"/>
  <c r="E11" i="12" s="1"/>
  <c r="E66" i="12" s="1"/>
  <c r="E105" i="12" s="1"/>
  <c r="E144" i="12" s="1"/>
  <c r="M44" i="12" a="1"/>
  <c r="M44" i="12" s="1"/>
  <c r="M46" i="12" s="1"/>
  <c r="M49" i="12" s="1"/>
  <c r="K3" i="13" s="1"/>
  <c r="M48" i="12"/>
  <c r="M43" i="12"/>
  <c r="M42" i="12" a="1"/>
  <c r="M42" i="12" s="1"/>
  <c r="M28" i="12" a="1"/>
  <c r="M28" i="12" s="1"/>
  <c r="M83" i="12" s="1"/>
  <c r="M122" i="12" s="1"/>
  <c r="M21" i="12" a="1"/>
  <c r="M21" i="12" s="1"/>
  <c r="M76" i="12" s="1"/>
  <c r="M115" i="12" s="1"/>
  <c r="M13" i="12" a="1"/>
  <c r="M13" i="12" s="1"/>
  <c r="M68" i="12" s="1"/>
  <c r="M107" i="12" s="1"/>
  <c r="M5" i="12" a="1"/>
  <c r="M5" i="12" s="1"/>
  <c r="M60" i="12" s="1"/>
  <c r="M99" i="12" s="1"/>
  <c r="M40" i="12" a="1"/>
  <c r="M40" i="12" s="1"/>
  <c r="M38" i="12" a="1"/>
  <c r="M38" i="12" s="1"/>
  <c r="M36" i="12" a="1"/>
  <c r="M36" i="12" s="1"/>
  <c r="M27" i="12" a="1"/>
  <c r="M27" i="12" s="1"/>
  <c r="M82" i="12" s="1"/>
  <c r="M121" i="12" s="1"/>
  <c r="M26" i="12" a="1"/>
  <c r="M26" i="12" s="1"/>
  <c r="M81" i="12" s="1"/>
  <c r="M120" i="12" s="1"/>
  <c r="M18" i="12" a="1"/>
  <c r="M18" i="12" s="1"/>
  <c r="M73" i="12" s="1"/>
  <c r="M112" i="12" s="1"/>
  <c r="M10" i="12" a="1"/>
  <c r="M10" i="12" s="1"/>
  <c r="M65" i="12" s="1"/>
  <c r="M104" i="12" s="1"/>
  <c r="M33" i="12" a="1"/>
  <c r="M33" i="12" s="1"/>
  <c r="M20" i="12" a="1"/>
  <c r="M20" i="12" s="1"/>
  <c r="M75" i="12" s="1"/>
  <c r="M114" i="12" s="1"/>
  <c r="M12" i="12" a="1"/>
  <c r="M12" i="12" s="1"/>
  <c r="M67" i="12" s="1"/>
  <c r="M106" i="12" s="1"/>
  <c r="M32" i="12" a="1"/>
  <c r="M32" i="12" s="1"/>
  <c r="M57" i="12"/>
  <c r="M96" i="12" s="1"/>
  <c r="M135" i="12" s="1"/>
  <c r="M174" i="12" s="1"/>
  <c r="M213" i="12" s="1"/>
  <c r="M39" i="12" a="1"/>
  <c r="M39" i="12" s="1"/>
  <c r="M37" i="12" a="1"/>
  <c r="M37" i="12" s="1"/>
  <c r="M35" i="12" a="1"/>
  <c r="M35" i="12" s="1"/>
  <c r="M31" i="12" a="1"/>
  <c r="M31" i="12" s="1"/>
  <c r="M29" i="12" a="1"/>
  <c r="M29" i="12" s="1"/>
  <c r="M84" i="12" s="1"/>
  <c r="M123" i="12" s="1"/>
  <c r="M23" i="12" a="1"/>
  <c r="M23" i="12" s="1"/>
  <c r="M78" i="12" s="1"/>
  <c r="M117" i="12" s="1"/>
  <c r="M19" i="12" a="1"/>
  <c r="M19" i="12" s="1"/>
  <c r="M74" i="12" s="1"/>
  <c r="M113" i="12" s="1"/>
  <c r="M7" i="12" a="1"/>
  <c r="M7" i="12" s="1"/>
  <c r="M62" i="12" s="1"/>
  <c r="M101" i="12" s="1"/>
  <c r="M34" i="12" a="1"/>
  <c r="M34" i="12" s="1"/>
  <c r="M16" i="12" a="1"/>
  <c r="M16" i="12" s="1"/>
  <c r="M71" i="12" s="1"/>
  <c r="M110" i="12" s="1"/>
  <c r="M9" i="12" a="1"/>
  <c r="M9" i="12" s="1"/>
  <c r="M64" i="12" s="1"/>
  <c r="M103" i="12" s="1"/>
  <c r="M8" i="12" a="1"/>
  <c r="M8" i="12" s="1"/>
  <c r="M63" i="12" s="1"/>
  <c r="M102" i="12" s="1"/>
  <c r="M141" i="12" s="1"/>
  <c r="M3" i="12" a="1"/>
  <c r="M3" i="12" s="1"/>
  <c r="M58" i="12" s="1"/>
  <c r="M97" i="12" s="1"/>
  <c r="M24" i="12" a="1"/>
  <c r="M24" i="12" s="1"/>
  <c r="M79" i="12" s="1"/>
  <c r="M118" i="12" s="1"/>
  <c r="M17" i="12" a="1"/>
  <c r="M17" i="12" s="1"/>
  <c r="M72" i="12" s="1"/>
  <c r="M111" i="12" s="1"/>
  <c r="M25" i="12" a="1"/>
  <c r="M25" i="12" s="1"/>
  <c r="M80" i="12" s="1"/>
  <c r="M119" i="12" s="1"/>
  <c r="M14" i="12" a="1"/>
  <c r="M14" i="12" s="1"/>
  <c r="M69" i="12" s="1"/>
  <c r="M108" i="12" s="1"/>
  <c r="M30" i="12" a="1"/>
  <c r="M30" i="12" s="1"/>
  <c r="M22" i="12" a="1"/>
  <c r="M22" i="12" s="1"/>
  <c r="M77" i="12" s="1"/>
  <c r="M116" i="12" s="1"/>
  <c r="M15" i="12" a="1"/>
  <c r="M15" i="12" s="1"/>
  <c r="M70" i="12" s="1"/>
  <c r="M109" i="12" s="1"/>
  <c r="M11" i="12" a="1"/>
  <c r="M11" i="12" s="1"/>
  <c r="M66" i="12" s="1"/>
  <c r="M105" i="12" s="1"/>
  <c r="M6" i="12" a="1"/>
  <c r="M6" i="12" s="1"/>
  <c r="M61" i="12" s="1"/>
  <c r="M100" i="12" s="1"/>
  <c r="M4" i="12" a="1"/>
  <c r="M4" i="12" s="1"/>
  <c r="M59" i="12" s="1"/>
  <c r="M98" i="12" s="1"/>
  <c r="V57" i="12"/>
  <c r="V96" i="12" s="1"/>
  <c r="V135" i="12" s="1"/>
  <c r="V174" i="12" s="1"/>
  <c r="V213" i="12" s="1"/>
  <c r="V48" i="12"/>
  <c r="V50" i="12" s="1"/>
  <c r="V43" i="12"/>
  <c r="V40" i="12" a="1"/>
  <c r="V40" i="12" s="1"/>
  <c r="V39" i="12" a="1"/>
  <c r="V39" i="12" s="1"/>
  <c r="V38" i="12" a="1"/>
  <c r="V38" i="12" s="1"/>
  <c r="V37" i="12" a="1"/>
  <c r="V37" i="12" s="1"/>
  <c r="V36" i="12" a="1"/>
  <c r="V36" i="12" s="1"/>
  <c r="V35" i="12" a="1"/>
  <c r="V35" i="12" s="1"/>
  <c r="V34" i="12" a="1"/>
  <c r="V34" i="12" s="1"/>
  <c r="V33" i="12" a="1"/>
  <c r="V33" i="12" s="1"/>
  <c r="V32" i="12" a="1"/>
  <c r="V32" i="12" s="1"/>
  <c r="V31" i="12" a="1"/>
  <c r="V31" i="12" s="1"/>
  <c r="V30" i="12" a="1"/>
  <c r="V30" i="12" s="1"/>
  <c r="V29" i="12" a="1"/>
  <c r="V29" i="12" s="1"/>
  <c r="V84" i="12" s="1"/>
  <c r="V123" i="12" s="1"/>
  <c r="V28" i="12" a="1"/>
  <c r="V28" i="12" s="1"/>
  <c r="V83" i="12" s="1"/>
  <c r="V122" i="12" s="1"/>
  <c r="V27" i="12" a="1"/>
  <c r="V27" i="12" s="1"/>
  <c r="V82" i="12" s="1"/>
  <c r="V121" i="12" s="1"/>
  <c r="V21" i="12" a="1"/>
  <c r="V21" i="12" s="1"/>
  <c r="V76" i="12" s="1"/>
  <c r="V115" i="12" s="1"/>
  <c r="V13" i="12" a="1"/>
  <c r="V13" i="12" s="1"/>
  <c r="V68" i="12" s="1"/>
  <c r="V107" i="12" s="1"/>
  <c r="V5" i="12" a="1"/>
  <c r="V5" i="12" s="1"/>
  <c r="V60" i="12" s="1"/>
  <c r="V99" i="12" s="1"/>
  <c r="V26" i="12" a="1"/>
  <c r="V26" i="12" s="1"/>
  <c r="V81" i="12" s="1"/>
  <c r="V120" i="12" s="1"/>
  <c r="V159" i="12" s="1"/>
  <c r="V198" i="12" s="1"/>
  <c r="V18" i="12" a="1"/>
  <c r="V18" i="12" s="1"/>
  <c r="V73" i="12" s="1"/>
  <c r="V112" i="12" s="1"/>
  <c r="V10" i="12" a="1"/>
  <c r="V10" i="12" s="1"/>
  <c r="V65" i="12" s="1"/>
  <c r="V104" i="12" s="1"/>
  <c r="V42" i="12" a="1"/>
  <c r="V42" i="12" s="1"/>
  <c r="V20" i="12" a="1"/>
  <c r="V20" i="12" s="1"/>
  <c r="V75" i="12" s="1"/>
  <c r="V114" i="12" s="1"/>
  <c r="V12" i="12" a="1"/>
  <c r="V12" i="12" s="1"/>
  <c r="V67" i="12" s="1"/>
  <c r="V106" i="12" s="1"/>
  <c r="V44" i="12" a="1"/>
  <c r="V44" i="12" s="1"/>
  <c r="V46" i="12" s="1"/>
  <c r="V49" i="12" s="1"/>
  <c r="V16" i="12" a="1"/>
  <c r="V16" i="12" s="1"/>
  <c r="V71" i="12" s="1"/>
  <c r="V110" i="12" s="1"/>
  <c r="V9" i="12" a="1"/>
  <c r="V9" i="12" s="1"/>
  <c r="V64" i="12" s="1"/>
  <c r="V103" i="12" s="1"/>
  <c r="V24" i="12" a="1"/>
  <c r="V24" i="12" s="1"/>
  <c r="V79" i="12" s="1"/>
  <c r="V118" i="12" s="1"/>
  <c r="V17" i="12" a="1"/>
  <c r="V17" i="12" s="1"/>
  <c r="V72" i="12" s="1"/>
  <c r="V111" i="12" s="1"/>
  <c r="V6" i="12" a="1"/>
  <c r="V6" i="12" s="1"/>
  <c r="V61" i="12" s="1"/>
  <c r="V100" i="12" s="1"/>
  <c r="V25" i="12" a="1"/>
  <c r="V25" i="12" s="1"/>
  <c r="V80" i="12" s="1"/>
  <c r="V119" i="12" s="1"/>
  <c r="V7" i="12" a="1"/>
  <c r="V7" i="12" s="1"/>
  <c r="V62" i="12" s="1"/>
  <c r="V101" i="12" s="1"/>
  <c r="V3" i="12" a="1"/>
  <c r="V3" i="12" s="1"/>
  <c r="V58" i="12" s="1"/>
  <c r="V97" i="12" s="1"/>
  <c r="V14" i="12" a="1"/>
  <c r="V14" i="12" s="1"/>
  <c r="V69" i="12" s="1"/>
  <c r="V108" i="12" s="1"/>
  <c r="V22" i="12" a="1"/>
  <c r="V22" i="12" s="1"/>
  <c r="V77" i="12" s="1"/>
  <c r="V116" i="12" s="1"/>
  <c r="V15" i="12" a="1"/>
  <c r="V15" i="12" s="1"/>
  <c r="V70" i="12" s="1"/>
  <c r="V109" i="12" s="1"/>
  <c r="V11" i="12" a="1"/>
  <c r="V11" i="12" s="1"/>
  <c r="V66" i="12" s="1"/>
  <c r="V105" i="12" s="1"/>
  <c r="V23" i="12" a="1"/>
  <c r="V23" i="12" s="1"/>
  <c r="V78" i="12" s="1"/>
  <c r="V117" i="12" s="1"/>
  <c r="V19" i="12" a="1"/>
  <c r="V19" i="12" s="1"/>
  <c r="V74" i="12" s="1"/>
  <c r="V113" i="12" s="1"/>
  <c r="V8" i="12" a="1"/>
  <c r="V8" i="12" s="1"/>
  <c r="V63" i="12" s="1"/>
  <c r="V102" i="12" s="1"/>
  <c r="V4" i="12" a="1"/>
  <c r="V4" i="12" s="1"/>
  <c r="V59" i="12" s="1"/>
  <c r="V98" i="12" s="1"/>
  <c r="N57" i="12"/>
  <c r="N96" i="12" s="1"/>
  <c r="N135" i="12" s="1"/>
  <c r="N174" i="12" s="1"/>
  <c r="N213" i="12" s="1"/>
  <c r="N48" i="12"/>
  <c r="N43" i="12"/>
  <c r="N40" i="12" a="1"/>
  <c r="N40" i="12" s="1"/>
  <c r="N39" i="12" a="1"/>
  <c r="N39" i="12" s="1"/>
  <c r="N38" i="12" a="1"/>
  <c r="N38" i="12" s="1"/>
  <c r="N37" i="12" a="1"/>
  <c r="N37" i="12" s="1"/>
  <c r="N36" i="12" a="1"/>
  <c r="N36" i="12" s="1"/>
  <c r="N35" i="12" a="1"/>
  <c r="N35" i="12" s="1"/>
  <c r="N34" i="12" a="1"/>
  <c r="N34" i="12" s="1"/>
  <c r="N33" i="12" a="1"/>
  <c r="N33" i="12" s="1"/>
  <c r="N32" i="12" a="1"/>
  <c r="N32" i="12" s="1"/>
  <c r="N31" i="12" a="1"/>
  <c r="N31" i="12" s="1"/>
  <c r="N30" i="12" a="1"/>
  <c r="N30" i="12" s="1"/>
  <c r="N29" i="12" a="1"/>
  <c r="N29" i="12" s="1"/>
  <c r="N84" i="12" s="1"/>
  <c r="N123" i="12" s="1"/>
  <c r="N28" i="12" a="1"/>
  <c r="N28" i="12" s="1"/>
  <c r="N83" i="12" s="1"/>
  <c r="N122" i="12" s="1"/>
  <c r="N27" i="12" a="1"/>
  <c r="N27" i="12" s="1"/>
  <c r="N82" i="12" s="1"/>
  <c r="N121" i="12" s="1"/>
  <c r="N23" i="12" a="1"/>
  <c r="N23" i="12" s="1"/>
  <c r="N78" i="12" s="1"/>
  <c r="N117" i="12" s="1"/>
  <c r="N15" i="12" a="1"/>
  <c r="N15" i="12" s="1"/>
  <c r="N70" i="12" s="1"/>
  <c r="N109" i="12" s="1"/>
  <c r="N7" i="12" a="1"/>
  <c r="N7" i="12" s="1"/>
  <c r="N62" i="12" s="1"/>
  <c r="N101" i="12" s="1"/>
  <c r="N20" i="12" a="1"/>
  <c r="N20" i="12" s="1"/>
  <c r="N75" i="12" s="1"/>
  <c r="N114" i="12" s="1"/>
  <c r="N12" i="12" a="1"/>
  <c r="N12" i="12" s="1"/>
  <c r="N67" i="12" s="1"/>
  <c r="N106" i="12" s="1"/>
  <c r="N42" i="12" a="1"/>
  <c r="N42" i="12" s="1"/>
  <c r="N22" i="12" a="1"/>
  <c r="N22" i="12" s="1"/>
  <c r="N77" i="12" s="1"/>
  <c r="N116" i="12" s="1"/>
  <c r="N14" i="12" a="1"/>
  <c r="N14" i="12" s="1"/>
  <c r="N69" i="12" s="1"/>
  <c r="N108" i="12" s="1"/>
  <c r="N44" i="12" a="1"/>
  <c r="N44" i="12" s="1"/>
  <c r="N46" i="12" s="1"/>
  <c r="N49" i="12" s="1"/>
  <c r="L3" i="13" s="1"/>
  <c r="N16" i="12" a="1"/>
  <c r="N16" i="12" s="1"/>
  <c r="N71" i="12" s="1"/>
  <c r="N110" i="12" s="1"/>
  <c r="N8" i="12" a="1"/>
  <c r="N8" i="12" s="1"/>
  <c r="N63" i="12" s="1"/>
  <c r="N102" i="12" s="1"/>
  <c r="N3" i="12" a="1"/>
  <c r="N3" i="12" s="1"/>
  <c r="N58" i="12" s="1"/>
  <c r="N97" i="12" s="1"/>
  <c r="N24" i="12" a="1"/>
  <c r="N24" i="12" s="1"/>
  <c r="N79" i="12" s="1"/>
  <c r="N118" i="12" s="1"/>
  <c r="N9" i="12" a="1"/>
  <c r="N9" i="12" s="1"/>
  <c r="N64" i="12" s="1"/>
  <c r="N103" i="12" s="1"/>
  <c r="N17" i="12" a="1"/>
  <c r="N17" i="12" s="1"/>
  <c r="N72" i="12" s="1"/>
  <c r="N111" i="12" s="1"/>
  <c r="N13" i="12" a="1"/>
  <c r="N13" i="12" s="1"/>
  <c r="N68" i="12" s="1"/>
  <c r="N107" i="12" s="1"/>
  <c r="N25" i="12" a="1"/>
  <c r="N25" i="12" s="1"/>
  <c r="N80" i="12" s="1"/>
  <c r="N119" i="12" s="1"/>
  <c r="N21" i="12" a="1"/>
  <c r="N21" i="12" s="1"/>
  <c r="N76" i="12" s="1"/>
  <c r="N115" i="12" s="1"/>
  <c r="N10" i="12" a="1"/>
  <c r="N10" i="12" s="1"/>
  <c r="N65" i="12" s="1"/>
  <c r="N104" i="12" s="1"/>
  <c r="N5" i="12" a="1"/>
  <c r="N5" i="12" s="1"/>
  <c r="N60" i="12" s="1"/>
  <c r="N99" i="12" s="1"/>
  <c r="N18" i="12" a="1"/>
  <c r="N18" i="12" s="1"/>
  <c r="N73" i="12" s="1"/>
  <c r="N112" i="12" s="1"/>
  <c r="N11" i="12" a="1"/>
  <c r="N11" i="12" s="1"/>
  <c r="N66" i="12" s="1"/>
  <c r="N105" i="12" s="1"/>
  <c r="N6" i="12" a="1"/>
  <c r="N6" i="12" s="1"/>
  <c r="N61" i="12" s="1"/>
  <c r="N100" i="12" s="1"/>
  <c r="N4" i="12" a="1"/>
  <c r="N4" i="12" s="1"/>
  <c r="N59" i="12" s="1"/>
  <c r="N98" i="12" s="1"/>
  <c r="N26" i="12" a="1"/>
  <c r="N26" i="12" s="1"/>
  <c r="N81" i="12" s="1"/>
  <c r="N120" i="12" s="1"/>
  <c r="N159" i="12" s="1"/>
  <c r="N19" i="12" a="1"/>
  <c r="N19" i="12" s="1"/>
  <c r="N74" i="12" s="1"/>
  <c r="N113" i="12" s="1"/>
  <c r="W57" i="12"/>
  <c r="W96" i="12" s="1"/>
  <c r="W135" i="12" s="1"/>
  <c r="W174" i="12" s="1"/>
  <c r="W213" i="12" s="1"/>
  <c r="W44" i="12" a="1"/>
  <c r="W44" i="12" s="1"/>
  <c r="W46" i="12" s="1"/>
  <c r="W49" i="12" s="1"/>
  <c r="W31" i="12" a="1"/>
  <c r="W31" i="12" s="1"/>
  <c r="W23" i="12" a="1"/>
  <c r="W23" i="12" s="1"/>
  <c r="W78" i="12" s="1"/>
  <c r="W117" i="12" s="1"/>
  <c r="W15" i="12" a="1"/>
  <c r="W15" i="12" s="1"/>
  <c r="W70" i="12" s="1"/>
  <c r="W109" i="12" s="1"/>
  <c r="W7" i="12" a="1"/>
  <c r="W7" i="12" s="1"/>
  <c r="W62" i="12" s="1"/>
  <c r="W101" i="12" s="1"/>
  <c r="W42" i="12" a="1"/>
  <c r="W42" i="12" s="1"/>
  <c r="W30" i="12" a="1"/>
  <c r="W30" i="12" s="1"/>
  <c r="W20" i="12" a="1"/>
  <c r="W20" i="12" s="1"/>
  <c r="W75" i="12" s="1"/>
  <c r="W114" i="12" s="1"/>
  <c r="W12" i="12" a="1"/>
  <c r="W12" i="12" s="1"/>
  <c r="W67" i="12" s="1"/>
  <c r="W106" i="12" s="1"/>
  <c r="W39" i="12" a="1"/>
  <c r="W39" i="12" s="1"/>
  <c r="W37" i="12" a="1"/>
  <c r="W37" i="12" s="1"/>
  <c r="W35" i="12" a="1"/>
  <c r="W35" i="12" s="1"/>
  <c r="W28" i="12" a="1"/>
  <c r="W28" i="12" s="1"/>
  <c r="W83" i="12" s="1"/>
  <c r="W122" i="12" s="1"/>
  <c r="W22" i="12" a="1"/>
  <c r="W22" i="12" s="1"/>
  <c r="W77" i="12" s="1"/>
  <c r="W116" i="12" s="1"/>
  <c r="W14" i="12" a="1"/>
  <c r="W14" i="12" s="1"/>
  <c r="W69" i="12" s="1"/>
  <c r="W108" i="12" s="1"/>
  <c r="W40" i="12" a="1"/>
  <c r="W40" i="12" s="1"/>
  <c r="W17" i="12" a="1"/>
  <c r="W17" i="12" s="1"/>
  <c r="W72" i="12" s="1"/>
  <c r="W111" i="12" s="1"/>
  <c r="W13" i="12" a="1"/>
  <c r="W13" i="12" s="1"/>
  <c r="W68" i="12" s="1"/>
  <c r="W107" i="12" s="1"/>
  <c r="W3" i="12" a="1"/>
  <c r="W3" i="12" s="1"/>
  <c r="W58" i="12" s="1"/>
  <c r="W97" i="12" s="1"/>
  <c r="W25" i="12" a="1"/>
  <c r="W25" i="12" s="1"/>
  <c r="W80" i="12" s="1"/>
  <c r="W119" i="12" s="1"/>
  <c r="W21" i="12" a="1"/>
  <c r="W21" i="12" s="1"/>
  <c r="W76" i="12" s="1"/>
  <c r="W115" i="12" s="1"/>
  <c r="W43" i="12"/>
  <c r="W27" i="12" a="1"/>
  <c r="W27" i="12" s="1"/>
  <c r="W82" i="12" s="1"/>
  <c r="W121" i="12" s="1"/>
  <c r="W10" i="12" a="1"/>
  <c r="W10" i="12" s="1"/>
  <c r="W65" i="12" s="1"/>
  <c r="W104" i="12" s="1"/>
  <c r="W48" i="12"/>
  <c r="W50" i="12" s="1"/>
  <c r="W29" i="12" a="1"/>
  <c r="W29" i="12" s="1"/>
  <c r="W84" i="12" s="1"/>
  <c r="W123" i="12" s="1"/>
  <c r="W18" i="12" a="1"/>
  <c r="W18" i="12" s="1"/>
  <c r="W73" i="12" s="1"/>
  <c r="W112" i="12" s="1"/>
  <c r="W11" i="12" a="1"/>
  <c r="W11" i="12" s="1"/>
  <c r="W66" i="12" s="1"/>
  <c r="W105" i="12" s="1"/>
  <c r="W26" i="12" a="1"/>
  <c r="W26" i="12" s="1"/>
  <c r="W81" i="12" s="1"/>
  <c r="W120" i="12" s="1"/>
  <c r="W19" i="12" a="1"/>
  <c r="W19" i="12" s="1"/>
  <c r="W74" i="12" s="1"/>
  <c r="W113" i="12" s="1"/>
  <c r="W152" i="12" s="1"/>
  <c r="W191" i="12" s="1"/>
  <c r="W34" i="12" a="1"/>
  <c r="W34" i="12" s="1"/>
  <c r="W33" i="12" a="1"/>
  <c r="W33" i="12" s="1"/>
  <c r="W8" i="12" a="1"/>
  <c r="W8" i="12" s="1"/>
  <c r="W63" i="12" s="1"/>
  <c r="W102" i="12" s="1"/>
  <c r="W4" i="12" a="1"/>
  <c r="W4" i="12" s="1"/>
  <c r="W59" i="12" s="1"/>
  <c r="W98" i="12" s="1"/>
  <c r="W36" i="12" a="1"/>
  <c r="W36" i="12" s="1"/>
  <c r="W16" i="12" a="1"/>
  <c r="W16" i="12" s="1"/>
  <c r="W71" i="12" s="1"/>
  <c r="W110" i="12" s="1"/>
  <c r="W5" i="12" a="1"/>
  <c r="W5" i="12" s="1"/>
  <c r="W60" i="12" s="1"/>
  <c r="W99" i="12" s="1"/>
  <c r="W38" i="12" a="1"/>
  <c r="W38" i="12" s="1"/>
  <c r="W32" i="12" a="1"/>
  <c r="W32" i="12" s="1"/>
  <c r="W24" i="12" a="1"/>
  <c r="W24" i="12" s="1"/>
  <c r="W79" i="12" s="1"/>
  <c r="W118" i="12" s="1"/>
  <c r="W9" i="12" a="1"/>
  <c r="W9" i="12" s="1"/>
  <c r="W64" i="12" s="1"/>
  <c r="W103" i="12" s="1"/>
  <c r="W142" i="12" s="1"/>
  <c r="W181" i="12" s="1"/>
  <c r="W6" i="12" a="1"/>
  <c r="W6" i="12" s="1"/>
  <c r="W61" i="12" s="1"/>
  <c r="W100" i="12" s="1"/>
  <c r="F57" i="12"/>
  <c r="F96" i="12" s="1"/>
  <c r="F135" i="12" s="1"/>
  <c r="F174" i="12" s="1"/>
  <c r="F213" i="12" s="1"/>
  <c r="F48" i="12"/>
  <c r="F43" i="12"/>
  <c r="F40" i="12" a="1"/>
  <c r="F40" i="12" s="1"/>
  <c r="F39" i="12" a="1"/>
  <c r="F39" i="12" s="1"/>
  <c r="F38" i="12" a="1"/>
  <c r="F38" i="12" s="1"/>
  <c r="F37" i="12" a="1"/>
  <c r="F37" i="12" s="1"/>
  <c r="F36" i="12" a="1"/>
  <c r="F36" i="12" s="1"/>
  <c r="F35" i="12" a="1"/>
  <c r="F35" i="12" s="1"/>
  <c r="F34" i="12" a="1"/>
  <c r="F34" i="12" s="1"/>
  <c r="F33" i="12" a="1"/>
  <c r="F33" i="12" s="1"/>
  <c r="F32" i="12" a="1"/>
  <c r="F32" i="12" s="1"/>
  <c r="F31" i="12" a="1"/>
  <c r="F31" i="12" s="1"/>
  <c r="F30" i="12" a="1"/>
  <c r="F30" i="12" s="1"/>
  <c r="F29" i="12" a="1"/>
  <c r="F29" i="12" s="1"/>
  <c r="F84" i="12" s="1"/>
  <c r="F123" i="12" s="1"/>
  <c r="F28" i="12" a="1"/>
  <c r="F28" i="12" s="1"/>
  <c r="F83" i="12" s="1"/>
  <c r="F122" i="12" s="1"/>
  <c r="F25" i="12" a="1"/>
  <c r="F25" i="12" s="1"/>
  <c r="F80" i="12" s="1"/>
  <c r="F119" i="12" s="1"/>
  <c r="F17" i="12" a="1"/>
  <c r="F17" i="12" s="1"/>
  <c r="F72" i="12" s="1"/>
  <c r="F9" i="12" a="1"/>
  <c r="F9" i="12" s="1"/>
  <c r="F64" i="12" s="1"/>
  <c r="F103" i="12" s="1"/>
  <c r="F22" i="12" a="1"/>
  <c r="F22" i="12" s="1"/>
  <c r="F77" i="12" s="1"/>
  <c r="F116" i="12" s="1"/>
  <c r="F14" i="12" a="1"/>
  <c r="F14" i="12" s="1"/>
  <c r="F69" i="12" s="1"/>
  <c r="F108" i="12" s="1"/>
  <c r="F42" i="12" a="1"/>
  <c r="F42" i="12" s="1"/>
  <c r="F24" i="12" a="1"/>
  <c r="F24" i="12" s="1"/>
  <c r="F79" i="12" s="1"/>
  <c r="F118" i="12" s="1"/>
  <c r="F16" i="12" a="1"/>
  <c r="F16" i="12" s="1"/>
  <c r="F71" i="12" s="1"/>
  <c r="F110" i="12" s="1"/>
  <c r="F44" i="12" a="1"/>
  <c r="F44" i="12" s="1"/>
  <c r="F46" i="12" s="1"/>
  <c r="F49" i="12" s="1"/>
  <c r="D3" i="13" s="1"/>
  <c r="F27" i="12" a="1"/>
  <c r="F27" i="12" s="1"/>
  <c r="F82" i="12" s="1"/>
  <c r="F121" i="12" s="1"/>
  <c r="F23" i="12" a="1"/>
  <c r="F23" i="12" s="1"/>
  <c r="F78" i="12" s="1"/>
  <c r="F117" i="12" s="1"/>
  <c r="F5" i="12" a="1"/>
  <c r="F5" i="12" s="1"/>
  <c r="F60" i="12" s="1"/>
  <c r="F99" i="12" s="1"/>
  <c r="F12" i="12" a="1"/>
  <c r="F12" i="12" s="1"/>
  <c r="F67" i="12" s="1"/>
  <c r="F106" i="12" s="1"/>
  <c r="F6" i="12" a="1"/>
  <c r="F6" i="12" s="1"/>
  <c r="F61" i="12" s="1"/>
  <c r="F100" i="12" s="1"/>
  <c r="F20" i="12" a="1"/>
  <c r="F20" i="12" s="1"/>
  <c r="F75" i="12" s="1"/>
  <c r="F114" i="12" s="1"/>
  <c r="F13" i="12" a="1"/>
  <c r="F13" i="12" s="1"/>
  <c r="F68" i="12" s="1"/>
  <c r="F107" i="12" s="1"/>
  <c r="F21" i="12" a="1"/>
  <c r="F21" i="12" s="1"/>
  <c r="F76" i="12" s="1"/>
  <c r="F115" i="12" s="1"/>
  <c r="F7" i="12" a="1"/>
  <c r="F7" i="12" s="1"/>
  <c r="F62" i="12" s="1"/>
  <c r="F101" i="12" s="1"/>
  <c r="F4" i="12" a="1"/>
  <c r="F4" i="12" s="1"/>
  <c r="F59" i="12" s="1"/>
  <c r="F98" i="12" s="1"/>
  <c r="F10" i="12" a="1"/>
  <c r="F10" i="12" s="1"/>
  <c r="F65" i="12" s="1"/>
  <c r="F104" i="12" s="1"/>
  <c r="F8" i="12" a="1"/>
  <c r="F8" i="12" s="1"/>
  <c r="F63" i="12" s="1"/>
  <c r="F102" i="12" s="1"/>
  <c r="F18" i="12" a="1"/>
  <c r="F18" i="12" s="1"/>
  <c r="F73" i="12" s="1"/>
  <c r="F112" i="12" s="1"/>
  <c r="F26" i="12" a="1"/>
  <c r="F26" i="12" s="1"/>
  <c r="F81" i="12" s="1"/>
  <c r="F120" i="12" s="1"/>
  <c r="F11" i="12" a="1"/>
  <c r="F11" i="12" s="1"/>
  <c r="F66" i="12" s="1"/>
  <c r="F105" i="12" s="1"/>
  <c r="F3" i="12" a="1"/>
  <c r="F3" i="12" s="1"/>
  <c r="F58" i="12" s="1"/>
  <c r="F97" i="12" s="1"/>
  <c r="F19" i="12" a="1"/>
  <c r="F19" i="12" s="1"/>
  <c r="F74" i="12" s="1"/>
  <c r="F113" i="12" s="1"/>
  <c r="F15" i="12" a="1"/>
  <c r="F15" i="12" s="1"/>
  <c r="F70" i="12" s="1"/>
  <c r="O57" i="12"/>
  <c r="O96" i="12" s="1"/>
  <c r="O135" i="12" s="1"/>
  <c r="O174" i="12" s="1"/>
  <c r="O213" i="12" s="1"/>
  <c r="O44" i="12" a="1"/>
  <c r="O44" i="12" s="1"/>
  <c r="O46" i="12" s="1"/>
  <c r="O49" i="12" s="1"/>
  <c r="O33" i="12" a="1"/>
  <c r="O33" i="12" s="1"/>
  <c r="O25" i="12" a="1"/>
  <c r="O25" i="12" s="1"/>
  <c r="O80" i="12" s="1"/>
  <c r="O119" i="12" s="1"/>
  <c r="O17" i="12" a="1"/>
  <c r="O17" i="12" s="1"/>
  <c r="O72" i="12" s="1"/>
  <c r="O111" i="12" s="1"/>
  <c r="O9" i="12" a="1"/>
  <c r="O9" i="12" s="1"/>
  <c r="O64" i="12" s="1"/>
  <c r="O103" i="12" s="1"/>
  <c r="O42" i="12" a="1"/>
  <c r="O42" i="12" s="1"/>
  <c r="O32" i="12" a="1"/>
  <c r="O32" i="12" s="1"/>
  <c r="O22" i="12" a="1"/>
  <c r="O22" i="12" s="1"/>
  <c r="O77" i="12" s="1"/>
  <c r="O116" i="12" s="1"/>
  <c r="O14" i="12" a="1"/>
  <c r="O14" i="12" s="1"/>
  <c r="O69" i="12" s="1"/>
  <c r="O108" i="12" s="1"/>
  <c r="O48" i="12"/>
  <c r="O43" i="12"/>
  <c r="O39" i="12" a="1"/>
  <c r="O39" i="12" s="1"/>
  <c r="O37" i="12" a="1"/>
  <c r="O37" i="12" s="1"/>
  <c r="O35" i="12" a="1"/>
  <c r="O35" i="12" s="1"/>
  <c r="O30" i="12" a="1"/>
  <c r="O30" i="12" s="1"/>
  <c r="O24" i="12" a="1"/>
  <c r="O24" i="12" s="1"/>
  <c r="O79" i="12" s="1"/>
  <c r="O118" i="12" s="1"/>
  <c r="O16" i="12" a="1"/>
  <c r="O16" i="12" s="1"/>
  <c r="O71" i="12" s="1"/>
  <c r="O110" i="12" s="1"/>
  <c r="O29" i="12" a="1"/>
  <c r="O29" i="12" s="1"/>
  <c r="O84" i="12" s="1"/>
  <c r="O123" i="12" s="1"/>
  <c r="O34" i="12" a="1"/>
  <c r="O34" i="12" s="1"/>
  <c r="O20" i="12" a="1"/>
  <c r="O20" i="12" s="1"/>
  <c r="O75" i="12" s="1"/>
  <c r="O114" i="12" s="1"/>
  <c r="O13" i="12" a="1"/>
  <c r="O13" i="12" s="1"/>
  <c r="O68" i="12" s="1"/>
  <c r="O107" i="12" s="1"/>
  <c r="O36" i="12" a="1"/>
  <c r="O36" i="12" s="1"/>
  <c r="O27" i="12" a="1"/>
  <c r="O27" i="12" s="1"/>
  <c r="O82" i="12" s="1"/>
  <c r="O121" i="12" s="1"/>
  <c r="O21" i="12" a="1"/>
  <c r="O21" i="12" s="1"/>
  <c r="O76" i="12" s="1"/>
  <c r="O115" i="12" s="1"/>
  <c r="O38" i="12" a="1"/>
  <c r="O38" i="12" s="1"/>
  <c r="O28" i="12" a="1"/>
  <c r="O28" i="12" s="1"/>
  <c r="O83" i="12" s="1"/>
  <c r="O122" i="12" s="1"/>
  <c r="O10" i="12" a="1"/>
  <c r="O10" i="12" s="1"/>
  <c r="O65" i="12" s="1"/>
  <c r="O104" i="12" s="1"/>
  <c r="O5" i="12" a="1"/>
  <c r="O5" i="12" s="1"/>
  <c r="O60" i="12" s="1"/>
  <c r="O99" i="12" s="1"/>
  <c r="O40" i="12" a="1"/>
  <c r="O40" i="12" s="1"/>
  <c r="O18" i="12" a="1"/>
  <c r="O18" i="12" s="1"/>
  <c r="O73" i="12" s="1"/>
  <c r="O112" i="12" s="1"/>
  <c r="O6" i="12" a="1"/>
  <c r="O6" i="12" s="1"/>
  <c r="O61" i="12" s="1"/>
  <c r="O100" i="12" s="1"/>
  <c r="O4" i="12" a="1"/>
  <c r="O4" i="12" s="1"/>
  <c r="O59" i="12" s="1"/>
  <c r="O98" i="12" s="1"/>
  <c r="O31" i="12" a="1"/>
  <c r="O31" i="12" s="1"/>
  <c r="O26" i="12" a="1"/>
  <c r="O26" i="12" s="1"/>
  <c r="O81" i="12" s="1"/>
  <c r="O120" i="12" s="1"/>
  <c r="O11" i="12" a="1"/>
  <c r="O11" i="12" s="1"/>
  <c r="O66" i="12" s="1"/>
  <c r="O105" i="12" s="1"/>
  <c r="O144" i="12" s="1"/>
  <c r="O19" i="12" a="1"/>
  <c r="O19" i="12" s="1"/>
  <c r="O74" i="12" s="1"/>
  <c r="O113" i="12" s="1"/>
  <c r="O15" i="12" a="1"/>
  <c r="O15" i="12" s="1"/>
  <c r="O70" i="12" s="1"/>
  <c r="O109" i="12" s="1"/>
  <c r="O7" i="12" a="1"/>
  <c r="O7" i="12" s="1"/>
  <c r="O62" i="12" s="1"/>
  <c r="O101" i="12" s="1"/>
  <c r="O23" i="12" a="1"/>
  <c r="O23" i="12" s="1"/>
  <c r="O78" i="12" s="1"/>
  <c r="O117" i="12" s="1"/>
  <c r="O8" i="12" a="1"/>
  <c r="O8" i="12" s="1"/>
  <c r="O63" i="12" s="1"/>
  <c r="O102" i="12" s="1"/>
  <c r="O3" i="12" a="1"/>
  <c r="O3" i="12" s="1"/>
  <c r="O58" i="12" s="1"/>
  <c r="O97" i="12" s="1"/>
  <c r="O12" i="12" a="1"/>
  <c r="O12" i="12" s="1"/>
  <c r="O67" i="12" s="1"/>
  <c r="O106" i="12" s="1"/>
  <c r="X42" i="12" a="1"/>
  <c r="X42" i="12" s="1"/>
  <c r="X40" i="12" a="1"/>
  <c r="X40" i="12" s="1"/>
  <c r="X39" i="12" a="1"/>
  <c r="X39" i="12" s="1"/>
  <c r="X38" i="12" a="1"/>
  <c r="X38" i="12" s="1"/>
  <c r="X37" i="12" a="1"/>
  <c r="X37" i="12" s="1"/>
  <c r="X36" i="12" a="1"/>
  <c r="X36" i="12" s="1"/>
  <c r="X35" i="12" a="1"/>
  <c r="X35" i="12" s="1"/>
  <c r="X34" i="12" a="1"/>
  <c r="X34" i="12" s="1"/>
  <c r="X33" i="12" a="1"/>
  <c r="X33" i="12" s="1"/>
  <c r="X32" i="12" a="1"/>
  <c r="X32" i="12" s="1"/>
  <c r="X31" i="12" a="1"/>
  <c r="X31" i="12" s="1"/>
  <c r="X30" i="12" a="1"/>
  <c r="X30" i="12" s="1"/>
  <c r="X29" i="12" a="1"/>
  <c r="X29" i="12" s="1"/>
  <c r="X28" i="12" a="1"/>
  <c r="X28" i="12" s="1"/>
  <c r="X83" i="12" s="1"/>
  <c r="X122" i="12" s="1"/>
  <c r="X27" i="12" a="1"/>
  <c r="X27" i="12" s="1"/>
  <c r="X82" i="12" s="1"/>
  <c r="X121" i="12" s="1"/>
  <c r="X57" i="12"/>
  <c r="X96" i="12" s="1"/>
  <c r="X135" i="12" s="1"/>
  <c r="X174" i="12" s="1"/>
  <c r="X213" i="12" s="1"/>
  <c r="X25" i="12" a="1"/>
  <c r="X25" i="12" s="1"/>
  <c r="X80" i="12" s="1"/>
  <c r="X119" i="12" s="1"/>
  <c r="X17" i="12" a="1"/>
  <c r="X17" i="12" s="1"/>
  <c r="X72" i="12" s="1"/>
  <c r="X111" i="12" s="1"/>
  <c r="X9" i="12" a="1"/>
  <c r="X9" i="12" s="1"/>
  <c r="X64" i="12" s="1"/>
  <c r="X103" i="12" s="1"/>
  <c r="X22" i="12" a="1"/>
  <c r="X22" i="12" s="1"/>
  <c r="X77" i="12" s="1"/>
  <c r="X116" i="12" s="1"/>
  <c r="X14" i="12" a="1"/>
  <c r="X14" i="12" s="1"/>
  <c r="X69" i="12" s="1"/>
  <c r="X108" i="12" s="1"/>
  <c r="X24" i="12" a="1"/>
  <c r="X24" i="12" s="1"/>
  <c r="X79" i="12" s="1"/>
  <c r="X118" i="12" s="1"/>
  <c r="X16" i="12" a="1"/>
  <c r="X16" i="12" s="1"/>
  <c r="X71" i="12" s="1"/>
  <c r="X110" i="12" s="1"/>
  <c r="X8" i="12" a="1"/>
  <c r="X8" i="12" s="1"/>
  <c r="X63" i="12" s="1"/>
  <c r="X102" i="12" s="1"/>
  <c r="X10" i="12" a="1"/>
  <c r="X10" i="12" s="1"/>
  <c r="X65" i="12" s="1"/>
  <c r="X104" i="12" s="1"/>
  <c r="X43" i="12"/>
  <c r="X18" i="12" a="1"/>
  <c r="X18" i="12" s="1"/>
  <c r="X73" i="12" s="1"/>
  <c r="X112" i="12" s="1"/>
  <c r="X48" i="12"/>
  <c r="X50" i="12" s="1"/>
  <c r="X44" i="12" a="1"/>
  <c r="X44" i="12" s="1"/>
  <c r="X46" i="12" s="1"/>
  <c r="X49" i="12" s="1"/>
  <c r="X26" i="12" a="1"/>
  <c r="X26" i="12" s="1"/>
  <c r="X81" i="12" s="1"/>
  <c r="X120" i="12" s="1"/>
  <c r="X11" i="12" a="1"/>
  <c r="X11" i="12" s="1"/>
  <c r="X66" i="12" s="1"/>
  <c r="X105" i="12" s="1"/>
  <c r="X19" i="12" a="1"/>
  <c r="X19" i="12" s="1"/>
  <c r="X74" i="12" s="1"/>
  <c r="X113" i="12" s="1"/>
  <c r="X15" i="12" a="1"/>
  <c r="X15" i="12" s="1"/>
  <c r="X70" i="12" s="1"/>
  <c r="X109" i="12" s="1"/>
  <c r="X4" i="12" a="1"/>
  <c r="X4" i="12" s="1"/>
  <c r="X59" i="12" s="1"/>
  <c r="X98" i="12" s="1"/>
  <c r="X23" i="12" a="1"/>
  <c r="X23" i="12" s="1"/>
  <c r="X78" i="12" s="1"/>
  <c r="X117" i="12" s="1"/>
  <c r="X5" i="12" a="1"/>
  <c r="X5" i="12" s="1"/>
  <c r="X60" i="12" s="1"/>
  <c r="X99" i="12" s="1"/>
  <c r="X12" i="12" a="1"/>
  <c r="X12" i="12" s="1"/>
  <c r="X67" i="12" s="1"/>
  <c r="X106" i="12" s="1"/>
  <c r="X6" i="12" a="1"/>
  <c r="X6" i="12" s="1"/>
  <c r="X61" i="12" s="1"/>
  <c r="X100" i="12" s="1"/>
  <c r="X20" i="12" a="1"/>
  <c r="X20" i="12" s="1"/>
  <c r="X75" i="12" s="1"/>
  <c r="X114" i="12" s="1"/>
  <c r="X13" i="12" a="1"/>
  <c r="X13" i="12" s="1"/>
  <c r="X68" i="12" s="1"/>
  <c r="X107" i="12" s="1"/>
  <c r="X3" i="12" a="1"/>
  <c r="X3" i="12" s="1"/>
  <c r="X58" i="12" s="1"/>
  <c r="X97" i="12" s="1"/>
  <c r="X21" i="12" a="1"/>
  <c r="X21" i="12" s="1"/>
  <c r="X76" i="12" s="1"/>
  <c r="X115" i="12" s="1"/>
  <c r="X7" i="12" a="1"/>
  <c r="X7" i="12" s="1"/>
  <c r="X62" i="12" s="1"/>
  <c r="X101" i="12" s="1"/>
  <c r="G57" i="12"/>
  <c r="G96" i="12" s="1"/>
  <c r="G135" i="12" s="1"/>
  <c r="G174" i="12" s="1"/>
  <c r="G213" i="12" s="1"/>
  <c r="G44" i="12" a="1"/>
  <c r="G44" i="12" s="1"/>
  <c r="G46" i="12" s="1"/>
  <c r="G49" i="12" s="1"/>
  <c r="E3" i="13" s="1"/>
  <c r="G27" i="12" a="1"/>
  <c r="G27" i="12" s="1"/>
  <c r="G82" i="12" s="1"/>
  <c r="G121" i="12" s="1"/>
  <c r="G19" i="12" a="1"/>
  <c r="G19" i="12" s="1"/>
  <c r="G74" i="12" s="1"/>
  <c r="G113" i="12" s="1"/>
  <c r="G11" i="12" a="1"/>
  <c r="G11" i="12" s="1"/>
  <c r="G66" i="12" s="1"/>
  <c r="G105" i="12" s="1"/>
  <c r="G42" i="12" a="1"/>
  <c r="G42" i="12" s="1"/>
  <c r="G34" i="12" a="1"/>
  <c r="G34" i="12" s="1"/>
  <c r="G24" i="12" a="1"/>
  <c r="G24" i="12" s="1"/>
  <c r="G79" i="12" s="1"/>
  <c r="G118" i="12" s="1"/>
  <c r="G16" i="12" a="1"/>
  <c r="G16" i="12" s="1"/>
  <c r="G71" i="12" s="1"/>
  <c r="G110" i="12" s="1"/>
  <c r="G39" i="12" a="1"/>
  <c r="G39" i="12" s="1"/>
  <c r="G37" i="12" a="1"/>
  <c r="G37" i="12" s="1"/>
  <c r="G35" i="12" a="1"/>
  <c r="G35" i="12" s="1"/>
  <c r="G32" i="12" a="1"/>
  <c r="G32" i="12" s="1"/>
  <c r="G26" i="12" a="1"/>
  <c r="G26" i="12" s="1"/>
  <c r="G81" i="12" s="1"/>
  <c r="G120" i="12" s="1"/>
  <c r="G159" i="12" s="1"/>
  <c r="G18" i="12" a="1"/>
  <c r="G18" i="12" s="1"/>
  <c r="G73" i="12" s="1"/>
  <c r="G112" i="12" s="1"/>
  <c r="G10" i="12" a="1"/>
  <c r="G10" i="12" s="1"/>
  <c r="G65" i="12" s="1"/>
  <c r="G104" i="12" s="1"/>
  <c r="G31" i="12" a="1"/>
  <c r="G31" i="12" s="1"/>
  <c r="G30" i="12" a="1"/>
  <c r="G30" i="12" s="1"/>
  <c r="G28" i="12" a="1"/>
  <c r="G28" i="12" s="1"/>
  <c r="G83" i="12" s="1"/>
  <c r="G122" i="12" s="1"/>
  <c r="G20" i="12" a="1"/>
  <c r="G20" i="12" s="1"/>
  <c r="G75" i="12" s="1"/>
  <c r="G114" i="12" s="1"/>
  <c r="G6" i="12" a="1"/>
  <c r="G6" i="12" s="1"/>
  <c r="G61" i="12" s="1"/>
  <c r="G100" i="12" s="1"/>
  <c r="G13" i="12" a="1"/>
  <c r="G13" i="12" s="1"/>
  <c r="G68" i="12" s="1"/>
  <c r="G107" i="12" s="1"/>
  <c r="G9" i="12" a="1"/>
  <c r="G9" i="12" s="1"/>
  <c r="G64" i="12" s="1"/>
  <c r="G103" i="12" s="1"/>
  <c r="G7" i="12" a="1"/>
  <c r="G7" i="12" s="1"/>
  <c r="G62" i="12" s="1"/>
  <c r="G101" i="12" s="1"/>
  <c r="G4" i="12" a="1"/>
  <c r="G4" i="12" s="1"/>
  <c r="G59" i="12" s="1"/>
  <c r="G98" i="12" s="1"/>
  <c r="G21" i="12" a="1"/>
  <c r="G21" i="12" s="1"/>
  <c r="G76" i="12" s="1"/>
  <c r="G115" i="12" s="1"/>
  <c r="G17" i="12" a="1"/>
  <c r="G17" i="12" s="1"/>
  <c r="G72" i="12" s="1"/>
  <c r="G111" i="12" s="1"/>
  <c r="G8" i="12" a="1"/>
  <c r="G8" i="12" s="1"/>
  <c r="G63" i="12" s="1"/>
  <c r="G102" i="12" s="1"/>
  <c r="G29" i="12" a="1"/>
  <c r="G29" i="12" s="1"/>
  <c r="G84" i="12" s="1"/>
  <c r="G123" i="12" s="1"/>
  <c r="G25" i="12" a="1"/>
  <c r="G25" i="12" s="1"/>
  <c r="G80" i="12" s="1"/>
  <c r="G119" i="12" s="1"/>
  <c r="G36" i="12" a="1"/>
  <c r="G36" i="12" s="1"/>
  <c r="G14" i="12" a="1"/>
  <c r="G14" i="12" s="1"/>
  <c r="G69" i="12" s="1"/>
  <c r="G108" i="12" s="1"/>
  <c r="G3" i="12" a="1"/>
  <c r="G3" i="12" s="1"/>
  <c r="G58" i="12" s="1"/>
  <c r="G97" i="12" s="1"/>
  <c r="G43" i="12"/>
  <c r="G38" i="12" a="1"/>
  <c r="G38" i="12" s="1"/>
  <c r="G33" i="12" a="1"/>
  <c r="G33" i="12" s="1"/>
  <c r="G22" i="12" a="1"/>
  <c r="G22" i="12" s="1"/>
  <c r="G77" i="12" s="1"/>
  <c r="G116" i="12" s="1"/>
  <c r="G15" i="12" a="1"/>
  <c r="G15" i="12" s="1"/>
  <c r="G70" i="12" s="1"/>
  <c r="G109" i="12" s="1"/>
  <c r="G48" i="12"/>
  <c r="G40" i="12" a="1"/>
  <c r="G40" i="12" s="1"/>
  <c r="G23" i="12" a="1"/>
  <c r="G23" i="12" s="1"/>
  <c r="G78" i="12" s="1"/>
  <c r="G117" i="12" s="1"/>
  <c r="G5" i="12" a="1"/>
  <c r="G5" i="12" s="1"/>
  <c r="G60" i="12" s="1"/>
  <c r="G99" i="12" s="1"/>
  <c r="G12" i="12" a="1"/>
  <c r="G12" i="12" s="1"/>
  <c r="G67" i="12" s="1"/>
  <c r="G106" i="12" s="1"/>
  <c r="P42" i="12" a="1"/>
  <c r="P42" i="12" s="1"/>
  <c r="P40" i="12" a="1"/>
  <c r="P40" i="12" s="1"/>
  <c r="P39" i="12" a="1"/>
  <c r="P39" i="12" s="1"/>
  <c r="P38" i="12" a="1"/>
  <c r="P38" i="12" s="1"/>
  <c r="P37" i="12" a="1"/>
  <c r="P37" i="12" s="1"/>
  <c r="P36" i="12" a="1"/>
  <c r="P36" i="12" s="1"/>
  <c r="P35" i="12" a="1"/>
  <c r="P35" i="12" s="1"/>
  <c r="P34" i="12" a="1"/>
  <c r="P34" i="12" s="1"/>
  <c r="P33" i="12" a="1"/>
  <c r="P33" i="12" s="1"/>
  <c r="P32" i="12" a="1"/>
  <c r="P32" i="12" s="1"/>
  <c r="P31" i="12" a="1"/>
  <c r="P31" i="12" s="1"/>
  <c r="P30" i="12" a="1"/>
  <c r="P30" i="12" s="1"/>
  <c r="P29" i="12" a="1"/>
  <c r="P29" i="12" s="1"/>
  <c r="P84" i="12" s="1"/>
  <c r="P123" i="12" s="1"/>
  <c r="P28" i="12" a="1"/>
  <c r="P28" i="12" s="1"/>
  <c r="P83" i="12" s="1"/>
  <c r="P122" i="12" s="1"/>
  <c r="P27" i="12" a="1"/>
  <c r="P27" i="12" s="1"/>
  <c r="P82" i="12" s="1"/>
  <c r="P121" i="12" s="1"/>
  <c r="P19" i="12" a="1"/>
  <c r="P19" i="12" s="1"/>
  <c r="P74" i="12" s="1"/>
  <c r="P113" i="12" s="1"/>
  <c r="P11" i="12" a="1"/>
  <c r="P11" i="12" s="1"/>
  <c r="P66" i="12" s="1"/>
  <c r="P105" i="12" s="1"/>
  <c r="P24" i="12" a="1"/>
  <c r="P24" i="12" s="1"/>
  <c r="P79" i="12" s="1"/>
  <c r="P118" i="12" s="1"/>
  <c r="P16" i="12" a="1"/>
  <c r="P16" i="12" s="1"/>
  <c r="P71" i="12" s="1"/>
  <c r="P110" i="12" s="1"/>
  <c r="P149" i="12" s="1"/>
  <c r="P188" i="12" s="1"/>
  <c r="P8" i="12" a="1"/>
  <c r="P8" i="12" s="1"/>
  <c r="P63" i="12" s="1"/>
  <c r="P102" i="12" s="1"/>
  <c r="P26" i="12" a="1"/>
  <c r="P26" i="12" s="1"/>
  <c r="P81" i="12" s="1"/>
  <c r="P120" i="12" s="1"/>
  <c r="P18" i="12" a="1"/>
  <c r="P18" i="12" s="1"/>
  <c r="P73" i="12" s="1"/>
  <c r="P112" i="12" s="1"/>
  <c r="P10" i="12" a="1"/>
  <c r="P10" i="12" s="1"/>
  <c r="P65" i="12" s="1"/>
  <c r="P104" i="12" s="1"/>
  <c r="P57" i="12"/>
  <c r="P96" i="12" s="1"/>
  <c r="P135" i="12" s="1"/>
  <c r="P174" i="12" s="1"/>
  <c r="P213" i="12" s="1"/>
  <c r="P21" i="12" a="1"/>
  <c r="P21" i="12" s="1"/>
  <c r="P76" i="12" s="1"/>
  <c r="P115" i="12" s="1"/>
  <c r="P17" i="12" a="1"/>
  <c r="P17" i="12" s="1"/>
  <c r="P72" i="12" s="1"/>
  <c r="P111" i="12" s="1"/>
  <c r="P5" i="12" a="1"/>
  <c r="P5" i="12" s="1"/>
  <c r="P60" i="12" s="1"/>
  <c r="P99" i="12" s="1"/>
  <c r="P25" i="12" a="1"/>
  <c r="P25" i="12" s="1"/>
  <c r="P80" i="12" s="1"/>
  <c r="P119" i="12" s="1"/>
  <c r="P4" i="12" a="1"/>
  <c r="P4" i="12" s="1"/>
  <c r="P59" i="12" s="1"/>
  <c r="P98" i="12" s="1"/>
  <c r="P14" i="12" a="1"/>
  <c r="P14" i="12" s="1"/>
  <c r="P69" i="12" s="1"/>
  <c r="P108" i="12" s="1"/>
  <c r="P6" i="12" a="1"/>
  <c r="P6" i="12" s="1"/>
  <c r="P61" i="12" s="1"/>
  <c r="P100" i="12" s="1"/>
  <c r="P43" i="12"/>
  <c r="P22" i="12" a="1"/>
  <c r="P22" i="12" s="1"/>
  <c r="P77" i="12" s="1"/>
  <c r="P116" i="12" s="1"/>
  <c r="P15" i="12" a="1"/>
  <c r="P15" i="12" s="1"/>
  <c r="P70" i="12" s="1"/>
  <c r="P109" i="12" s="1"/>
  <c r="P7" i="12" a="1"/>
  <c r="P7" i="12" s="1"/>
  <c r="P62" i="12" s="1"/>
  <c r="P101" i="12" s="1"/>
  <c r="P48" i="12"/>
  <c r="P50" i="12" s="1"/>
  <c r="P23" i="12" a="1"/>
  <c r="P23" i="12" s="1"/>
  <c r="P78" i="12" s="1"/>
  <c r="P117" i="12" s="1"/>
  <c r="P3" i="12" a="1"/>
  <c r="P3" i="12" s="1"/>
  <c r="P58" i="12" s="1"/>
  <c r="P97" i="12" s="1"/>
  <c r="P44" i="12" a="1"/>
  <c r="P44" i="12" s="1"/>
  <c r="P46" i="12" s="1"/>
  <c r="P49" i="12" s="1"/>
  <c r="P12" i="12" a="1"/>
  <c r="P12" i="12" s="1"/>
  <c r="P67" i="12" s="1"/>
  <c r="P106" i="12" s="1"/>
  <c r="P20" i="12" a="1"/>
  <c r="P20" i="12" s="1"/>
  <c r="P75" i="12" s="1"/>
  <c r="P114" i="12" s="1"/>
  <c r="P13" i="12" a="1"/>
  <c r="P13" i="12" s="1"/>
  <c r="P68" i="12" s="1"/>
  <c r="P107" i="12" s="1"/>
  <c r="P9" i="12" a="1"/>
  <c r="P9" i="12" s="1"/>
  <c r="P64" i="12" s="1"/>
  <c r="P103" i="12" s="1"/>
  <c r="P142" i="12" s="1"/>
  <c r="P181" i="12" s="1"/>
  <c r="I44" i="12" a="1"/>
  <c r="I44" i="12" s="1"/>
  <c r="I46" i="12" s="1"/>
  <c r="I49" i="12" s="1"/>
  <c r="G3" i="13" s="1"/>
  <c r="I57" i="12"/>
  <c r="I96" i="12" s="1"/>
  <c r="I135" i="12" s="1"/>
  <c r="I174" i="12" s="1"/>
  <c r="I213" i="12" s="1"/>
  <c r="I42" i="12" a="1"/>
  <c r="I42" i="12" s="1"/>
  <c r="I33" i="12" a="1"/>
  <c r="I33" i="12" s="1"/>
  <c r="I26" i="12" a="1"/>
  <c r="I26" i="12" s="1"/>
  <c r="I81" i="12" s="1"/>
  <c r="I120" i="12" s="1"/>
  <c r="I18" i="12" a="1"/>
  <c r="I18" i="12" s="1"/>
  <c r="I73" i="12" s="1"/>
  <c r="I112" i="12" s="1"/>
  <c r="I10" i="12" a="1"/>
  <c r="I10" i="12" s="1"/>
  <c r="I65" i="12" s="1"/>
  <c r="I104" i="12" s="1"/>
  <c r="I39" i="12" a="1"/>
  <c r="I39" i="12" s="1"/>
  <c r="I37" i="12" a="1"/>
  <c r="I37" i="12" s="1"/>
  <c r="I35" i="12" a="1"/>
  <c r="I35" i="12" s="1"/>
  <c r="I32" i="12" a="1"/>
  <c r="I32" i="12" s="1"/>
  <c r="I23" i="12" a="1"/>
  <c r="I23" i="12" s="1"/>
  <c r="I78" i="12" s="1"/>
  <c r="I117" i="12" s="1"/>
  <c r="I15" i="12" a="1"/>
  <c r="I15" i="12" s="1"/>
  <c r="I70" i="12" s="1"/>
  <c r="I109" i="12" s="1"/>
  <c r="I30" i="12" a="1"/>
  <c r="I30" i="12" s="1"/>
  <c r="I25" i="12" a="1"/>
  <c r="I25" i="12" s="1"/>
  <c r="I80" i="12" s="1"/>
  <c r="I119" i="12" s="1"/>
  <c r="I17" i="12" a="1"/>
  <c r="I17" i="12" s="1"/>
  <c r="I72" i="12" s="1"/>
  <c r="I111" i="12" s="1"/>
  <c r="I150" i="12" s="1"/>
  <c r="I9" i="12" a="1"/>
  <c r="I9" i="12" s="1"/>
  <c r="I64" i="12" s="1"/>
  <c r="I103" i="12" s="1"/>
  <c r="I29" i="12" a="1"/>
  <c r="I29" i="12" s="1"/>
  <c r="I84" i="12" s="1"/>
  <c r="I123" i="12" s="1"/>
  <c r="I48" i="12"/>
  <c r="I43" i="12"/>
  <c r="I40" i="12" a="1"/>
  <c r="I40" i="12" s="1"/>
  <c r="I38" i="12" a="1"/>
  <c r="I38" i="12" s="1"/>
  <c r="I36" i="12" a="1"/>
  <c r="I36" i="12" s="1"/>
  <c r="I13" i="12" a="1"/>
  <c r="I13" i="12" s="1"/>
  <c r="I68" i="12" s="1"/>
  <c r="I107" i="12" s="1"/>
  <c r="I8" i="12" a="1"/>
  <c r="I8" i="12" s="1"/>
  <c r="I63" i="12" s="1"/>
  <c r="I102" i="12" s="1"/>
  <c r="I21" i="12" a="1"/>
  <c r="I21" i="12" s="1"/>
  <c r="I76" i="12" s="1"/>
  <c r="I115" i="12" s="1"/>
  <c r="I14" i="12" a="1"/>
  <c r="I14" i="12" s="1"/>
  <c r="I69" i="12" s="1"/>
  <c r="I108" i="12" s="1"/>
  <c r="I3" i="12" a="1"/>
  <c r="I3" i="12" s="1"/>
  <c r="I58" i="12" s="1"/>
  <c r="I97" i="12" s="1"/>
  <c r="I22" i="12" a="1"/>
  <c r="I22" i="12" s="1"/>
  <c r="I77" i="12" s="1"/>
  <c r="I116" i="12" s="1"/>
  <c r="I34" i="12" a="1"/>
  <c r="I34" i="12" s="1"/>
  <c r="I11" i="12" a="1"/>
  <c r="I11" i="12" s="1"/>
  <c r="I66" i="12" s="1"/>
  <c r="I105" i="12" s="1"/>
  <c r="I19" i="12" a="1"/>
  <c r="I19" i="12" s="1"/>
  <c r="I74" i="12" s="1"/>
  <c r="I113" i="12" s="1"/>
  <c r="I152" i="12" s="1"/>
  <c r="I5" i="12" a="1"/>
  <c r="I5" i="12" s="1"/>
  <c r="I60" i="12" s="1"/>
  <c r="I99" i="12" s="1"/>
  <c r="I12" i="12" a="1"/>
  <c r="I12" i="12" s="1"/>
  <c r="I67" i="12" s="1"/>
  <c r="I106" i="12" s="1"/>
  <c r="I6" i="12" a="1"/>
  <c r="I6" i="12" s="1"/>
  <c r="I61" i="12" s="1"/>
  <c r="I100" i="12" s="1"/>
  <c r="I28" i="12" a="1"/>
  <c r="I28" i="12" s="1"/>
  <c r="I83" i="12" s="1"/>
  <c r="I122" i="12" s="1"/>
  <c r="I27" i="12" a="1"/>
  <c r="I27" i="12" s="1"/>
  <c r="I82" i="12" s="1"/>
  <c r="I121" i="12" s="1"/>
  <c r="I20" i="12" a="1"/>
  <c r="I20" i="12" s="1"/>
  <c r="I75" i="12" s="1"/>
  <c r="I114" i="12" s="1"/>
  <c r="I16" i="12" a="1"/>
  <c r="I16" i="12" s="1"/>
  <c r="I71" i="12" s="1"/>
  <c r="I110" i="12" s="1"/>
  <c r="I7" i="12" a="1"/>
  <c r="I7" i="12" s="1"/>
  <c r="I62" i="12" s="1"/>
  <c r="I101" i="12" s="1"/>
  <c r="I4" i="12" a="1"/>
  <c r="I4" i="12" s="1"/>
  <c r="I59" i="12" s="1"/>
  <c r="I98" i="12" s="1"/>
  <c r="I31" i="12" a="1"/>
  <c r="I31" i="12" s="1"/>
  <c r="I24" i="12" a="1"/>
  <c r="I24" i="12" s="1"/>
  <c r="I79" i="12" s="1"/>
  <c r="I118" i="12" s="1"/>
  <c r="Q44" i="12" a="1"/>
  <c r="Q44" i="12" s="1"/>
  <c r="Q46" i="12" s="1"/>
  <c r="Q49" i="12" s="1"/>
  <c r="Q57" i="12"/>
  <c r="Q96" i="12" s="1"/>
  <c r="Q135" i="12" s="1"/>
  <c r="Q174" i="12" s="1"/>
  <c r="Q213" i="12" s="1"/>
  <c r="Q42" i="12" a="1"/>
  <c r="Q42" i="12" s="1"/>
  <c r="Q31" i="12" a="1"/>
  <c r="Q31" i="12" s="1"/>
  <c r="Q24" i="12" a="1"/>
  <c r="Q24" i="12" s="1"/>
  <c r="Q79" i="12" s="1"/>
  <c r="Q118" i="12" s="1"/>
  <c r="Q157" i="12" s="1"/>
  <c r="Q196" i="12" s="1"/>
  <c r="Q16" i="12" a="1"/>
  <c r="Q16" i="12" s="1"/>
  <c r="Q71" i="12" s="1"/>
  <c r="Q110" i="12" s="1"/>
  <c r="Q149" i="12" s="1"/>
  <c r="Q188" i="12" s="1"/>
  <c r="Q8" i="12" a="1"/>
  <c r="Q8" i="12" s="1"/>
  <c r="Q63" i="12" s="1"/>
  <c r="Q102" i="12" s="1"/>
  <c r="Q48" i="12"/>
  <c r="Q50" i="12" s="1"/>
  <c r="Q43" i="12"/>
  <c r="Q39" i="12" a="1"/>
  <c r="Q39" i="12" s="1"/>
  <c r="Q37" i="12" a="1"/>
  <c r="Q37" i="12" s="1"/>
  <c r="Q35" i="12" a="1"/>
  <c r="Q35" i="12" s="1"/>
  <c r="Q30" i="12" a="1"/>
  <c r="Q30" i="12" s="1"/>
  <c r="Q21" i="12" a="1"/>
  <c r="Q21" i="12" s="1"/>
  <c r="Q76" i="12" s="1"/>
  <c r="Q115" i="12" s="1"/>
  <c r="Q13" i="12" a="1"/>
  <c r="Q13" i="12" s="1"/>
  <c r="Q68" i="12" s="1"/>
  <c r="Q107" i="12" s="1"/>
  <c r="Q28" i="12" a="1"/>
  <c r="Q28" i="12" s="1"/>
  <c r="Q83" i="12" s="1"/>
  <c r="Q122" i="12" s="1"/>
  <c r="Q23" i="12" a="1"/>
  <c r="Q23" i="12" s="1"/>
  <c r="Q78" i="12" s="1"/>
  <c r="Q117" i="12" s="1"/>
  <c r="Q15" i="12" a="1"/>
  <c r="Q15" i="12" s="1"/>
  <c r="Q70" i="12" s="1"/>
  <c r="Q109" i="12" s="1"/>
  <c r="Q40" i="12" a="1"/>
  <c r="Q40" i="12" s="1"/>
  <c r="Q38" i="12" a="1"/>
  <c r="Q38" i="12" s="1"/>
  <c r="Q36" i="12" a="1"/>
  <c r="Q36" i="12" s="1"/>
  <c r="Q34" i="12" a="1"/>
  <c r="Q34" i="12" s="1"/>
  <c r="Q33" i="12" a="1"/>
  <c r="Q33" i="12" s="1"/>
  <c r="Q25" i="12" a="1"/>
  <c r="Q25" i="12" s="1"/>
  <c r="Q80" i="12" s="1"/>
  <c r="Q119" i="12" s="1"/>
  <c r="Q10" i="12" a="1"/>
  <c r="Q10" i="12" s="1"/>
  <c r="Q65" i="12" s="1"/>
  <c r="Q104" i="12" s="1"/>
  <c r="Q4" i="12" a="1"/>
  <c r="Q4" i="12" s="1"/>
  <c r="Q59" i="12" s="1"/>
  <c r="Q98" i="12" s="1"/>
  <c r="Q18" i="12" a="1"/>
  <c r="Q18" i="12" s="1"/>
  <c r="Q73" i="12" s="1"/>
  <c r="Q112" i="12" s="1"/>
  <c r="Q14" i="12" a="1"/>
  <c r="Q14" i="12" s="1"/>
  <c r="Q69" i="12" s="1"/>
  <c r="Q108" i="12" s="1"/>
  <c r="Q6" i="12" a="1"/>
  <c r="Q6" i="12" s="1"/>
  <c r="Q61" i="12" s="1"/>
  <c r="Q100" i="12" s="1"/>
  <c r="Q32" i="12" a="1"/>
  <c r="Q32" i="12" s="1"/>
  <c r="Q26" i="12" a="1"/>
  <c r="Q26" i="12" s="1"/>
  <c r="Q81" i="12" s="1"/>
  <c r="Q120" i="12" s="1"/>
  <c r="Q22" i="12" a="1"/>
  <c r="Q22" i="12" s="1"/>
  <c r="Q77" i="12" s="1"/>
  <c r="Q116" i="12" s="1"/>
  <c r="Q7" i="12" a="1"/>
  <c r="Q7" i="12" s="1"/>
  <c r="Q62" i="12" s="1"/>
  <c r="Q101" i="12" s="1"/>
  <c r="Q11" i="12" a="1"/>
  <c r="Q11" i="12" s="1"/>
  <c r="Q66" i="12" s="1"/>
  <c r="Q105" i="12" s="1"/>
  <c r="Q3" i="12" a="1"/>
  <c r="Q3" i="12" s="1"/>
  <c r="Q58" i="12" s="1"/>
  <c r="Q97" i="12" s="1"/>
  <c r="Q19" i="12" a="1"/>
  <c r="Q19" i="12" s="1"/>
  <c r="Q74" i="12" s="1"/>
  <c r="Q113" i="12" s="1"/>
  <c r="Q12" i="12" a="1"/>
  <c r="Q12" i="12" s="1"/>
  <c r="Q67" i="12" s="1"/>
  <c r="Q106" i="12" s="1"/>
  <c r="Q20" i="12" a="1"/>
  <c r="Q20" i="12" s="1"/>
  <c r="Q75" i="12" s="1"/>
  <c r="Q114" i="12" s="1"/>
  <c r="Q29" i="12" a="1"/>
  <c r="Q29" i="12" s="1"/>
  <c r="Q84" i="12" s="1"/>
  <c r="Q123" i="12" s="1"/>
  <c r="Q9" i="12" a="1"/>
  <c r="Q9" i="12" s="1"/>
  <c r="Q64" i="12" s="1"/>
  <c r="Q103" i="12" s="1"/>
  <c r="Q27" i="12" a="1"/>
  <c r="Q27" i="12" s="1"/>
  <c r="Q82" i="12" s="1"/>
  <c r="Q121" i="12" s="1"/>
  <c r="Q17" i="12" a="1"/>
  <c r="Q17" i="12" s="1"/>
  <c r="Q72" i="12" s="1"/>
  <c r="Q111" i="12" s="1"/>
  <c r="Q5" i="12" a="1"/>
  <c r="Q5" i="12" s="1"/>
  <c r="Q60" i="12" s="1"/>
  <c r="Q99" i="12" s="1"/>
  <c r="S89" i="8"/>
  <c r="S128" i="8" s="1"/>
  <c r="K89" i="8"/>
  <c r="K128" i="8" s="1"/>
  <c r="S81" i="8"/>
  <c r="S120" i="8" s="1"/>
  <c r="K81" i="8"/>
  <c r="K120" i="8" s="1"/>
  <c r="S73" i="8"/>
  <c r="S112" i="8" s="1"/>
  <c r="K73" i="8"/>
  <c r="K112" i="8" s="1"/>
  <c r="S65" i="8"/>
  <c r="S104" i="8" s="1"/>
  <c r="K65" i="8"/>
  <c r="K104" i="8" s="1"/>
  <c r="J5" i="9"/>
  <c r="L50" i="8"/>
  <c r="J4" i="9" s="1"/>
  <c r="P138" i="12" l="1"/>
  <c r="P177" i="12" s="1"/>
  <c r="I144" i="12"/>
  <c r="G141" i="12"/>
  <c r="Q137" i="12"/>
  <c r="Q176" i="12" s="1"/>
  <c r="G145" i="12"/>
  <c r="G160" i="12"/>
  <c r="O141" i="12"/>
  <c r="O137" i="12"/>
  <c r="N156" i="12"/>
  <c r="U149" i="12"/>
  <c r="U188" i="12" s="1"/>
  <c r="U144" i="12"/>
  <c r="U183" i="12" s="1"/>
  <c r="L144" i="12"/>
  <c r="L149" i="12"/>
  <c r="T149" i="12"/>
  <c r="T188" i="12" s="1"/>
  <c r="T139" i="12"/>
  <c r="T178" i="12" s="1"/>
  <c r="S141" i="12"/>
  <c r="S144" i="12"/>
  <c r="S142" i="12"/>
  <c r="J158" i="12"/>
  <c r="H111" i="12"/>
  <c r="Q145" i="12"/>
  <c r="Q184" i="12" s="1"/>
  <c r="Q152" i="12"/>
  <c r="Q191" i="12" s="1"/>
  <c r="P144" i="12"/>
  <c r="P183" i="12" s="1"/>
  <c r="Q144" i="12"/>
  <c r="Q183" i="12" s="1"/>
  <c r="P145" i="12"/>
  <c r="P184" i="12" s="1"/>
  <c r="G150" i="12"/>
  <c r="I161" i="12"/>
  <c r="O139" i="12"/>
  <c r="O160" i="12"/>
  <c r="F109" i="12"/>
  <c r="W159" i="12"/>
  <c r="W198" i="12" s="1"/>
  <c r="W161" i="12"/>
  <c r="W200" i="12" s="1"/>
  <c r="N137" i="12"/>
  <c r="N147" i="12"/>
  <c r="N160" i="12"/>
  <c r="V147" i="12"/>
  <c r="V186" i="12" s="1"/>
  <c r="V149" i="12"/>
  <c r="V188" i="12" s="1"/>
  <c r="M142" i="12"/>
  <c r="E150" i="12"/>
  <c r="U136" i="12"/>
  <c r="U175" i="12" s="1"/>
  <c r="U167" i="12"/>
  <c r="U206" i="12" s="1"/>
  <c r="U170" i="12"/>
  <c r="U209" i="12" s="1"/>
  <c r="U163" i="12"/>
  <c r="U202" i="12" s="1"/>
  <c r="U137" i="12"/>
  <c r="U176" i="12" s="1"/>
  <c r="U157" i="12"/>
  <c r="U196" i="12" s="1"/>
  <c r="U152" i="12"/>
  <c r="U191" i="12" s="1"/>
  <c r="L147" i="12"/>
  <c r="L153" i="12"/>
  <c r="L157" i="12"/>
  <c r="T142" i="12"/>
  <c r="T181" i="12" s="1"/>
  <c r="T141" i="12"/>
  <c r="T180" i="12" s="1"/>
  <c r="T147" i="12"/>
  <c r="T186" i="12" s="1"/>
  <c r="K147" i="12"/>
  <c r="S151" i="12"/>
  <c r="S137" i="12"/>
  <c r="S152" i="12"/>
  <c r="S150" i="12"/>
  <c r="J149" i="12"/>
  <c r="J145" i="12"/>
  <c r="I149" i="12"/>
  <c r="Q150" i="12"/>
  <c r="Q189" i="12" s="1"/>
  <c r="I148" i="12"/>
  <c r="Q160" i="12"/>
  <c r="Q199" i="12" s="1"/>
  <c r="I156" i="12"/>
  <c r="Q158" i="12"/>
  <c r="Q197" i="12" s="1"/>
  <c r="I139" i="12"/>
  <c r="I147" i="12"/>
  <c r="P147" i="12"/>
  <c r="P186" i="12" s="1"/>
  <c r="P161" i="12"/>
  <c r="P200" i="12" s="1"/>
  <c r="G136" i="12"/>
  <c r="G166" i="12"/>
  <c r="G167" i="12"/>
  <c r="G170" i="12"/>
  <c r="G163" i="12"/>
  <c r="G137" i="12"/>
  <c r="G149" i="12"/>
  <c r="O151" i="12"/>
  <c r="F111" i="12"/>
  <c r="F150" i="12" s="1"/>
  <c r="W149" i="12"/>
  <c r="W188" i="12" s="1"/>
  <c r="W144" i="12"/>
  <c r="W183" i="12" s="1"/>
  <c r="W158" i="12"/>
  <c r="W197" i="12" s="1"/>
  <c r="N139" i="12"/>
  <c r="N150" i="12"/>
  <c r="N161" i="12"/>
  <c r="V137" i="12"/>
  <c r="V176" i="12" s="1"/>
  <c r="V136" i="12"/>
  <c r="V175" i="12" s="1"/>
  <c r="V170" i="12"/>
  <c r="V209" i="12" s="1"/>
  <c r="V166" i="12"/>
  <c r="V205" i="12" s="1"/>
  <c r="V163" i="12"/>
  <c r="V202" i="12" s="1"/>
  <c r="V167" i="12"/>
  <c r="V206" i="12" s="1"/>
  <c r="E139" i="12"/>
  <c r="E136" i="12"/>
  <c r="E170" i="12"/>
  <c r="E163" i="12"/>
  <c r="E167" i="12"/>
  <c r="E166" i="12"/>
  <c r="E147" i="12"/>
  <c r="L160" i="12"/>
  <c r="K142" i="12"/>
  <c r="K145" i="12"/>
  <c r="K155" i="12"/>
  <c r="S155" i="12"/>
  <c r="S158" i="12"/>
  <c r="J136" i="12"/>
  <c r="J163" i="12"/>
  <c r="J167" i="12"/>
  <c r="J166" i="12"/>
  <c r="J170" i="12"/>
  <c r="J156" i="12"/>
  <c r="J153" i="12"/>
  <c r="P153" i="12"/>
  <c r="P192" i="12" s="1"/>
  <c r="I160" i="12"/>
  <c r="G161" i="12"/>
  <c r="Q156" i="12"/>
  <c r="Q195" i="12" s="1"/>
  <c r="P139" i="12"/>
  <c r="P178" i="12" s="1"/>
  <c r="Q142" i="12"/>
  <c r="Q181" i="12" s="1"/>
  <c r="Q161" i="12"/>
  <c r="Q200" i="12" s="1"/>
  <c r="Q162" i="12"/>
  <c r="Q201" i="12" s="1"/>
  <c r="Q141" i="12"/>
  <c r="Q180" i="12" s="1"/>
  <c r="I145" i="12"/>
  <c r="I162" i="12"/>
  <c r="P137" i="12"/>
  <c r="P176" i="12" s="1"/>
  <c r="P162" i="12"/>
  <c r="P201" i="12" s="1"/>
  <c r="G147" i="12"/>
  <c r="G157" i="12"/>
  <c r="F136" i="12"/>
  <c r="F170" i="12"/>
  <c r="F167" i="12"/>
  <c r="F163" i="12"/>
  <c r="F158" i="12"/>
  <c r="W151" i="12"/>
  <c r="W190" i="12" s="1"/>
  <c r="W136" i="12"/>
  <c r="W175" i="12" s="1"/>
  <c r="W167" i="12"/>
  <c r="W206" i="12" s="1"/>
  <c r="W170" i="12"/>
  <c r="W209" i="12" s="1"/>
  <c r="W163" i="12"/>
  <c r="W202" i="12" s="1"/>
  <c r="N144" i="12"/>
  <c r="N142" i="12"/>
  <c r="N162" i="12"/>
  <c r="V145" i="12"/>
  <c r="V184" i="12" s="1"/>
  <c r="M147" i="12"/>
  <c r="E142" i="12"/>
  <c r="E152" i="12"/>
  <c r="U158" i="12"/>
  <c r="U197" i="12" s="1"/>
  <c r="U153" i="12"/>
  <c r="U192" i="12" s="1"/>
  <c r="L145" i="12"/>
  <c r="L161" i="12"/>
  <c r="T137" i="12"/>
  <c r="T176" i="12" s="1"/>
  <c r="K149" i="12"/>
  <c r="S160" i="12"/>
  <c r="J147" i="12"/>
  <c r="I141" i="12"/>
  <c r="I142" i="12"/>
  <c r="P158" i="12"/>
  <c r="P197" i="12" s="1"/>
  <c r="P141" i="12"/>
  <c r="P180" i="12" s="1"/>
  <c r="G142" i="12"/>
  <c r="G151" i="12"/>
  <c r="O152" i="12"/>
  <c r="O153" i="12"/>
  <c r="O150" i="12"/>
  <c r="F144" i="12"/>
  <c r="F149" i="12"/>
  <c r="F161" i="12"/>
  <c r="W139" i="12"/>
  <c r="W178" i="12" s="1"/>
  <c r="W162" i="12"/>
  <c r="W201" i="12" s="1"/>
  <c r="N157" i="12"/>
  <c r="N145" i="12"/>
  <c r="V152" i="12"/>
  <c r="V191" i="12" s="1"/>
  <c r="V158" i="12"/>
  <c r="V197" i="12" s="1"/>
  <c r="V160" i="12"/>
  <c r="V199" i="12" s="1"/>
  <c r="M158" i="12"/>
  <c r="M160" i="12"/>
  <c r="E157" i="12"/>
  <c r="E145" i="12"/>
  <c r="U161" i="12"/>
  <c r="U200" i="12" s="1"/>
  <c r="U139" i="12"/>
  <c r="U178" i="12" s="1"/>
  <c r="U145" i="12"/>
  <c r="U184" i="12" s="1"/>
  <c r="L152" i="12"/>
  <c r="L162" i="12"/>
  <c r="K141" i="12"/>
  <c r="S157" i="12"/>
  <c r="J141" i="12"/>
  <c r="J139" i="12"/>
  <c r="J144" i="12"/>
  <c r="J160" i="12"/>
  <c r="O158" i="12"/>
  <c r="F159" i="12"/>
  <c r="F153" i="12"/>
  <c r="F157" i="12"/>
  <c r="F162" i="12"/>
  <c r="W141" i="12"/>
  <c r="W180" i="12" s="1"/>
  <c r="W150" i="12"/>
  <c r="W189" i="12" s="1"/>
  <c r="W145" i="12"/>
  <c r="W184" i="12" s="1"/>
  <c r="N136" i="12"/>
  <c r="N167" i="12"/>
  <c r="N170" i="12"/>
  <c r="N163" i="12"/>
  <c r="N166" i="12"/>
  <c r="N153" i="12"/>
  <c r="V156" i="12"/>
  <c r="V195" i="12" s="1"/>
  <c r="V139" i="12"/>
  <c r="V178" i="12" s="1"/>
  <c r="V161" i="12"/>
  <c r="V200" i="12" s="1"/>
  <c r="M137" i="12"/>
  <c r="M150" i="12"/>
  <c r="M152" i="12"/>
  <c r="E153" i="12"/>
  <c r="U150" i="12"/>
  <c r="U189" i="12" s="1"/>
  <c r="L158" i="12"/>
  <c r="T153" i="12"/>
  <c r="T192" i="12" s="1"/>
  <c r="T160" i="12"/>
  <c r="T199" i="12" s="1"/>
  <c r="K158" i="12"/>
  <c r="K153" i="12"/>
  <c r="K137" i="12"/>
  <c r="K144" i="12"/>
  <c r="S147" i="12"/>
  <c r="S153" i="12"/>
  <c r="J148" i="12"/>
  <c r="J161" i="12"/>
  <c r="Q139" i="12"/>
  <c r="Q178" i="12" s="1"/>
  <c r="Q147" i="12"/>
  <c r="Q186" i="12" s="1"/>
  <c r="I158" i="12"/>
  <c r="P150" i="12"/>
  <c r="P189" i="12" s="1"/>
  <c r="P157" i="12"/>
  <c r="P196" i="12" s="1"/>
  <c r="G162" i="12"/>
  <c r="G139" i="12"/>
  <c r="G144" i="12"/>
  <c r="O145" i="12"/>
  <c r="O159" i="12"/>
  <c r="O161" i="12"/>
  <c r="O162" i="12"/>
  <c r="F139" i="12"/>
  <c r="W157" i="12"/>
  <c r="W196" i="12" s="1"/>
  <c r="W153" i="12"/>
  <c r="W192" i="12" s="1"/>
  <c r="N141" i="12"/>
  <c r="V150" i="12"/>
  <c r="V189" i="12" s="1"/>
  <c r="V162" i="12"/>
  <c r="V201" i="12" s="1"/>
  <c r="M139" i="12"/>
  <c r="M157" i="12"/>
  <c r="E149" i="12"/>
  <c r="E162" i="12"/>
  <c r="U162" i="12"/>
  <c r="U201" i="12" s="1"/>
  <c r="L150" i="12"/>
  <c r="L137" i="12"/>
  <c r="T158" i="12"/>
  <c r="T197" i="12" s="1"/>
  <c r="T157" i="12"/>
  <c r="T196" i="12" s="1"/>
  <c r="T161" i="12"/>
  <c r="T200" i="12" s="1"/>
  <c r="K157" i="12"/>
  <c r="S139" i="12"/>
  <c r="S149" i="12"/>
  <c r="S161" i="12"/>
  <c r="J142" i="12"/>
  <c r="J162" i="12"/>
  <c r="I153" i="12"/>
  <c r="G153" i="12"/>
  <c r="G152" i="12"/>
  <c r="O147" i="12"/>
  <c r="F141" i="12"/>
  <c r="F145" i="12"/>
  <c r="F147" i="12"/>
  <c r="W160" i="12"/>
  <c r="W199" i="12" s="1"/>
  <c r="W147" i="12"/>
  <c r="W186" i="12" s="1"/>
  <c r="N152" i="12"/>
  <c r="N149" i="12"/>
  <c r="N148" i="12"/>
  <c r="V148" i="12"/>
  <c r="V187" i="12" s="1"/>
  <c r="V157" i="12"/>
  <c r="V196" i="12" s="1"/>
  <c r="M144" i="12"/>
  <c r="M162" i="12"/>
  <c r="M153" i="12"/>
  <c r="E158" i="12"/>
  <c r="E160" i="12"/>
  <c r="U147" i="12"/>
  <c r="U186" i="12" s="1"/>
  <c r="U142" i="12"/>
  <c r="U181" i="12" s="1"/>
  <c r="U141" i="12"/>
  <c r="U180" i="12" s="1"/>
  <c r="L139" i="12"/>
  <c r="L141" i="12"/>
  <c r="T145" i="12"/>
  <c r="T184" i="12" s="1"/>
  <c r="T152" i="12"/>
  <c r="T191" i="12" s="1"/>
  <c r="T162" i="12"/>
  <c r="T201" i="12" s="1"/>
  <c r="K150" i="12"/>
  <c r="K162" i="12"/>
  <c r="J157" i="12"/>
  <c r="J150" i="12"/>
  <c r="I157" i="12"/>
  <c r="Q146" i="12"/>
  <c r="Q185" i="12" s="1"/>
  <c r="I140" i="12"/>
  <c r="I146" i="12"/>
  <c r="G148" i="12"/>
  <c r="G146" i="12"/>
  <c r="I143" i="12"/>
  <c r="P146" i="12"/>
  <c r="P185" i="12" s="1"/>
  <c r="P148" i="12"/>
  <c r="P187" i="12" s="1"/>
  <c r="G155" i="12"/>
  <c r="O50" i="12"/>
  <c r="O183" i="12" s="1"/>
  <c r="F151" i="12"/>
  <c r="W143" i="12"/>
  <c r="W182" i="12" s="1"/>
  <c r="N143" i="12"/>
  <c r="N140" i="12"/>
  <c r="V144" i="12"/>
  <c r="V183" i="12" s="1"/>
  <c r="V143" i="12"/>
  <c r="V182" i="12" s="1"/>
  <c r="M156" i="12"/>
  <c r="M145" i="12"/>
  <c r="E154" i="12"/>
  <c r="U155" i="12"/>
  <c r="U194" i="12" s="1"/>
  <c r="U154" i="12"/>
  <c r="U193" i="12" s="1"/>
  <c r="L155" i="12"/>
  <c r="L154" i="12"/>
  <c r="T144" i="12"/>
  <c r="T183" i="12" s="1"/>
  <c r="K143" i="12"/>
  <c r="K156" i="12"/>
  <c r="K152" i="12"/>
  <c r="J140" i="12"/>
  <c r="J138" i="12"/>
  <c r="S164" i="12"/>
  <c r="G164" i="12"/>
  <c r="T165" i="12"/>
  <c r="T204" i="12" s="1"/>
  <c r="W165" i="12"/>
  <c r="W204" i="12" s="1"/>
  <c r="P169" i="12"/>
  <c r="P208" i="12" s="1"/>
  <c r="V169" i="12"/>
  <c r="V208" i="12" s="1"/>
  <c r="Q136" i="12"/>
  <c r="Q175" i="12" s="1"/>
  <c r="Q163" i="12"/>
  <c r="Q202" i="12" s="1"/>
  <c r="Q166" i="12"/>
  <c r="Q205" i="12" s="1"/>
  <c r="Q167" i="12"/>
  <c r="Q206" i="12" s="1"/>
  <c r="Q170" i="12"/>
  <c r="Q209" i="12" s="1"/>
  <c r="Q151" i="12"/>
  <c r="Q190" i="12" s="1"/>
  <c r="I151" i="12"/>
  <c r="P155" i="12"/>
  <c r="P194" i="12" s="1"/>
  <c r="P154" i="12"/>
  <c r="P193" i="12" s="1"/>
  <c r="O136" i="12"/>
  <c r="O175" i="12" s="1"/>
  <c r="O163" i="12"/>
  <c r="O202" i="12" s="1"/>
  <c r="O166" i="12"/>
  <c r="O205" i="12" s="1"/>
  <c r="O170" i="12"/>
  <c r="O209" i="12" s="1"/>
  <c r="O167" i="12"/>
  <c r="O206" i="12" s="1"/>
  <c r="O149" i="12"/>
  <c r="O188" i="12" s="1"/>
  <c r="N154" i="12"/>
  <c r="V151" i="12"/>
  <c r="V190" i="12" s="1"/>
  <c r="M136" i="12"/>
  <c r="M163" i="12"/>
  <c r="M170" i="12"/>
  <c r="M167" i="12"/>
  <c r="L159" i="12"/>
  <c r="L136" i="12"/>
  <c r="L163" i="12"/>
  <c r="L170" i="12"/>
  <c r="L167" i="12"/>
  <c r="T143" i="12"/>
  <c r="T182" i="12" s="1"/>
  <c r="K146" i="12"/>
  <c r="S136" i="12"/>
  <c r="S163" i="12"/>
  <c r="S167" i="12"/>
  <c r="S166" i="12"/>
  <c r="S170" i="12"/>
  <c r="S154" i="12"/>
  <c r="S156" i="12"/>
  <c r="J159" i="12"/>
  <c r="L164" i="12"/>
  <c r="K164" i="12"/>
  <c r="Q164" i="12"/>
  <c r="Q203" i="12" s="1"/>
  <c r="L165" i="12"/>
  <c r="K165" i="12"/>
  <c r="T169" i="12"/>
  <c r="T208" i="12" s="1"/>
  <c r="G169" i="12"/>
  <c r="K169" i="12"/>
  <c r="E168" i="12"/>
  <c r="G168" i="12"/>
  <c r="K168" i="12"/>
  <c r="G5" i="9"/>
  <c r="I50" i="8"/>
  <c r="G4" i="9" s="1"/>
  <c r="F83" i="8"/>
  <c r="F122" i="8" s="1"/>
  <c r="Q148" i="12"/>
  <c r="Q187" i="12" s="1"/>
  <c r="I155" i="12"/>
  <c r="I159" i="12"/>
  <c r="P152" i="12"/>
  <c r="P191" i="12" s="1"/>
  <c r="O154" i="12"/>
  <c r="O193" i="12" s="1"/>
  <c r="O157" i="12"/>
  <c r="O196" i="12" s="1"/>
  <c r="O155" i="12"/>
  <c r="O194" i="12" s="1"/>
  <c r="F143" i="12"/>
  <c r="F138" i="12"/>
  <c r="F155" i="12"/>
  <c r="W155" i="12"/>
  <c r="W194" i="12" s="1"/>
  <c r="N158" i="12"/>
  <c r="V155" i="12"/>
  <c r="V194" i="12" s="1"/>
  <c r="V142" i="12"/>
  <c r="V181" i="12" s="1"/>
  <c r="M148" i="12"/>
  <c r="M138" i="12"/>
  <c r="E146" i="12"/>
  <c r="E161" i="12"/>
  <c r="U146" i="12"/>
  <c r="U185" i="12" s="1"/>
  <c r="L138" i="12"/>
  <c r="K154" i="12"/>
  <c r="S140" i="12"/>
  <c r="J151" i="12"/>
  <c r="M164" i="12"/>
  <c r="T164" i="12"/>
  <c r="T203" i="12" s="1"/>
  <c r="U165" i="12"/>
  <c r="U204" i="12" s="1"/>
  <c r="U169" i="12"/>
  <c r="U208" i="12" s="1"/>
  <c r="O169" i="12"/>
  <c r="O208" i="12" s="1"/>
  <c r="S169" i="12"/>
  <c r="Q168" i="12"/>
  <c r="Q207" i="12" s="1"/>
  <c r="O168" i="12"/>
  <c r="O207" i="12" s="1"/>
  <c r="S168" i="12"/>
  <c r="I71" i="8"/>
  <c r="I110" i="8" s="1"/>
  <c r="Q138" i="12"/>
  <c r="Q177" i="12" s="1"/>
  <c r="Q140" i="12"/>
  <c r="Q179" i="12" s="1"/>
  <c r="Q143" i="12"/>
  <c r="Q182" i="12" s="1"/>
  <c r="I136" i="12"/>
  <c r="I170" i="12"/>
  <c r="I163" i="12"/>
  <c r="I167" i="12"/>
  <c r="P143" i="12"/>
  <c r="P182" i="12" s="1"/>
  <c r="P160" i="12"/>
  <c r="P199" i="12" s="1"/>
  <c r="G138" i="12"/>
  <c r="G154" i="12"/>
  <c r="O156" i="12"/>
  <c r="O195" i="12" s="1"/>
  <c r="W138" i="12"/>
  <c r="W177" i="12" s="1"/>
  <c r="W154" i="12"/>
  <c r="W193" i="12" s="1"/>
  <c r="W140" i="12"/>
  <c r="W179" i="12" s="1"/>
  <c r="N146" i="12"/>
  <c r="V138" i="12"/>
  <c r="V177" i="12" s="1"/>
  <c r="M155" i="12"/>
  <c r="M143" i="12"/>
  <c r="M146" i="12"/>
  <c r="E151" i="12"/>
  <c r="T148" i="12"/>
  <c r="T187" i="12" s="1"/>
  <c r="K136" i="12"/>
  <c r="K170" i="12"/>
  <c r="K163" i="12"/>
  <c r="K167" i="12"/>
  <c r="K140" i="12"/>
  <c r="K148" i="12"/>
  <c r="K160" i="12"/>
  <c r="S148" i="12"/>
  <c r="S187" i="12" s="1"/>
  <c r="S50" i="12"/>
  <c r="S201" i="12" s="1"/>
  <c r="J155" i="12"/>
  <c r="H109" i="12"/>
  <c r="H148" i="12" s="1"/>
  <c r="U164" i="12"/>
  <c r="U203" i="12" s="1"/>
  <c r="E164" i="12"/>
  <c r="P164" i="12"/>
  <c r="P203" i="12" s="1"/>
  <c r="M165" i="12"/>
  <c r="F165" i="12"/>
  <c r="R84" i="12"/>
  <c r="R123" i="12" s="1"/>
  <c r="R162" i="12" s="1"/>
  <c r="R201" i="12" s="1"/>
  <c r="U168" i="12"/>
  <c r="U207" i="12" s="1"/>
  <c r="W168" i="12"/>
  <c r="W207" i="12" s="1"/>
  <c r="L168" i="12"/>
  <c r="P136" i="12"/>
  <c r="P175" i="12" s="1"/>
  <c r="P163" i="12"/>
  <c r="P202" i="12" s="1"/>
  <c r="P167" i="12"/>
  <c r="P206" i="12" s="1"/>
  <c r="P166" i="12"/>
  <c r="P205" i="12" s="1"/>
  <c r="P170" i="12"/>
  <c r="P209" i="12" s="1"/>
  <c r="P151" i="12"/>
  <c r="P190" i="12" s="1"/>
  <c r="G156" i="12"/>
  <c r="O140" i="12"/>
  <c r="O179" i="12" s="1"/>
  <c r="F140" i="12"/>
  <c r="F160" i="12"/>
  <c r="W148" i="12"/>
  <c r="W187" i="12" s="1"/>
  <c r="N155" i="12"/>
  <c r="V146" i="12"/>
  <c r="V185" i="12" s="1"/>
  <c r="M149" i="12"/>
  <c r="M151" i="12"/>
  <c r="M154" i="12"/>
  <c r="U140" i="12"/>
  <c r="U179" i="12" s="1"/>
  <c r="U138" i="12"/>
  <c r="U177" i="12" s="1"/>
  <c r="L151" i="12"/>
  <c r="L140" i="12"/>
  <c r="T159" i="12"/>
  <c r="T198" i="12" s="1"/>
  <c r="T156" i="12"/>
  <c r="T195" i="12" s="1"/>
  <c r="T155" i="12"/>
  <c r="T194" i="12" s="1"/>
  <c r="K138" i="12"/>
  <c r="S138" i="12"/>
  <c r="S177" i="12" s="1"/>
  <c r="J143" i="12"/>
  <c r="R146" i="12"/>
  <c r="R185" i="12" s="1"/>
  <c r="H154" i="12"/>
  <c r="V164" i="12"/>
  <c r="V203" i="12" s="1"/>
  <c r="N164" i="12"/>
  <c r="R147" i="12"/>
  <c r="R186" i="12" s="1"/>
  <c r="P165" i="12"/>
  <c r="P204" i="12" s="1"/>
  <c r="N165" i="12"/>
  <c r="H169" i="12"/>
  <c r="V168" i="12"/>
  <c r="V207" i="12" s="1"/>
  <c r="H168" i="12"/>
  <c r="T168" i="12"/>
  <c r="T207" i="12" s="1"/>
  <c r="Q159" i="12"/>
  <c r="Q198" i="12" s="1"/>
  <c r="I154" i="12"/>
  <c r="P156" i="12"/>
  <c r="P195" i="12" s="1"/>
  <c r="P159" i="12"/>
  <c r="P198" i="12" s="1"/>
  <c r="G140" i="12"/>
  <c r="G143" i="12"/>
  <c r="O148" i="12"/>
  <c r="O187" i="12" s="1"/>
  <c r="O146" i="12"/>
  <c r="O185" i="12" s="1"/>
  <c r="O142" i="12"/>
  <c r="O181" i="12" s="1"/>
  <c r="F154" i="12"/>
  <c r="W156" i="12"/>
  <c r="W195" i="12" s="1"/>
  <c r="V141" i="12"/>
  <c r="V180" i="12" s="1"/>
  <c r="V140" i="12"/>
  <c r="V179" i="12" s="1"/>
  <c r="V154" i="12"/>
  <c r="V193" i="12" s="1"/>
  <c r="M159" i="12"/>
  <c r="M161" i="12"/>
  <c r="E141" i="12"/>
  <c r="E155" i="12"/>
  <c r="E140" i="12"/>
  <c r="U156" i="12"/>
  <c r="U195" i="12" s="1"/>
  <c r="U143" i="12"/>
  <c r="U182" i="12" s="1"/>
  <c r="L148" i="12"/>
  <c r="T136" i="12"/>
  <c r="T175" i="12" s="1"/>
  <c r="T163" i="12"/>
  <c r="T202" i="12" s="1"/>
  <c r="T170" i="12"/>
  <c r="T209" i="12" s="1"/>
  <c r="T167" i="12"/>
  <c r="T206" i="12" s="1"/>
  <c r="K161" i="12"/>
  <c r="K159" i="12"/>
  <c r="S146" i="12"/>
  <c r="S185" i="12" s="1"/>
  <c r="S159" i="12"/>
  <c r="S198" i="12" s="1"/>
  <c r="J154" i="12"/>
  <c r="R143" i="12"/>
  <c r="R182" i="12" s="1"/>
  <c r="H155" i="12"/>
  <c r="I164" i="12"/>
  <c r="W164" i="12"/>
  <c r="W203" i="12" s="1"/>
  <c r="Q165" i="12"/>
  <c r="Q204" i="12" s="1"/>
  <c r="I165" i="12"/>
  <c r="V165" i="12"/>
  <c r="V204" i="12" s="1"/>
  <c r="L169" i="12"/>
  <c r="I169" i="12"/>
  <c r="H141" i="12"/>
  <c r="F168" i="12"/>
  <c r="P168" i="12"/>
  <c r="P207" i="12" s="1"/>
  <c r="P137" i="8"/>
  <c r="P156" i="8"/>
  <c r="P166" i="8"/>
  <c r="P140" i="8"/>
  <c r="P168" i="8"/>
  <c r="P170" i="8"/>
  <c r="P164" i="8"/>
  <c r="P169" i="8"/>
  <c r="P136" i="8"/>
  <c r="P162" i="8"/>
  <c r="P155" i="8"/>
  <c r="P146" i="8"/>
  <c r="P163" i="8"/>
  <c r="P144" i="8"/>
  <c r="P160" i="8"/>
  <c r="Q155" i="12"/>
  <c r="Q194" i="12" s="1"/>
  <c r="Q153" i="12"/>
  <c r="Q192" i="12" s="1"/>
  <c r="Q154" i="12"/>
  <c r="Q193" i="12" s="1"/>
  <c r="I138" i="12"/>
  <c r="O138" i="12"/>
  <c r="O177" i="12" s="1"/>
  <c r="F146" i="12"/>
  <c r="W137" i="12"/>
  <c r="W176" i="12" s="1"/>
  <c r="W146" i="12"/>
  <c r="W185" i="12" s="1"/>
  <c r="N151" i="12"/>
  <c r="V153" i="12"/>
  <c r="V192" i="12" s="1"/>
  <c r="M140" i="12"/>
  <c r="E143" i="12"/>
  <c r="E159" i="12"/>
  <c r="E148" i="12"/>
  <c r="U151" i="12"/>
  <c r="U190" i="12" s="1"/>
  <c r="L143" i="12"/>
  <c r="L156" i="12"/>
  <c r="T140" i="12"/>
  <c r="T179" i="12" s="1"/>
  <c r="T138" i="12"/>
  <c r="T177" i="12" s="1"/>
  <c r="T146" i="12"/>
  <c r="T185" i="12" s="1"/>
  <c r="K151" i="12"/>
  <c r="S143" i="12"/>
  <c r="S182" i="12" s="1"/>
  <c r="S145" i="12"/>
  <c r="S184" i="12" s="1"/>
  <c r="R140" i="12"/>
  <c r="R179" i="12" s="1"/>
  <c r="R151" i="12"/>
  <c r="R190" i="12" s="1"/>
  <c r="H136" i="12"/>
  <c r="H167" i="12"/>
  <c r="H166" i="12"/>
  <c r="H163" i="12"/>
  <c r="H170" i="12"/>
  <c r="R164" i="12"/>
  <c r="R203" i="12" s="1"/>
  <c r="F164" i="12"/>
  <c r="R165" i="12"/>
  <c r="R204" i="12" s="1"/>
  <c r="S165" i="12"/>
  <c r="S204" i="12" s="1"/>
  <c r="G165" i="12"/>
  <c r="F169" i="12"/>
  <c r="Q169" i="12"/>
  <c r="Q208" i="12" s="1"/>
  <c r="I168" i="12"/>
  <c r="I137" i="12"/>
  <c r="P140" i="12"/>
  <c r="P179" i="12" s="1"/>
  <c r="G158" i="12"/>
  <c r="O143" i="12"/>
  <c r="O182" i="12" s="1"/>
  <c r="N138" i="12"/>
  <c r="E137" i="12"/>
  <c r="E138" i="12"/>
  <c r="E156" i="12"/>
  <c r="U148" i="12"/>
  <c r="U187" i="12" s="1"/>
  <c r="U159" i="12"/>
  <c r="U198" i="12" s="1"/>
  <c r="L146" i="12"/>
  <c r="T151" i="12"/>
  <c r="T190" i="12" s="1"/>
  <c r="T154" i="12"/>
  <c r="T193" i="12" s="1"/>
  <c r="J146" i="12"/>
  <c r="J152" i="12"/>
  <c r="R159" i="12"/>
  <c r="R198" i="12" s="1"/>
  <c r="H143" i="12"/>
  <c r="J164" i="12"/>
  <c r="O164" i="12"/>
  <c r="O203" i="12" s="1"/>
  <c r="H160" i="12"/>
  <c r="M169" i="12"/>
  <c r="N169" i="12"/>
  <c r="J169" i="12"/>
  <c r="M168" i="12"/>
  <c r="J168" i="12"/>
  <c r="E165" i="12"/>
  <c r="J165" i="12"/>
  <c r="O165" i="12"/>
  <c r="O204" i="12" s="1"/>
  <c r="E169" i="12"/>
  <c r="W169" i="12"/>
  <c r="W208" i="12" s="1"/>
  <c r="X84" i="12"/>
  <c r="X123" i="12" s="1"/>
  <c r="X162" i="12" s="1"/>
  <c r="X201" i="12" s="1"/>
  <c r="N168" i="12"/>
  <c r="R168" i="12"/>
  <c r="R207" i="12" s="1"/>
  <c r="W50" i="8"/>
  <c r="C5" i="9"/>
  <c r="E50" i="8"/>
  <c r="C4" i="9" s="1"/>
  <c r="O154" i="8"/>
  <c r="G115" i="13"/>
  <c r="F115" i="13"/>
  <c r="L166" i="12"/>
  <c r="G59" i="8"/>
  <c r="G98" i="8" s="1"/>
  <c r="G143" i="8" s="1"/>
  <c r="E17" i="9" s="1"/>
  <c r="W59" i="8"/>
  <c r="W98" i="8" s="1"/>
  <c r="W153" i="8" s="1"/>
  <c r="O59" i="8"/>
  <c r="O98" i="8" s="1"/>
  <c r="E83" i="8"/>
  <c r="E122" i="8" s="1"/>
  <c r="L83" i="8"/>
  <c r="L122" i="8" s="1"/>
  <c r="O141" i="8"/>
  <c r="O147" i="8"/>
  <c r="I166" i="12"/>
  <c r="D5" i="9"/>
  <c r="F50" i="8"/>
  <c r="D4" i="9" s="1"/>
  <c r="P157" i="8"/>
  <c r="O150" i="8"/>
  <c r="E5" i="9"/>
  <c r="G50" i="8"/>
  <c r="E4" i="9" s="1"/>
  <c r="N153" i="8"/>
  <c r="L27" i="9" s="1"/>
  <c r="V50" i="8"/>
  <c r="V59" i="8"/>
  <c r="V98" i="8" s="1"/>
  <c r="V154" i="8" s="1"/>
  <c r="E59" i="8"/>
  <c r="E98" i="8" s="1"/>
  <c r="E147" i="8" s="1"/>
  <c r="C21" i="9" s="1"/>
  <c r="X59" i="8"/>
  <c r="X98" i="8" s="1"/>
  <c r="X141" i="8" s="1"/>
  <c r="K71" i="8"/>
  <c r="K110" i="8" s="1"/>
  <c r="S83" i="8"/>
  <c r="S122" i="8" s="1"/>
  <c r="W83" i="8"/>
  <c r="W122" i="8" s="1"/>
  <c r="W161" i="8" s="1"/>
  <c r="P167" i="8"/>
  <c r="O138" i="8"/>
  <c r="O151" i="8"/>
  <c r="O152" i="8"/>
  <c r="N146" i="8"/>
  <c r="L20" i="9" s="1"/>
  <c r="V152" i="8"/>
  <c r="P152" i="8"/>
  <c r="P159" i="8"/>
  <c r="O159" i="8"/>
  <c r="J153" i="8"/>
  <c r="H27" i="9" s="1"/>
  <c r="N59" i="8"/>
  <c r="N98" i="8" s="1"/>
  <c r="N161" i="8"/>
  <c r="L35" i="9" s="1"/>
  <c r="O148" i="8"/>
  <c r="O162" i="8"/>
  <c r="J157" i="8"/>
  <c r="H31" i="9" s="1"/>
  <c r="O142" i="8"/>
  <c r="V146" i="8"/>
  <c r="N154" i="8"/>
  <c r="L28" i="9" s="1"/>
  <c r="Q59" i="8"/>
  <c r="Q98" i="8" s="1"/>
  <c r="Q147" i="8" s="1"/>
  <c r="I59" i="8"/>
  <c r="I98" i="8" s="1"/>
  <c r="I157" i="8" s="1"/>
  <c r="G31" i="9" s="1"/>
  <c r="N165" i="8"/>
  <c r="L39" i="9" s="1"/>
  <c r="O158" i="8"/>
  <c r="V148" i="8"/>
  <c r="P147" i="8"/>
  <c r="J59" i="8"/>
  <c r="J98" i="8" s="1"/>
  <c r="J167" i="8" s="1"/>
  <c r="H41" i="9" s="1"/>
  <c r="H59" i="8"/>
  <c r="H98" i="8" s="1"/>
  <c r="U71" i="8"/>
  <c r="U110" i="8" s="1"/>
  <c r="E71" i="8"/>
  <c r="E110" i="8" s="1"/>
  <c r="E149" i="8" s="1"/>
  <c r="C23" i="9" s="1"/>
  <c r="M71" i="8"/>
  <c r="M110" i="8" s="1"/>
  <c r="L71" i="8"/>
  <c r="L110" i="8" s="1"/>
  <c r="G71" i="8"/>
  <c r="G110" i="8" s="1"/>
  <c r="G149" i="8" s="1"/>
  <c r="E23" i="9" s="1"/>
  <c r="T83" i="8"/>
  <c r="T122" i="8" s="1"/>
  <c r="T168" i="8"/>
  <c r="W155" i="8"/>
  <c r="H109" i="8"/>
  <c r="O157" i="8"/>
  <c r="V142" i="8"/>
  <c r="V159" i="8"/>
  <c r="T153" i="8"/>
  <c r="V145" i="8"/>
  <c r="J158" i="8"/>
  <c r="H32" i="9" s="1"/>
  <c r="X156" i="8"/>
  <c r="J147" i="8"/>
  <c r="H21" i="9" s="1"/>
  <c r="L59" i="8"/>
  <c r="L98" i="8" s="1"/>
  <c r="L137" i="8" s="1"/>
  <c r="J11" i="9" s="1"/>
  <c r="S59" i="8"/>
  <c r="S98" i="8" s="1"/>
  <c r="S141" i="8" s="1"/>
  <c r="P149" i="8"/>
  <c r="J161" i="8"/>
  <c r="H35" i="9" s="1"/>
  <c r="O161" i="8"/>
  <c r="N144" i="8"/>
  <c r="L18" i="9" s="1"/>
  <c r="N155" i="8"/>
  <c r="L29" i="9" s="1"/>
  <c r="N157" i="8"/>
  <c r="L31" i="9" s="1"/>
  <c r="P150" i="8"/>
  <c r="W160" i="8"/>
  <c r="S153" i="8"/>
  <c r="I5" i="9"/>
  <c r="K50" i="8"/>
  <c r="I4" i="9" s="1"/>
  <c r="J159" i="8"/>
  <c r="H33" i="9" s="1"/>
  <c r="G154" i="8"/>
  <c r="E28" i="9" s="1"/>
  <c r="G136" i="8"/>
  <c r="E10" i="9" s="1"/>
  <c r="G152" i="8"/>
  <c r="E26" i="9" s="1"/>
  <c r="G155" i="8"/>
  <c r="E29" i="9" s="1"/>
  <c r="P138" i="8"/>
  <c r="P153" i="8"/>
  <c r="P165" i="8"/>
  <c r="V158" i="8"/>
  <c r="X142" i="8"/>
  <c r="W166" i="12"/>
  <c r="W205" i="12" s="1"/>
  <c r="X158" i="8"/>
  <c r="V153" i="8"/>
  <c r="X50" i="8"/>
  <c r="T59" i="8"/>
  <c r="T98" i="8" s="1"/>
  <c r="K59" i="8"/>
  <c r="K98" i="8" s="1"/>
  <c r="K160" i="8" s="1"/>
  <c r="I34" i="9" s="1"/>
  <c r="J149" i="8"/>
  <c r="H23" i="9" s="1"/>
  <c r="N149" i="8"/>
  <c r="L23" i="9" s="1"/>
  <c r="Q83" i="8"/>
  <c r="Q122" i="8" s="1"/>
  <c r="Q161" i="8" s="1"/>
  <c r="I83" i="8"/>
  <c r="I122" i="8" s="1"/>
  <c r="I161" i="8" s="1"/>
  <c r="G35" i="9" s="1"/>
  <c r="U83" i="8"/>
  <c r="U122" i="8" s="1"/>
  <c r="X83" i="8"/>
  <c r="X122" i="8" s="1"/>
  <c r="X161" i="8" s="1"/>
  <c r="N140" i="8"/>
  <c r="L14" i="9" s="1"/>
  <c r="N156" i="8"/>
  <c r="L30" i="9" s="1"/>
  <c r="W167" i="8"/>
  <c r="V167" i="8"/>
  <c r="J148" i="8"/>
  <c r="H22" i="9" s="1"/>
  <c r="P142" i="8"/>
  <c r="O143" i="8"/>
  <c r="N162" i="8"/>
  <c r="L36" i="9" s="1"/>
  <c r="G156" i="8"/>
  <c r="E30" i="9" s="1"/>
  <c r="N139" i="8"/>
  <c r="L13" i="9" s="1"/>
  <c r="I144" i="8"/>
  <c r="G18" i="9" s="1"/>
  <c r="F5" i="9"/>
  <c r="H50" i="8"/>
  <c r="F4" i="9" s="1"/>
  <c r="S157" i="8"/>
  <c r="E136" i="8"/>
  <c r="C10" i="9" s="1"/>
  <c r="E166" i="8"/>
  <c r="C40" i="9" s="1"/>
  <c r="E157" i="8"/>
  <c r="C31" i="9" s="1"/>
  <c r="M158" i="8"/>
  <c r="K32" i="9" s="1"/>
  <c r="V150" i="8"/>
  <c r="N158" i="8"/>
  <c r="L32" i="9" s="1"/>
  <c r="P154" i="8"/>
  <c r="T159" i="8"/>
  <c r="Q153" i="8"/>
  <c r="Q50" i="8"/>
  <c r="J138" i="8"/>
  <c r="H12" i="9" s="1"/>
  <c r="F166" i="12"/>
  <c r="P145" i="8"/>
  <c r="I164" i="8"/>
  <c r="G38" i="9" s="1"/>
  <c r="M166" i="12"/>
  <c r="U166" i="12"/>
  <c r="U205" i="12" s="1"/>
  <c r="V140" i="8"/>
  <c r="V136" i="8"/>
  <c r="V169" i="8"/>
  <c r="X138" i="8"/>
  <c r="M150" i="8"/>
  <c r="K24" i="9" s="1"/>
  <c r="R59" i="8"/>
  <c r="R98" i="8" s="1"/>
  <c r="R138" i="8" s="1"/>
  <c r="U59" i="8"/>
  <c r="U98" i="8" s="1"/>
  <c r="U158" i="8" s="1"/>
  <c r="T149" i="8"/>
  <c r="M161" i="8"/>
  <c r="K35" i="9" s="1"/>
  <c r="X164" i="8"/>
  <c r="N166" i="8"/>
  <c r="L40" i="9" s="1"/>
  <c r="G167" i="8"/>
  <c r="E41" i="9" s="1"/>
  <c r="P148" i="8"/>
  <c r="E164" i="8"/>
  <c r="C38" i="9" s="1"/>
  <c r="P143" i="8"/>
  <c r="J143" i="8"/>
  <c r="H17" i="9" s="1"/>
  <c r="Q160" i="8"/>
  <c r="W136" i="8"/>
  <c r="W166" i="8"/>
  <c r="V157" i="8"/>
  <c r="N160" i="8"/>
  <c r="L34" i="9" s="1"/>
  <c r="E138" i="8"/>
  <c r="C12" i="9" s="1"/>
  <c r="E155" i="8"/>
  <c r="C29" i="9" s="1"/>
  <c r="J154" i="8"/>
  <c r="H28" i="9" s="1"/>
  <c r="G142" i="8"/>
  <c r="E16" i="9" s="1"/>
  <c r="P151" i="8"/>
  <c r="N151" i="8"/>
  <c r="L25" i="9" s="1"/>
  <c r="J151" i="8"/>
  <c r="H25" i="9" s="1"/>
  <c r="S144" i="8"/>
  <c r="S50" i="8"/>
  <c r="J150" i="8"/>
  <c r="H24" i="9" s="1"/>
  <c r="M154" i="8"/>
  <c r="K28" i="9" s="1"/>
  <c r="N152" i="8"/>
  <c r="L26" i="9" s="1"/>
  <c r="M159" i="8"/>
  <c r="K33" i="9" s="1"/>
  <c r="Q138" i="8"/>
  <c r="G153" i="8"/>
  <c r="E27" i="9" s="1"/>
  <c r="O153" i="8"/>
  <c r="K166" i="12"/>
  <c r="J145" i="8"/>
  <c r="H19" i="9" s="1"/>
  <c r="L165" i="8"/>
  <c r="J39" i="9" s="1"/>
  <c r="T166" i="12"/>
  <c r="T205" i="12" s="1"/>
  <c r="P158" i="8"/>
  <c r="W169" i="8"/>
  <c r="V156" i="8"/>
  <c r="V144" i="8"/>
  <c r="V155" i="8"/>
  <c r="X155" i="8"/>
  <c r="M59" i="8"/>
  <c r="M98" i="8" s="1"/>
  <c r="M167" i="8" s="1"/>
  <c r="K41" i="9" s="1"/>
  <c r="F59" i="8"/>
  <c r="F98" i="8" s="1"/>
  <c r="O149" i="8"/>
  <c r="P161" i="8"/>
  <c r="N136" i="8"/>
  <c r="L10" i="9" s="1"/>
  <c r="N163" i="8"/>
  <c r="L37" i="9" s="1"/>
  <c r="L5" i="9"/>
  <c r="N50" i="8"/>
  <c r="L4" i="9" s="1"/>
  <c r="I167" i="8"/>
  <c r="G41" i="9" s="1"/>
  <c r="O167" i="8"/>
  <c r="J141" i="8"/>
  <c r="H15" i="9" s="1"/>
  <c r="P141" i="8"/>
  <c r="K168" i="8"/>
  <c r="I42" i="9" s="1"/>
  <c r="N168" i="8"/>
  <c r="L42" i="9" s="1"/>
  <c r="R143" i="8"/>
  <c r="G5" i="13"/>
  <c r="I50" i="12"/>
  <c r="G4" i="13" s="1"/>
  <c r="E5" i="13"/>
  <c r="G50" i="12"/>
  <c r="E4" i="13" s="1"/>
  <c r="D5" i="13"/>
  <c r="F50" i="12"/>
  <c r="D4" i="13" s="1"/>
  <c r="L5" i="13"/>
  <c r="N50" i="12"/>
  <c r="L4" i="13" s="1"/>
  <c r="K5" i="13"/>
  <c r="M50" i="12"/>
  <c r="K4" i="13" s="1"/>
  <c r="C5" i="13"/>
  <c r="E50" i="12"/>
  <c r="C4" i="13" s="1"/>
  <c r="J5" i="13"/>
  <c r="L50" i="12"/>
  <c r="J4" i="13" s="1"/>
  <c r="I5" i="13"/>
  <c r="K50" i="12"/>
  <c r="I4" i="13" s="1"/>
  <c r="H5" i="13"/>
  <c r="J50" i="12"/>
  <c r="H4" i="13" s="1"/>
  <c r="F5" i="13"/>
  <c r="H50" i="12"/>
  <c r="F4" i="13" s="1"/>
  <c r="E24" i="13"/>
  <c r="E63" i="13" s="1"/>
  <c r="G189" i="12"/>
  <c r="J24" i="13"/>
  <c r="C24" i="13"/>
  <c r="E189" i="12"/>
  <c r="K24" i="13"/>
  <c r="K63" i="13" s="1"/>
  <c r="M189" i="12"/>
  <c r="D24" i="13"/>
  <c r="F189" i="12"/>
  <c r="L24" i="13"/>
  <c r="L63" i="13" s="1"/>
  <c r="G24" i="13"/>
  <c r="G63" i="13" s="1"/>
  <c r="I189" i="12"/>
  <c r="H24" i="13"/>
  <c r="H63" i="13" s="1"/>
  <c r="J189" i="12"/>
  <c r="I24" i="13"/>
  <c r="K189" i="12"/>
  <c r="J38" i="13"/>
  <c r="K38" i="13"/>
  <c r="K77" i="13" s="1"/>
  <c r="M203" i="12"/>
  <c r="G38" i="13"/>
  <c r="G77" i="13" s="1"/>
  <c r="I203" i="12"/>
  <c r="H38" i="13"/>
  <c r="H77" i="13" s="1"/>
  <c r="J203" i="12"/>
  <c r="I38" i="13"/>
  <c r="I77" i="13" s="1"/>
  <c r="C38" i="13"/>
  <c r="C77" i="13" s="1"/>
  <c r="E203" i="12"/>
  <c r="L38" i="13"/>
  <c r="N203" i="12"/>
  <c r="D38" i="13"/>
  <c r="F203" i="12"/>
  <c r="E38" i="13"/>
  <c r="E77" i="13" s="1"/>
  <c r="G203" i="12"/>
  <c r="E13" i="13"/>
  <c r="E52" i="13" s="1"/>
  <c r="G178" i="12"/>
  <c r="H13" i="13"/>
  <c r="H52" i="13" s="1"/>
  <c r="J178" i="12"/>
  <c r="I13" i="13"/>
  <c r="I52" i="13" s="1"/>
  <c r="J13" i="13"/>
  <c r="G13" i="13"/>
  <c r="G52" i="13" s="1"/>
  <c r="I178" i="12"/>
  <c r="C13" i="13"/>
  <c r="C52" i="13" s="1"/>
  <c r="E178" i="12"/>
  <c r="K13" i="13"/>
  <c r="K52" i="13" s="1"/>
  <c r="M178" i="12"/>
  <c r="D13" i="13"/>
  <c r="F178" i="12"/>
  <c r="L13" i="13"/>
  <c r="N178" i="12"/>
  <c r="E21" i="13"/>
  <c r="E60" i="13" s="1"/>
  <c r="G186" i="12"/>
  <c r="H21" i="13"/>
  <c r="H60" i="13" s="1"/>
  <c r="J186" i="12"/>
  <c r="I21" i="13"/>
  <c r="K186" i="12"/>
  <c r="J21" i="13"/>
  <c r="L186" i="12"/>
  <c r="G21" i="13"/>
  <c r="G60" i="13" s="1"/>
  <c r="I186" i="12"/>
  <c r="C21" i="13"/>
  <c r="C60" i="13" s="1"/>
  <c r="E186" i="12"/>
  <c r="K21" i="13"/>
  <c r="K60" i="13" s="1"/>
  <c r="M186" i="12"/>
  <c r="D21" i="13"/>
  <c r="D60" i="13" s="1"/>
  <c r="L21" i="13"/>
  <c r="J32" i="13"/>
  <c r="L197" i="12"/>
  <c r="E32" i="13"/>
  <c r="E71" i="13" s="1"/>
  <c r="G197" i="12"/>
  <c r="C32" i="13"/>
  <c r="C71" i="13" s="1"/>
  <c r="E197" i="12"/>
  <c r="K32" i="13"/>
  <c r="K71" i="13" s="1"/>
  <c r="M197" i="12"/>
  <c r="D32" i="13"/>
  <c r="F197" i="12"/>
  <c r="L32" i="13"/>
  <c r="L71" i="13" s="1"/>
  <c r="G32" i="13"/>
  <c r="G71" i="13" s="1"/>
  <c r="I197" i="12"/>
  <c r="H32" i="13"/>
  <c r="H71" i="13" s="1"/>
  <c r="J197" i="12"/>
  <c r="I32" i="13"/>
  <c r="K197" i="12"/>
  <c r="E25" i="13"/>
  <c r="E64" i="13" s="1"/>
  <c r="G190" i="12"/>
  <c r="H29" i="13"/>
  <c r="H68" i="13" s="1"/>
  <c r="J194" i="12"/>
  <c r="I29" i="13"/>
  <c r="K194" i="12"/>
  <c r="G11" i="13"/>
  <c r="G50" i="13" s="1"/>
  <c r="I176" i="12"/>
  <c r="J11" i="13"/>
  <c r="K11" i="13"/>
  <c r="K50" i="13" s="1"/>
  <c r="M176" i="12"/>
  <c r="L11" i="13"/>
  <c r="N176" i="12"/>
  <c r="C11" i="13"/>
  <c r="C50" i="13" s="1"/>
  <c r="E176" i="12"/>
  <c r="H11" i="13"/>
  <c r="H50" i="13" s="1"/>
  <c r="J176" i="12"/>
  <c r="I11" i="13"/>
  <c r="K176" i="12"/>
  <c r="E11" i="13"/>
  <c r="E50" i="13" s="1"/>
  <c r="G176" i="12"/>
  <c r="G19" i="13"/>
  <c r="G58" i="13" s="1"/>
  <c r="I184" i="12"/>
  <c r="D19" i="13"/>
  <c r="F184" i="12"/>
  <c r="J19" i="13"/>
  <c r="J58" i="13" s="1"/>
  <c r="K19" i="13"/>
  <c r="K58" i="13" s="1"/>
  <c r="M184" i="12"/>
  <c r="L19" i="13"/>
  <c r="L58" i="13" s="1"/>
  <c r="N184" i="12"/>
  <c r="C19" i="13"/>
  <c r="C58" i="13" s="1"/>
  <c r="E184" i="12"/>
  <c r="H19" i="13"/>
  <c r="H58" i="13" s="1"/>
  <c r="J184" i="12"/>
  <c r="I19" i="13"/>
  <c r="E19" i="13"/>
  <c r="E58" i="13" s="1"/>
  <c r="G184" i="12"/>
  <c r="E16" i="13"/>
  <c r="E55" i="13" s="1"/>
  <c r="G181" i="12"/>
  <c r="G16" i="13"/>
  <c r="G55" i="13" s="1"/>
  <c r="I181" i="12"/>
  <c r="J16" i="13"/>
  <c r="J55" i="13" s="1"/>
  <c r="C16" i="13"/>
  <c r="C55" i="13" s="1"/>
  <c r="E181" i="12"/>
  <c r="K16" i="13"/>
  <c r="K55" i="13" s="1"/>
  <c r="M181" i="12"/>
  <c r="L16" i="13"/>
  <c r="L55" i="13" s="1"/>
  <c r="H16" i="13"/>
  <c r="H55" i="13" s="1"/>
  <c r="J181" i="12"/>
  <c r="I16" i="13"/>
  <c r="I55" i="13" s="1"/>
  <c r="K181" i="12"/>
  <c r="C27" i="13"/>
  <c r="C66" i="13" s="1"/>
  <c r="E192" i="12"/>
  <c r="G27" i="13"/>
  <c r="G66" i="13" s="1"/>
  <c r="I192" i="12"/>
  <c r="J27" i="13"/>
  <c r="K27" i="13"/>
  <c r="K66" i="13" s="1"/>
  <c r="M192" i="12"/>
  <c r="H27" i="13"/>
  <c r="H66" i="13" s="1"/>
  <c r="J192" i="12"/>
  <c r="I27" i="13"/>
  <c r="I66" i="13" s="1"/>
  <c r="D27" i="13"/>
  <c r="L27" i="13"/>
  <c r="L66" i="13" s="1"/>
  <c r="N192" i="12"/>
  <c r="E27" i="13"/>
  <c r="E66" i="13" s="1"/>
  <c r="G192" i="12"/>
  <c r="D33" i="13"/>
  <c r="E33" i="13"/>
  <c r="E72" i="13" s="1"/>
  <c r="G198" i="12"/>
  <c r="L33" i="13"/>
  <c r="N198" i="12"/>
  <c r="H10" i="13"/>
  <c r="H49" i="13" s="1"/>
  <c r="J175" i="12"/>
  <c r="C10" i="13"/>
  <c r="C49" i="13" s="1"/>
  <c r="E175" i="12"/>
  <c r="U210" i="12"/>
  <c r="U249" i="12" s="1"/>
  <c r="D10" i="13"/>
  <c r="D49" i="13" s="1"/>
  <c r="F175" i="12"/>
  <c r="V210" i="12"/>
  <c r="V249" i="12" s="1"/>
  <c r="E10" i="13"/>
  <c r="E49" i="13" s="1"/>
  <c r="G175" i="12"/>
  <c r="W210" i="12"/>
  <c r="W249" i="12" s="1"/>
  <c r="K10" i="13"/>
  <c r="K49" i="13" s="1"/>
  <c r="M175" i="12"/>
  <c r="L10" i="13"/>
  <c r="N175" i="12"/>
  <c r="H18" i="13"/>
  <c r="H57" i="13" s="1"/>
  <c r="J183" i="12"/>
  <c r="C18" i="13"/>
  <c r="C57" i="13" s="1"/>
  <c r="E183" i="12"/>
  <c r="D18" i="13"/>
  <c r="D57" i="13" s="1"/>
  <c r="F183" i="12"/>
  <c r="E18" i="13"/>
  <c r="E57" i="13" s="1"/>
  <c r="G183" i="12"/>
  <c r="K18" i="13"/>
  <c r="K57" i="13" s="1"/>
  <c r="M183" i="12"/>
  <c r="L18" i="13"/>
  <c r="N183" i="12"/>
  <c r="I18" i="13"/>
  <c r="I57" i="13" s="1"/>
  <c r="K183" i="12"/>
  <c r="J18" i="13"/>
  <c r="L183" i="12"/>
  <c r="G18" i="13"/>
  <c r="G57" i="13" s="1"/>
  <c r="I183" i="12"/>
  <c r="H26" i="13"/>
  <c r="H65" i="13" s="1"/>
  <c r="J191" i="12"/>
  <c r="K26" i="13"/>
  <c r="K65" i="13" s="1"/>
  <c r="M191" i="12"/>
  <c r="L26" i="13"/>
  <c r="L65" i="13" s="1"/>
  <c r="C26" i="13"/>
  <c r="C65" i="13" s="1"/>
  <c r="E191" i="12"/>
  <c r="I26" i="13"/>
  <c r="K191" i="12"/>
  <c r="J26" i="13"/>
  <c r="J65" i="13" s="1"/>
  <c r="E26" i="13"/>
  <c r="E65" i="13" s="1"/>
  <c r="G191" i="12"/>
  <c r="G26" i="13"/>
  <c r="G65" i="13" s="1"/>
  <c r="I191" i="12"/>
  <c r="D34" i="13"/>
  <c r="D73" i="13" s="1"/>
  <c r="C34" i="13"/>
  <c r="C73" i="13" s="1"/>
  <c r="E199" i="12"/>
  <c r="K34" i="13"/>
  <c r="K73" i="13" s="1"/>
  <c r="M199" i="12"/>
  <c r="L34" i="13"/>
  <c r="N199" i="12"/>
  <c r="H34" i="13"/>
  <c r="H73" i="13" s="1"/>
  <c r="J199" i="12"/>
  <c r="I34" i="13"/>
  <c r="K199" i="12"/>
  <c r="J34" i="13"/>
  <c r="J73" i="13" s="1"/>
  <c r="L199" i="12"/>
  <c r="E34" i="13"/>
  <c r="E73" i="13" s="1"/>
  <c r="G199" i="12"/>
  <c r="F34" i="13"/>
  <c r="F73" i="13" s="1"/>
  <c r="H199" i="12"/>
  <c r="G34" i="13"/>
  <c r="G73" i="13" s="1"/>
  <c r="I199" i="12"/>
  <c r="C39" i="13"/>
  <c r="C78" i="13" s="1"/>
  <c r="E204" i="12"/>
  <c r="J39" i="13"/>
  <c r="J78" i="13" s="1"/>
  <c r="K39" i="13"/>
  <c r="K78" i="13" s="1"/>
  <c r="M204" i="12"/>
  <c r="G39" i="13"/>
  <c r="G78" i="13" s="1"/>
  <c r="I204" i="12"/>
  <c r="H39" i="13"/>
  <c r="H78" i="13" s="1"/>
  <c r="J204" i="12"/>
  <c r="I39" i="13"/>
  <c r="I78" i="13" s="1"/>
  <c r="D39" i="13"/>
  <c r="D78" i="13" s="1"/>
  <c r="F204" i="12"/>
  <c r="L39" i="13"/>
  <c r="L78" i="13" s="1"/>
  <c r="N204" i="12"/>
  <c r="E39" i="13"/>
  <c r="E78" i="13" s="1"/>
  <c r="G204" i="12"/>
  <c r="L35" i="13"/>
  <c r="L74" i="13" s="1"/>
  <c r="N200" i="12"/>
  <c r="C35" i="13"/>
  <c r="C74" i="13" s="1"/>
  <c r="E200" i="12"/>
  <c r="D35" i="13"/>
  <c r="F200" i="12"/>
  <c r="H35" i="13"/>
  <c r="H74" i="13" s="1"/>
  <c r="J200" i="12"/>
  <c r="J35" i="13"/>
  <c r="J74" i="13" s="1"/>
  <c r="L200" i="12"/>
  <c r="K35" i="13"/>
  <c r="K74" i="13" s="1"/>
  <c r="M200" i="12"/>
  <c r="E35" i="13"/>
  <c r="E74" i="13" s="1"/>
  <c r="G200" i="12"/>
  <c r="G35" i="13"/>
  <c r="G74" i="13" s="1"/>
  <c r="I200" i="12"/>
  <c r="I35" i="13"/>
  <c r="I74" i="13" s="1"/>
  <c r="K200" i="12"/>
  <c r="K43" i="13"/>
  <c r="K82" i="13" s="1"/>
  <c r="M208" i="12"/>
  <c r="C43" i="13"/>
  <c r="C82" i="13" s="1"/>
  <c r="E208" i="12"/>
  <c r="F43" i="13"/>
  <c r="F82" i="13" s="1"/>
  <c r="H208" i="12"/>
  <c r="J43" i="13"/>
  <c r="J82" i="13" s="1"/>
  <c r="L208" i="12"/>
  <c r="D43" i="13"/>
  <c r="D82" i="13" s="1"/>
  <c r="F208" i="12"/>
  <c r="L43" i="13"/>
  <c r="L82" i="13" s="1"/>
  <c r="N208" i="12"/>
  <c r="E43" i="13"/>
  <c r="E82" i="13" s="1"/>
  <c r="G208" i="12"/>
  <c r="G43" i="13"/>
  <c r="G82" i="13" s="1"/>
  <c r="I208" i="12"/>
  <c r="H43" i="13"/>
  <c r="H82" i="13" s="1"/>
  <c r="J208" i="12"/>
  <c r="I43" i="13"/>
  <c r="I82" i="13" s="1"/>
  <c r="H22" i="13"/>
  <c r="H61" i="13" s="1"/>
  <c r="J187" i="12"/>
  <c r="L22" i="13"/>
  <c r="L61" i="13" s="1"/>
  <c r="N187" i="12"/>
  <c r="G22" i="13"/>
  <c r="G61" i="13" s="1"/>
  <c r="I187" i="12"/>
  <c r="G30" i="13"/>
  <c r="G69" i="13" s="1"/>
  <c r="I195" i="12"/>
  <c r="H30" i="13"/>
  <c r="H69" i="13" s="1"/>
  <c r="J195" i="12"/>
  <c r="L30" i="13"/>
  <c r="L69" i="13" s="1"/>
  <c r="N195" i="12"/>
  <c r="G15" i="13"/>
  <c r="G54" i="13" s="1"/>
  <c r="I180" i="12"/>
  <c r="C15" i="13"/>
  <c r="C54" i="13" s="1"/>
  <c r="E180" i="12"/>
  <c r="F15" i="13"/>
  <c r="F54" i="13" s="1"/>
  <c r="H180" i="12"/>
  <c r="H15" i="13"/>
  <c r="H54" i="13" s="1"/>
  <c r="J180" i="12"/>
  <c r="K15" i="13"/>
  <c r="K54" i="13" s="1"/>
  <c r="M180" i="12"/>
  <c r="D15" i="13"/>
  <c r="D54" i="13" s="1"/>
  <c r="F180" i="12"/>
  <c r="L15" i="13"/>
  <c r="L54" i="13" s="1"/>
  <c r="N180" i="12"/>
  <c r="E15" i="13"/>
  <c r="E54" i="13" s="1"/>
  <c r="G180" i="12"/>
  <c r="I15" i="13"/>
  <c r="I54" i="13" s="1"/>
  <c r="K180" i="12"/>
  <c r="J15" i="13"/>
  <c r="J54" i="13" s="1"/>
  <c r="L180" i="12"/>
  <c r="C23" i="13"/>
  <c r="C62" i="13" s="1"/>
  <c r="E188" i="12"/>
  <c r="G23" i="13"/>
  <c r="G62" i="13" s="1"/>
  <c r="I188" i="12"/>
  <c r="K23" i="13"/>
  <c r="K62" i="13" s="1"/>
  <c r="M188" i="12"/>
  <c r="D23" i="13"/>
  <c r="D62" i="13" s="1"/>
  <c r="F188" i="12"/>
  <c r="L23" i="13"/>
  <c r="L62" i="13" s="1"/>
  <c r="N188" i="12"/>
  <c r="E23" i="13"/>
  <c r="E62" i="13" s="1"/>
  <c r="G188" i="12"/>
  <c r="H23" i="13"/>
  <c r="H62" i="13" s="1"/>
  <c r="J188" i="12"/>
  <c r="I23" i="13"/>
  <c r="I62" i="13" s="1"/>
  <c r="K188" i="12"/>
  <c r="J23" i="13"/>
  <c r="J62" i="13" s="1"/>
  <c r="L188" i="12"/>
  <c r="C31" i="13"/>
  <c r="C70" i="13" s="1"/>
  <c r="E196" i="12"/>
  <c r="G31" i="13"/>
  <c r="G70" i="13" s="1"/>
  <c r="I196" i="12"/>
  <c r="K31" i="13"/>
  <c r="K70" i="13" s="1"/>
  <c r="M196" i="12"/>
  <c r="D31" i="13"/>
  <c r="D70" i="13" s="1"/>
  <c r="F196" i="12"/>
  <c r="L31" i="13"/>
  <c r="L70" i="13" s="1"/>
  <c r="N196" i="12"/>
  <c r="E31" i="13"/>
  <c r="E70" i="13" s="1"/>
  <c r="G196" i="12"/>
  <c r="H31" i="13"/>
  <c r="H70" i="13" s="1"/>
  <c r="J196" i="12"/>
  <c r="I31" i="13"/>
  <c r="I70" i="13" s="1"/>
  <c r="K196" i="12"/>
  <c r="J31" i="13"/>
  <c r="J70" i="13" s="1"/>
  <c r="L196" i="12"/>
  <c r="E36" i="13"/>
  <c r="E75" i="13" s="1"/>
  <c r="G201" i="12"/>
  <c r="K36" i="13"/>
  <c r="K75" i="13" s="1"/>
  <c r="M201" i="12"/>
  <c r="C36" i="13"/>
  <c r="C75" i="13" s="1"/>
  <c r="E201" i="12"/>
  <c r="L36" i="13"/>
  <c r="L75" i="13" s="1"/>
  <c r="N201" i="12"/>
  <c r="D36" i="13"/>
  <c r="D75" i="13" s="1"/>
  <c r="F201" i="12"/>
  <c r="G36" i="13"/>
  <c r="G75" i="13" s="1"/>
  <c r="I201" i="12"/>
  <c r="I36" i="13"/>
  <c r="I75" i="13" s="1"/>
  <c r="K201" i="12"/>
  <c r="J36" i="13"/>
  <c r="J75" i="13" s="1"/>
  <c r="L201" i="12"/>
  <c r="H36" i="13"/>
  <c r="H75" i="13" s="1"/>
  <c r="J201" i="12"/>
  <c r="C42" i="13"/>
  <c r="C81" i="13" s="1"/>
  <c r="E207" i="12"/>
  <c r="D42" i="13"/>
  <c r="D81" i="13" s="1"/>
  <c r="F207" i="12"/>
  <c r="G42" i="13"/>
  <c r="G81" i="13" s="1"/>
  <c r="I207" i="12"/>
  <c r="K42" i="13"/>
  <c r="K81" i="13" s="1"/>
  <c r="M207" i="12"/>
  <c r="L42" i="13"/>
  <c r="L81" i="13" s="1"/>
  <c r="N207" i="12"/>
  <c r="E42" i="13"/>
  <c r="E81" i="13" s="1"/>
  <c r="G207" i="12"/>
  <c r="F42" i="13"/>
  <c r="F81" i="13" s="1"/>
  <c r="H207" i="12"/>
  <c r="H42" i="13"/>
  <c r="H81" i="13" s="1"/>
  <c r="J207" i="12"/>
  <c r="I42" i="13"/>
  <c r="I81" i="13" s="1"/>
  <c r="K207" i="12"/>
  <c r="J42" i="13"/>
  <c r="J81" i="13" s="1"/>
  <c r="L207" i="12"/>
  <c r="H119" i="13"/>
  <c r="H111" i="13"/>
  <c r="H103" i="13"/>
  <c r="H116" i="13"/>
  <c r="H108" i="13"/>
  <c r="H100" i="13"/>
  <c r="H121" i="13"/>
  <c r="H113" i="13"/>
  <c r="H105" i="13"/>
  <c r="H97" i="13"/>
  <c r="H118" i="13"/>
  <c r="H110" i="13"/>
  <c r="H102" i="13"/>
  <c r="H115" i="13"/>
  <c r="H107" i="13"/>
  <c r="H99" i="13"/>
  <c r="H120" i="13"/>
  <c r="H112" i="13"/>
  <c r="H104" i="13"/>
  <c r="H117" i="13"/>
  <c r="H109" i="13"/>
  <c r="H101" i="13"/>
  <c r="H94" i="13"/>
  <c r="H122" i="13"/>
  <c r="H91" i="13"/>
  <c r="H98" i="13"/>
  <c r="H96" i="13"/>
  <c r="H88" i="13"/>
  <c r="H93" i="13"/>
  <c r="H114" i="13"/>
  <c r="H90" i="13"/>
  <c r="H95" i="13"/>
  <c r="H92" i="13"/>
  <c r="H106" i="13"/>
  <c r="H89" i="13"/>
  <c r="I116" i="13"/>
  <c r="I108" i="13"/>
  <c r="I100" i="13"/>
  <c r="I121" i="13"/>
  <c r="I113" i="13"/>
  <c r="I105" i="13"/>
  <c r="I97" i="13"/>
  <c r="I118" i="13"/>
  <c r="I110" i="13"/>
  <c r="I102" i="13"/>
  <c r="I115" i="13"/>
  <c r="I107" i="13"/>
  <c r="I99" i="13"/>
  <c r="I120" i="13"/>
  <c r="I112" i="13"/>
  <c r="I104" i="13"/>
  <c r="I117" i="13"/>
  <c r="I109" i="13"/>
  <c r="I101" i="13"/>
  <c r="I122" i="13"/>
  <c r="I114" i="13"/>
  <c r="I106" i="13"/>
  <c r="I98" i="13"/>
  <c r="I111" i="13"/>
  <c r="I91" i="13"/>
  <c r="I96" i="13"/>
  <c r="I88" i="13"/>
  <c r="I93" i="13"/>
  <c r="I103" i="13"/>
  <c r="I90" i="13"/>
  <c r="I95" i="13"/>
  <c r="I119" i="13"/>
  <c r="I92" i="13"/>
  <c r="I89" i="13"/>
  <c r="I94" i="13"/>
  <c r="J121" i="13"/>
  <c r="J113" i="13"/>
  <c r="J105" i="13"/>
  <c r="J97" i="13"/>
  <c r="J118" i="13"/>
  <c r="J110" i="13"/>
  <c r="J102" i="13"/>
  <c r="J115" i="13"/>
  <c r="J107" i="13"/>
  <c r="J99" i="13"/>
  <c r="J120" i="13"/>
  <c r="J112" i="13"/>
  <c r="J104" i="13"/>
  <c r="J117" i="13"/>
  <c r="J109" i="13"/>
  <c r="J101" i="13"/>
  <c r="J122" i="13"/>
  <c r="J114" i="13"/>
  <c r="J106" i="13"/>
  <c r="J98" i="13"/>
  <c r="J119" i="13"/>
  <c r="J111" i="13"/>
  <c r="J103" i="13"/>
  <c r="J96" i="13"/>
  <c r="J88" i="13"/>
  <c r="J116" i="13"/>
  <c r="J93" i="13"/>
  <c r="J90" i="13"/>
  <c r="J95" i="13"/>
  <c r="J108" i="13"/>
  <c r="J92" i="13"/>
  <c r="J89" i="13"/>
  <c r="J94" i="13"/>
  <c r="J100" i="13"/>
  <c r="J91" i="13"/>
  <c r="K118" i="13"/>
  <c r="K110" i="13"/>
  <c r="K102" i="13"/>
  <c r="K115" i="13"/>
  <c r="K107" i="13"/>
  <c r="K99" i="13"/>
  <c r="K120" i="13"/>
  <c r="K112" i="13"/>
  <c r="K104" i="13"/>
  <c r="K117" i="13"/>
  <c r="K109" i="13"/>
  <c r="K101" i="13"/>
  <c r="K122" i="13"/>
  <c r="K114" i="13"/>
  <c r="K106" i="13"/>
  <c r="K98" i="13"/>
  <c r="K119" i="13"/>
  <c r="K111" i="13"/>
  <c r="K103" i="13"/>
  <c r="K116" i="13"/>
  <c r="K108" i="13"/>
  <c r="K100" i="13"/>
  <c r="K105" i="13"/>
  <c r="K93" i="13"/>
  <c r="K90" i="13"/>
  <c r="K121" i="13"/>
  <c r="K95" i="13"/>
  <c r="K97" i="13"/>
  <c r="K92" i="13"/>
  <c r="K89" i="13"/>
  <c r="K113" i="13"/>
  <c r="K94" i="13"/>
  <c r="K91" i="13"/>
  <c r="K88" i="13"/>
  <c r="K96" i="13"/>
  <c r="D115" i="13"/>
  <c r="D107" i="13"/>
  <c r="D99" i="13"/>
  <c r="D120" i="13"/>
  <c r="D112" i="13"/>
  <c r="D104" i="13"/>
  <c r="D117" i="13"/>
  <c r="D109" i="13"/>
  <c r="D101" i="13"/>
  <c r="D122" i="13"/>
  <c r="D114" i="13"/>
  <c r="D106" i="13"/>
  <c r="D98" i="13"/>
  <c r="D119" i="13"/>
  <c r="D111" i="13"/>
  <c r="D103" i="13"/>
  <c r="D116" i="13"/>
  <c r="D108" i="13"/>
  <c r="D100" i="13"/>
  <c r="D121" i="13"/>
  <c r="D113" i="13"/>
  <c r="D105" i="13"/>
  <c r="D97" i="13"/>
  <c r="D90" i="13"/>
  <c r="D95" i="13"/>
  <c r="D110" i="13"/>
  <c r="D92" i="13"/>
  <c r="D89" i="13"/>
  <c r="D94" i="13"/>
  <c r="D102" i="13"/>
  <c r="D91" i="13"/>
  <c r="D88" i="13"/>
  <c r="D118" i="13"/>
  <c r="D96" i="13"/>
  <c r="D93" i="13"/>
  <c r="L115" i="13"/>
  <c r="L107" i="13"/>
  <c r="L99" i="13"/>
  <c r="L120" i="13"/>
  <c r="L112" i="13"/>
  <c r="L104" i="13"/>
  <c r="L117" i="13"/>
  <c r="L109" i="13"/>
  <c r="L101" i="13"/>
  <c r="L122" i="13"/>
  <c r="L114" i="13"/>
  <c r="L106" i="13"/>
  <c r="L98" i="13"/>
  <c r="L119" i="13"/>
  <c r="L111" i="13"/>
  <c r="L103" i="13"/>
  <c r="L116" i="13"/>
  <c r="L108" i="13"/>
  <c r="L100" i="13"/>
  <c r="L121" i="13"/>
  <c r="L113" i="13"/>
  <c r="L105" i="13"/>
  <c r="L97" i="13"/>
  <c r="L90" i="13"/>
  <c r="L110" i="13"/>
  <c r="L95" i="13"/>
  <c r="L92" i="13"/>
  <c r="L89" i="13"/>
  <c r="L102" i="13"/>
  <c r="L94" i="13"/>
  <c r="L91" i="13"/>
  <c r="L88" i="13"/>
  <c r="L118" i="13"/>
  <c r="L96" i="13"/>
  <c r="L93" i="13"/>
  <c r="E120" i="13"/>
  <c r="E112" i="13"/>
  <c r="E104" i="13"/>
  <c r="E117" i="13"/>
  <c r="E109" i="13"/>
  <c r="E101" i="13"/>
  <c r="E122" i="13"/>
  <c r="E114" i="13"/>
  <c r="E106" i="13"/>
  <c r="E98" i="13"/>
  <c r="E119" i="13"/>
  <c r="E111" i="13"/>
  <c r="E103" i="13"/>
  <c r="E116" i="13"/>
  <c r="E108" i="13"/>
  <c r="E100" i="13"/>
  <c r="E121" i="13"/>
  <c r="E113" i="13"/>
  <c r="E105" i="13"/>
  <c r="E97" i="13"/>
  <c r="E118" i="13"/>
  <c r="E110" i="13"/>
  <c r="E102" i="13"/>
  <c r="E95" i="13"/>
  <c r="E99" i="13"/>
  <c r="E92" i="13"/>
  <c r="E89" i="13"/>
  <c r="E115" i="13"/>
  <c r="E94" i="13"/>
  <c r="E91" i="13"/>
  <c r="E96" i="13"/>
  <c r="E88" i="13"/>
  <c r="E107" i="13"/>
  <c r="E93" i="13"/>
  <c r="E90" i="13"/>
  <c r="F198" i="12" l="1"/>
  <c r="F192" i="12"/>
  <c r="L192" i="12"/>
  <c r="K184" i="12"/>
  <c r="L176" i="12"/>
  <c r="N186" i="12"/>
  <c r="L178" i="12"/>
  <c r="R141" i="8"/>
  <c r="I40" i="13"/>
  <c r="I79" i="13" s="1"/>
  <c r="K205" i="12"/>
  <c r="I166" i="8"/>
  <c r="G40" i="9" s="1"/>
  <c r="F205" i="12"/>
  <c r="D40" i="13"/>
  <c r="D79" i="13" s="1"/>
  <c r="K166" i="8"/>
  <c r="I40" i="9" s="1"/>
  <c r="T137" i="8"/>
  <c r="T170" i="8"/>
  <c r="T165" i="8"/>
  <c r="T164" i="8"/>
  <c r="T163" i="8"/>
  <c r="T166" i="8"/>
  <c r="R142" i="8"/>
  <c r="G139" i="8"/>
  <c r="E13" i="9" s="1"/>
  <c r="Q151" i="8"/>
  <c r="T157" i="8"/>
  <c r="I168" i="8"/>
  <c r="G42" i="9" s="1"/>
  <c r="G144" i="8"/>
  <c r="E18" i="9" s="1"/>
  <c r="U165" i="8"/>
  <c r="G160" i="8"/>
  <c r="E34" i="9" s="1"/>
  <c r="M143" i="8"/>
  <c r="K17" i="9" s="1"/>
  <c r="N137" i="8"/>
  <c r="L11" i="9" s="1"/>
  <c r="N169" i="8"/>
  <c r="L43" i="9" s="1"/>
  <c r="N170" i="8"/>
  <c r="L44" i="9" s="1"/>
  <c r="N142" i="8"/>
  <c r="L16" i="9" s="1"/>
  <c r="K144" i="8"/>
  <c r="I18" i="9" s="1"/>
  <c r="U155" i="8"/>
  <c r="K149" i="8"/>
  <c r="I23" i="9" s="1"/>
  <c r="G148" i="8"/>
  <c r="E22" i="9" s="1"/>
  <c r="K136" i="8"/>
  <c r="I10" i="9" s="1"/>
  <c r="U162" i="8"/>
  <c r="O137" i="8"/>
  <c r="O166" i="8"/>
  <c r="O163" i="8"/>
  <c r="O165" i="8"/>
  <c r="O164" i="8"/>
  <c r="O139" i="8"/>
  <c r="O170" i="8"/>
  <c r="O156" i="8"/>
  <c r="O140" i="8"/>
  <c r="O169" i="8"/>
  <c r="O146" i="8"/>
  <c r="O168" i="8"/>
  <c r="O144" i="8"/>
  <c r="O160" i="8"/>
  <c r="O155" i="8"/>
  <c r="O136" i="8"/>
  <c r="X152" i="8"/>
  <c r="Q148" i="8"/>
  <c r="X151" i="8"/>
  <c r="G162" i="8"/>
  <c r="E36" i="9" s="1"/>
  <c r="K150" i="8"/>
  <c r="I24" i="9" s="1"/>
  <c r="E148" i="8"/>
  <c r="C22" i="9" s="1"/>
  <c r="I146" i="8"/>
  <c r="G20" i="9" s="1"/>
  <c r="F17" i="13"/>
  <c r="F56" i="13" s="1"/>
  <c r="H182" i="12"/>
  <c r="U226" i="12"/>
  <c r="G146" i="8"/>
  <c r="E20" i="9" s="1"/>
  <c r="F44" i="13"/>
  <c r="F83" i="13" s="1"/>
  <c r="H209" i="12"/>
  <c r="C22" i="13"/>
  <c r="C61" i="13" s="1"/>
  <c r="E187" i="12"/>
  <c r="D20" i="13"/>
  <c r="D59" i="13" s="1"/>
  <c r="F185" i="12"/>
  <c r="T158" i="8"/>
  <c r="W151" i="8"/>
  <c r="L136" i="8"/>
  <c r="J10" i="9" s="1"/>
  <c r="U221" i="12"/>
  <c r="V218" i="12"/>
  <c r="X156" i="12"/>
  <c r="X195" i="12" s="1"/>
  <c r="U147" i="8"/>
  <c r="W147" i="8"/>
  <c r="L158" i="8"/>
  <c r="J32" i="9" s="1"/>
  <c r="J25" i="13"/>
  <c r="J64" i="13" s="1"/>
  <c r="L190" i="12"/>
  <c r="W226" i="12"/>
  <c r="Q154" i="8"/>
  <c r="R138" i="12"/>
  <c r="R177" i="12" s="1"/>
  <c r="I37" i="13"/>
  <c r="I76" i="13" s="1"/>
  <c r="K202" i="12"/>
  <c r="V216" i="12"/>
  <c r="K151" i="8"/>
  <c r="I25" i="9" s="1"/>
  <c r="K147" i="8"/>
  <c r="I21" i="9" s="1"/>
  <c r="Q139" i="8"/>
  <c r="S208" i="12"/>
  <c r="J190" i="12"/>
  <c r="H25" i="13"/>
  <c r="H64" i="13" s="1"/>
  <c r="M187" i="12"/>
  <c r="K22" i="13"/>
  <c r="K61" i="13" s="1"/>
  <c r="K143" i="8"/>
  <c r="I17" i="9" s="1"/>
  <c r="K152" i="8"/>
  <c r="I26" i="9" s="1"/>
  <c r="I154" i="8"/>
  <c r="G28" i="9" s="1"/>
  <c r="L140" i="8"/>
  <c r="J14" i="9" s="1"/>
  <c r="R154" i="12"/>
  <c r="R193" i="12" s="1"/>
  <c r="S175" i="12"/>
  <c r="K41" i="13"/>
  <c r="K80" i="13" s="1"/>
  <c r="M206" i="12"/>
  <c r="K156" i="8"/>
  <c r="I30" i="9" s="1"/>
  <c r="R169" i="12"/>
  <c r="R208" i="12" s="1"/>
  <c r="H151" i="12"/>
  <c r="L193" i="12"/>
  <c r="J28" i="13"/>
  <c r="J67" i="13" s="1"/>
  <c r="V222" i="12"/>
  <c r="X136" i="12"/>
  <c r="X175" i="12" s="1"/>
  <c r="U225" i="12"/>
  <c r="O186" i="12"/>
  <c r="R142" i="12"/>
  <c r="R181" i="12" s="1"/>
  <c r="O201" i="12"/>
  <c r="H152" i="12"/>
  <c r="L40" i="13"/>
  <c r="L79" i="13" s="1"/>
  <c r="N205" i="12"/>
  <c r="W220" i="12"/>
  <c r="S196" i="12"/>
  <c r="W240" i="12"/>
  <c r="X150" i="12"/>
  <c r="X189" i="12" s="1"/>
  <c r="R144" i="12"/>
  <c r="R183" i="12" s="1"/>
  <c r="S197" i="12"/>
  <c r="C41" i="13"/>
  <c r="C80" i="13" s="1"/>
  <c r="E206" i="12"/>
  <c r="V248" i="12"/>
  <c r="W227" i="12"/>
  <c r="G209" i="12"/>
  <c r="E44" i="13"/>
  <c r="E83" i="13" s="1"/>
  <c r="H146" i="12"/>
  <c r="U241" i="12"/>
  <c r="F148" i="12"/>
  <c r="R161" i="12"/>
  <c r="R200" i="12" s="1"/>
  <c r="U238" i="12"/>
  <c r="X139" i="12"/>
  <c r="X178" i="12" s="1"/>
  <c r="I73" i="13"/>
  <c r="L57" i="13"/>
  <c r="W214" i="12"/>
  <c r="U214" i="12"/>
  <c r="D72" i="13"/>
  <c r="D66" i="13"/>
  <c r="J66" i="13"/>
  <c r="I58" i="13"/>
  <c r="J50" i="13"/>
  <c r="L60" i="13"/>
  <c r="J52" i="13"/>
  <c r="C63" i="13"/>
  <c r="R147" i="8"/>
  <c r="M152" i="8"/>
  <c r="K26" i="9" s="1"/>
  <c r="R150" i="8"/>
  <c r="Q145" i="8"/>
  <c r="T169" i="8"/>
  <c r="X169" i="8"/>
  <c r="J137" i="8"/>
  <c r="H11" i="9" s="1"/>
  <c r="J163" i="8"/>
  <c r="H37" i="9" s="1"/>
  <c r="J164" i="8"/>
  <c r="H38" i="9" s="1"/>
  <c r="J165" i="8"/>
  <c r="H39" i="9" s="1"/>
  <c r="J152" i="8"/>
  <c r="H26" i="9" s="1"/>
  <c r="J136" i="8"/>
  <c r="H10" i="9" s="1"/>
  <c r="J144" i="8"/>
  <c r="H18" i="9" s="1"/>
  <c r="J169" i="8"/>
  <c r="H43" i="9" s="1"/>
  <c r="J140" i="8"/>
  <c r="H14" i="9" s="1"/>
  <c r="J155" i="8"/>
  <c r="H29" i="9" s="1"/>
  <c r="J168" i="8"/>
  <c r="H42" i="9" s="1"/>
  <c r="J166" i="8"/>
  <c r="H40" i="9" s="1"/>
  <c r="J146" i="8"/>
  <c r="H20" i="9" s="1"/>
  <c r="J170" i="8"/>
  <c r="H44" i="9" s="1"/>
  <c r="J160" i="8"/>
  <c r="H34" i="9" s="1"/>
  <c r="I169" i="8"/>
  <c r="G43" i="9" s="1"/>
  <c r="G151" i="8"/>
  <c r="E25" i="9" s="1"/>
  <c r="K139" i="8"/>
  <c r="I13" i="9" s="1"/>
  <c r="U170" i="8"/>
  <c r="X157" i="8"/>
  <c r="Q142" i="8"/>
  <c r="K140" i="8"/>
  <c r="I14" i="9" s="1"/>
  <c r="U163" i="8"/>
  <c r="T167" i="8"/>
  <c r="X137" i="8"/>
  <c r="X165" i="8"/>
  <c r="X168" i="8"/>
  <c r="X170" i="8"/>
  <c r="X145" i="8"/>
  <c r="Q144" i="8"/>
  <c r="K158" i="8"/>
  <c r="I32" i="9" s="1"/>
  <c r="W139" i="8"/>
  <c r="N167" i="8"/>
  <c r="L41" i="9" s="1"/>
  <c r="W137" i="8"/>
  <c r="W168" i="8"/>
  <c r="K165" i="8"/>
  <c r="I39" i="9" s="1"/>
  <c r="X159" i="8"/>
  <c r="V151" i="8"/>
  <c r="T148" i="8"/>
  <c r="S154" i="8"/>
  <c r="I142" i="8"/>
  <c r="G16" i="9" s="1"/>
  <c r="E195" i="12"/>
  <c r="C30" i="13"/>
  <c r="C69" i="13" s="1"/>
  <c r="S148" i="8"/>
  <c r="W159" i="8"/>
  <c r="F37" i="13"/>
  <c r="F76" i="13" s="1"/>
  <c r="H202" i="12"/>
  <c r="I25" i="13"/>
  <c r="I64" i="13" s="1"/>
  <c r="K190" i="12"/>
  <c r="E198" i="12"/>
  <c r="C33" i="13"/>
  <c r="C72" i="13" s="1"/>
  <c r="X153" i="8"/>
  <c r="W143" i="8"/>
  <c r="L142" i="8"/>
  <c r="J16" i="9" s="1"/>
  <c r="I33" i="13"/>
  <c r="I72" i="13" s="1"/>
  <c r="K198" i="12"/>
  <c r="U234" i="12"/>
  <c r="V219" i="12"/>
  <c r="X140" i="12"/>
  <c r="X179" i="12" s="1"/>
  <c r="X143" i="8"/>
  <c r="U151" i="8"/>
  <c r="I141" i="8"/>
  <c r="G15" i="9" s="1"/>
  <c r="L154" i="8"/>
  <c r="J28" i="9" s="1"/>
  <c r="H17" i="13"/>
  <c r="H56" i="13" s="1"/>
  <c r="J182" i="12"/>
  <c r="U216" i="12"/>
  <c r="S152" i="8"/>
  <c r="I143" i="8"/>
  <c r="G17" i="9" s="1"/>
  <c r="L150" i="8"/>
  <c r="J24" i="9" s="1"/>
  <c r="K209" i="12"/>
  <c r="I44" i="13"/>
  <c r="I83" i="13" s="1"/>
  <c r="L20" i="13"/>
  <c r="L59" i="13" s="1"/>
  <c r="N185" i="12"/>
  <c r="S143" i="8"/>
  <c r="K161" i="8"/>
  <c r="I35" i="9" s="1"/>
  <c r="W149" i="8"/>
  <c r="R156" i="8"/>
  <c r="S179" i="12"/>
  <c r="V220" i="12"/>
  <c r="S151" i="8"/>
  <c r="K142" i="8"/>
  <c r="I16" i="9" s="1"/>
  <c r="I156" i="8"/>
  <c r="G30" i="9" s="1"/>
  <c r="L148" i="8"/>
  <c r="J22" i="9" s="1"/>
  <c r="H33" i="13"/>
  <c r="H72" i="13" s="1"/>
  <c r="J198" i="12"/>
  <c r="I20" i="13"/>
  <c r="I59" i="13" s="1"/>
  <c r="K185" i="12"/>
  <c r="K44" i="13"/>
  <c r="K83" i="13" s="1"/>
  <c r="M209" i="12"/>
  <c r="Q158" i="8"/>
  <c r="S162" i="8"/>
  <c r="V247" i="12"/>
  <c r="H156" i="12"/>
  <c r="J29" i="13"/>
  <c r="J68" i="13" s="1"/>
  <c r="L194" i="12"/>
  <c r="L14" i="13"/>
  <c r="L53" i="13" s="1"/>
  <c r="N179" i="12"/>
  <c r="E20" i="13"/>
  <c r="E59" i="13" s="1"/>
  <c r="G185" i="12"/>
  <c r="H158" i="12"/>
  <c r="X160" i="12"/>
  <c r="X199" i="12" s="1"/>
  <c r="R141" i="12"/>
  <c r="R180" i="12" s="1"/>
  <c r="O200" i="12"/>
  <c r="R155" i="12"/>
  <c r="R194" i="12" s="1"/>
  <c r="L37" i="13"/>
  <c r="L76" i="13" s="1"/>
  <c r="N202" i="12"/>
  <c r="H153" i="12"/>
  <c r="W217" i="12"/>
  <c r="X137" i="12"/>
  <c r="X176" i="12" s="1"/>
  <c r="H145" i="12"/>
  <c r="D37" i="13"/>
  <c r="D76" i="13" s="1"/>
  <c r="F202" i="12"/>
  <c r="S194" i="12"/>
  <c r="C37" i="13"/>
  <c r="C76" i="13" s="1"/>
  <c r="E202" i="12"/>
  <c r="E41" i="13"/>
  <c r="E80" i="13" s="1"/>
  <c r="G206" i="12"/>
  <c r="X147" i="12"/>
  <c r="X186" i="12" s="1"/>
  <c r="H157" i="12"/>
  <c r="U248" i="12"/>
  <c r="O199" i="12"/>
  <c r="R158" i="12"/>
  <c r="R197" i="12" s="1"/>
  <c r="V237" i="12"/>
  <c r="K208" i="12"/>
  <c r="K204" i="12"/>
  <c r="L204" i="12"/>
  <c r="F199" i="12"/>
  <c r="L191" i="12"/>
  <c r="N191" i="12"/>
  <c r="K192" i="12"/>
  <c r="N181" i="12"/>
  <c r="L181" i="12"/>
  <c r="L184" i="12"/>
  <c r="N197" i="12"/>
  <c r="F186" i="12"/>
  <c r="K178" i="12"/>
  <c r="K203" i="12"/>
  <c r="L203" i="12"/>
  <c r="N189" i="12"/>
  <c r="L189" i="12"/>
  <c r="R161" i="8"/>
  <c r="S136" i="8"/>
  <c r="U161" i="8"/>
  <c r="T146" i="8"/>
  <c r="T144" i="8"/>
  <c r="Q140" i="8"/>
  <c r="U157" i="8"/>
  <c r="U167" i="8"/>
  <c r="T161" i="8"/>
  <c r="R151" i="8"/>
  <c r="X146" i="8"/>
  <c r="E165" i="8"/>
  <c r="C39" i="9" s="1"/>
  <c r="U168" i="8"/>
  <c r="E137" i="8"/>
  <c r="C11" i="9" s="1"/>
  <c r="E170" i="8"/>
  <c r="C44" i="9" s="1"/>
  <c r="E163" i="8"/>
  <c r="C37" i="9" s="1"/>
  <c r="M138" i="8"/>
  <c r="K12" i="9" s="1"/>
  <c r="Q155" i="8"/>
  <c r="S140" i="8"/>
  <c r="I136" i="8"/>
  <c r="G10" i="9" s="1"/>
  <c r="T155" i="8"/>
  <c r="G137" i="8"/>
  <c r="E11" i="9" s="1"/>
  <c r="G168" i="8"/>
  <c r="E42" i="9" s="1"/>
  <c r="G163" i="8"/>
  <c r="E37" i="9" s="1"/>
  <c r="G164" i="8"/>
  <c r="E38" i="9" s="1"/>
  <c r="G169" i="8"/>
  <c r="E43" i="9" s="1"/>
  <c r="O145" i="8"/>
  <c r="T154" i="8"/>
  <c r="U164" i="8"/>
  <c r="W144" i="8"/>
  <c r="T141" i="8"/>
  <c r="S149" i="8"/>
  <c r="U156" i="8"/>
  <c r="C12" i="13"/>
  <c r="C51" i="13" s="1"/>
  <c r="E177" i="12"/>
  <c r="S145" i="8"/>
  <c r="W138" i="8"/>
  <c r="F40" i="13"/>
  <c r="F79" i="13" s="1"/>
  <c r="H205" i="12"/>
  <c r="C17" i="13"/>
  <c r="C56" i="13" s="1"/>
  <c r="E182" i="12"/>
  <c r="X154" i="12"/>
  <c r="X193" i="12" s="1"/>
  <c r="V141" i="8"/>
  <c r="Q152" i="8"/>
  <c r="I151" i="8"/>
  <c r="G25" i="9" s="1"/>
  <c r="L166" i="8"/>
  <c r="J40" i="9" s="1"/>
  <c r="W242" i="12"/>
  <c r="E179" i="12"/>
  <c r="C14" i="13"/>
  <c r="C53" i="13" s="1"/>
  <c r="W234" i="12"/>
  <c r="E17" i="13"/>
  <c r="E56" i="13" s="1"/>
  <c r="G182" i="12"/>
  <c r="E154" i="8"/>
  <c r="C28" i="9" s="1"/>
  <c r="I139" i="8"/>
  <c r="G13" i="9" s="1"/>
  <c r="L141" i="8"/>
  <c r="J15" i="9" s="1"/>
  <c r="U218" i="12"/>
  <c r="F179" i="12"/>
  <c r="D14" i="13"/>
  <c r="D53" i="13" s="1"/>
  <c r="U152" i="8"/>
  <c r="L156" i="8"/>
  <c r="J30" i="9" s="1"/>
  <c r="I10" i="13"/>
  <c r="I49" i="13" s="1"/>
  <c r="K175" i="12"/>
  <c r="W218" i="12"/>
  <c r="G41" i="13"/>
  <c r="G80" i="13" s="1"/>
  <c r="I206" i="12"/>
  <c r="K153" i="8"/>
  <c r="I27" i="9" s="1"/>
  <c r="W152" i="8"/>
  <c r="U247" i="12"/>
  <c r="I28" i="13"/>
  <c r="I67" i="13" s="1"/>
  <c r="K193" i="12"/>
  <c r="V233" i="12"/>
  <c r="N141" i="8"/>
  <c r="L15" i="9" s="1"/>
  <c r="S147" i="8"/>
  <c r="L144" i="8"/>
  <c r="J18" i="9" s="1"/>
  <c r="S195" i="12"/>
  <c r="K37" i="13"/>
  <c r="K76" i="13" s="1"/>
  <c r="M202" i="12"/>
  <c r="Q143" i="8"/>
  <c r="K162" i="8"/>
  <c r="I36" i="9" s="1"/>
  <c r="H12" i="13"/>
  <c r="H51" i="13" s="1"/>
  <c r="J177" i="12"/>
  <c r="U232" i="12"/>
  <c r="L17" i="13"/>
  <c r="L56" i="13" s="1"/>
  <c r="N182" i="12"/>
  <c r="G17" i="13"/>
  <c r="G56" i="13" s="1"/>
  <c r="I182" i="12"/>
  <c r="E22" i="13"/>
  <c r="E61" i="13" s="1"/>
  <c r="G187" i="12"/>
  <c r="R160" i="12"/>
  <c r="R199" i="12" s="1"/>
  <c r="X149" i="12"/>
  <c r="X188" i="12" s="1"/>
  <c r="V240" i="12"/>
  <c r="O198" i="12"/>
  <c r="R153" i="12"/>
  <c r="R192" i="12" s="1"/>
  <c r="L44" i="13"/>
  <c r="L83" i="13" s="1"/>
  <c r="N209" i="12"/>
  <c r="H139" i="12"/>
  <c r="H149" i="12"/>
  <c r="U231" i="12"/>
  <c r="D41" i="13"/>
  <c r="D80" i="13" s="1"/>
  <c r="F206" i="12"/>
  <c r="E209" i="12"/>
  <c r="C44" i="13"/>
  <c r="C83" i="13" s="1"/>
  <c r="V215" i="12"/>
  <c r="F152" i="12"/>
  <c r="E40" i="13"/>
  <c r="E79" i="13" s="1"/>
  <c r="G205" i="12"/>
  <c r="R148" i="12"/>
  <c r="R187" i="12" s="1"/>
  <c r="S189" i="12"/>
  <c r="U245" i="12"/>
  <c r="O178" i="12"/>
  <c r="R152" i="12"/>
  <c r="R191" i="12" s="1"/>
  <c r="J77" i="13"/>
  <c r="J63" i="13"/>
  <c r="R146" i="8"/>
  <c r="Q159" i="8"/>
  <c r="R167" i="8"/>
  <c r="X163" i="8"/>
  <c r="M145" i="8"/>
  <c r="K19" i="9" s="1"/>
  <c r="I160" i="8"/>
  <c r="G34" i="9" s="1"/>
  <c r="L167" i="8"/>
  <c r="J41" i="9" s="1"/>
  <c r="Q165" i="8"/>
  <c r="W165" i="8"/>
  <c r="U136" i="8"/>
  <c r="V137" i="8"/>
  <c r="V165" i="8"/>
  <c r="V166" i="8"/>
  <c r="V164" i="8"/>
  <c r="V168" i="8"/>
  <c r="V170" i="8"/>
  <c r="W163" i="8"/>
  <c r="M142" i="8"/>
  <c r="K16" i="9" s="1"/>
  <c r="M139" i="8"/>
  <c r="K13" i="9" s="1"/>
  <c r="G40" i="13"/>
  <c r="G79" i="13" s="1"/>
  <c r="I205" i="12"/>
  <c r="T160" i="8"/>
  <c r="M147" i="8"/>
  <c r="K21" i="9" s="1"/>
  <c r="T145" i="8"/>
  <c r="K157" i="8"/>
  <c r="I31" i="9" s="1"/>
  <c r="X147" i="8"/>
  <c r="S150" i="8"/>
  <c r="H111" i="8"/>
  <c r="H145" i="8" s="1"/>
  <c r="F19" i="9" s="1"/>
  <c r="J185" i="12"/>
  <c r="H20" i="13"/>
  <c r="H59" i="13" s="1"/>
  <c r="S159" i="8"/>
  <c r="U153" i="8"/>
  <c r="W148" i="8"/>
  <c r="L157" i="8"/>
  <c r="J31" i="9" s="1"/>
  <c r="F41" i="13"/>
  <c r="F80" i="13" s="1"/>
  <c r="H206" i="12"/>
  <c r="M179" i="12"/>
  <c r="K14" i="13"/>
  <c r="K53" i="13" s="1"/>
  <c r="I177" i="12"/>
  <c r="G12" i="13"/>
  <c r="G51" i="13" s="1"/>
  <c r="K148" i="8"/>
  <c r="I22" i="9" s="1"/>
  <c r="J139" i="8"/>
  <c r="H13" i="9" s="1"/>
  <c r="L163" i="8"/>
  <c r="J37" i="9" s="1"/>
  <c r="C29" i="13"/>
  <c r="C68" i="13" s="1"/>
  <c r="E194" i="12"/>
  <c r="D28" i="13"/>
  <c r="D67" i="13" s="1"/>
  <c r="F193" i="12"/>
  <c r="E14" i="13"/>
  <c r="E53" i="13" s="1"/>
  <c r="G179" i="12"/>
  <c r="G138" i="8"/>
  <c r="E12" i="9" s="1"/>
  <c r="E145" i="8"/>
  <c r="C19" i="9" s="1"/>
  <c r="Q162" i="8"/>
  <c r="I12" i="13"/>
  <c r="I51" i="13" s="1"/>
  <c r="K177" i="12"/>
  <c r="M193" i="12"/>
  <c r="K28" i="13"/>
  <c r="K67" i="13" s="1"/>
  <c r="P214" i="12"/>
  <c r="P210" i="12"/>
  <c r="P222" i="12" s="1"/>
  <c r="U145" i="8"/>
  <c r="S139" i="8"/>
  <c r="L147" i="8"/>
  <c r="J21" i="9" s="1"/>
  <c r="P242" i="12"/>
  <c r="W232" i="12"/>
  <c r="G37" i="13"/>
  <c r="G76" i="13" s="1"/>
  <c r="I202" i="12"/>
  <c r="T143" i="8"/>
  <c r="U159" i="8"/>
  <c r="I152" i="8"/>
  <c r="G26" i="9" s="1"/>
  <c r="L159" i="8"/>
  <c r="J33" i="9" s="1"/>
  <c r="U243" i="12"/>
  <c r="J12" i="13"/>
  <c r="J51" i="13" s="1"/>
  <c r="L177" i="12"/>
  <c r="X159" i="12"/>
  <c r="X198" i="12" s="1"/>
  <c r="U150" i="8"/>
  <c r="S193" i="12"/>
  <c r="J41" i="13"/>
  <c r="J80" i="13" s="1"/>
  <c r="L206" i="12"/>
  <c r="K145" i="8"/>
  <c r="I19" i="9" s="1"/>
  <c r="W146" i="8"/>
  <c r="W243" i="12"/>
  <c r="H14" i="13"/>
  <c r="H53" i="13" s="1"/>
  <c r="J179" i="12"/>
  <c r="U233" i="12"/>
  <c r="W221" i="12"/>
  <c r="S167" i="8"/>
  <c r="I185" i="12"/>
  <c r="G20" i="13"/>
  <c r="G59" i="13" s="1"/>
  <c r="R150" i="12"/>
  <c r="R189" i="12" s="1"/>
  <c r="W225" i="12"/>
  <c r="X144" i="12"/>
  <c r="X183" i="12" s="1"/>
  <c r="V228" i="12"/>
  <c r="O184" i="12"/>
  <c r="R139" i="12"/>
  <c r="R178" i="12" s="1"/>
  <c r="L41" i="13"/>
  <c r="L80" i="13" s="1"/>
  <c r="N206" i="12"/>
  <c r="R149" i="12"/>
  <c r="R188" i="12" s="1"/>
  <c r="V238" i="12"/>
  <c r="R157" i="12"/>
  <c r="R196" i="12" s="1"/>
  <c r="U236" i="12"/>
  <c r="W241" i="12"/>
  <c r="D44" i="13"/>
  <c r="D83" i="13" s="1"/>
  <c r="F209" i="12"/>
  <c r="H44" i="13"/>
  <c r="H83" i="13" s="1"/>
  <c r="J209" i="12"/>
  <c r="O190" i="12"/>
  <c r="R166" i="12"/>
  <c r="R205" i="12" s="1"/>
  <c r="S191" i="12"/>
  <c r="W239" i="12"/>
  <c r="X145" i="12"/>
  <c r="X184" i="12" s="1"/>
  <c r="L162" i="8"/>
  <c r="J36" i="9" s="1"/>
  <c r="R137" i="12"/>
  <c r="R176" i="12" s="1"/>
  <c r="W230" i="12"/>
  <c r="U244" i="12"/>
  <c r="I140" i="8"/>
  <c r="G14" i="9" s="1"/>
  <c r="T150" i="8"/>
  <c r="L149" i="8"/>
  <c r="J23" i="9" s="1"/>
  <c r="X166" i="8"/>
  <c r="R145" i="8"/>
  <c r="U140" i="8"/>
  <c r="S156" i="8"/>
  <c r="Q167" i="8"/>
  <c r="I163" i="8"/>
  <c r="G37" i="9" s="1"/>
  <c r="S155" i="8"/>
  <c r="E141" i="8"/>
  <c r="C15" i="9" s="1"/>
  <c r="N148" i="8"/>
  <c r="L22" i="9" s="1"/>
  <c r="X160" i="8"/>
  <c r="N138" i="8"/>
  <c r="L12" i="9" s="1"/>
  <c r="N159" i="8"/>
  <c r="L33" i="9" s="1"/>
  <c r="E139" i="8"/>
  <c r="C13" i="9" s="1"/>
  <c r="T152" i="8"/>
  <c r="N147" i="8"/>
  <c r="L21" i="9" s="1"/>
  <c r="J40" i="13"/>
  <c r="J79" i="13" s="1"/>
  <c r="L205" i="12"/>
  <c r="S146" i="8"/>
  <c r="N150" i="8"/>
  <c r="L24" i="9" s="1"/>
  <c r="I145" i="8"/>
  <c r="G19" i="9" s="1"/>
  <c r="W247" i="12"/>
  <c r="V161" i="8"/>
  <c r="U146" i="8"/>
  <c r="W150" i="8"/>
  <c r="L12" i="13"/>
  <c r="L51" i="13" s="1"/>
  <c r="N177" i="12"/>
  <c r="X162" i="8"/>
  <c r="U138" i="8"/>
  <c r="I158" i="8"/>
  <c r="G32" i="9" s="1"/>
  <c r="L155" i="8"/>
  <c r="J29" i="9" s="1"/>
  <c r="F10" i="13"/>
  <c r="F49" i="13" s="1"/>
  <c r="H175" i="12"/>
  <c r="V231" i="12"/>
  <c r="Q232" i="12"/>
  <c r="S164" i="8"/>
  <c r="Q156" i="8"/>
  <c r="L170" i="8"/>
  <c r="J44" i="9" s="1"/>
  <c r="H194" i="12"/>
  <c r="F29" i="13"/>
  <c r="F68" i="13" s="1"/>
  <c r="P237" i="12"/>
  <c r="G145" i="8"/>
  <c r="E19" i="9" s="1"/>
  <c r="H153" i="8"/>
  <c r="F27" i="9" s="1"/>
  <c r="X164" i="12"/>
  <c r="X203" i="12" s="1"/>
  <c r="K25" i="13"/>
  <c r="K64" i="13" s="1"/>
  <c r="M190" i="12"/>
  <c r="X155" i="12"/>
  <c r="X194" i="12" s="1"/>
  <c r="T147" i="8"/>
  <c r="E153" i="8"/>
  <c r="C27" i="9" s="1"/>
  <c r="W162" i="8"/>
  <c r="U160" i="8"/>
  <c r="E190" i="12"/>
  <c r="C25" i="13"/>
  <c r="C64" i="13" s="1"/>
  <c r="W216" i="12"/>
  <c r="I209" i="12"/>
  <c r="G44" i="13"/>
  <c r="G83" i="13" s="1"/>
  <c r="I149" i="8"/>
  <c r="G23" i="9" s="1"/>
  <c r="U154" i="8"/>
  <c r="L151" i="8"/>
  <c r="J25" i="9" s="1"/>
  <c r="X165" i="12"/>
  <c r="X204" i="12" s="1"/>
  <c r="U224" i="12"/>
  <c r="W233" i="12"/>
  <c r="P230" i="12"/>
  <c r="G170" i="8"/>
  <c r="E44" i="9" s="1"/>
  <c r="E160" i="8"/>
  <c r="C34" i="9" s="1"/>
  <c r="Q242" i="12"/>
  <c r="S209" i="12"/>
  <c r="J44" i="13"/>
  <c r="J83" i="13" s="1"/>
  <c r="L209" i="12"/>
  <c r="V229" i="12"/>
  <c r="P232" i="12"/>
  <c r="Q214" i="12"/>
  <c r="Q210" i="12"/>
  <c r="Q247" i="12" s="1"/>
  <c r="K141" i="8"/>
  <c r="I15" i="9" s="1"/>
  <c r="W142" i="8"/>
  <c r="C28" i="13"/>
  <c r="C67" i="13" s="1"/>
  <c r="E193" i="12"/>
  <c r="F190" i="12"/>
  <c r="D25" i="13"/>
  <c r="D64" i="13" s="1"/>
  <c r="X163" i="12"/>
  <c r="X202" i="12" s="1"/>
  <c r="G14" i="13"/>
  <c r="G53" i="13" s="1"/>
  <c r="I179" i="12"/>
  <c r="R145" i="12"/>
  <c r="R184" i="12" s="1"/>
  <c r="W238" i="12"/>
  <c r="X153" i="12"/>
  <c r="X192" i="12" s="1"/>
  <c r="S200" i="12"/>
  <c r="X141" i="12"/>
  <c r="X180" i="12" s="1"/>
  <c r="Q225" i="12"/>
  <c r="V239" i="12"/>
  <c r="U223" i="12"/>
  <c r="V236" i="12"/>
  <c r="P219" i="12"/>
  <c r="W248" i="12"/>
  <c r="Q219" i="12"/>
  <c r="P231" i="12"/>
  <c r="J205" i="12"/>
  <c r="H40" i="13"/>
  <c r="H79" i="13" s="1"/>
  <c r="X138" i="12"/>
  <c r="X177" i="12" s="1"/>
  <c r="P239" i="12"/>
  <c r="R163" i="12"/>
  <c r="R202" i="12" s="1"/>
  <c r="S176" i="12"/>
  <c r="W237" i="12"/>
  <c r="H138" i="12"/>
  <c r="O176" i="12"/>
  <c r="D74" i="13"/>
  <c r="L73" i="13"/>
  <c r="I65" i="13"/>
  <c r="J57" i="13"/>
  <c r="L49" i="13"/>
  <c r="V214" i="12"/>
  <c r="L72" i="13"/>
  <c r="D58" i="13"/>
  <c r="L50" i="13"/>
  <c r="I71" i="13"/>
  <c r="D71" i="13"/>
  <c r="J60" i="13"/>
  <c r="L52" i="13"/>
  <c r="D77" i="13"/>
  <c r="I63" i="13"/>
  <c r="D63" i="13"/>
  <c r="M137" i="8"/>
  <c r="K11" i="9" s="1"/>
  <c r="M170" i="8"/>
  <c r="K44" i="9" s="1"/>
  <c r="M157" i="8"/>
  <c r="K31" i="9" s="1"/>
  <c r="M141" i="8"/>
  <c r="K15" i="9" s="1"/>
  <c r="M153" i="8"/>
  <c r="K27" i="9" s="1"/>
  <c r="M168" i="8"/>
  <c r="K42" i="9" s="1"/>
  <c r="M166" i="8"/>
  <c r="K40" i="9" s="1"/>
  <c r="M140" i="8"/>
  <c r="K14" i="9" s="1"/>
  <c r="M169" i="8"/>
  <c r="K43" i="9" s="1"/>
  <c r="M163" i="8"/>
  <c r="K37" i="9" s="1"/>
  <c r="M144" i="8"/>
  <c r="K18" i="9" s="1"/>
  <c r="M156" i="8"/>
  <c r="K30" i="9" s="1"/>
  <c r="M164" i="8"/>
  <c r="K38" i="9" s="1"/>
  <c r="M165" i="8"/>
  <c r="K39" i="9" s="1"/>
  <c r="M148" i="8"/>
  <c r="K22" i="9" s="1"/>
  <c r="M160" i="8"/>
  <c r="K34" i="9" s="1"/>
  <c r="M136" i="8"/>
  <c r="K10" i="9" s="1"/>
  <c r="M155" i="8"/>
  <c r="K29" i="9" s="1"/>
  <c r="R159" i="8"/>
  <c r="U137" i="8"/>
  <c r="U166" i="8"/>
  <c r="K40" i="13"/>
  <c r="K79" i="13" s="1"/>
  <c r="M205" i="12"/>
  <c r="R139" i="8"/>
  <c r="W244" i="12"/>
  <c r="G166" i="8"/>
  <c r="E40" i="9" s="1"/>
  <c r="K138" i="8"/>
  <c r="I12" i="9" s="1"/>
  <c r="E167" i="8"/>
  <c r="C41" i="9" s="1"/>
  <c r="S165" i="8"/>
  <c r="M146" i="8"/>
  <c r="K20" i="9" s="1"/>
  <c r="H148" i="8"/>
  <c r="F22" i="9" s="1"/>
  <c r="T138" i="8"/>
  <c r="M149" i="8"/>
  <c r="K23" i="9" s="1"/>
  <c r="X136" i="8"/>
  <c r="I137" i="8"/>
  <c r="G11" i="9" s="1"/>
  <c r="K155" i="8"/>
  <c r="I29" i="9" s="1"/>
  <c r="E144" i="8"/>
  <c r="C18" i="9" s="1"/>
  <c r="V162" i="8"/>
  <c r="T142" i="8"/>
  <c r="N145" i="8"/>
  <c r="L19" i="9" s="1"/>
  <c r="W164" i="8"/>
  <c r="T140" i="8"/>
  <c r="X140" i="8"/>
  <c r="G159" i="8"/>
  <c r="E33" i="9" s="1"/>
  <c r="U144" i="8"/>
  <c r="T156" i="8"/>
  <c r="G165" i="8"/>
  <c r="E39" i="9" s="1"/>
  <c r="X154" i="8"/>
  <c r="Q157" i="8"/>
  <c r="I155" i="8"/>
  <c r="G29" i="9" s="1"/>
  <c r="V149" i="8"/>
  <c r="U143" i="8"/>
  <c r="W158" i="8"/>
  <c r="V143" i="8"/>
  <c r="U142" i="8"/>
  <c r="I138" i="8"/>
  <c r="G12" i="9" s="1"/>
  <c r="L138" i="8"/>
  <c r="J12" i="9" s="1"/>
  <c r="J30" i="13"/>
  <c r="J69" i="13" s="1"/>
  <c r="L195" i="12"/>
  <c r="L25" i="13"/>
  <c r="L64" i="13" s="1"/>
  <c r="N190" i="12"/>
  <c r="Q231" i="12"/>
  <c r="U169" i="8"/>
  <c r="I162" i="8"/>
  <c r="G36" i="9" s="1"/>
  <c r="L169" i="8"/>
  <c r="J43" i="9" s="1"/>
  <c r="P234" i="12"/>
  <c r="K154" i="8"/>
  <c r="I28" i="9" s="1"/>
  <c r="H147" i="8"/>
  <c r="F21" i="9" s="1"/>
  <c r="E30" i="13"/>
  <c r="E69" i="13" s="1"/>
  <c r="G195" i="12"/>
  <c r="X150" i="8"/>
  <c r="H141" i="8"/>
  <c r="F15" i="9" s="1"/>
  <c r="E162" i="8"/>
  <c r="C36" i="9" s="1"/>
  <c r="U242" i="12"/>
  <c r="I22" i="13"/>
  <c r="I61" i="13" s="1"/>
  <c r="K187" i="12"/>
  <c r="K20" i="13"/>
  <c r="K59" i="13" s="1"/>
  <c r="M185" i="12"/>
  <c r="G10" i="13"/>
  <c r="G49" i="13" s="1"/>
  <c r="I175" i="12"/>
  <c r="X149" i="8"/>
  <c r="U141" i="8"/>
  <c r="I153" i="8"/>
  <c r="G27" i="9" s="1"/>
  <c r="S207" i="12"/>
  <c r="H164" i="12"/>
  <c r="D29" i="13"/>
  <c r="D68" i="13" s="1"/>
  <c r="F194" i="12"/>
  <c r="I198" i="12"/>
  <c r="G33" i="13"/>
  <c r="G72" i="13" s="1"/>
  <c r="E143" i="8"/>
  <c r="C17" i="9" s="1"/>
  <c r="M162" i="8"/>
  <c r="K36" i="9" s="1"/>
  <c r="S205" i="12"/>
  <c r="J37" i="13"/>
  <c r="J76" i="13" s="1"/>
  <c r="L202" i="12"/>
  <c r="L28" i="13"/>
  <c r="L67" i="13" s="1"/>
  <c r="N193" i="12"/>
  <c r="P233" i="12"/>
  <c r="N164" i="8"/>
  <c r="L38" i="9" s="1"/>
  <c r="U148" i="8"/>
  <c r="I150" i="8"/>
  <c r="G24" i="9" s="1"/>
  <c r="L152" i="8"/>
  <c r="J26" i="9" s="1"/>
  <c r="H165" i="12"/>
  <c r="I30" i="13"/>
  <c r="I69" i="13" s="1"/>
  <c r="K195" i="12"/>
  <c r="X170" i="12"/>
  <c r="X209" i="12" s="1"/>
  <c r="K167" i="8"/>
  <c r="I41" i="9" s="1"/>
  <c r="S188" i="12"/>
  <c r="U240" i="12"/>
  <c r="W231" i="12"/>
  <c r="X152" i="12"/>
  <c r="X191" i="12" s="1"/>
  <c r="Q217" i="12"/>
  <c r="V217" i="12"/>
  <c r="W223" i="12"/>
  <c r="O197" i="12"/>
  <c r="U217" i="12"/>
  <c r="V230" i="12"/>
  <c r="O189" i="12"/>
  <c r="P236" i="12"/>
  <c r="S199" i="12"/>
  <c r="W245" i="12"/>
  <c r="X142" i="12"/>
  <c r="X181" i="12" s="1"/>
  <c r="Q240" i="12"/>
  <c r="L160" i="8"/>
  <c r="J34" i="9" s="1"/>
  <c r="J206" i="12"/>
  <c r="H41" i="13"/>
  <c r="H80" i="13" s="1"/>
  <c r="V245" i="12"/>
  <c r="P225" i="12"/>
  <c r="Q228" i="12"/>
  <c r="R170" i="12"/>
  <c r="R209" i="12" s="1"/>
  <c r="S190" i="12"/>
  <c r="U230" i="12"/>
  <c r="F142" i="12"/>
  <c r="H150" i="12"/>
  <c r="S181" i="12"/>
  <c r="O180" i="12"/>
  <c r="R137" i="8"/>
  <c r="R157" i="8"/>
  <c r="R160" i="8"/>
  <c r="R169" i="8"/>
  <c r="R144" i="8"/>
  <c r="R136" i="8"/>
  <c r="R168" i="8"/>
  <c r="R170" i="8"/>
  <c r="R158" i="8"/>
  <c r="R165" i="8"/>
  <c r="R140" i="8"/>
  <c r="R152" i="8"/>
  <c r="R148" i="8"/>
  <c r="R153" i="8"/>
  <c r="R166" i="8"/>
  <c r="R163" i="8"/>
  <c r="R164" i="8"/>
  <c r="R155" i="8"/>
  <c r="R149" i="8"/>
  <c r="S142" i="8"/>
  <c r="Q137" i="8"/>
  <c r="Q163" i="8"/>
  <c r="Q164" i="8"/>
  <c r="Q168" i="8"/>
  <c r="Q166" i="8"/>
  <c r="R154" i="8"/>
  <c r="E140" i="8"/>
  <c r="C14" i="9" s="1"/>
  <c r="S163" i="8"/>
  <c r="G150" i="8"/>
  <c r="E24" i="9" s="1"/>
  <c r="E168" i="8"/>
  <c r="C42" i="9" s="1"/>
  <c r="H154" i="8"/>
  <c r="F28" i="9" s="1"/>
  <c r="E156" i="8"/>
  <c r="C30" i="9" s="1"/>
  <c r="J156" i="8"/>
  <c r="H30" i="9" s="1"/>
  <c r="L161" i="8"/>
  <c r="J35" i="9" s="1"/>
  <c r="X144" i="8"/>
  <c r="Q170" i="8"/>
  <c r="U139" i="8"/>
  <c r="Q150" i="8"/>
  <c r="E159" i="8"/>
  <c r="C33" i="9" s="1"/>
  <c r="W141" i="8"/>
  <c r="L146" i="8"/>
  <c r="J20" i="9" s="1"/>
  <c r="J20" i="13"/>
  <c r="J59" i="13" s="1"/>
  <c r="L185" i="12"/>
  <c r="X143" i="12"/>
  <c r="X182" i="12" s="1"/>
  <c r="G161" i="8"/>
  <c r="E35" i="9" s="1"/>
  <c r="E151" i="8"/>
  <c r="C25" i="9" s="1"/>
  <c r="I170" i="8"/>
  <c r="G44" i="9" s="1"/>
  <c r="L153" i="8"/>
  <c r="J27" i="9" s="1"/>
  <c r="J17" i="13"/>
  <c r="J56" i="13" s="1"/>
  <c r="L182" i="12"/>
  <c r="W224" i="12"/>
  <c r="Q233" i="12"/>
  <c r="E152" i="8"/>
  <c r="C26" i="9" s="1"/>
  <c r="T162" i="8"/>
  <c r="L168" i="8"/>
  <c r="J42" i="9" s="1"/>
  <c r="H28" i="13"/>
  <c r="H67" i="13" s="1"/>
  <c r="J193" i="12"/>
  <c r="T214" i="12"/>
  <c r="T210" i="12"/>
  <c r="T235" i="12" s="1"/>
  <c r="K33" i="13"/>
  <c r="K72" i="13" s="1"/>
  <c r="M198" i="12"/>
  <c r="G28" i="13"/>
  <c r="G67" i="13" s="1"/>
  <c r="I193" i="12"/>
  <c r="W170" i="8"/>
  <c r="F109" i="8"/>
  <c r="F146" i="8" s="1"/>
  <c r="D20" i="9" s="1"/>
  <c r="V246" i="12"/>
  <c r="V242" i="12"/>
  <c r="T237" i="12"/>
  <c r="V224" i="12"/>
  <c r="P229" i="12"/>
  <c r="V147" i="8"/>
  <c r="W157" i="8"/>
  <c r="W246" i="12"/>
  <c r="F22" i="13"/>
  <c r="F61" i="13" s="1"/>
  <c r="H187" i="12"/>
  <c r="I14" i="13"/>
  <c r="I53" i="13" s="1"/>
  <c r="K179" i="12"/>
  <c r="M182" i="12"/>
  <c r="K17" i="13"/>
  <c r="K56" i="13" s="1"/>
  <c r="E28" i="13"/>
  <c r="E67" i="13" s="1"/>
  <c r="G193" i="12"/>
  <c r="Q221" i="12"/>
  <c r="G141" i="8"/>
  <c r="E15" i="9" s="1"/>
  <c r="E158" i="8"/>
  <c r="C32" i="9" s="1"/>
  <c r="I148" i="8"/>
  <c r="G22" i="9" s="1"/>
  <c r="T242" i="12"/>
  <c r="E185" i="12"/>
  <c r="C20" i="13"/>
  <c r="C59" i="13" s="1"/>
  <c r="D12" i="13"/>
  <c r="D51" i="13" s="1"/>
  <c r="F177" i="12"/>
  <c r="I194" i="12"/>
  <c r="G29" i="13"/>
  <c r="G68" i="13" s="1"/>
  <c r="Q146" i="8"/>
  <c r="E169" i="8"/>
  <c r="C43" i="9" s="1"/>
  <c r="H162" i="12"/>
  <c r="S206" i="12"/>
  <c r="J10" i="13"/>
  <c r="J49" i="13" s="1"/>
  <c r="L175" i="12"/>
  <c r="G25" i="13"/>
  <c r="G64" i="13" s="1"/>
  <c r="I190" i="12"/>
  <c r="X148" i="8"/>
  <c r="E142" i="8"/>
  <c r="C16" i="9" s="1"/>
  <c r="I147" i="8"/>
  <c r="G21" i="9" s="1"/>
  <c r="L145" i="8"/>
  <c r="J19" i="9" s="1"/>
  <c r="I17" i="13"/>
  <c r="I56" i="13" s="1"/>
  <c r="K182" i="12"/>
  <c r="K30" i="13"/>
  <c r="K69" i="13" s="1"/>
  <c r="M195" i="12"/>
  <c r="X146" i="12"/>
  <c r="X185" i="12" s="1"/>
  <c r="X167" i="12"/>
  <c r="X206" i="12" s="1"/>
  <c r="Q224" i="12"/>
  <c r="U219" i="12"/>
  <c r="V235" i="12"/>
  <c r="S178" i="12"/>
  <c r="W235" i="12"/>
  <c r="H161" i="12"/>
  <c r="S192" i="12"/>
  <c r="V234" i="12"/>
  <c r="W228" i="12"/>
  <c r="U239" i="12"/>
  <c r="O192" i="12"/>
  <c r="Q239" i="12"/>
  <c r="H142" i="12"/>
  <c r="J202" i="12"/>
  <c r="H37" i="13"/>
  <c r="H76" i="13" s="1"/>
  <c r="V241" i="12"/>
  <c r="W236" i="12"/>
  <c r="R167" i="12"/>
  <c r="R206" i="12" s="1"/>
  <c r="U235" i="12"/>
  <c r="V227" i="12"/>
  <c r="F156" i="12"/>
  <c r="P223" i="12"/>
  <c r="H144" i="12"/>
  <c r="S183" i="12"/>
  <c r="U222" i="12"/>
  <c r="X161" i="12"/>
  <c r="X200" i="12" s="1"/>
  <c r="P216" i="12"/>
  <c r="I50" i="13"/>
  <c r="I68" i="13"/>
  <c r="J71" i="13"/>
  <c r="I60" i="13"/>
  <c r="D52" i="13"/>
  <c r="L77" i="13"/>
  <c r="I165" i="8"/>
  <c r="G39" i="9" s="1"/>
  <c r="K137" i="8"/>
  <c r="I11" i="9" s="1"/>
  <c r="K163" i="8"/>
  <c r="I37" i="9" s="1"/>
  <c r="K169" i="8"/>
  <c r="I43" i="9" s="1"/>
  <c r="K170" i="8"/>
  <c r="I44" i="9" s="1"/>
  <c r="M151" i="8"/>
  <c r="K25" i="9" s="1"/>
  <c r="S137" i="8"/>
  <c r="S168" i="8"/>
  <c r="S170" i="8"/>
  <c r="S169" i="8"/>
  <c r="S166" i="8"/>
  <c r="S160" i="8"/>
  <c r="T136" i="8"/>
  <c r="U149" i="8"/>
  <c r="G140" i="8"/>
  <c r="E14" i="9" s="1"/>
  <c r="S138" i="8"/>
  <c r="Q169" i="8"/>
  <c r="J142" i="8"/>
  <c r="H16" i="9" s="1"/>
  <c r="W140" i="8"/>
  <c r="S161" i="8"/>
  <c r="V138" i="8"/>
  <c r="G157" i="8"/>
  <c r="E31" i="9" s="1"/>
  <c r="K164" i="8"/>
  <c r="I38" i="9" s="1"/>
  <c r="J162" i="8"/>
  <c r="H36" i="9" s="1"/>
  <c r="X167" i="8"/>
  <c r="E161" i="8"/>
  <c r="C35" i="9" s="1"/>
  <c r="V160" i="8"/>
  <c r="Q136" i="8"/>
  <c r="T151" i="8"/>
  <c r="H162" i="8"/>
  <c r="F36" i="9" s="1"/>
  <c r="R162" i="8"/>
  <c r="Q141" i="8"/>
  <c r="E150" i="8"/>
  <c r="C24" i="9" s="1"/>
  <c r="I159" i="8"/>
  <c r="G33" i="9" s="1"/>
  <c r="L143" i="8"/>
  <c r="J17" i="9" s="1"/>
  <c r="U237" i="12"/>
  <c r="X148" i="12"/>
  <c r="X187" i="12" s="1"/>
  <c r="G158" i="8"/>
  <c r="E32" i="9" s="1"/>
  <c r="E146" i="8"/>
  <c r="C20" i="9" s="1"/>
  <c r="V139" i="8"/>
  <c r="X168" i="12"/>
  <c r="X207" i="12" s="1"/>
  <c r="U229" i="12"/>
  <c r="W215" i="12"/>
  <c r="N143" i="8"/>
  <c r="L17" i="9" s="1"/>
  <c r="H161" i="8"/>
  <c r="F35" i="9" s="1"/>
  <c r="L164" i="8"/>
  <c r="J38" i="9" s="1"/>
  <c r="V243" i="12"/>
  <c r="J22" i="13"/>
  <c r="J61" i="13" s="1"/>
  <c r="L187" i="12"/>
  <c r="V232" i="12"/>
  <c r="X151" i="12"/>
  <c r="X190" i="12" s="1"/>
  <c r="Q237" i="12"/>
  <c r="S158" i="8"/>
  <c r="W145" i="8"/>
  <c r="X169" i="12"/>
  <c r="X208" i="12" s="1"/>
  <c r="F28" i="13"/>
  <c r="F67" i="13" s="1"/>
  <c r="H193" i="12"/>
  <c r="J14" i="13"/>
  <c r="J53" i="13" s="1"/>
  <c r="L179" i="12"/>
  <c r="L29" i="13"/>
  <c r="L68" i="13" s="1"/>
  <c r="N194" i="12"/>
  <c r="P248" i="12"/>
  <c r="V163" i="8"/>
  <c r="W156" i="8"/>
  <c r="U246" i="12"/>
  <c r="H140" i="12"/>
  <c r="I41" i="13"/>
  <c r="I80" i="13" s="1"/>
  <c r="K206" i="12"/>
  <c r="M194" i="12"/>
  <c r="K29" i="13"/>
  <c r="K68" i="13" s="1"/>
  <c r="G177" i="12"/>
  <c r="E12" i="13"/>
  <c r="E51" i="13" s="1"/>
  <c r="Q218" i="12"/>
  <c r="Q149" i="8"/>
  <c r="H158" i="8"/>
  <c r="F32" i="9" s="1"/>
  <c r="T139" i="8"/>
  <c r="Q246" i="12"/>
  <c r="K12" i="13"/>
  <c r="K51" i="13" s="1"/>
  <c r="M177" i="12"/>
  <c r="F182" i="12"/>
  <c r="D17" i="13"/>
  <c r="D56" i="13" s="1"/>
  <c r="Q226" i="12"/>
  <c r="K146" i="8"/>
  <c r="I20" i="9" s="1"/>
  <c r="W154" i="8"/>
  <c r="F111" i="8"/>
  <c r="F150" i="8" s="1"/>
  <c r="D24" i="9" s="1"/>
  <c r="H159" i="12"/>
  <c r="S202" i="12"/>
  <c r="J33" i="13"/>
  <c r="J72" i="13" s="1"/>
  <c r="L198" i="12"/>
  <c r="Q229" i="12"/>
  <c r="G147" i="8"/>
  <c r="E21" i="9" s="1"/>
  <c r="H149" i="8"/>
  <c r="F23" i="9" s="1"/>
  <c r="X139" i="8"/>
  <c r="L139" i="8"/>
  <c r="J13" i="9" s="1"/>
  <c r="S203" i="12"/>
  <c r="T222" i="12"/>
  <c r="V221" i="12"/>
  <c r="E29" i="13"/>
  <c r="E68" i="13" s="1"/>
  <c r="G194" i="12"/>
  <c r="X166" i="12"/>
  <c r="X205" i="12" s="1"/>
  <c r="K159" i="8"/>
  <c r="I33" i="9" s="1"/>
  <c r="U220" i="12"/>
  <c r="V226" i="12"/>
  <c r="H147" i="12"/>
  <c r="S186" i="12"/>
  <c r="U228" i="12"/>
  <c r="W219" i="12"/>
  <c r="X158" i="12"/>
  <c r="X197" i="12" s="1"/>
  <c r="O191" i="12"/>
  <c r="T215" i="12"/>
  <c r="V223" i="12"/>
  <c r="W229" i="12"/>
  <c r="Q220" i="12"/>
  <c r="R156" i="12"/>
  <c r="R195" i="12" s="1"/>
  <c r="E205" i="12"/>
  <c r="C40" i="13"/>
  <c r="C79" i="13" s="1"/>
  <c r="V244" i="12"/>
  <c r="W222" i="12"/>
  <c r="E37" i="13"/>
  <c r="E76" i="13" s="1"/>
  <c r="G202" i="12"/>
  <c r="R136" i="12"/>
  <c r="R175" i="12" s="1"/>
  <c r="T225" i="12"/>
  <c r="U215" i="12"/>
  <c r="V225" i="12"/>
  <c r="F137" i="12"/>
  <c r="Q222" i="12"/>
  <c r="H137" i="12"/>
  <c r="S180" i="12"/>
  <c r="U227" i="12"/>
  <c r="X157" i="12"/>
  <c r="X196" i="12" s="1"/>
  <c r="N210" i="12"/>
  <c r="N249" i="12" s="1"/>
  <c r="M214" i="12"/>
  <c r="K127" i="13" s="1"/>
  <c r="M210" i="12"/>
  <c r="M249" i="12" s="1"/>
  <c r="G210" i="12"/>
  <c r="G249" i="12" s="1"/>
  <c r="E210" i="12"/>
  <c r="E249" i="12" s="1"/>
  <c r="J214" i="12"/>
  <c r="H127" i="13" s="1"/>
  <c r="J210" i="12"/>
  <c r="J249" i="12" s="1"/>
  <c r="M216" i="12" l="1"/>
  <c r="K129" i="13" s="1"/>
  <c r="F140" i="8"/>
  <c r="D14" i="9" s="1"/>
  <c r="F170" i="8"/>
  <c r="D44" i="9" s="1"/>
  <c r="M221" i="12"/>
  <c r="K134" i="13" s="1"/>
  <c r="G217" i="12"/>
  <c r="E130" i="13" s="1"/>
  <c r="M215" i="12"/>
  <c r="K128" i="13" s="1"/>
  <c r="N231" i="12"/>
  <c r="L144" i="13" s="1"/>
  <c r="E235" i="12"/>
  <c r="C148" i="13" s="1"/>
  <c r="T234" i="12"/>
  <c r="F156" i="8"/>
  <c r="D30" i="9" s="1"/>
  <c r="J231" i="12"/>
  <c r="H144" i="13" s="1"/>
  <c r="G238" i="12"/>
  <c r="E151" i="13" s="1"/>
  <c r="N246" i="12"/>
  <c r="L159" i="13" s="1"/>
  <c r="M218" i="12"/>
  <c r="K131" i="13" s="1"/>
  <c r="P228" i="12"/>
  <c r="P247" i="12"/>
  <c r="T221" i="12"/>
  <c r="G221" i="12"/>
  <c r="E134" i="13" s="1"/>
  <c r="H168" i="8"/>
  <c r="F42" i="9" s="1"/>
  <c r="J223" i="12"/>
  <c r="H136" i="13" s="1"/>
  <c r="N247" i="12"/>
  <c r="L160" i="13" s="1"/>
  <c r="F31" i="13"/>
  <c r="F70" i="13" s="1"/>
  <c r="H196" i="12"/>
  <c r="P215" i="12"/>
  <c r="F32" i="13"/>
  <c r="F71" i="13" s="1"/>
  <c r="H197" i="12"/>
  <c r="F30" i="13"/>
  <c r="F69" i="13" s="1"/>
  <c r="H195" i="12"/>
  <c r="Q243" i="12"/>
  <c r="P218" i="12"/>
  <c r="H146" i="8"/>
  <c r="F20" i="9" s="1"/>
  <c r="E245" i="12"/>
  <c r="C158" i="13" s="1"/>
  <c r="P238" i="12"/>
  <c r="P244" i="12"/>
  <c r="H151" i="8"/>
  <c r="F25" i="9" s="1"/>
  <c r="E228" i="12"/>
  <c r="C141" i="13" s="1"/>
  <c r="N225" i="12"/>
  <c r="L138" i="13" s="1"/>
  <c r="G220" i="12"/>
  <c r="E133" i="13" s="1"/>
  <c r="N239" i="12"/>
  <c r="L152" i="13" s="1"/>
  <c r="G219" i="12"/>
  <c r="E132" i="13" s="1"/>
  <c r="D11" i="13"/>
  <c r="D50" i="13" s="1"/>
  <c r="F176" i="12"/>
  <c r="H198" i="12"/>
  <c r="F33" i="13"/>
  <c r="F72" i="13" s="1"/>
  <c r="G216" i="12"/>
  <c r="E129" i="13" s="1"/>
  <c r="L210" i="12"/>
  <c r="L230" i="12" s="1"/>
  <c r="J143" i="13" s="1"/>
  <c r="G237" i="12"/>
  <c r="E150" i="13" s="1"/>
  <c r="N243" i="12"/>
  <c r="L156" i="13" s="1"/>
  <c r="M246" i="12"/>
  <c r="K159" i="13" s="1"/>
  <c r="F147" i="8"/>
  <c r="D21" i="9" s="1"/>
  <c r="G239" i="12"/>
  <c r="E152" i="13" s="1"/>
  <c r="E246" i="12"/>
  <c r="C159" i="13" s="1"/>
  <c r="T243" i="12"/>
  <c r="M229" i="12"/>
  <c r="K142" i="13" s="1"/>
  <c r="J217" i="12"/>
  <c r="H130" i="13" s="1"/>
  <c r="G231" i="12"/>
  <c r="E144" i="13" s="1"/>
  <c r="J243" i="12"/>
  <c r="H156" i="13" s="1"/>
  <c r="Q215" i="12"/>
  <c r="Q238" i="12"/>
  <c r="T226" i="12"/>
  <c r="T245" i="12"/>
  <c r="T216" i="12"/>
  <c r="J224" i="12"/>
  <c r="H137" i="13" s="1"/>
  <c r="F162" i="8"/>
  <c r="D36" i="9" s="1"/>
  <c r="H169" i="8"/>
  <c r="F43" i="9" s="1"/>
  <c r="E217" i="12"/>
  <c r="C130" i="13" s="1"/>
  <c r="G235" i="12"/>
  <c r="E148" i="13" s="1"/>
  <c r="G224" i="12"/>
  <c r="E137" i="13" s="1"/>
  <c r="N226" i="12"/>
  <c r="L139" i="13" s="1"/>
  <c r="T219" i="12"/>
  <c r="J229" i="12"/>
  <c r="H142" i="13" s="1"/>
  <c r="H142" i="8"/>
  <c r="F16" i="9" s="1"/>
  <c r="F165" i="8"/>
  <c r="D39" i="9" s="1"/>
  <c r="E236" i="12"/>
  <c r="C149" i="13" s="1"/>
  <c r="E220" i="12"/>
  <c r="C133" i="13" s="1"/>
  <c r="E230" i="12"/>
  <c r="C143" i="13" s="1"/>
  <c r="N227" i="12"/>
  <c r="L140" i="13" s="1"/>
  <c r="E239" i="12"/>
  <c r="C152" i="13" s="1"/>
  <c r="T231" i="12"/>
  <c r="N232" i="12"/>
  <c r="L145" i="13" s="1"/>
  <c r="F142" i="8"/>
  <c r="D16" i="9" s="1"/>
  <c r="N215" i="12"/>
  <c r="L128" i="13" s="1"/>
  <c r="N237" i="12"/>
  <c r="L150" i="13" s="1"/>
  <c r="M247" i="12"/>
  <c r="K160" i="13" s="1"/>
  <c r="J218" i="12"/>
  <c r="H131" i="13" s="1"/>
  <c r="F169" i="8"/>
  <c r="D43" i="9" s="1"/>
  <c r="F152" i="8"/>
  <c r="D26" i="9" s="1"/>
  <c r="G244" i="12"/>
  <c r="E157" i="13" s="1"/>
  <c r="H152" i="8"/>
  <c r="F26" i="9" s="1"/>
  <c r="F155" i="8"/>
  <c r="D29" i="9" s="1"/>
  <c r="K214" i="12"/>
  <c r="I127" i="13" s="1"/>
  <c r="K210" i="12"/>
  <c r="K217" i="12" s="1"/>
  <c r="I130" i="13" s="1"/>
  <c r="G225" i="12"/>
  <c r="E138" i="13" s="1"/>
  <c r="N220" i="12"/>
  <c r="L133" i="13" s="1"/>
  <c r="J238" i="12"/>
  <c r="H151" i="13" s="1"/>
  <c r="E240" i="12"/>
  <c r="C153" i="13" s="1"/>
  <c r="T217" i="12"/>
  <c r="G245" i="12"/>
  <c r="E158" i="13" s="1"/>
  <c r="P235" i="12"/>
  <c r="F138" i="8"/>
  <c r="D12" i="9" s="1"/>
  <c r="E234" i="12"/>
  <c r="C147" i="13" s="1"/>
  <c r="J246" i="12"/>
  <c r="H159" i="13" s="1"/>
  <c r="F20" i="13"/>
  <c r="F59" i="13" s="1"/>
  <c r="H185" i="12"/>
  <c r="N244" i="12"/>
  <c r="L157" i="13" s="1"/>
  <c r="X210" i="12"/>
  <c r="X243" i="12" s="1"/>
  <c r="X214" i="12"/>
  <c r="K241" i="12"/>
  <c r="I154" i="13" s="1"/>
  <c r="L229" i="12"/>
  <c r="J142" i="13" s="1"/>
  <c r="E226" i="12"/>
  <c r="C139" i="13" s="1"/>
  <c r="M242" i="12"/>
  <c r="K155" i="13" s="1"/>
  <c r="J220" i="12"/>
  <c r="H133" i="13" s="1"/>
  <c r="G230" i="12"/>
  <c r="E143" i="13" s="1"/>
  <c r="X236" i="12"/>
  <c r="E214" i="12"/>
  <c r="C127" i="13" s="1"/>
  <c r="N214" i="12"/>
  <c r="L127" i="13" s="1"/>
  <c r="E244" i="12"/>
  <c r="C157" i="13" s="1"/>
  <c r="G233" i="12"/>
  <c r="E146" i="13" s="1"/>
  <c r="F168" i="8"/>
  <c r="D42" i="9" s="1"/>
  <c r="M233" i="12"/>
  <c r="K146" i="13" s="1"/>
  <c r="F144" i="8"/>
  <c r="D18" i="9" s="1"/>
  <c r="M237" i="12"/>
  <c r="K150" i="13" s="1"/>
  <c r="G228" i="12"/>
  <c r="E141" i="13" s="1"/>
  <c r="E225" i="12"/>
  <c r="C138" i="13" s="1"/>
  <c r="N223" i="12"/>
  <c r="L136" i="13" s="1"/>
  <c r="M239" i="12"/>
  <c r="K152" i="13" s="1"/>
  <c r="I210" i="12"/>
  <c r="I221" i="12" s="1"/>
  <c r="G134" i="13" s="1"/>
  <c r="I214" i="12"/>
  <c r="G127" i="13" s="1"/>
  <c r="J247" i="12"/>
  <c r="H160" i="13" s="1"/>
  <c r="O210" i="12"/>
  <c r="O230" i="12" s="1"/>
  <c r="J244" i="12"/>
  <c r="H157" i="13" s="1"/>
  <c r="T238" i="12"/>
  <c r="E229" i="12"/>
  <c r="C142" i="13" s="1"/>
  <c r="T233" i="12"/>
  <c r="T248" i="12"/>
  <c r="T218" i="12"/>
  <c r="N216" i="12"/>
  <c r="L129" i="13" s="1"/>
  <c r="T244" i="12"/>
  <c r="N217" i="12"/>
  <c r="L130" i="13" s="1"/>
  <c r="G215" i="12"/>
  <c r="E128" i="13" s="1"/>
  <c r="G222" i="12"/>
  <c r="E135" i="13" s="1"/>
  <c r="N234" i="12"/>
  <c r="L147" i="13" s="1"/>
  <c r="J248" i="12"/>
  <c r="H161" i="13" s="1"/>
  <c r="T223" i="12"/>
  <c r="M232" i="12"/>
  <c r="K145" i="13" s="1"/>
  <c r="G218" i="12"/>
  <c r="E131" i="13" s="1"/>
  <c r="H150" i="8"/>
  <c r="F24" i="9" s="1"/>
  <c r="H160" i="8"/>
  <c r="F34" i="9" s="1"/>
  <c r="H170" i="8"/>
  <c r="F44" i="9" s="1"/>
  <c r="H144" i="8"/>
  <c r="F18" i="9" s="1"/>
  <c r="H138" i="8"/>
  <c r="F12" i="9" s="1"/>
  <c r="H155" i="8"/>
  <c r="F29" i="9" s="1"/>
  <c r="H157" i="8"/>
  <c r="F31" i="9" s="1"/>
  <c r="H164" i="8"/>
  <c r="F38" i="9" s="1"/>
  <c r="H167" i="8"/>
  <c r="F41" i="9" s="1"/>
  <c r="H140" i="8"/>
  <c r="F14" i="9" s="1"/>
  <c r="H165" i="8"/>
  <c r="F39" i="9" s="1"/>
  <c r="H166" i="8"/>
  <c r="F40" i="9" s="1"/>
  <c r="I244" i="12"/>
  <c r="G157" i="13" s="1"/>
  <c r="T227" i="12"/>
  <c r="F23" i="13"/>
  <c r="F62" i="13" s="1"/>
  <c r="H188" i="12"/>
  <c r="T236" i="12"/>
  <c r="N221" i="12"/>
  <c r="L134" i="13" s="1"/>
  <c r="F158" i="8"/>
  <c r="D32" i="9" s="1"/>
  <c r="X232" i="12"/>
  <c r="L228" i="12"/>
  <c r="J141" i="13" s="1"/>
  <c r="F19" i="13"/>
  <c r="F58" i="13" s="1"/>
  <c r="H184" i="12"/>
  <c r="O239" i="12"/>
  <c r="P224" i="12"/>
  <c r="H159" i="8"/>
  <c r="F33" i="9" s="1"/>
  <c r="J237" i="12"/>
  <c r="H150" i="13" s="1"/>
  <c r="P221" i="12"/>
  <c r="P245" i="12"/>
  <c r="X218" i="12"/>
  <c r="X217" i="12"/>
  <c r="Q236" i="12"/>
  <c r="P226" i="12"/>
  <c r="Q248" i="12"/>
  <c r="F166" i="8"/>
  <c r="D40" i="9" s="1"/>
  <c r="E242" i="12"/>
  <c r="C155" i="13" s="1"/>
  <c r="J233" i="12"/>
  <c r="H146" i="13" s="1"/>
  <c r="L231" i="12"/>
  <c r="J144" i="13" s="1"/>
  <c r="E238" i="12"/>
  <c r="C151" i="13" s="1"/>
  <c r="M235" i="12"/>
  <c r="K148" i="13" s="1"/>
  <c r="X245" i="12"/>
  <c r="F36" i="13"/>
  <c r="F75" i="13" s="1"/>
  <c r="H201" i="12"/>
  <c r="M228" i="12"/>
  <c r="K141" i="13" s="1"/>
  <c r="G223" i="12"/>
  <c r="E136" i="13" s="1"/>
  <c r="J230" i="12"/>
  <c r="H143" i="13" s="1"/>
  <c r="F24" i="13"/>
  <c r="F63" i="13" s="1"/>
  <c r="H189" i="12"/>
  <c r="O228" i="12"/>
  <c r="X230" i="12"/>
  <c r="F39" i="13"/>
  <c r="F78" i="13" s="1"/>
  <c r="H204" i="12"/>
  <c r="L241" i="12"/>
  <c r="J154" i="13" s="1"/>
  <c r="N229" i="12"/>
  <c r="L142" i="13" s="1"/>
  <c r="E219" i="12"/>
  <c r="C132" i="13" s="1"/>
  <c r="F12" i="13"/>
  <c r="F51" i="13" s="1"/>
  <c r="H177" i="12"/>
  <c r="X241" i="12"/>
  <c r="F163" i="8"/>
  <c r="D37" i="9" s="1"/>
  <c r="X242" i="12"/>
  <c r="F137" i="8"/>
  <c r="D11" i="9" s="1"/>
  <c r="N245" i="12"/>
  <c r="L158" i="13" s="1"/>
  <c r="F161" i="8"/>
  <c r="D35" i="9" s="1"/>
  <c r="K216" i="12"/>
  <c r="I129" i="13" s="1"/>
  <c r="D26" i="13"/>
  <c r="D65" i="13" s="1"/>
  <c r="F191" i="12"/>
  <c r="F13" i="13"/>
  <c r="F52" i="13" s="1"/>
  <c r="H178" i="12"/>
  <c r="X227" i="12"/>
  <c r="Q244" i="12"/>
  <c r="P243" i="12"/>
  <c r="E218" i="12"/>
  <c r="C131" i="13" s="1"/>
  <c r="E221" i="12"/>
  <c r="C134" i="13" s="1"/>
  <c r="E216" i="12"/>
  <c r="C129" i="13" s="1"/>
  <c r="N228" i="12"/>
  <c r="L141" i="13" s="1"/>
  <c r="N236" i="12"/>
  <c r="L149" i="13" s="1"/>
  <c r="K231" i="12"/>
  <c r="I144" i="13" s="1"/>
  <c r="L243" i="12"/>
  <c r="J156" i="13" s="1"/>
  <c r="N219" i="12"/>
  <c r="L132" i="13" s="1"/>
  <c r="Q230" i="12"/>
  <c r="E241" i="12"/>
  <c r="C154" i="13" s="1"/>
  <c r="X215" i="12"/>
  <c r="N218" i="12"/>
  <c r="L131" i="13" s="1"/>
  <c r="N224" i="12"/>
  <c r="L137" i="13" s="1"/>
  <c r="P217" i="12"/>
  <c r="F26" i="13"/>
  <c r="F65" i="13" s="1"/>
  <c r="H191" i="12"/>
  <c r="L217" i="12"/>
  <c r="J130" i="13" s="1"/>
  <c r="L215" i="12"/>
  <c r="J128" i="13" s="1"/>
  <c r="G247" i="12"/>
  <c r="E160" i="13" s="1"/>
  <c r="J235" i="12"/>
  <c r="H148" i="13" s="1"/>
  <c r="J240" i="12"/>
  <c r="H153" i="13" s="1"/>
  <c r="N233" i="12"/>
  <c r="L146" i="13" s="1"/>
  <c r="R210" i="12"/>
  <c r="R244" i="12" s="1"/>
  <c r="X246" i="12"/>
  <c r="F18" i="13"/>
  <c r="F57" i="13" s="1"/>
  <c r="H183" i="12"/>
  <c r="X224" i="12"/>
  <c r="F149" i="8"/>
  <c r="D23" i="9" s="1"/>
  <c r="E224" i="12"/>
  <c r="C137" i="13" s="1"/>
  <c r="G232" i="12"/>
  <c r="E145" i="13" s="1"/>
  <c r="T249" i="12"/>
  <c r="T228" i="12"/>
  <c r="X221" i="12"/>
  <c r="J228" i="12"/>
  <c r="H141" i="13" s="1"/>
  <c r="M236" i="12"/>
  <c r="K149" i="13" s="1"/>
  <c r="M220" i="12"/>
  <c r="K133" i="13" s="1"/>
  <c r="M238" i="12"/>
  <c r="K151" i="13" s="1"/>
  <c r="D16" i="13"/>
  <c r="D55" i="13" s="1"/>
  <c r="F181" i="12"/>
  <c r="J245" i="12"/>
  <c r="H158" i="13" s="1"/>
  <c r="F38" i="13"/>
  <c r="F77" i="13" s="1"/>
  <c r="H203" i="12"/>
  <c r="X219" i="12"/>
  <c r="Q249" i="12"/>
  <c r="Q235" i="12"/>
  <c r="Q227" i="12"/>
  <c r="T246" i="12"/>
  <c r="T232" i="12"/>
  <c r="M225" i="12"/>
  <c r="K138" i="13" s="1"/>
  <c r="E223" i="12"/>
  <c r="C136" i="13" s="1"/>
  <c r="M230" i="12"/>
  <c r="K143" i="13" s="1"/>
  <c r="M227" i="12"/>
  <c r="K140" i="13" s="1"/>
  <c r="X223" i="12"/>
  <c r="X237" i="12"/>
  <c r="Q223" i="12"/>
  <c r="N248" i="12"/>
  <c r="L161" i="13" s="1"/>
  <c r="T230" i="12"/>
  <c r="H139" i="8"/>
  <c r="F13" i="9" s="1"/>
  <c r="L242" i="12"/>
  <c r="J155" i="13" s="1"/>
  <c r="G229" i="12"/>
  <c r="E142" i="13" s="1"/>
  <c r="J222" i="12"/>
  <c r="H135" i="13" s="1"/>
  <c r="K243" i="12"/>
  <c r="I156" i="13" s="1"/>
  <c r="E227" i="12"/>
  <c r="C140" i="13" s="1"/>
  <c r="G246" i="12"/>
  <c r="E159" i="13" s="1"/>
  <c r="O238" i="12"/>
  <c r="R219" i="12"/>
  <c r="Q245" i="12"/>
  <c r="T247" i="12"/>
  <c r="J221" i="12"/>
  <c r="H134" i="13" s="1"/>
  <c r="F157" i="8"/>
  <c r="D31" i="9" s="1"/>
  <c r="R239" i="12"/>
  <c r="G248" i="12"/>
  <c r="E161" i="13" s="1"/>
  <c r="P240" i="12"/>
  <c r="O240" i="12"/>
  <c r="M245" i="12"/>
  <c r="K158" i="13" s="1"/>
  <c r="H156" i="8"/>
  <c r="F30" i="9" s="1"/>
  <c r="F154" i="8"/>
  <c r="D28" i="9" s="1"/>
  <c r="K244" i="12"/>
  <c r="I157" i="13" s="1"/>
  <c r="M217" i="12"/>
  <c r="K130" i="13" s="1"/>
  <c r="J215" i="12"/>
  <c r="H128" i="13" s="1"/>
  <c r="J226" i="12"/>
  <c r="H139" i="13" s="1"/>
  <c r="G240" i="12"/>
  <c r="E153" i="13" s="1"/>
  <c r="X235" i="12"/>
  <c r="F21" i="13"/>
  <c r="F60" i="13" s="1"/>
  <c r="H186" i="12"/>
  <c r="L237" i="12"/>
  <c r="J150" i="13" s="1"/>
  <c r="F14" i="13"/>
  <c r="F53" i="13" s="1"/>
  <c r="H179" i="12"/>
  <c r="L218" i="12"/>
  <c r="J131" i="13" s="1"/>
  <c r="F151" i="8"/>
  <c r="D25" i="9" s="1"/>
  <c r="F167" i="8"/>
  <c r="D41" i="9" s="1"/>
  <c r="G227" i="12"/>
  <c r="E140" i="13" s="1"/>
  <c r="J241" i="12"/>
  <c r="H154" i="13" s="1"/>
  <c r="F35" i="13"/>
  <c r="F74" i="13" s="1"/>
  <c r="H200" i="12"/>
  <c r="M234" i="12"/>
  <c r="K147" i="13" s="1"/>
  <c r="I229" i="12"/>
  <c r="G142" i="13" s="1"/>
  <c r="F141" i="8"/>
  <c r="D15" i="9" s="1"/>
  <c r="F148" i="8"/>
  <c r="D22" i="9" s="1"/>
  <c r="L221" i="12"/>
  <c r="J134" i="13" s="1"/>
  <c r="L224" i="12"/>
  <c r="J137" i="13" s="1"/>
  <c r="J236" i="12"/>
  <c r="H149" i="13" s="1"/>
  <c r="M219" i="12"/>
  <c r="K132" i="13" s="1"/>
  <c r="M224" i="12"/>
  <c r="K137" i="13" s="1"/>
  <c r="G234" i="12"/>
  <c r="E147" i="13" s="1"/>
  <c r="T241" i="12"/>
  <c r="L234" i="12"/>
  <c r="J147" i="13" s="1"/>
  <c r="J227" i="12"/>
  <c r="H140" i="13" s="1"/>
  <c r="F153" i="8"/>
  <c r="D27" i="9" s="1"/>
  <c r="F145" i="8"/>
  <c r="D19" i="9" s="1"/>
  <c r="L244" i="12"/>
  <c r="J157" i="13" s="1"/>
  <c r="G236" i="12"/>
  <c r="E149" i="13" s="1"/>
  <c r="N235" i="12"/>
  <c r="L148" i="13" s="1"/>
  <c r="R217" i="12"/>
  <c r="I224" i="12"/>
  <c r="G137" i="13" s="1"/>
  <c r="L216" i="12"/>
  <c r="J129" i="13" s="1"/>
  <c r="I241" i="12"/>
  <c r="G154" i="13" s="1"/>
  <c r="I216" i="12"/>
  <c r="G129" i="13" s="1"/>
  <c r="H163" i="8"/>
  <c r="F37" i="9" s="1"/>
  <c r="O217" i="12"/>
  <c r="R238" i="12"/>
  <c r="J216" i="12"/>
  <c r="H129" i="13" s="1"/>
  <c r="M241" i="12"/>
  <c r="K154" i="13" s="1"/>
  <c r="Q216" i="12"/>
  <c r="P246" i="12"/>
  <c r="T224" i="12"/>
  <c r="F139" i="8"/>
  <c r="D13" i="9" s="1"/>
  <c r="K242" i="12"/>
  <c r="I155" i="13" s="1"/>
  <c r="E215" i="12"/>
  <c r="C128" i="13" s="1"/>
  <c r="M222" i="12"/>
  <c r="K135" i="13" s="1"/>
  <c r="J239" i="12"/>
  <c r="H152" i="13" s="1"/>
  <c r="F27" i="13"/>
  <c r="F66" i="13" s="1"/>
  <c r="H192" i="12"/>
  <c r="X238" i="12"/>
  <c r="L233" i="12"/>
  <c r="J146" i="13" s="1"/>
  <c r="F136" i="8"/>
  <c r="D10" i="9" s="1"/>
  <c r="K237" i="12"/>
  <c r="I150" i="13" s="1"/>
  <c r="X228" i="12"/>
  <c r="T239" i="12"/>
  <c r="L232" i="12"/>
  <c r="J145" i="13" s="1"/>
  <c r="F143" i="8"/>
  <c r="D17" i="9" s="1"/>
  <c r="H136" i="8"/>
  <c r="F10" i="9" s="1"/>
  <c r="H137" i="8"/>
  <c r="F11" i="9" s="1"/>
  <c r="J225" i="12"/>
  <c r="H138" i="13" s="1"/>
  <c r="M223" i="12"/>
  <c r="K136" i="13" s="1"/>
  <c r="E222" i="12"/>
  <c r="C135" i="13" s="1"/>
  <c r="M243" i="12"/>
  <c r="K156" i="13" s="1"/>
  <c r="N240" i="12"/>
  <c r="L153" i="13" s="1"/>
  <c r="K245" i="12"/>
  <c r="I158" i="13" s="1"/>
  <c r="G241" i="12"/>
  <c r="E154" i="13" s="1"/>
  <c r="G214" i="12"/>
  <c r="E127" i="13" s="1"/>
  <c r="F11" i="13"/>
  <c r="F50" i="13" s="1"/>
  <c r="H176" i="12"/>
  <c r="X229" i="12"/>
  <c r="D30" i="13"/>
  <c r="D69" i="13" s="1"/>
  <c r="F195" i="12"/>
  <c r="F16" i="13"/>
  <c r="F55" i="13" s="1"/>
  <c r="H181" i="12"/>
  <c r="J232" i="12"/>
  <c r="H145" i="13" s="1"/>
  <c r="N242" i="12"/>
  <c r="L155" i="13" s="1"/>
  <c r="M231" i="12"/>
  <c r="K144" i="13" s="1"/>
  <c r="E243" i="12"/>
  <c r="C156" i="13" s="1"/>
  <c r="O236" i="12"/>
  <c r="F164" i="8"/>
  <c r="D38" i="9" s="1"/>
  <c r="T229" i="12"/>
  <c r="M244" i="12"/>
  <c r="K157" i="13" s="1"/>
  <c r="G243" i="12"/>
  <c r="E156" i="13" s="1"/>
  <c r="R241" i="12"/>
  <c r="X231" i="12"/>
  <c r="E232" i="12"/>
  <c r="C145" i="13" s="1"/>
  <c r="J242" i="12"/>
  <c r="H155" i="13" s="1"/>
  <c r="E231" i="12"/>
  <c r="C144" i="13" s="1"/>
  <c r="N238" i="12"/>
  <c r="L151" i="13" s="1"/>
  <c r="M240" i="12"/>
  <c r="K153" i="13" s="1"/>
  <c r="O223" i="12"/>
  <c r="Q241" i="12"/>
  <c r="P249" i="12"/>
  <c r="P220" i="12"/>
  <c r="P227" i="12"/>
  <c r="F160" i="8"/>
  <c r="D34" i="9" s="1"/>
  <c r="E233" i="12"/>
  <c r="C146" i="13" s="1"/>
  <c r="E248" i="12"/>
  <c r="C161" i="13" s="1"/>
  <c r="R231" i="12"/>
  <c r="G226" i="12"/>
  <c r="E139" i="13" s="1"/>
  <c r="K232" i="12"/>
  <c r="I145" i="13" s="1"/>
  <c r="I245" i="12"/>
  <c r="G158" i="13" s="1"/>
  <c r="P241" i="12"/>
  <c r="H143" i="8"/>
  <c r="F17" i="9" s="1"/>
  <c r="G242" i="12"/>
  <c r="E155" i="13" s="1"/>
  <c r="L223" i="12"/>
  <c r="J136" i="13" s="1"/>
  <c r="N230" i="12"/>
  <c r="L143" i="13" s="1"/>
  <c r="E247" i="12"/>
  <c r="C160" i="13" s="1"/>
  <c r="J234" i="12"/>
  <c r="H147" i="13" s="1"/>
  <c r="T220" i="12"/>
  <c r="Q234" i="12"/>
  <c r="N241" i="12"/>
  <c r="L154" i="13" s="1"/>
  <c r="T240" i="12"/>
  <c r="M248" i="12"/>
  <c r="K161" i="13" s="1"/>
  <c r="K248" i="12"/>
  <c r="I161" i="13" s="1"/>
  <c r="E237" i="12"/>
  <c r="C150" i="13" s="1"/>
  <c r="D22" i="13"/>
  <c r="D61" i="13" s="1"/>
  <c r="F187" i="12"/>
  <c r="R220" i="12"/>
  <c r="H190" i="12"/>
  <c r="F25" i="13"/>
  <c r="F64" i="13" s="1"/>
  <c r="S214" i="12"/>
  <c r="S210" i="12"/>
  <c r="S228" i="12" s="1"/>
  <c r="M226" i="12"/>
  <c r="K139" i="13" s="1"/>
  <c r="F159" i="8"/>
  <c r="D33" i="9" s="1"/>
  <c r="K223" i="12"/>
  <c r="I136" i="13" s="1"/>
  <c r="N222" i="12"/>
  <c r="L135" i="13" s="1"/>
  <c r="J219" i="12"/>
  <c r="H132" i="13" s="1"/>
  <c r="S246" i="12" l="1"/>
  <c r="S215" i="12"/>
  <c r="R214" i="12"/>
  <c r="R216" i="12"/>
  <c r="R222" i="12"/>
  <c r="R215" i="12"/>
  <c r="K234" i="12"/>
  <c r="I147" i="13" s="1"/>
  <c r="X247" i="12"/>
  <c r="K247" i="12"/>
  <c r="I160" i="13" s="1"/>
  <c r="R235" i="12"/>
  <c r="L226" i="12"/>
  <c r="J139" i="13" s="1"/>
  <c r="K229" i="12"/>
  <c r="I142" i="13" s="1"/>
  <c r="R248" i="12"/>
  <c r="K221" i="12"/>
  <c r="I134" i="13" s="1"/>
  <c r="R230" i="12"/>
  <c r="O237" i="12"/>
  <c r="R223" i="12"/>
  <c r="R232" i="12"/>
  <c r="S217" i="12"/>
  <c r="S227" i="12"/>
  <c r="S231" i="12"/>
  <c r="I249" i="12"/>
  <c r="I225" i="12"/>
  <c r="G138" i="13" s="1"/>
  <c r="I227" i="12"/>
  <c r="G140" i="13" s="1"/>
  <c r="I234" i="12"/>
  <c r="G147" i="13" s="1"/>
  <c r="I220" i="12"/>
  <c r="G133" i="13" s="1"/>
  <c r="I230" i="12"/>
  <c r="G143" i="13" s="1"/>
  <c r="I242" i="12"/>
  <c r="G155" i="13" s="1"/>
  <c r="I238" i="12"/>
  <c r="G151" i="13" s="1"/>
  <c r="I219" i="12"/>
  <c r="G132" i="13" s="1"/>
  <c r="I231" i="12"/>
  <c r="G144" i="13" s="1"/>
  <c r="I247" i="12"/>
  <c r="G160" i="13" s="1"/>
  <c r="I239" i="12"/>
  <c r="G152" i="13" s="1"/>
  <c r="I236" i="12"/>
  <c r="G149" i="13" s="1"/>
  <c r="I226" i="12"/>
  <c r="G139" i="13" s="1"/>
  <c r="I217" i="12"/>
  <c r="G130" i="13" s="1"/>
  <c r="I223" i="12"/>
  <c r="G136" i="13" s="1"/>
  <c r="I228" i="12"/>
  <c r="G141" i="13" s="1"/>
  <c r="I215" i="12"/>
  <c r="G128" i="13" s="1"/>
  <c r="I246" i="12"/>
  <c r="G159" i="13" s="1"/>
  <c r="I222" i="12"/>
  <c r="G135" i="13" s="1"/>
  <c r="I235" i="12"/>
  <c r="G148" i="13" s="1"/>
  <c r="I240" i="12"/>
  <c r="G153" i="13" s="1"/>
  <c r="I243" i="12"/>
  <c r="G156" i="13" s="1"/>
  <c r="S238" i="12"/>
  <c r="K224" i="12"/>
  <c r="I137" i="13" s="1"/>
  <c r="L220" i="12"/>
  <c r="J133" i="13" s="1"/>
  <c r="R226" i="12"/>
  <c r="X216" i="12"/>
  <c r="K218" i="12"/>
  <c r="I131" i="13" s="1"/>
  <c r="R247" i="12"/>
  <c r="X233" i="12"/>
  <c r="S248" i="12"/>
  <c r="S245" i="12"/>
  <c r="X244" i="12"/>
  <c r="S247" i="12"/>
  <c r="O219" i="12"/>
  <c r="I233" i="12"/>
  <c r="G146" i="13" s="1"/>
  <c r="O225" i="12"/>
  <c r="I248" i="12"/>
  <c r="G161" i="13" s="1"/>
  <c r="S249" i="12"/>
  <c r="S240" i="12"/>
  <c r="S243" i="12"/>
  <c r="S221" i="12"/>
  <c r="S224" i="12"/>
  <c r="S216" i="12"/>
  <c r="S223" i="12"/>
  <c r="S237" i="12"/>
  <c r="S226" i="12"/>
  <c r="S229" i="12"/>
  <c r="R228" i="12"/>
  <c r="R236" i="12"/>
  <c r="S220" i="12"/>
  <c r="R233" i="12"/>
  <c r="L249" i="12"/>
  <c r="L240" i="12"/>
  <c r="J153" i="13" s="1"/>
  <c r="L235" i="12"/>
  <c r="J148" i="13" s="1"/>
  <c r="L246" i="12"/>
  <c r="J159" i="13" s="1"/>
  <c r="L238" i="12"/>
  <c r="J151" i="13" s="1"/>
  <c r="L219" i="12"/>
  <c r="J132" i="13" s="1"/>
  <c r="L247" i="12"/>
  <c r="J160" i="13" s="1"/>
  <c r="L222" i="12"/>
  <c r="J135" i="13" s="1"/>
  <c r="L225" i="12"/>
  <c r="J138" i="13" s="1"/>
  <c r="L236" i="12"/>
  <c r="J149" i="13" s="1"/>
  <c r="L227" i="12"/>
  <c r="J140" i="13" s="1"/>
  <c r="L239" i="12"/>
  <c r="J152" i="13" s="1"/>
  <c r="S235" i="12"/>
  <c r="S222" i="12"/>
  <c r="X249" i="12"/>
  <c r="X240" i="12"/>
  <c r="K249" i="12"/>
  <c r="K227" i="12"/>
  <c r="I140" i="13" s="1"/>
  <c r="K233" i="12"/>
  <c r="I146" i="13" s="1"/>
  <c r="K230" i="12"/>
  <c r="I143" i="13" s="1"/>
  <c r="K228" i="12"/>
  <c r="I141" i="13" s="1"/>
  <c r="K220" i="12"/>
  <c r="I133" i="13" s="1"/>
  <c r="K238" i="12"/>
  <c r="I151" i="13" s="1"/>
  <c r="K239" i="12"/>
  <c r="I152" i="13" s="1"/>
  <c r="K219" i="12"/>
  <c r="I132" i="13" s="1"/>
  <c r="K240" i="12"/>
  <c r="I153" i="13" s="1"/>
  <c r="K222" i="12"/>
  <c r="I135" i="13" s="1"/>
  <c r="K246" i="12"/>
  <c r="I159" i="13" s="1"/>
  <c r="K225" i="12"/>
  <c r="I138" i="13" s="1"/>
  <c r="K215" i="12"/>
  <c r="I128" i="13" s="1"/>
  <c r="K235" i="12"/>
  <c r="I148" i="13" s="1"/>
  <c r="K236" i="12"/>
  <c r="I149" i="13" s="1"/>
  <c r="S232" i="12"/>
  <c r="I218" i="12"/>
  <c r="G131" i="13" s="1"/>
  <c r="L214" i="12"/>
  <c r="J127" i="13" s="1"/>
  <c r="F215" i="12"/>
  <c r="D128" i="13" s="1"/>
  <c r="F210" i="12"/>
  <c r="L245" i="12"/>
  <c r="J158" i="13" s="1"/>
  <c r="I232" i="12"/>
  <c r="G145" i="13" s="1"/>
  <c r="S241" i="12"/>
  <c r="S230" i="12"/>
  <c r="S225" i="12"/>
  <c r="R227" i="12"/>
  <c r="O249" i="12"/>
  <c r="O214" i="12"/>
  <c r="O246" i="12"/>
  <c r="O222" i="12"/>
  <c r="O244" i="12"/>
  <c r="O221" i="12"/>
  <c r="O233" i="12"/>
  <c r="O216" i="12"/>
  <c r="O247" i="12"/>
  <c r="O232" i="12"/>
  <c r="O241" i="12"/>
  <c r="O224" i="12"/>
  <c r="O234" i="12"/>
  <c r="O243" i="12"/>
  <c r="O245" i="12"/>
  <c r="O248" i="12"/>
  <c r="O235" i="12"/>
  <c r="O220" i="12"/>
  <c r="O226" i="12"/>
  <c r="O218" i="12"/>
  <c r="O242" i="12"/>
  <c r="O227" i="12"/>
  <c r="I237" i="12"/>
  <c r="G150" i="13" s="1"/>
  <c r="R245" i="12"/>
  <c r="X225" i="12"/>
  <c r="X248" i="12"/>
  <c r="O231" i="12"/>
  <c r="X234" i="12"/>
  <c r="K226" i="12"/>
  <c r="I139" i="13" s="1"/>
  <c r="S219" i="12"/>
  <c r="S218" i="12"/>
  <c r="S233" i="12"/>
  <c r="S242" i="12"/>
  <c r="S239" i="12"/>
  <c r="S244" i="12"/>
  <c r="H218" i="12"/>
  <c r="F131" i="13" s="1"/>
  <c r="R249" i="12"/>
  <c r="R246" i="12"/>
  <c r="R221" i="12"/>
  <c r="R225" i="12"/>
  <c r="R240" i="12"/>
  <c r="R242" i="12"/>
  <c r="R224" i="12"/>
  <c r="R237" i="12"/>
  <c r="R243" i="12"/>
  <c r="R229" i="12"/>
  <c r="R218" i="12"/>
  <c r="F230" i="12"/>
  <c r="D143" i="13" s="1"/>
  <c r="H210" i="12"/>
  <c r="H243" i="12" s="1"/>
  <c r="F156" i="13" s="1"/>
  <c r="O215" i="12"/>
  <c r="S236" i="12"/>
  <c r="O229" i="12"/>
  <c r="X239" i="12"/>
  <c r="S234" i="12"/>
  <c r="X222" i="12"/>
  <c r="L248" i="12"/>
  <c r="J161" i="13" s="1"/>
  <c r="X226" i="12"/>
  <c r="H235" i="12"/>
  <c r="F148" i="13" s="1"/>
  <c r="X220" i="12"/>
  <c r="R234" i="12"/>
  <c r="H217" i="12" l="1"/>
  <c r="F130" i="13" s="1"/>
  <c r="H231" i="12"/>
  <c r="F144" i="13" s="1"/>
  <c r="H223" i="12"/>
  <c r="F136" i="13" s="1"/>
  <c r="H234" i="12"/>
  <c r="F147" i="13" s="1"/>
  <c r="H240" i="12"/>
  <c r="F153" i="13" s="1"/>
  <c r="H249" i="12"/>
  <c r="H247" i="12"/>
  <c r="F160" i="13" s="1"/>
  <c r="H219" i="12"/>
  <c r="F132" i="13" s="1"/>
  <c r="H238" i="12"/>
  <c r="F151" i="13" s="1"/>
  <c r="H246" i="12"/>
  <c r="F159" i="13" s="1"/>
  <c r="H241" i="12"/>
  <c r="F154" i="13" s="1"/>
  <c r="H221" i="12"/>
  <c r="F134" i="13" s="1"/>
  <c r="H233" i="12"/>
  <c r="F146" i="13" s="1"/>
  <c r="H245" i="12"/>
  <c r="F158" i="13" s="1"/>
  <c r="H248" i="12"/>
  <c r="F161" i="13" s="1"/>
  <c r="H232" i="12"/>
  <c r="F145" i="13" s="1"/>
  <c r="H226" i="12"/>
  <c r="F139" i="13" s="1"/>
  <c r="H214" i="12"/>
  <c r="F127" i="13" s="1"/>
  <c r="H244" i="12"/>
  <c r="F157" i="13" s="1"/>
  <c r="H242" i="12"/>
  <c r="F155" i="13" s="1"/>
  <c r="H239" i="12"/>
  <c r="F152" i="13" s="1"/>
  <c r="H229" i="12"/>
  <c r="F142" i="13" s="1"/>
  <c r="F249" i="12"/>
  <c r="F243" i="12"/>
  <c r="D156" i="13" s="1"/>
  <c r="F236" i="12"/>
  <c r="D149" i="13" s="1"/>
  <c r="F235" i="12"/>
  <c r="D148" i="13" s="1"/>
  <c r="F227" i="12"/>
  <c r="D140" i="13" s="1"/>
  <c r="F228" i="12"/>
  <c r="D141" i="13" s="1"/>
  <c r="F214" i="12"/>
  <c r="D127" i="13" s="1"/>
  <c r="F246" i="12"/>
  <c r="D159" i="13" s="1"/>
  <c r="F219" i="12"/>
  <c r="D132" i="13" s="1"/>
  <c r="F223" i="12"/>
  <c r="D136" i="13" s="1"/>
  <c r="F247" i="12"/>
  <c r="D160" i="13" s="1"/>
  <c r="F222" i="12"/>
  <c r="D135" i="13" s="1"/>
  <c r="F217" i="12"/>
  <c r="D130" i="13" s="1"/>
  <c r="F242" i="12"/>
  <c r="D155" i="13" s="1"/>
  <c r="F239" i="12"/>
  <c r="D152" i="13" s="1"/>
  <c r="F240" i="12"/>
  <c r="D153" i="13" s="1"/>
  <c r="F237" i="12"/>
  <c r="D150" i="13" s="1"/>
  <c r="F231" i="12"/>
  <c r="D144" i="13" s="1"/>
  <c r="F248" i="12"/>
  <c r="D161" i="13" s="1"/>
  <c r="F218" i="12"/>
  <c r="D131" i="13" s="1"/>
  <c r="F221" i="12"/>
  <c r="D134" i="13" s="1"/>
  <c r="F224" i="12"/>
  <c r="D137" i="13" s="1"/>
  <c r="F241" i="12"/>
  <c r="D154" i="13" s="1"/>
  <c r="F216" i="12"/>
  <c r="D129" i="13" s="1"/>
  <c r="F225" i="12"/>
  <c r="D138" i="13" s="1"/>
  <c r="F233" i="12"/>
  <c r="D146" i="13" s="1"/>
  <c r="F244" i="12"/>
  <c r="D157" i="13" s="1"/>
  <c r="F232" i="12"/>
  <c r="D145" i="13" s="1"/>
  <c r="F245" i="12"/>
  <c r="D158" i="13" s="1"/>
  <c r="F238" i="12"/>
  <c r="D151" i="13" s="1"/>
  <c r="F229" i="12"/>
  <c r="D142" i="13" s="1"/>
  <c r="H228" i="12"/>
  <c r="F141" i="13" s="1"/>
  <c r="H227" i="12"/>
  <c r="F140" i="13" s="1"/>
  <c r="H225" i="12"/>
  <c r="F138" i="13" s="1"/>
  <c r="H230" i="12"/>
  <c r="F143" i="13" s="1"/>
  <c r="H236" i="12"/>
  <c r="F149" i="13" s="1"/>
  <c r="H237" i="12"/>
  <c r="F150" i="13" s="1"/>
  <c r="H222" i="12"/>
  <c r="F135" i="13" s="1"/>
  <c r="H220" i="12"/>
  <c r="F133" i="13" s="1"/>
  <c r="H215" i="12"/>
  <c r="F128" i="13" s="1"/>
  <c r="H216" i="12"/>
  <c r="F129" i="13" s="1"/>
  <c r="F234" i="12"/>
  <c r="D147" i="13" s="1"/>
  <c r="H224" i="12"/>
  <c r="F137" i="13" s="1"/>
  <c r="F226" i="12"/>
  <c r="D139" i="13" s="1"/>
  <c r="F220" i="12"/>
  <c r="D133" i="13" s="1"/>
</calcChain>
</file>

<file path=xl/sharedStrings.xml><?xml version="1.0" encoding="utf-8"?>
<sst xmlns="http://schemas.openxmlformats.org/spreadsheetml/2006/main" count="1400" uniqueCount="443">
  <si>
    <t>模型Base的样本</t>
  </si>
  <si>
    <t>&gt;&gt;请输入：</t>
  </si>
  <si>
    <t>标准化系数（回归模型结果）</t>
  </si>
  <si>
    <t>Factor1</t>
  </si>
  <si>
    <t>是否有brand dispo信息（Yes：1，No：0）</t>
  </si>
  <si>
    <t>Factor2</t>
  </si>
  <si>
    <t>Factor3</t>
  </si>
  <si>
    <t>Factor4</t>
  </si>
  <si>
    <t>Factor5</t>
  </si>
  <si>
    <t>如果是，请输入Brand dispo对应的在sav数据中的变量信息</t>
  </si>
  <si>
    <t>Factor6</t>
  </si>
  <si>
    <t>Factor7</t>
  </si>
  <si>
    <t>Factor8</t>
  </si>
  <si>
    <t>Factor9</t>
  </si>
  <si>
    <t>Factor10</t>
  </si>
  <si>
    <t>Factor11</t>
  </si>
  <si>
    <t>Factor12</t>
  </si>
  <si>
    <t>Factor13</t>
  </si>
  <si>
    <t>Factor14</t>
  </si>
  <si>
    <t>Factor15</t>
  </si>
  <si>
    <t>Factor16</t>
  </si>
  <si>
    <t>Factor17</t>
  </si>
  <si>
    <t>Factor18</t>
  </si>
  <si>
    <t>Factor19</t>
  </si>
  <si>
    <t>Factor20</t>
  </si>
  <si>
    <t>Factor21</t>
  </si>
  <si>
    <t>Factor22</t>
  </si>
  <si>
    <t>Factor23</t>
  </si>
  <si>
    <t>Factor24</t>
  </si>
  <si>
    <t>Factor25</t>
  </si>
  <si>
    <t>Factor26</t>
  </si>
  <si>
    <t>Factor27</t>
  </si>
  <si>
    <t>Factor28</t>
  </si>
  <si>
    <t>Factor29</t>
  </si>
  <si>
    <t>Factor30</t>
  </si>
  <si>
    <t>Factor31</t>
  </si>
  <si>
    <t>Factor32</t>
  </si>
  <si>
    <t>Factor33</t>
  </si>
  <si>
    <t>Factor34</t>
  </si>
  <si>
    <t>Factor35</t>
  </si>
  <si>
    <t>Factor36</t>
  </si>
  <si>
    <t>Factor37</t>
  </si>
  <si>
    <t>Factor38</t>
  </si>
  <si>
    <t>非标准化系数（brand dispo）</t>
  </si>
  <si>
    <t>Reach（brand dispo）</t>
  </si>
  <si>
    <t>常数项</t>
  </si>
  <si>
    <t>Constant</t>
  </si>
  <si>
    <t>系数（回归模型结果）</t>
  </si>
  <si>
    <t>Baseline</t>
  </si>
  <si>
    <t>KPI表现</t>
  </si>
  <si>
    <t>Y(All)</t>
  </si>
  <si>
    <t>报告中的Baseline</t>
  </si>
  <si>
    <t>BaseLine</t>
  </si>
  <si>
    <t>报告中的Impact</t>
  </si>
  <si>
    <t>Uplifts</t>
  </si>
  <si>
    <t>Channel所属Factor</t>
  </si>
  <si>
    <t>Channel Coefficient</t>
  </si>
  <si>
    <t xml:space="preserve">Recognition% </t>
  </si>
  <si>
    <t>Factor构成系数</t>
  </si>
  <si>
    <t>将负系数的标准化系数替换成一个很小的数值(最小正数的1/3），确保结果合理</t>
  </si>
  <si>
    <t>Channel Adjusted Coefficient</t>
  </si>
  <si>
    <t>Channel Contribution Share</t>
  </si>
  <si>
    <t>这个文件主要用来整理MIA回归模型的结果，更新成给CS的模板</t>
  </si>
  <si>
    <t>•         自动更新"2A 回归Syntax"，Column A为X变量，Column B为Y变量（填充回归变量，多组回归同时进行时，按每组间间隔三行的形式向下填充）</t>
  </si>
  <si>
    <t>•        自动更新 2A Regression、2B RotationRule、2B FL、2C 均值、seenvsnoseen、Sample_Check</t>
  </si>
  <si>
    <t>•        需要维护2A 回归syntax C列及以后的公式</t>
  </si>
  <si>
    <t>•        更新“2D Mapping“，column A填写"2A Regression结果"对应的regression第几个regression结果表格（column L），column B填写table 对应的KPI，column C填写这个KPI是基于Total样本or部分样本</t>
  </si>
  <si>
    <t>•        2E.Analysis_MIA中，需要手动填写B列黄色部分(指回归x变量中除了factor以外的部分）</t>
  </si>
  <si>
    <t>待更新：</t>
  </si>
  <si>
    <t>2E.Analysis_MIA/2E.ROE Scan中，标准化系数的y变量，均是以变量名/变量名加d呈现，如果想要用一些标准化术语/标签，需要修改对应公式</t>
  </si>
  <si>
    <t>程序写入表格只是写入内容，目前的格式有些错乱，需要规范表格格式，看起来不那么乱</t>
  </si>
  <si>
    <t>目前某些公式的结果还空白/报错，需要检查公式的逻辑</t>
  </si>
  <si>
    <t>存在的问题：</t>
  </si>
  <si>
    <t>当回归同时进行两组（x变量只有factor/  factor+dy变量时），2E.Analysis_MIA的标准化系数后半部分结果错误</t>
  </si>
  <si>
    <t>按道理来说，只有前半部分y对应的brand dispo应该为0，现在整行都为0</t>
  </si>
  <si>
    <t>X变量</t>
  </si>
  <si>
    <t>Y变量</t>
  </si>
  <si>
    <t>SYNTAX1</t>
  </si>
  <si>
    <t>dLevel_B7_T2B</t>
  </si>
  <si>
    <t>dLevel_ABA</t>
  </si>
  <si>
    <t>dLevel_B6_T2B</t>
  </si>
  <si>
    <t>Dependent Variable: dLevel_ABA</t>
  </si>
  <si>
    <t>Model Summary</t>
  </si>
  <si>
    <t>Model</t>
  </si>
  <si>
    <t>R</t>
  </si>
  <si>
    <t>R Square</t>
  </si>
  <si>
    <t>Adjusted R Square</t>
  </si>
  <si>
    <t>Std. Error of the Estimate</t>
  </si>
  <si>
    <t>a. Predictors: (Constant), dLevel_B7_T2B, Factor1, Factor2, Factor3, Factor4, Factor5, Factor6, Factor7, Factor8, Factor9, Factor10, Factor11, Factor12, Factor13, Factor14, Factor15, Factor16, Factor17, Factor18, Factor19, Factor20, Factor21, Factor22, Factor23, Factor24, Factor25, Factor26, Factor27</t>
  </si>
  <si>
    <t>Coefficientsa</t>
  </si>
  <si>
    <t>Unstandardized Coefficients</t>
  </si>
  <si>
    <t>Standardized Coefficients</t>
  </si>
  <si>
    <t>t</t>
  </si>
  <si>
    <t>Sig.</t>
  </si>
  <si>
    <t>95.0% Confidence Interval for B</t>
  </si>
  <si>
    <t>B</t>
  </si>
  <si>
    <t>Std. Error</t>
  </si>
  <si>
    <t>Beta</t>
  </si>
  <si>
    <t>Lower Bound</t>
  </si>
  <si>
    <t>Upper Bound</t>
  </si>
  <si>
    <t>constant</t>
  </si>
  <si>
    <t>a. Dependent Variable: dLevel_ABA</t>
  </si>
  <si>
    <t>Dependent Variable: dLevel_B6_T2B</t>
  </si>
  <si>
    <t>a. Dependent Variable: dLevel_B6_T2B</t>
  </si>
  <si>
    <t>a. Predictors: (Constant), Factor1, Factor2, Factor3, Factor4, Factor5, Factor6, Factor7, Factor8, Factor9, Factor10, Factor11, Factor12, Factor13, Factor14, Factor15, Factor16, Factor17, Factor18, Factor19, Factor20, Factor21, Factor22, Factor23, Factor24, Factor25, Factor26, Factor27</t>
  </si>
  <si>
    <t>Dependent Variable: dLevel_B7_T2B</t>
  </si>
  <si>
    <t>a. Dependent Variable: dLevel_B7_T2B</t>
  </si>
  <si>
    <t>VariableID</t>
  </si>
  <si>
    <t>Name</t>
  </si>
  <si>
    <t>Lable</t>
  </si>
  <si>
    <t>dLevel_T2_1</t>
  </si>
  <si>
    <t>T2: Official brand website</t>
  </si>
  <si>
    <t>dLevel_T2_2</t>
  </si>
  <si>
    <t>T2: Streaming / content platforms</t>
  </si>
  <si>
    <t>dLevel_T2_3</t>
  </si>
  <si>
    <t>T2: CTV device / smart TV platform</t>
  </si>
  <si>
    <t>dLevel_T2_4</t>
  </si>
  <si>
    <t>T2: Social media</t>
  </si>
  <si>
    <t>dLevel_T2_5</t>
  </si>
  <si>
    <t>T2: Influencers /Content creators</t>
  </si>
  <si>
    <t>dLevel_T2_6</t>
  </si>
  <si>
    <t>T2: Online forums &amp; communities</t>
  </si>
  <si>
    <t>dLevel_T2_7</t>
  </si>
  <si>
    <t>T2: Search engines</t>
  </si>
  <si>
    <t>dLevel_T2_8</t>
  </si>
  <si>
    <t>T2: Online retail platforms / retailer websites</t>
  </si>
  <si>
    <t>dLevel_T2_9</t>
  </si>
  <si>
    <t>T2: Online news or digital media websites</t>
  </si>
  <si>
    <t>dLevel_T2_10</t>
  </si>
  <si>
    <t>T2: AI assistants / AI chatbot tools</t>
  </si>
  <si>
    <t>dLevel_T2_11</t>
  </si>
  <si>
    <t>T2: Deals sites / price comparison websites</t>
  </si>
  <si>
    <t>dLevel_T2_12</t>
  </si>
  <si>
    <t>T2: Second-hand or rental websites</t>
  </si>
  <si>
    <t>dLevel_T2_13</t>
  </si>
  <si>
    <t>T2: Podcasts</t>
  </si>
  <si>
    <t>dLevel_T2_14</t>
  </si>
  <si>
    <t>T2: TV commercials / Home shopping channels / Radio</t>
  </si>
  <si>
    <t>dLevel_T2_15</t>
  </si>
  <si>
    <t>T2: Newspapers /Magazines</t>
  </si>
  <si>
    <t>dLevel_T2_16</t>
  </si>
  <si>
    <t>T2: Large garden centers / chains</t>
  </si>
  <si>
    <t>dLevel_T2_17</t>
  </si>
  <si>
    <t>T2: Local specialized lawn equipment dealers / independent specialists</t>
  </si>
  <si>
    <t>dLevel_T2_18</t>
  </si>
  <si>
    <t>T2: Offline DIY home improvement retail chains</t>
  </si>
  <si>
    <t>dLevel_T2_19</t>
  </si>
  <si>
    <t>T2: Consumer electronics retailers</t>
  </si>
  <si>
    <t>dLevel_T2_21</t>
  </si>
  <si>
    <t>T2: In-store sales representatives / staff recommendations</t>
  </si>
  <si>
    <t>dLevel_T2_22</t>
  </si>
  <si>
    <t>T2: Outdoor advertising / OOH / DOOH</t>
  </si>
  <si>
    <t>dLevel_T2_23</t>
  </si>
  <si>
    <t>T2: Community groups or local organizations</t>
  </si>
  <si>
    <t>dLevel_T2_24</t>
  </si>
  <si>
    <t>T2: Recommendations from friends, family, colleagues or neighbors</t>
  </si>
  <si>
    <t>dLevel_T2_25</t>
  </si>
  <si>
    <t>T2: Live events, Trade shows, exhibitions, or garden expos</t>
  </si>
  <si>
    <t>dLevel_T2_26</t>
  </si>
  <si>
    <t>T2: Sponsorships, brand ambassadors, or official partnerships</t>
  </si>
  <si>
    <t>dLevel_T2_27</t>
  </si>
  <si>
    <t>T2: Local lawn care workshops</t>
  </si>
  <si>
    <t>dLevel_T2_28</t>
  </si>
  <si>
    <t>T2: Recommendations from professional landscapers or garden contractors</t>
  </si>
  <si>
    <t>Spend time = 00:00:02</t>
  </si>
  <si>
    <t>Factor Result</t>
  </si>
  <si>
    <t>TIME= 2026/08/12 17:32:09</t>
  </si>
  <si>
    <t>Rotation Method= Procrustes Method</t>
  </si>
  <si>
    <t>Total Variance Explained</t>
  </si>
  <si>
    <t>Initial Eigenvalues</t>
  </si>
  <si>
    <t>Extraction Method: Principal Component Analysis.</t>
  </si>
  <si>
    <t>Component</t>
  </si>
  <si>
    <t>Total</t>
  </si>
  <si>
    <t>% of Variance</t>
  </si>
  <si>
    <t>Cumulative %</t>
  </si>
  <si>
    <t>Component Matrix</t>
  </si>
  <si>
    <t>Variable</t>
  </si>
  <si>
    <t>Rotated Component Matrix</t>
  </si>
  <si>
    <t>Rotation Method: Procrustes with Kaiser Normalization.</t>
  </si>
  <si>
    <t>Available Rotation Rule Matrix</t>
  </si>
  <si>
    <t>You can Copy this Matrix to Rotation Rule Sheet.</t>
  </si>
  <si>
    <t>Component Score Coefficient Matrix</t>
  </si>
  <si>
    <t>Unstandardized Component Score Coefficient Matrix</t>
  </si>
  <si>
    <t>SPSS Syntax</t>
  </si>
  <si>
    <t>Compute Factor1 = 7.1103*dLevel_T2_1+0.4331*dLevel_T2_2+0.6185*dLevel_T2_3-0.9507*dLevel_T2_4+0.2309*dLevel_T2_5-0.2488*dLevel_T2_6-1.2221*dLevel_T2_7-0.4989*dLevel_T2_8+0.3982*dLevel_T2_9+0.1887*dLevel_T2_10-0.2517*dLevel_T2_11-0.1990*dLevel_T2_12-0.1904*dLevel_T2_13+0.0518*dLevel_T2_14-0.1804*dLevel_T2_15+0.1407*dLevel_T2_16+0.2011*dLevel_T2_17-0.9651*dLevel_T2_18+0.2054*dLevel_T2_19-0.6567*dLevel_T2_21+0.0112*dLevel_T2_22-0.1860*dLevel_T2_23-1.0733*dLevel_T2_24+0.2018*dLevel_T2_25-0.2965*dLevel_T2_26-0.3578*dLevel_T2_27-0.7166*dLevel_T2_28.</t>
  </si>
  <si>
    <t>Compute Factor2 = 0.3149*dLevel_T2_1+6.7538*dLevel_T2_2-0.6791*dLevel_T2_3-0.3716*dLevel_T2_4-0.1406*dLevel_T2_5-0.7647*dLevel_T2_6-0.2530*dLevel_T2_7-0.0562*dLevel_T2_8-0.0844*dLevel_T2_9-0.1194*dLevel_T2_10-0.0596*dLevel_T2_11-0.4974*dLevel_T2_12-0.2069*dLevel_T2_13-0.4237*dLevel_T2_14-0.4401*dLevel_T2_15-0.2412*dLevel_T2_16-0.0301*dLevel_T2_17-0.0713*dLevel_T2_18-0.2018*dLevel_T2_19-0.1056*dLevel_T2_21-0.0943*dLevel_T2_22-0.2086*dLevel_T2_23+0.1061*dLevel_T2_24+0.0042*dLevel_T2_25-0.1549*dLevel_T2_26-0.4991*dLevel_T2_27-0.0884*dLevel_T2_28.</t>
  </si>
  <si>
    <t>Compute Factor3 = 0.3948*dLevel_T2_1-0.5962*dLevel_T2_2+7.7337*dLevel_T2_3-0.2475*dLevel_T2_4-0.5274*dLevel_T2_5-0.3601*dLevel_T2_6+0.1015*dLevel_T2_7-0.0822*dLevel_T2_8-0.3167*dLevel_T2_9-0.4837*dLevel_T2_10-0.2172*dLevel_T2_11-0.0670*dLevel_T2_12-0.4614*dLevel_T2_13-0.2356*dLevel_T2_14-0.2449*dLevel_T2_15+0.1263*dLevel_T2_16-0.0982*dLevel_T2_17-0.2643*dLevel_T2_18-0.2877*dLevel_T2_19-0.2672*dLevel_T2_21+0.0140*dLevel_T2_22-0.9379*dLevel_T2_23+0.0978*dLevel_T2_24-0.5841*dLevel_T2_25-0.0674*dLevel_T2_26-0.1630*dLevel_T2_27+0.2197*dLevel_T2_28.</t>
  </si>
  <si>
    <t>Compute Factor4 = -1.0376*dLevel_T2_1-0.5577*dLevel_T2_2-0.4232*dLevel_T2_3+6.3786*dLevel_T2_4-0.4255*dLevel_T2_5-0.1192*dLevel_T2_6-0.8731*dLevel_T2_7-0.8301*dLevel_T2_8-0.0283*dLevel_T2_9-0.5634*dLevel_T2_10-0.4493*dLevel_T2_11+0.4466*dLevel_T2_12+0.2616*dLevel_T2_13-0.1920*dLevel_T2_14-0.0164*dLevel_T2_15-0.0924*dLevel_T2_16+0.0344*dLevel_T2_17-0.7422*dLevel_T2_18-0.1251*dLevel_T2_19-0.2018*dLevel_T2_21-0.1553*dLevel_T2_22-0.1268*dLevel_T2_23-0.8851*dLevel_T2_24-0.0050*dLevel_T2_25+0.1949*dLevel_T2_26+0.0266*dLevel_T2_27+0.0354*dLevel_T2_28.</t>
  </si>
  <si>
    <t>Compute Factor5 = 0.1735*dLevel_T2_1-0.1453*dLevel_T2_2-0.6209*dLevel_T2_3-0.2930*dLevel_T2_4+6.5780*dLevel_T2_5-0.7564*dLevel_T2_6-0.1857*dLevel_T2_7-0.3327*dLevel_T2_8-0.0625*dLevel_T2_9+0.0160*dLevel_T2_10-0.4005*dLevel_T2_11-0.4488*dLevel_T2_12-0.0613*dLevel_T2_13-0.6171*dLevel_T2_14-0.1930*dLevel_T2_15-0.2542*dLevel_T2_16-0.0332*dLevel_T2_17+0.0495*dLevel_T2_18+0.2338*dLevel_T2_19-0.0151*dLevel_T2_21-0.0291*dLevel_T2_22-0.0601*dLevel_T2_23-0.2833*dLevel_T2_24-0.0253*dLevel_T2_25-0.1623*dLevel_T2_26+0.0580*dLevel_T2_27-0.4124*dLevel_T2_28.</t>
  </si>
  <si>
    <t>Compute Factor6 = -0.1809*dLevel_T2_1-0.7647*dLevel_T2_2-0.4103*dLevel_T2_3-0.0794*dLevel_T2_4-0.7319*dLevel_T2_5+6.7689*dLevel_T2_6-0.1217*dLevel_T2_7+0.1505*dLevel_T2_8-0.4916*dLevel_T2_9-0.1770*dLevel_T2_10+0.1015*dLevel_T2_11+0.2381*dLevel_T2_12+0.2737*dLevel_T2_13-0.3752*dLevel_T2_14-0.2888*dLevel_T2_15-0.2929*dLevel_T2_16-0.4001*dLevel_T2_17-0.2111*dLevel_T2_18-0.0806*dLevel_T2_19+0.0556*dLevel_T2_21-0.1476*dLevel_T2_22-0.0787*dLevel_T2_23+0.1404*dLevel_T2_24-0.3622*dLevel_T2_25-0.3034*dLevel_T2_26-0.2102*dLevel_T2_27-0.4101*dLevel_T2_28.</t>
  </si>
  <si>
    <t>Compute Factor7 = -1.3027*dLevel_T2_1-0.3709*dLevel_T2_2+0.1696*dLevel_T2_3-0.8527*dLevel_T2_4-0.2635*dLevel_T2_5-0.1785*dLevel_T2_6+6.5372*dLevel_T2_7-0.7093*dLevel_T2_8+0.0207*dLevel_T2_9+0.4944*dLevel_T2_10-0.3835*dLevel_T2_11+0.1560*dLevel_T2_12-0.3436*dLevel_T2_13-0.1439*dLevel_T2_14+0.0330*dLevel_T2_15+0.0797*dLevel_T2_16-0.1927*dLevel_T2_17-0.7857*dLevel_T2_18+0.0116*dLevel_T2_19-0.3403*dLevel_T2_21-0.1115*dLevel_T2_22-0.1911*dLevel_T2_23-0.9421*dLevel_T2_24+0.0522*dLevel_T2_25+0.2900*dLevel_T2_26+0.2077*dLevel_T2_27-0.2121*dLevel_T2_28.</t>
  </si>
  <si>
    <t>Compute Factor8 = -0.5173*dLevel_T2_1-0.0801*dLevel_T2_2-0.1336*dLevel_T2_3-0.7888*dLevel_T2_4-0.4592*dLevel_T2_5+0.2147*dLevel_T2_6-0.6901*dLevel_T2_7+6.0671*dLevel_T2_8+0.1377*dLevel_T2_9-0.2502*dLevel_T2_10+0.3117*dLevel_T2_11+0.1010*dLevel_T2_12+0.4241*dLevel_T2_13-0.3631*dLevel_T2_14-0.1808*dLevel_T2_15-0.1016*dLevel_T2_16-0.2656*dLevel_T2_17-0.7142*dLevel_T2_18-0.0083*dLevel_T2_19-0.5831*dLevel_T2_21-0.1416*dLevel_T2_22+0.0726*dLevel_T2_23-0.6449*dLevel_T2_24-0.2826*dLevel_T2_25-0.1453*dLevel_T2_26-0.5985*dLevel_T2_27-0.3305*dLevel_T2_28.</t>
  </si>
  <si>
    <t>Compute Factor9 = 0.2268*dLevel_T2_1-0.0661*dLevel_T2_2-0.2826*dLevel_T2_3-0.0148*dLevel_T2_4-0.0474*dLevel_T2_5-0.3851*dLevel_T2_6+0.0111*dLevel_T2_7+0.0756*dLevel_T2_8+8.0601*dLevel_T2_9-0.6009*dLevel_T2_10-0.0855*dLevel_T2_11-0.2098*dLevel_T2_12-0.0969*dLevel_T2_13-0.4507*dLevel_T2_14+0.0169*dLevel_T2_15+0.0021*dLevel_T2_16-0.1962*dLevel_T2_17-0.1333*dLevel_T2_18-0.4723*dLevel_T2_19-0.1803*dLevel_T2_21-0.0908*dLevel_T2_22-0.2082*dLevel_T2_23-0.0791*dLevel_T2_24-0.1603*dLevel_T2_25-0.2728*dLevel_T2_26-0.2634*dLevel_T2_27-0.2940*dLevel_T2_28.</t>
  </si>
  <si>
    <t>Compute Factor10 = 0.1140*dLevel_T2_1-0.0991*dLevel_T2_2-0.4576*dLevel_T2_3-0.3117*dLevel_T2_4+0.0128*dLevel_T2_5-0.1470*dLevel_T2_6+0.2800*dLevel_T2_7-0.1457*dLevel_T2_8-0.6369*dLevel_T2_9+8.0938*dLevel_T2_10-0.2883*dLevel_T2_11-0.5407*dLevel_T2_12-0.4834*dLevel_T2_13-0.4821*dLevel_T2_14-0.5974*dLevel_T2_15-0.1722*dLevel_T2_16-0.1423*dLevel_T2_17+0.1942*dLevel_T2_18-0.4924*dLevel_T2_19+0.0966*dLevel_T2_21-0.1261*dLevel_T2_22-0.3009*dLevel_T2_23-0.2564*dLevel_T2_24-0.4320*dLevel_T2_25-0.3419*dLevel_T2_26-0.2292*dLevel_T2_27-0.0992*dLevel_T2_28.</t>
  </si>
  <si>
    <t>Compute Factor11 = -0.1946*dLevel_T2_1-0.0633*dLevel_T2_2-0.2630*dLevel_T2_3-0.3182*dLevel_T2_4-0.4119*dLevel_T2_5+0.1079*dLevel_T2_6-0.2781*dLevel_T2_7+0.2323*dLevel_T2_8-0.1161*dLevel_T2_9-0.3691*dLevel_T2_10+6.5110*dLevel_T2_11-0.0739*dLevel_T2_12-0.6205*dLevel_T2_13-0.1650*dLevel_T2_14-0.4308*dLevel_T2_15-0.0847*dLevel_T2_16-0.0873*dLevel_T2_17-0.4785*dLevel_T2_18-0.5516*dLevel_T2_19+0.5268*dLevel_T2_21+0.0999*dLevel_T2_22-0.3135*dLevel_T2_23-0.2805*dLevel_T2_24-0.2198*dLevel_T2_25-0.3511*dLevel_T2_26-0.2736*dLevel_T2_27-0.7318*dLevel_T2_28.</t>
  </si>
  <si>
    <t>Compute Factor12 = -0.1044*dLevel_T2_1-0.3587*dLevel_T2_2-0.0550*dLevel_T2_3+0.2146*dLevel_T2_4-0.3131*dLevel_T2_5+0.1717*dLevel_T2_6+0.0767*dLevel_T2_7+0.0511*dLevel_T2_8-0.1932*dLevel_T2_9-0.4695*dLevel_T2_10-0.0501*dLevel_T2_11+8.9435*dLevel_T2_12-0.4902*dLevel_T2_13-0.1113*dLevel_T2_14-0.3104*dLevel_T2_15-0.2680*dLevel_T2_16-0.2807*dLevel_T2_17-0.1939*dLevel_T2_18-0.4716*dLevel_T2_19+0.0352*dLevel_T2_21+0.0527*dLevel_T2_22-0.8932*dLevel_T2_23-0.0387*dLevel_T2_24-0.2300*dLevel_T2_25-0.5361*dLevel_T2_26-0.3272*dLevel_T2_27-0.1135*dLevel_T2_28.</t>
  </si>
  <si>
    <t>Compute Factor13 = -0.0845*dLevel_T2_1-0.1263*dLevel_T2_2-0.3207*dLevel_T2_3+0.1064*dLevel_T2_4-0.0362*dLevel_T2_5+0.1670*dLevel_T2_6-0.1430*dLevel_T2_7+0.1814*dLevel_T2_8-0.0755*dLevel_T2_9-0.3552*dLevel_T2_10-0.3562*dLevel_T2_11-0.4148*dLevel_T2_12+10.2194*dLevel_T2_13-0.1126*dLevel_T2_14-0.1012*dLevel_T2_15-0.7781*dLevel_T2_16-0.3484*dLevel_T2_17+0.0276*dLevel_T2_18-0.0322*dLevel_T2_19-0.0984*dLevel_T2_21-0.0349*dLevel_T2_22-0.3299*dLevel_T2_23+0.1249*dLevel_T2_24-0.4487*dLevel_T2_25-0.0820*dLevel_T2_26+0.0509*dLevel_T2_27-0.3161*dLevel_T2_28.</t>
  </si>
  <si>
    <t>Compute Factor14 = 0.0329*dLevel_T2_1-0.3706*dLevel_T2_2-0.2347*dLevel_T2_3-0.1119*dLevel_T2_4-0.5222*dLevel_T2_5-0.3281*dLevel_T2_6-0.0858*dLevel_T2_7-0.2226*dLevel_T2_8-0.5032*dLevel_T2_9-0.5078*dLevel_T2_10-0.1358*dLevel_T2_11-0.1350*dLevel_T2_12-0.1614*dLevel_T2_13+7.4332*dLevel_T2_14-0.0591*dLevel_T2_15-0.2118*dLevel_T2_16-0.1378*dLevel_T2_17+0.0647*dLevel_T2_18-0.4310*dLevel_T2_19+0.0585*dLevel_T2_21-0.1225*dLevel_T2_22-0.1363*dLevel_T2_23+0.2667*dLevel_T2_24+0.1261*dLevel_T2_25-0.4304*dLevel_T2_26-0.2630*dLevel_T2_27-0.1239*dLevel_T2_28.</t>
  </si>
  <si>
    <t>Compute Factor15 = -0.0967*dLevel_T2_1-0.3245*dLevel_T2_2-0.2057*dLevel_T2_3-0.0081*dLevel_T2_4-0.1377*dLevel_T2_5-0.2129*dLevel_T2_6+0.0166*dLevel_T2_7-0.0935*dLevel_T2_8+0.0159*dLevel_T2_9-0.5304*dLevel_T2_10-0.2988*dLevel_T2_11-0.3173*dLevel_T2_12-0.1222*dLevel_T2_13-0.0498*dLevel_T2_14+8.5542*dLevel_T2_15-0.4776*dLevel_T2_16-0.1197*dLevel_T2_17+0.2125*dLevel_T2_18-0.2882*dLevel_T2_19-0.2581*dLevel_T2_21-0.0040*dLevel_T2_22-0.2706*dLevel_T2_23+0.1586*dLevel_T2_24-0.3512*dLevel_T2_25-0.3950*dLevel_T2_26-0.1110*dLevel_T2_27-0.0595*dLevel_T2_28.</t>
  </si>
  <si>
    <t>Compute Factor16 = 0.0802*dLevel_T2_1-0.1890*dLevel_T2_2+0.1127*dLevel_T2_3-0.0483*dLevel_T2_4-0.1927*dLevel_T2_5-0.2294*dLevel_T2_6+0.0426*dLevel_T2_7-0.0558*dLevel_T2_8+0.0021*dLevel_T2_9-0.1625*dLevel_T2_10-0.0624*dLevel_T2_11-0.2911*dLevel_T2_12-0.9990*dLevel_T2_13-0.1897*dLevel_T2_14-0.5075*dLevel_T2_15+8.0892*dLevel_T2_16+0.0432*dLevel_T2_17-0.0478*dLevel_T2_18-0.7435*dLevel_T2_19-0.2889*dLevel_T2_21-0.0126*dLevel_T2_22-0.4163*dLevel_T2_23-0.1479*dLevel_T2_24-0.2424*dLevel_T2_25-0.1795*dLevel_T2_26+0.0623*dLevel_T2_27-0.1817*dLevel_T2_28.</t>
  </si>
  <si>
    <t>Compute Factor17 = 0.1293*dLevel_T2_1-0.0267*dLevel_T2_2-0.0989*dLevel_T2_3+0.0203*dLevel_T2_4-0.0284*dLevel_T2_5-0.3538*dLevel_T2_6-0.1162*dLevel_T2_7-0.1647*dLevel_T2_8-0.2215*dLevel_T2_9-0.1515*dLevel_T2_10-0.0726*dLevel_T2_11-0.3443*dLevel_T2_12-0.5050*dLevel_T2_13-0.1394*dLevel_T2_14-0.1436*dLevel_T2_15+0.0487*dLevel_T2_16+7.2768*dLevel_T2_17-0.1567*dLevel_T2_18-0.3787*dLevel_T2_19-0.5804*dLevel_T2_21+0.0222*dLevel_T2_22-0.3193*dLevel_T2_23-0.2029*dLevel_T2_24-0.3324*dLevel_T2_25+0.0722*dLevel_T2_26-0.3915*dLevel_T2_27-0.2994*dLevel_T2_28.</t>
  </si>
  <si>
    <t>Compute Factor18 = -0.9878*dLevel_T2_1-0.1003*dLevel_T2_2-0.4239*dLevel_T2_3-0.6961*dLevel_T2_4+0.0675*dLevel_T2_5-0.2971*dLevel_T2_6-0.7544*dLevel_T2_7-0.7048*dLevel_T2_8-0.2394*dLevel_T2_9+0.3293*dLevel_T2_10-0.6336*dLevel_T2_11-0.3784*dLevel_T2_12+0.0638*dLevel_T2_13+0.1041*dLevel_T2_14+0.4058*dLevel_T2_15-0.0859*dLevel_T2_16-0.2494*dLevel_T2_17+6.4675*dLevel_T2_18+0.0829*dLevel_T2_19-0.5182*dLevel_T2_21-0.1603*dLevel_T2_22+0.3059*dLevel_T2_23-0.7563*dLevel_T2_24-0.0651*dLevel_T2_25-0.0949*dLevel_T2_26-0.0876*dLevel_T2_27-0.0303*dLevel_T2_28.</t>
  </si>
  <si>
    <t>Compute Factor19 = 0.1065*dLevel_T2_1-0.1439*dLevel_T2_2-0.2337*dLevel_T2_3-0.0594*dLevel_T2_4+0.1613*dLevel_T2_5-0.0574*dLevel_T2_6+0.0056*dLevel_T2_7-0.0041*dLevel_T2_8-0.4298*dLevel_T2_9-0.4227*dLevel_T2_10-0.3699*dLevel_T2_11-0.4662*dLevel_T2_12-0.0376*dLevel_T2_13-0.3513*dLevel_T2_14-0.2787*dLevel_T2_15-0.6766*dLevel_T2_16-0.3053*dLevel_T2_17+0.0420*dLevel_T2_18+8.9326*dLevel_T2_19-0.1257*dLevel_T2_21-0.1399*dLevel_T2_22-0.0280*dLevel_T2_23-0.0833*dLevel_T2_24-0.3407*dLevel_T2_25-0.1699*dLevel_T2_26-0.2199*dLevel_T2_27+0.0373*dLevel_T2_28.</t>
  </si>
  <si>
    <t>Compute Factor20 = -0.5089*dLevel_T2_1-0.1126*dLevel_T2_2-0.3243*dLevel_T2_3-0.1433*dLevel_T2_4-0.0155*dLevel_T2_5+0.0592*dLevel_T2_6-0.2474*dLevel_T2_7-0.4357*dLevel_T2_8-0.2453*dLevel_T2_9+0.1239*dLevel_T2_10+0.5281*dLevel_T2_11+0.0520*dLevel_T2_12-0.1719*dLevel_T2_13+0.0713*dLevel_T2_14-0.3731*dLevel_T2_15-0.3930*dLevel_T2_16-0.6994*dLevel_T2_17-0.3923*dLevel_T2_18-0.1879*dLevel_T2_19+6.5109*dLevel_T2_21-0.1280*dLevel_T2_22-0.3472*dLevel_T2_23-0.1739*dLevel_T2_24-0.1123*dLevel_T2_25-0.3002*dLevel_T2_26-0.1724*dLevel_T2_27-0.1030*dLevel_T2_28.</t>
  </si>
  <si>
    <t>Compute Factor21 = 0.0121*dLevel_T2_1-0.1399*dLevel_T2_2+0.0237*dLevel_T2_3-0.1535*dLevel_T2_4-0.0417*dLevel_T2_5-0.2190*dLevel_T2_6-0.1129*dLevel_T2_7-0.1472*dLevel_T2_8-0.1720*dLevel_T2_9-0.2253*dLevel_T2_10+0.1394*dLevel_T2_11+0.1084*dLevel_T2_12-0.0848*dLevel_T2_13-0.2078*dLevel_T2_14-0.0080*dLevel_T2_15-0.0238*dLevel_T2_16+0.0373*dLevel_T2_17-0.1690*dLevel_T2_18-0.2911*dLevel_T2_19-0.1782*dLevel_T2_21+4.0740*dLevel_T2_22+0.0443*dLevel_T2_23+0.0743*dLevel_T2_24-0.2156*dLevel_T2_25-0.2900*dLevel_T2_26-0.4256*dLevel_T2_27+0.0467*dLevel_T2_28.</t>
  </si>
  <si>
    <t>Compute Factor22 = -0.0959*dLevel_T2_1-0.1478*dLevel_T2_2-0.7573*dLevel_T2_3-0.0599*dLevel_T2_4-0.0412*dLevel_T2_5-0.0558*dLevel_T2_6-0.0924*dLevel_T2_7+0.0361*dLevel_T2_8-0.1883*dLevel_T2_9-0.2569*dLevel_T2_10-0.2090*dLevel_T2_11-0.8779*dLevel_T2_12-0.3832*dLevel_T2_13-0.1105*dLevel_T2_14-0.2602*dLevel_T2_15-0.3767*dLevel_T2_16-0.2559*dLevel_T2_17+0.1540*dLevel_T2_18-0.0278*dLevel_T2_19-0.2309*dLevel_T2_21+0.0212*dLevel_T2_22+9.0281*dLevel_T2_23+0.1539*dLevel_T2_24-0.1188*dLevel_T2_25-0.2757*dLevel_T2_26-0.1523*dLevel_T2_27-0.1448*dLevel_T2_28.</t>
  </si>
  <si>
    <t>Compute Factor23 = -1.0550*dLevel_T2_1+0.1434*dLevel_T2_2+0.1507*dLevel_T2_3-0.7972*dLevel_T2_4-0.3706*dLevel_T2_5+0.1898*dLevel_T2_6-0.8687*dLevel_T2_7-0.6113*dLevel_T2_8-0.1365*dLevel_T2_9-0.4174*dLevel_T2_10-0.3567*dLevel_T2_11-0.0725*dLevel_T2_12+0.2767*dLevel_T2_13+0.4123*dLevel_T2_14+0.2909*dLevel_T2_15-0.2553*dLevel_T2_16-0.3101*dLevel_T2_17-0.7263*dLevel_T2_18-0.1580*dLevel_T2_19-0.2205*dLevel_T2_21+0.0677*dLevel_T2_22+0.2934*dLevel_T2_23+6.6165*dLevel_T2_24+0.0993*dLevel_T2_25+0.1023*dLevel_T2_26-0.0681*dLevel_T2_27-0.0859*dLevel_T2_28.</t>
  </si>
  <si>
    <t>Compute Factor24 = 0.1110*dLevel_T2_1+0.0032*dLevel_T2_2-0.5035*dLevel_T2_3-0.0025*dLevel_T2_4-0.0186*dLevel_T2_5-0.2741*dLevel_T2_6+0.0269*dLevel_T2_7-0.1500*dLevel_T2_8-0.1549*dLevel_T2_9-0.3937*dLevel_T2_10-0.1565*dLevel_T2_11-0.2414*dLevel_T2_12-0.5566*dLevel_T2_13+0.1091*dLevel_T2_14-0.3605*dLevel_T2_15-0.2342*dLevel_T2_16-0.2844*dLevel_T2_17-0.0350*dLevel_T2_18-0.3617*dLevel_T2_19-0.0797*dLevel_T2_21-0.1100*dLevel_T2_22-0.1268*dLevel_T2_23+0.0556*dLevel_T2_24+8.4301*dLevel_T2_25-0.7110*dLevel_T2_26-0.1620*dLevel_T2_27-0.2333*dLevel_T2_28.</t>
  </si>
  <si>
    <t>Compute Factor25 = -0.1640*dLevel_T2_1-0.1179*dLevel_T2_2-0.0584*dLevel_T2_3+0.0988*dLevel_T2_4-0.1195*dLevel_T2_5-0.2308*dLevel_T2_6+0.1505*dLevel_T2_7-0.0775*dLevel_T2_8-0.2649*dLevel_T2_9-0.3132*dLevel_T2_10-0.2512*dLevel_T2_11-0.5655*dLevel_T2_12-0.1022*dLevel_T2_13-0.3743*dLevel_T2_14-0.4076*dLevel_T2_15-0.1743*dLevel_T2_16+0.0621*dLevel_T2_17-0.0513*dLevel_T2_18-0.1813*dLevel_T2_19-0.2143*dLevel_T2_21-0.1487*dLevel_T2_22-0.2959*dLevel_T2_23+0.0575*dLevel_T2_24-0.7147*dLevel_T2_25+8.4087*dLevel_T2_26-0.3026*dLevel_T2_27-0.0895*dLevel_T2_28.</t>
  </si>
  <si>
    <t>Compute Factor26 = -0.2440*dLevel_T2_1-0.4683*dLevel_T2_2-0.1742*dLevel_T2_3+0.0166*dLevel_T2_4+0.0526*dLevel_T2_5-0.1972*dLevel_T2_6+0.1329*dLevel_T2_7-0.3937*dLevel_T2_8-0.3154*dLevel_T2_9-0.2589*dLevel_T2_10-0.2414*dLevel_T2_11-0.4257*dLevel_T2_12+0.0783*dLevel_T2_13-0.2821*dLevel_T2_14-0.1413*dLevel_T2_15+0.0746*dLevel_T2_16-0.4153*dLevel_T2_17-0.0584*dLevel_T2_18-0.2893*dLevel_T2_19-0.1518*dLevel_T2_21-0.2691*dLevel_T2_22-0.2016*dLevel_T2_23-0.0472*dLevel_T2_24-0.2007*dLevel_T2_25-0.3731*dLevel_T2_26+6.9303*dLevel_T2_27+0.2189*dLevel_T2_28.</t>
  </si>
  <si>
    <t>Compute Factor27 = -0.4840*dLevel_T2_1-0.0821*dLevel_T2_2+0.2325*dLevel_T2_3+0.0219*dLevel_T2_4-0.3706*dLevel_T2_5-0.3809*dLevel_T2_6-0.1344*dLevel_T2_7-0.2152*dLevel_T2_8-0.3486*dLevel_T2_9-0.1110*dLevel_T2_10-0.6394*dLevel_T2_11-0.1461*dLevel_T2_12-0.4812*dLevel_T2_13-0.1316*dLevel_T2_14-0.0750*dLevel_T2_15-0.2154*dLevel_T2_16-0.3144*dLevel_T2_17-0.0200*dLevel_T2_18+0.0485*dLevel_T2_19-0.0898*dLevel_T2_21+0.0293*dLevel_T2_22-0.1898*dLevel_T2_23-0.0590*dLevel_T2_24-0.2863*dLevel_T2_25-0.1093*dLevel_T2_26+0.2167*dLevel_T2_27+7.0453*dLevel_T2_28.</t>
  </si>
  <si>
    <t>Original KPIs</t>
  </si>
  <si>
    <t>N</t>
  </si>
  <si>
    <t>Min</t>
  </si>
  <si>
    <t>Max</t>
  </si>
  <si>
    <t>Mean</t>
  </si>
  <si>
    <t>Std</t>
  </si>
  <si>
    <t>Level_ABA</t>
  </si>
  <si>
    <t>Level_B6_T2B</t>
  </si>
  <si>
    <t>Level_B7_T2B</t>
  </si>
  <si>
    <t>Level_B4</t>
  </si>
  <si>
    <t>Level_B3a_T2B</t>
  </si>
  <si>
    <t>Level_B11_T2B</t>
  </si>
  <si>
    <t>Valid N (listwise)</t>
  </si>
  <si>
    <t>Recoded KPIs</t>
  </si>
  <si>
    <t>dLevel_B4</t>
  </si>
  <si>
    <t>dLevel_B3a_T2B</t>
  </si>
  <si>
    <t>dLevel_B11_T2B</t>
  </si>
  <si>
    <t>Original Channels</t>
  </si>
  <si>
    <t>Level_T2_1</t>
  </si>
  <si>
    <t>Level_T2_2</t>
  </si>
  <si>
    <t>Level_T2_3</t>
  </si>
  <si>
    <t>Level_T2_4</t>
  </si>
  <si>
    <t>Level_T2_5</t>
  </si>
  <si>
    <t>Level_T2_6</t>
  </si>
  <si>
    <t>Level_T2_7</t>
  </si>
  <si>
    <t>Level_T2_8</t>
  </si>
  <si>
    <t>Level_T2_9</t>
  </si>
  <si>
    <t>Level_T2_10</t>
  </si>
  <si>
    <t>Level_T2_11</t>
  </si>
  <si>
    <t>Level_T2_12</t>
  </si>
  <si>
    <t>Level_T2_13</t>
  </si>
  <si>
    <t>Level_T2_14</t>
  </si>
  <si>
    <t>Level_T2_15</t>
  </si>
  <si>
    <t>Level_T2_16</t>
  </si>
  <si>
    <t>Level_T2_17</t>
  </si>
  <si>
    <t>Level_T2_18</t>
  </si>
  <si>
    <t>Level_T2_19</t>
  </si>
  <si>
    <t>Level_T2_21</t>
  </si>
  <si>
    <t>Level_T2_22</t>
  </si>
  <si>
    <t>Level_T2_23</t>
  </si>
  <si>
    <t>Level_T2_24</t>
  </si>
  <si>
    <t>Level_T2_25</t>
  </si>
  <si>
    <t>Level_T2_26</t>
  </si>
  <si>
    <t>Level_T2_27</t>
  </si>
  <si>
    <t>Level_T2_28</t>
  </si>
  <si>
    <t>Recoded Channels</t>
  </si>
  <si>
    <t>2A Regression结果Table中对应的不同KPI</t>
  </si>
  <si>
    <t>手写</t>
  </si>
  <si>
    <t>ind Variable</t>
  </si>
  <si>
    <t>变量名称</t>
  </si>
  <si>
    <t>第几个table</t>
  </si>
  <si>
    <t>Dependent Variable</t>
  </si>
  <si>
    <t>模型Base</t>
  </si>
  <si>
    <t>T2_1</t>
  </si>
  <si>
    <t>ABA</t>
  </si>
  <si>
    <t>T2_2</t>
  </si>
  <si>
    <t>B6</t>
  </si>
  <si>
    <t>T2_3</t>
  </si>
  <si>
    <t>ABA1</t>
  </si>
  <si>
    <t>T2_4</t>
  </si>
  <si>
    <t>B61</t>
  </si>
  <si>
    <t>T2_5</t>
  </si>
  <si>
    <t>B7</t>
  </si>
  <si>
    <t>T2_6</t>
  </si>
  <si>
    <t>T2_7</t>
  </si>
  <si>
    <t>T2_8</t>
  </si>
  <si>
    <t>T2_9</t>
  </si>
  <si>
    <t>T2_10</t>
  </si>
  <si>
    <t>T2_11</t>
  </si>
  <si>
    <t>T2_12</t>
  </si>
  <si>
    <t>T2_13</t>
  </si>
  <si>
    <t>T2_14</t>
  </si>
  <si>
    <t>T2_15</t>
  </si>
  <si>
    <t>T2_16</t>
  </si>
  <si>
    <t>T2_17</t>
  </si>
  <si>
    <t>T2_18</t>
  </si>
  <si>
    <t>T2_19</t>
  </si>
  <si>
    <t>T2_20</t>
  </si>
  <si>
    <t>T2_21</t>
  </si>
  <si>
    <t>T2_22</t>
  </si>
  <si>
    <t>T2_23</t>
  </si>
  <si>
    <t>T2_24</t>
  </si>
  <si>
    <t>T2_25</t>
  </si>
  <si>
    <t>T2_26</t>
  </si>
  <si>
    <t>T2_27</t>
  </si>
  <si>
    <t>KPI</t>
  </si>
  <si>
    <t>Other (No exposure)</t>
  </si>
  <si>
    <t>Campaign Impacts (contribution from exposure)</t>
  </si>
  <si>
    <t>Performance</t>
  </si>
  <si>
    <t xml:space="preserve">Contribution% of Media Channel </t>
  </si>
  <si>
    <t>channel</t>
  </si>
  <si>
    <t>Descriptive Statistics</t>
  </si>
  <si>
    <t>Minimum</t>
  </si>
  <si>
    <t>Maximum</t>
  </si>
  <si>
    <t>Std. Deviation</t>
  </si>
  <si>
    <t>qd</t>
  </si>
  <si>
    <t>qd=0</t>
  </si>
  <si>
    <t>qd=1</t>
  </si>
  <si>
    <t>Level_T2_1 (No)</t>
  </si>
  <si>
    <t>Level_T2_1 (Yes)</t>
  </si>
  <si>
    <t>Level_T2_2 (No)</t>
  </si>
  <si>
    <t>Level_T2_2 (Yes)</t>
  </si>
  <si>
    <t>Level_T2_3 (No)</t>
  </si>
  <si>
    <t>Level_T2_3 (Yes)</t>
  </si>
  <si>
    <t>Level_T2_4 (No)</t>
  </si>
  <si>
    <t>Level_T2_4 (Yes)</t>
  </si>
  <si>
    <t>Level_T2_5 (No)</t>
  </si>
  <si>
    <t>Level_T2_5 (Yes)</t>
  </si>
  <si>
    <t>Level_T2_6 (No)</t>
  </si>
  <si>
    <t>Level_T2_6 (Yes)</t>
  </si>
  <si>
    <t>Level_T2_7 (No)</t>
  </si>
  <si>
    <t>Level_T2_7 (Yes)</t>
  </si>
  <si>
    <t>Level_T2_8 (No)</t>
  </si>
  <si>
    <t>Level_T2_8 (Yes)</t>
  </si>
  <si>
    <t>Level_T2_9 (No)</t>
  </si>
  <si>
    <t>Level_T2_9 (Yes)</t>
  </si>
  <si>
    <t>Level_T2_10 (No)</t>
  </si>
  <si>
    <t>Level_T2_10 (Yes)</t>
  </si>
  <si>
    <t>Level_T2_11 (No)</t>
  </si>
  <si>
    <t>Level_T2_11 (Yes)</t>
  </si>
  <si>
    <t>Level_T2_12 (No)</t>
  </si>
  <si>
    <t>Level_T2_12 (Yes)</t>
  </si>
  <si>
    <t>Level_T2_13 (No)</t>
  </si>
  <si>
    <t>Level_T2_13 (Yes)</t>
  </si>
  <si>
    <t>Level_T2_14 (No)</t>
  </si>
  <si>
    <t>Level_T2_14 (Yes)</t>
  </si>
  <si>
    <t>Level_T2_15 (No)</t>
  </si>
  <si>
    <t>Level_T2_15 (Yes)</t>
  </si>
  <si>
    <t>Level_T2_16 (No)</t>
  </si>
  <si>
    <t>Level_T2_16 (Yes)</t>
  </si>
  <si>
    <t>Level_T2_17 (No)</t>
  </si>
  <si>
    <t>Level_T2_17 (Yes)</t>
  </si>
  <si>
    <t>Level_T2_18 (No)</t>
  </si>
  <si>
    <t>Level_T2_18 (Yes)</t>
  </si>
  <si>
    <t>Level_T2_19 (No)</t>
  </si>
  <si>
    <t>Level_T2_19 (Yes)</t>
  </si>
  <si>
    <t>Level_T2_21 (No)</t>
  </si>
  <si>
    <t>Level_T2_21 (Yes)</t>
  </si>
  <si>
    <t>Level_T2_22 (No)</t>
  </si>
  <si>
    <t>Level_T2_22 (Yes)</t>
  </si>
  <si>
    <t>Level_T2_23 (No)</t>
  </si>
  <si>
    <t>Level_T2_23 (Yes)</t>
  </si>
  <si>
    <t>Level_T2_24 (No)</t>
  </si>
  <si>
    <t>Level_T2_24 (Yes)</t>
  </si>
  <si>
    <t>Level_T2_25 (No)</t>
  </si>
  <si>
    <t>Level_T2_25 (Yes)</t>
  </si>
  <si>
    <t>Level_T2_26 (No)</t>
  </si>
  <si>
    <t>Level_T2_26 (Yes)</t>
  </si>
  <si>
    <t>Level_T2_27 (No)</t>
  </si>
  <si>
    <t>Level_T2_27 (Yes)</t>
  </si>
  <si>
    <t>Level_T2_28 (No)</t>
  </si>
  <si>
    <t>Level_T2_28 (Yes)</t>
  </si>
  <si>
    <t>qd (Diff)</t>
  </si>
  <si>
    <t>Level_T2_1 (Diff)</t>
  </si>
  <si>
    <t>Level_T2_2 (Diff)</t>
  </si>
  <si>
    <t>Level_T2_3 (Diff)</t>
  </si>
  <si>
    <t>Level_T2_4 (Diff)</t>
  </si>
  <si>
    <t>Level_T2_5 (Diff)</t>
  </si>
  <si>
    <t>Level_T2_6 (Diff)</t>
  </si>
  <si>
    <t>Level_T2_7 (Diff)</t>
  </si>
  <si>
    <t>Level_T2_8 (Diff)</t>
  </si>
  <si>
    <t>Level_T2_9 (Diff)</t>
  </si>
  <si>
    <t>Level_T2_10 (Diff)</t>
  </si>
  <si>
    <t>Level_T2_11 (Diff)</t>
  </si>
  <si>
    <t>Level_T2_12 (Diff)</t>
  </si>
  <si>
    <t>Level_T2_13 (Diff)</t>
  </si>
  <si>
    <t>Level_T2_14 (Diff)</t>
  </si>
  <si>
    <t>Level_T2_15 (Diff)</t>
  </si>
  <si>
    <t>Level_T2_16 (Diff)</t>
  </si>
  <si>
    <t>Level_T2_17 (Diff)</t>
  </si>
  <si>
    <t>Level_T2_18 (Diff)</t>
  </si>
  <si>
    <t>Level_T2_19 (Diff)</t>
  </si>
  <si>
    <t>Level_T2_21 (Diff)</t>
  </si>
  <si>
    <t>Level_T2_22 (Diff)</t>
  </si>
  <si>
    <t>Level_T2_23 (Diff)</t>
  </si>
  <si>
    <t>Level_T2_24 (Diff)</t>
  </si>
  <si>
    <t>Level_T2_25 (Diff)</t>
  </si>
  <si>
    <t>Level_T2_26 (Diff)</t>
  </si>
  <si>
    <t>Level_T2_27 (Diff)</t>
  </si>
  <si>
    <t>Level_T2_28 (Diff)</t>
  </si>
  <si>
    <t>Channel Absolute Quality Value</t>
  </si>
  <si>
    <t>average</t>
  </si>
  <si>
    <t>Channel Quality Index</t>
  </si>
  <si>
    <t>Absolute Impact</t>
  </si>
  <si>
    <t xml:space="preserve">Reach of Media Channel </t>
  </si>
  <si>
    <t>Quality Index</t>
  </si>
  <si>
    <t>KPI 样本量校对</t>
  </si>
  <si>
    <t>表名</t>
  </si>
  <si>
    <t>KPI标签</t>
  </si>
  <si>
    <t>Full_Table样本量</t>
  </si>
  <si>
    <t>Mean*N (描述统计)</t>
  </si>
  <si>
    <t>差异</t>
  </si>
  <si>
    <t>B3. ABA</t>
  </si>
  <si>
    <t>B6. 未来考虑购买品牌(重点品牌)-Total - Grid Summary</t>
  </si>
  <si>
    <t>Net : Top 2 Box</t>
  </si>
  <si>
    <t>B7. 品牌喜爱度 - Grid Summary</t>
  </si>
  <si>
    <t>B4. 最常使用品牌</t>
  </si>
  <si>
    <t>B3a. 品牌熟悉度(重点品牌) - Total - Grid Summary</t>
  </si>
  <si>
    <t>B11. 推荐度 - Grid Summary</t>
  </si>
  <si>
    <t>Net:T2B</t>
  </si>
  <si>
    <t>渠道样本量校对</t>
  </si>
  <si>
    <t>渠道名</t>
  </si>
  <si>
    <t>T2. P3M品牌声量感知渠道 - Grid Summary</t>
  </si>
  <si>
    <t>Official brand website</t>
  </si>
  <si>
    <t>Streaming / content platforms (e.g., Netflix, Hulu, Disney+, ESPN, Max, Peacock, Sky, Paramount+, Amazon Prime, YouTube TV, Apple TV+)</t>
  </si>
  <si>
    <t>CTV device / smart TV platform (e.g., Roku, Samsung TV, Google TV, Apple TV, Fire TV)</t>
  </si>
  <si>
    <t>Social media (e.g., YouTube, Facebook, Instagram, TikTok, X/Twitter, Pinterest )</t>
  </si>
  <si>
    <t>Influencers /Content creators (e.g., YouTubers, TikTok creators, bloggers)</t>
  </si>
  <si>
    <t>Online forums &amp; communities (e.g., Reddit, Facebook Groups, Q&amp;A platforms)</t>
  </si>
  <si>
    <t>Search engines (e.g., Google, Bing, Yahoo)</t>
  </si>
  <si>
    <t>Online retail platforms / retailer websites (e.g., Amazon, Walmart.com, eBay, HomeDepot.com, Lowe’s.com, Best Buy)</t>
  </si>
  <si>
    <t>Online news or digital media websites (e.g.,The Verge, CNET, Engadget)</t>
  </si>
  <si>
    <t>AI assistants / AI chatbot tools (e.g., ChatGPT, Copilot, Gemini)</t>
  </si>
  <si>
    <t>Deals sites / price comparison websites</t>
  </si>
  <si>
    <t>Second-hand or rental websites</t>
  </si>
  <si>
    <t>Podcasts</t>
  </si>
  <si>
    <t>TV commercials / Home shopping channels / Radio</t>
  </si>
  <si>
    <t>Newspapers /Magazines</t>
  </si>
  <si>
    <t>Large garden centers / chains</t>
  </si>
  <si>
    <t>Local specialized lawn equipment dealers / independent specialists</t>
  </si>
  <si>
    <t>Offline DIY home improvement retail chains (e.g., Home Depot, Lowe's )</t>
  </si>
  <si>
    <t>Consumer electronics retailers (e.g., Best Buy)</t>
  </si>
  <si>
    <t>In-store sales representatives / staff recommendations</t>
  </si>
  <si>
    <t>Outdoor advertising / OOH / DOOH,(e.g., billboards, digital outdoor screens near highways or train stations, transit ads, store-front or parking-lot banners)</t>
  </si>
  <si>
    <t>Community groups or local organizations</t>
  </si>
  <si>
    <t>Recommendations from friends, family, colleagues or neighbors</t>
  </si>
  <si>
    <t>Live events, Trade shows, exhibitions, or garden expos</t>
  </si>
  <si>
    <t>Sponsorships, brand ambassadors, or official partnerships</t>
  </si>
  <si>
    <t>Local lawn care workshops</t>
  </si>
  <si>
    <t>Recommendations from professional landscapers or garden contractors</t>
  </si>
  <si>
    <t>样本量校对结果：</t>
  </si>
  <si>
    <t>成功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</si>
</sst>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 #,##0.00_ ;_ * \-#,##0.00_ ;_ * &quot;-&quot;??_ ;_ @_ "/>
    <numFmt numFmtId="176" formatCode="0.00000_);[Red]\(0.00000\)"/>
    <numFmt numFmtId="177" formatCode="0.0%"/>
    <numFmt numFmtId="178" formatCode="0.00_ "/>
    <numFmt numFmtId="179" formatCode="0.0000_ "/>
    <numFmt numFmtId="180" formatCode="0.000_);[Red]\(0.000\)"/>
    <numFmt numFmtId="181" formatCode="###0.000"/>
    <numFmt numFmtId="182" formatCode="###0"/>
    <numFmt numFmtId="183" formatCode="###0.00000"/>
    <numFmt numFmtId="184" formatCode="###0.00"/>
    <numFmt numFmtId="186" formatCode="0.00000"/>
    <numFmt numFmtId="187" formatCode="_ * #,##0.000_ ;_ * \-#,##0.000_ ;_ * &quot;-&quot;??_ ;_ @_ "/>
    <numFmt numFmtId="188" formatCode="0.0000_);[Red]\(0.0000\)"/>
  </numFmts>
  <fonts count="55" x14ac:knownFonts="1">
    <font>
      <sz val="11"/>
      <color theme="1"/>
      <name val="等线"/>
      <family val="2"/>
      <scheme val="minor"/>
    </font>
    <font>
      <sz val="11"/>
      <color theme="1"/>
      <name val="等线"/>
      <family val="2"/>
      <charset val="134"/>
      <scheme val="minor"/>
    </font>
    <font>
      <sz val="11"/>
      <color theme="0"/>
      <name val="等线"/>
      <family val="2"/>
      <scheme val="minor"/>
    </font>
    <font>
      <sz val="11"/>
      <color theme="1"/>
      <name val="等线"/>
      <family val="2"/>
      <scheme val="minor"/>
    </font>
    <font>
      <sz val="10"/>
      <name val="Arial"/>
      <family val="2"/>
    </font>
    <font>
      <b/>
      <sz val="11"/>
      <color rgb="FF0070C0"/>
      <name val="微软雅黑"/>
      <family val="2"/>
      <charset val="134"/>
    </font>
    <font>
      <sz val="11"/>
      <color theme="1"/>
      <name val="微软雅黑"/>
      <family val="2"/>
      <charset val="136"/>
    </font>
    <font>
      <sz val="11"/>
      <color rgb="FFFF0000"/>
      <name val="等线"/>
      <family val="2"/>
      <scheme val="minor"/>
    </font>
    <font>
      <sz val="11"/>
      <color theme="1"/>
      <name val="等线"/>
      <family val="2"/>
      <charset val="134"/>
      <scheme val="minor"/>
    </font>
    <font>
      <sz val="9"/>
      <color indexed="60"/>
      <name val="MingLiU"/>
      <family val="3"/>
      <charset val="136"/>
    </font>
    <font>
      <sz val="11"/>
      <color theme="1"/>
      <name val="Verdana"/>
      <family val="2"/>
    </font>
    <font>
      <b/>
      <sz val="14"/>
      <color indexed="60"/>
      <name val="PMingLiU"/>
      <family val="1"/>
      <charset val="136"/>
    </font>
    <font>
      <sz val="12"/>
      <color indexed="60"/>
      <name val="MingLiU"/>
      <family val="3"/>
      <charset val="136"/>
    </font>
    <font>
      <sz val="11"/>
      <name val="等线"/>
      <family val="2"/>
      <scheme val="minor"/>
    </font>
    <font>
      <b/>
      <sz val="11"/>
      <color theme="1"/>
      <name val="等线"/>
      <family val="2"/>
      <scheme val="minor"/>
    </font>
    <font>
      <sz val="12"/>
      <color indexed="8"/>
      <name val="MingLiU"/>
      <family val="3"/>
      <charset val="136"/>
    </font>
    <font>
      <b/>
      <sz val="11"/>
      <color theme="1"/>
      <name val="等线"/>
      <family val="3"/>
      <charset val="134"/>
      <scheme val="minor"/>
    </font>
    <font>
      <sz val="10"/>
      <color theme="1"/>
      <name val="Times New Roman"/>
      <family val="1"/>
    </font>
    <font>
      <sz val="10"/>
      <color theme="1"/>
      <name val="微软雅黑"/>
      <family val="2"/>
      <charset val="134"/>
    </font>
    <font>
      <sz val="10"/>
      <color theme="1"/>
      <name val="等线"/>
      <family val="2"/>
      <scheme val="minor"/>
    </font>
    <font>
      <sz val="12"/>
      <color indexed="60"/>
      <name val="Arial"/>
      <family val="2"/>
    </font>
    <font>
      <sz val="12"/>
      <color indexed="8"/>
      <name val="Arial"/>
      <family val="2"/>
    </font>
    <font>
      <sz val="12"/>
      <name val="Arial"/>
      <family val="2"/>
      <charset val="134"/>
    </font>
    <font>
      <b/>
      <sz val="11"/>
      <color rgb="FFFFFF00"/>
      <name val="Trebuchet MS"/>
      <family val="2"/>
    </font>
    <font>
      <sz val="11"/>
      <color rgb="FFFFFFFF"/>
      <name val="Trebuchet MS"/>
      <family val="2"/>
    </font>
    <font>
      <b/>
      <sz val="9"/>
      <color rgb="FF000000"/>
      <name val="Trebuchet MS"/>
      <family val="2"/>
    </font>
    <font>
      <sz val="9"/>
      <color rgb="FF000000"/>
      <name val="Trebuchet MS"/>
      <family val="2"/>
    </font>
    <font>
      <b/>
      <sz val="10"/>
      <color rgb="FF000000"/>
      <name val="Trebuchet MS"/>
      <family val="2"/>
    </font>
    <font>
      <sz val="10"/>
      <color rgb="FF000000"/>
      <name val="Arial"/>
      <family val="2"/>
    </font>
    <font>
      <sz val="9"/>
      <color rgb="FFFFFFFF"/>
      <name val="Trebuchet MS"/>
      <family val="2"/>
    </font>
    <font>
      <sz val="10"/>
      <name val="微软雅黑"/>
      <family val="2"/>
      <charset val="134"/>
    </font>
    <font>
      <b/>
      <sz val="11"/>
      <color theme="1"/>
      <name val="等线"/>
      <family val="2"/>
      <charset val="134"/>
      <scheme val="minor"/>
    </font>
    <font>
      <b/>
      <sz val="10"/>
      <color theme="1"/>
      <name val="微软雅黑"/>
      <family val="2"/>
      <charset val="134"/>
    </font>
    <font>
      <b/>
      <sz val="12"/>
      <name val="MingLiU"/>
      <family val="3"/>
      <charset val="136"/>
    </font>
    <font>
      <b/>
      <sz val="11"/>
      <color theme="0"/>
      <name val="等线"/>
      <family val="2"/>
      <charset val="134"/>
      <scheme val="minor"/>
    </font>
    <font>
      <sz val="12"/>
      <name val="宋体"/>
      <family val="3"/>
      <charset val="134"/>
    </font>
    <font>
      <sz val="12"/>
      <name val="Verdana"/>
      <family val="2"/>
    </font>
    <font>
      <sz val="12"/>
      <name val="等线"/>
      <family val="2"/>
      <scheme val="minor"/>
    </font>
    <font>
      <sz val="9"/>
      <name val="等线"/>
      <family val="2"/>
      <scheme val="minor"/>
    </font>
    <font>
      <sz val="10"/>
      <color rgb="FF333333"/>
      <name val="Arial"/>
      <family val="2"/>
    </font>
    <font>
      <sz val="10"/>
      <color rgb="FF333333"/>
      <name val="宋体"/>
      <family val="3"/>
      <charset val="134"/>
    </font>
    <font>
      <b/>
      <sz val="11"/>
      <name val="等线"/>
      <family val="2"/>
      <scheme val="minor"/>
    </font>
    <font>
      <b/>
      <i/>
      <sz val="11"/>
      <color rgb="FFFF0000"/>
      <name val="等线"/>
      <family val="2"/>
      <scheme val="minor"/>
    </font>
    <font>
      <b/>
      <i/>
      <sz val="12"/>
      <color theme="0"/>
      <name val="宋体"/>
      <family val="3"/>
      <charset val="134"/>
    </font>
    <font>
      <sz val="12"/>
      <color theme="0"/>
      <name val="等线"/>
      <family val="2"/>
      <scheme val="minor"/>
    </font>
    <font>
      <sz val="11"/>
      <name val="等线"/>
      <family val="2"/>
      <charset val="134"/>
      <scheme val="minor"/>
    </font>
    <font>
      <sz val="12"/>
      <name val="宋体"/>
      <family val="3"/>
      <charset val="134"/>
    </font>
    <font>
      <i/>
      <sz val="12"/>
      <name val="宋体"/>
      <family val="3"/>
      <charset val="134"/>
    </font>
    <font>
      <sz val="12"/>
      <name val="Arial"/>
      <family val="2"/>
    </font>
    <font>
      <u/>
      <sz val="11"/>
      <color theme="10"/>
      <name val="等线"/>
      <family val="2"/>
      <charset val="134"/>
      <scheme val="minor"/>
    </font>
    <font>
      <sz val="12"/>
      <color indexed="9"/>
      <name val="Verdana"/>
      <family val="2"/>
    </font>
    <font>
      <sz val="12"/>
      <color indexed="62"/>
      <name val="MingLiU"/>
      <family val="3"/>
      <charset val="136"/>
    </font>
    <font>
      <sz val="9"/>
      <name val="等线"/>
      <family val="3"/>
      <charset val="134"/>
      <scheme val="minor"/>
    </font>
    <font>
      <b/>
      <sz val="11"/>
      <name val="等线"/>
      <charset val="134"/>
    </font>
    <font>
      <b/>
      <i/>
      <sz val="11"/>
      <color rgb="FFFF0000"/>
      <name val="等线"/>
      <charset val="134"/>
    </font>
  </fonts>
  <fills count="12">
    <fill>
      <patternFill patternType="none"/>
    </fill>
    <fill>
      <patternFill patternType="gray125"/>
    </fill>
    <fill>
      <patternFill patternType="solid">
        <fgColor theme="1"/>
        <bgColor indexed="64"/>
      </patternFill>
    </fill>
    <fill>
      <patternFill patternType="solid">
        <fgColor rgb="FFFFFF00"/>
        <bgColor indexed="64"/>
      </patternFill>
    </fill>
    <fill>
      <patternFill patternType="solid">
        <fgColor indexed="31"/>
        <bgColor indexed="64"/>
      </patternFill>
    </fill>
    <fill>
      <patternFill patternType="solid">
        <fgColor indexed="9"/>
        <bgColor indexed="64"/>
      </patternFill>
    </fill>
    <fill>
      <patternFill patternType="solid">
        <fgColor rgb="FFC00000"/>
        <bgColor rgb="FF000000"/>
      </patternFill>
    </fill>
    <fill>
      <patternFill patternType="solid">
        <fgColor rgb="FF000000"/>
        <bgColor rgb="FF000000"/>
      </patternFill>
    </fill>
    <fill>
      <patternFill patternType="solid">
        <fgColor rgb="FFFFE699"/>
        <bgColor rgb="FF000000"/>
      </patternFill>
    </fill>
    <fill>
      <patternFill patternType="solid">
        <fgColor indexed="59"/>
        <bgColor indexed="64"/>
      </patternFill>
    </fill>
    <fill>
      <patternFill patternType="solid">
        <fgColor rgb="FFFF0000"/>
        <bgColor indexed="64"/>
      </patternFill>
    </fill>
    <fill>
      <patternFill patternType="solid">
        <fgColor rgb="FFFFFF00"/>
        <bgColor rgb="FFFFFF00"/>
      </patternFill>
    </fill>
  </fills>
  <borders count="35">
    <border>
      <left/>
      <right/>
      <top/>
      <bottom/>
      <diagonal/>
    </border>
    <border>
      <left style="thin">
        <color indexed="64"/>
      </left>
      <right style="thin">
        <color indexed="64"/>
      </right>
      <top style="thin">
        <color indexed="64"/>
      </top>
      <bottom style="thin">
        <color indexed="64"/>
      </bottom>
      <diagonal/>
    </border>
    <border>
      <left/>
      <right/>
      <top/>
      <bottom style="thin">
        <color indexed="61"/>
      </bottom>
      <diagonal/>
    </border>
    <border>
      <left/>
      <right/>
      <top style="thin">
        <color indexed="22"/>
      </top>
      <bottom style="thin">
        <color indexed="22"/>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indexed="62"/>
      </right>
      <top/>
      <bottom/>
      <diagonal/>
    </border>
    <border>
      <left style="thin">
        <color indexed="62"/>
      </left>
      <right style="thin">
        <color indexed="62"/>
      </right>
      <top/>
      <bottom/>
      <diagonal/>
    </border>
    <border>
      <left style="thin">
        <color indexed="62"/>
      </left>
      <right/>
      <top/>
      <bottom/>
      <diagonal/>
    </border>
    <border>
      <left/>
      <right style="thin">
        <color indexed="62"/>
      </right>
      <top/>
      <bottom style="thin">
        <color indexed="61"/>
      </bottom>
      <diagonal/>
    </border>
    <border>
      <left style="thin">
        <color indexed="62"/>
      </left>
      <right style="thin">
        <color indexed="62"/>
      </right>
      <top/>
      <bottom style="thin">
        <color indexed="61"/>
      </bottom>
      <diagonal/>
    </border>
    <border>
      <left style="thin">
        <color indexed="62"/>
      </left>
      <right/>
      <top/>
      <bottom style="thin">
        <color indexed="61"/>
      </bottom>
      <diagonal/>
    </border>
    <border>
      <left/>
      <right/>
      <top style="thin">
        <color indexed="61"/>
      </top>
      <bottom style="thin">
        <color indexed="63"/>
      </bottom>
      <diagonal/>
    </border>
    <border>
      <left/>
      <right style="thin">
        <color indexed="62"/>
      </right>
      <top style="thin">
        <color indexed="61"/>
      </top>
      <bottom style="thin">
        <color indexed="63"/>
      </bottom>
      <diagonal/>
    </border>
    <border>
      <left style="thin">
        <color indexed="62"/>
      </left>
      <right style="thin">
        <color indexed="62"/>
      </right>
      <top style="thin">
        <color indexed="61"/>
      </top>
      <bottom style="thin">
        <color indexed="63"/>
      </bottom>
      <diagonal/>
    </border>
    <border>
      <left style="thin">
        <color indexed="62"/>
      </left>
      <right/>
      <top style="thin">
        <color indexed="61"/>
      </top>
      <bottom style="thin">
        <color indexed="63"/>
      </bottom>
      <diagonal/>
    </border>
    <border>
      <left/>
      <right/>
      <top style="thin">
        <color indexed="63"/>
      </top>
      <bottom style="thin">
        <color indexed="63"/>
      </bottom>
      <diagonal/>
    </border>
    <border>
      <left/>
      <right style="thin">
        <color indexed="62"/>
      </right>
      <top style="thin">
        <color indexed="63"/>
      </top>
      <bottom style="thin">
        <color indexed="63"/>
      </bottom>
      <diagonal/>
    </border>
    <border>
      <left style="thin">
        <color indexed="62"/>
      </left>
      <right style="thin">
        <color indexed="62"/>
      </right>
      <top style="thin">
        <color indexed="63"/>
      </top>
      <bottom style="thin">
        <color indexed="63"/>
      </bottom>
      <diagonal/>
    </border>
    <border>
      <left style="thin">
        <color indexed="62"/>
      </left>
      <right/>
      <top style="thin">
        <color indexed="63"/>
      </top>
      <bottom style="thin">
        <color indexed="63"/>
      </bottom>
      <diagonal/>
    </border>
    <border>
      <left/>
      <right/>
      <top style="thin">
        <color indexed="63"/>
      </top>
      <bottom style="thin">
        <color indexed="61"/>
      </bottom>
      <diagonal/>
    </border>
    <border>
      <left/>
      <right style="thin">
        <color indexed="62"/>
      </right>
      <top style="thin">
        <color indexed="63"/>
      </top>
      <bottom style="thin">
        <color indexed="61"/>
      </bottom>
      <diagonal/>
    </border>
    <border>
      <left style="thin">
        <color indexed="62"/>
      </left>
      <right style="thin">
        <color indexed="62"/>
      </right>
      <top style="thin">
        <color indexed="63"/>
      </top>
      <bottom style="thin">
        <color indexed="61"/>
      </bottom>
      <diagonal/>
    </border>
    <border>
      <left style="thin">
        <color indexed="62"/>
      </left>
      <right/>
      <top style="thin">
        <color indexed="63"/>
      </top>
      <bottom style="thin">
        <color indexed="61"/>
      </bottom>
      <diagonal/>
    </border>
    <border>
      <left/>
      <right/>
      <top/>
      <bottom style="thin">
        <color indexed="64"/>
      </bottom>
      <diagonal/>
    </border>
    <border>
      <left style="medium">
        <color indexed="64"/>
      </left>
      <right/>
      <top style="medium">
        <color indexed="64"/>
      </top>
      <bottom/>
      <diagonal/>
    </border>
    <border>
      <left style="medium">
        <color indexed="64"/>
      </left>
      <right/>
      <top/>
      <bottom/>
      <diagonal/>
    </border>
    <border>
      <left/>
      <right/>
      <top style="medium">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1"/>
      </top>
      <bottom style="thin">
        <color indexed="22"/>
      </bottom>
      <diagonal/>
    </border>
    <border>
      <left/>
      <right/>
      <top style="thin">
        <color indexed="22"/>
      </top>
      <bottom style="thin">
        <color indexed="61"/>
      </bottom>
      <diagonal/>
    </border>
    <border>
      <left/>
      <right style="thin">
        <color indexed="63"/>
      </right>
      <top style="thin">
        <color indexed="22"/>
      </top>
      <bottom style="thin">
        <color indexed="61"/>
      </bottom>
      <diagonal/>
    </border>
    <border>
      <left style="thin">
        <color indexed="63"/>
      </left>
      <right style="thin">
        <color indexed="63"/>
      </right>
      <top style="thin">
        <color indexed="22"/>
      </top>
      <bottom style="thin">
        <color indexed="61"/>
      </bottom>
      <diagonal/>
    </border>
    <border>
      <left style="thin">
        <color indexed="63"/>
      </left>
      <right/>
      <top style="thin">
        <color indexed="22"/>
      </top>
      <bottom style="thin">
        <color indexed="61"/>
      </bottom>
      <diagonal/>
    </border>
  </borders>
  <cellStyleXfs count="39">
    <xf numFmtId="0" fontId="0" fillId="0" borderId="0"/>
    <xf numFmtId="9" fontId="3" fillId="0" borderId="0">
      <alignment vertical="center"/>
    </xf>
    <xf numFmtId="0" fontId="4" fillId="0" borderId="0"/>
    <xf numFmtId="0" fontId="8" fillId="0" borderId="0">
      <alignment vertical="center"/>
    </xf>
    <xf numFmtId="0" fontId="4" fillId="0" borderId="0"/>
    <xf numFmtId="0" fontId="10" fillId="0" borderId="0"/>
    <xf numFmtId="9" fontId="10" fillId="0" borderId="0">
      <alignment vertical="center"/>
    </xf>
    <xf numFmtId="0" fontId="4" fillId="0" borderId="0"/>
    <xf numFmtId="0" fontId="8" fillId="0" borderId="0">
      <alignment vertical="center"/>
    </xf>
    <xf numFmtId="9" fontId="8" fillId="0" borderId="0">
      <alignment vertical="center"/>
    </xf>
    <xf numFmtId="0" fontId="4" fillId="0" borderId="0"/>
    <xf numFmtId="0" fontId="4" fillId="0" borderId="0"/>
    <xf numFmtId="43"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8" fillId="0" borderId="0">
      <alignment vertical="center"/>
    </xf>
    <xf numFmtId="9" fontId="8" fillId="0" borderId="0">
      <alignment vertical="center"/>
    </xf>
    <xf numFmtId="0" fontId="8" fillId="0" borderId="0">
      <alignment vertical="center"/>
    </xf>
    <xf numFmtId="0" fontId="4" fillId="0" borderId="0"/>
    <xf numFmtId="0" fontId="4" fillId="0" borderId="0"/>
    <xf numFmtId="0" fontId="8" fillId="0" borderId="0">
      <alignment vertical="center"/>
    </xf>
    <xf numFmtId="9" fontId="8" fillId="0" borderId="0">
      <alignment vertical="center"/>
    </xf>
    <xf numFmtId="0" fontId="10" fillId="0" borderId="0"/>
    <xf numFmtId="9" fontId="10" fillId="0" borderId="0">
      <alignment vertical="center"/>
    </xf>
    <xf numFmtId="0" fontId="46" fillId="0" borderId="0">
      <alignment vertical="center"/>
    </xf>
    <xf numFmtId="0" fontId="46" fillId="0" borderId="0">
      <alignment vertical="center"/>
    </xf>
    <xf numFmtId="0" fontId="8" fillId="0" borderId="0">
      <alignment vertical="center"/>
    </xf>
    <xf numFmtId="0" fontId="8" fillId="0" borderId="0">
      <alignment vertical="center"/>
    </xf>
    <xf numFmtId="0" fontId="49" fillId="0" borderId="0">
      <alignment vertical="center"/>
    </xf>
    <xf numFmtId="0" fontId="4" fillId="0" borderId="0"/>
    <xf numFmtId="0" fontId="8" fillId="0" borderId="0">
      <alignment vertical="center"/>
    </xf>
    <xf numFmtId="0" fontId="4" fillId="0" borderId="0"/>
  </cellStyleXfs>
  <cellXfs count="229">
    <xf numFmtId="0" fontId="0" fillId="0" borderId="0" xfId="0"/>
    <xf numFmtId="0" fontId="0" fillId="0" borderId="0" xfId="0" applyAlignment="1">
      <alignment horizontal="left"/>
    </xf>
    <xf numFmtId="176" fontId="0" fillId="0" borderId="0" xfId="0" applyNumberFormat="1" applyAlignment="1">
      <alignment horizontal="center"/>
    </xf>
    <xf numFmtId="0" fontId="0" fillId="0" borderId="0" xfId="0" applyAlignment="1">
      <alignment vertical="center"/>
    </xf>
    <xf numFmtId="0" fontId="2" fillId="2" borderId="0" xfId="0" applyFont="1" applyFill="1" applyAlignment="1">
      <alignment vertical="center"/>
    </xf>
    <xf numFmtId="0" fontId="0" fillId="0" borderId="0" xfId="0" applyAlignment="1">
      <alignment horizontal="left" vertical="center"/>
    </xf>
    <xf numFmtId="177" fontId="0" fillId="0" borderId="0" xfId="1" applyNumberFormat="1" applyFont="1" applyAlignment="1"/>
    <xf numFmtId="0" fontId="5" fillId="0" borderId="0" xfId="0" applyFont="1"/>
    <xf numFmtId="178" fontId="0" fillId="0" borderId="0" xfId="0" applyNumberFormat="1"/>
    <xf numFmtId="9" fontId="0" fillId="0" borderId="0" xfId="0" applyNumberFormat="1"/>
    <xf numFmtId="177" fontId="0" fillId="0" borderId="0" xfId="0" applyNumberFormat="1"/>
    <xf numFmtId="9" fontId="0" fillId="0" borderId="0" xfId="1" applyFont="1" applyAlignment="1"/>
    <xf numFmtId="176" fontId="0" fillId="0" borderId="0" xfId="0" applyNumberFormat="1" applyAlignment="1">
      <alignment horizontal="left"/>
    </xf>
    <xf numFmtId="0" fontId="9" fillId="0" borderId="1" xfId="2" applyFont="1" applyBorder="1" applyAlignment="1">
      <alignment horizontal="center" vertical="center" wrapText="1"/>
    </xf>
    <xf numFmtId="179" fontId="7" fillId="0" borderId="0" xfId="0" applyNumberFormat="1" applyFont="1"/>
    <xf numFmtId="0" fontId="13" fillId="0" borderId="0" xfId="0" applyFont="1"/>
    <xf numFmtId="0" fontId="0" fillId="0" borderId="0" xfId="0" applyAlignment="1">
      <alignment wrapText="1"/>
    </xf>
    <xf numFmtId="180" fontId="0" fillId="0" borderId="0" xfId="0" applyNumberFormat="1" applyAlignment="1">
      <alignment horizontal="center"/>
    </xf>
    <xf numFmtId="177" fontId="9" fillId="0" borderId="0" xfId="1" applyNumberFormat="1" applyFont="1" applyAlignment="1">
      <alignment horizontal="right" vertical="top"/>
    </xf>
    <xf numFmtId="176" fontId="14" fillId="0" borderId="0" xfId="0" applyNumberFormat="1" applyFont="1" applyAlignment="1">
      <alignment horizontal="left"/>
    </xf>
    <xf numFmtId="0" fontId="2" fillId="2" borderId="0" xfId="0" applyFont="1" applyFill="1" applyAlignment="1">
      <alignment vertical="center" wrapText="1"/>
    </xf>
    <xf numFmtId="0" fontId="14" fillId="0" borderId="0" xfId="0" applyFont="1" applyAlignment="1">
      <alignment wrapText="1"/>
    </xf>
    <xf numFmtId="0" fontId="4" fillId="0" borderId="0" xfId="13"/>
    <xf numFmtId="0" fontId="4" fillId="0" borderId="0" xfId="11"/>
    <xf numFmtId="9" fontId="13" fillId="0" borderId="0" xfId="0" applyNumberFormat="1" applyFont="1"/>
    <xf numFmtId="9" fontId="4" fillId="0" borderId="0" xfId="1" applyFont="1" applyAlignment="1"/>
    <xf numFmtId="0" fontId="8" fillId="0" borderId="0" xfId="3">
      <alignment vertical="center"/>
    </xf>
    <xf numFmtId="0" fontId="16" fillId="0" borderId="0" xfId="3" applyFont="1">
      <alignment vertical="center"/>
    </xf>
    <xf numFmtId="0" fontId="9" fillId="0" borderId="12" xfId="14" applyFont="1" applyBorder="1" applyAlignment="1">
      <alignment horizontal="left" vertical="top"/>
    </xf>
    <xf numFmtId="0" fontId="8" fillId="0" borderId="0" xfId="3" applyAlignment="1"/>
    <xf numFmtId="0" fontId="19" fillId="0" borderId="0" xfId="0" applyFont="1" applyAlignment="1">
      <alignment horizontal="left"/>
    </xf>
    <xf numFmtId="0" fontId="4" fillId="0" borderId="0" xfId="15"/>
    <xf numFmtId="0" fontId="4" fillId="0" borderId="0" xfId="19"/>
    <xf numFmtId="9" fontId="21" fillId="5" borderId="13" xfId="1" applyFont="1" applyFill="1" applyBorder="1" applyAlignment="1">
      <alignment horizontal="right" vertical="top"/>
    </xf>
    <xf numFmtId="9" fontId="21" fillId="5" borderId="14" xfId="1" applyFont="1" applyFill="1" applyBorder="1" applyAlignment="1">
      <alignment horizontal="right" vertical="top"/>
    </xf>
    <xf numFmtId="9" fontId="21" fillId="5" borderId="15" xfId="1" applyFont="1" applyFill="1" applyBorder="1" applyAlignment="1">
      <alignment horizontal="right" vertical="top"/>
    </xf>
    <xf numFmtId="9" fontId="21" fillId="5" borderId="17" xfId="1" applyFont="1" applyFill="1" applyBorder="1" applyAlignment="1">
      <alignment horizontal="right" vertical="top"/>
    </xf>
    <xf numFmtId="9" fontId="21" fillId="5" borderId="18" xfId="1" applyFont="1" applyFill="1" applyBorder="1" applyAlignment="1">
      <alignment horizontal="right" vertical="top"/>
    </xf>
    <xf numFmtId="9" fontId="21" fillId="5" borderId="19" xfId="1" applyFont="1" applyFill="1" applyBorder="1" applyAlignment="1">
      <alignment horizontal="right" vertical="top"/>
    </xf>
    <xf numFmtId="9" fontId="21" fillId="5" borderId="21" xfId="1" applyFont="1" applyFill="1" applyBorder="1" applyAlignment="1">
      <alignment horizontal="right" vertical="top"/>
    </xf>
    <xf numFmtId="9" fontId="21" fillId="5" borderId="22" xfId="1" applyFont="1" applyFill="1" applyBorder="1" applyAlignment="1">
      <alignment horizontal="right" vertical="top"/>
    </xf>
    <xf numFmtId="9" fontId="21" fillId="5" borderId="23" xfId="1" applyFont="1" applyFill="1" applyBorder="1" applyAlignment="1">
      <alignment horizontal="right" vertical="top"/>
    </xf>
    <xf numFmtId="9" fontId="0" fillId="0" borderId="0" xfId="1" applyFont="1" applyAlignment="1">
      <alignment horizontal="center"/>
    </xf>
    <xf numFmtId="9" fontId="20" fillId="0" borderId="7" xfId="1" applyFont="1" applyBorder="1" applyAlignment="1">
      <alignment horizontal="center" wrapText="1"/>
    </xf>
    <xf numFmtId="9" fontId="20" fillId="0" borderId="8" xfId="1" applyFont="1" applyBorder="1" applyAlignment="1">
      <alignment horizontal="center" wrapText="1"/>
    </xf>
    <xf numFmtId="9" fontId="20" fillId="0" borderId="9" xfId="1" applyFont="1" applyBorder="1" applyAlignment="1">
      <alignment horizontal="center" wrapText="1"/>
    </xf>
    <xf numFmtId="9" fontId="20" fillId="0" borderId="10" xfId="1" applyFont="1" applyBorder="1" applyAlignment="1">
      <alignment horizontal="center" wrapText="1"/>
    </xf>
    <xf numFmtId="9" fontId="20" fillId="0" borderId="11" xfId="1" applyFont="1" applyBorder="1" applyAlignment="1">
      <alignment horizontal="center" wrapText="1"/>
    </xf>
    <xf numFmtId="9" fontId="20" fillId="4" borderId="12" xfId="1" applyFont="1" applyFill="1" applyBorder="1" applyAlignment="1">
      <alignment horizontal="left" vertical="top" wrapText="1"/>
    </xf>
    <xf numFmtId="9" fontId="20" fillId="4" borderId="16" xfId="1" applyFont="1" applyFill="1" applyBorder="1" applyAlignment="1">
      <alignment horizontal="left" vertical="top" wrapText="1"/>
    </xf>
    <xf numFmtId="9" fontId="20" fillId="4" borderId="20" xfId="1" applyFont="1" applyFill="1" applyBorder="1" applyAlignment="1">
      <alignment horizontal="left" vertical="top" wrapText="1"/>
    </xf>
    <xf numFmtId="9" fontId="12" fillId="4" borderId="0" xfId="1" applyFont="1" applyFill="1" applyAlignment="1">
      <alignment horizontal="left" vertical="top" wrapText="1"/>
    </xf>
    <xf numFmtId="9" fontId="15" fillId="5" borderId="0" xfId="1" applyFont="1" applyFill="1" applyAlignment="1">
      <alignment horizontal="right" vertical="top"/>
    </xf>
    <xf numFmtId="0" fontId="4" fillId="0" borderId="0" xfId="21"/>
    <xf numFmtId="0" fontId="1" fillId="0" borderId="0" xfId="22" applyFont="1" applyAlignment="1"/>
    <xf numFmtId="0" fontId="23" fillId="6" borderId="24" xfId="5" applyFont="1" applyFill="1" applyBorder="1" applyAlignment="1">
      <alignment vertical="center"/>
    </xf>
    <xf numFmtId="0" fontId="1" fillId="0" borderId="0" xfId="22" applyFont="1">
      <alignment vertical="center"/>
    </xf>
    <xf numFmtId="0" fontId="24" fillId="7" borderId="5" xfId="5" applyFont="1" applyFill="1" applyBorder="1"/>
    <xf numFmtId="0" fontId="24" fillId="7" borderId="5" xfId="5" applyFont="1" applyFill="1" applyBorder="1" applyAlignment="1">
      <alignment wrapText="1"/>
    </xf>
    <xf numFmtId="0" fontId="25" fillId="0" borderId="1" xfId="5" applyFont="1" applyBorder="1"/>
    <xf numFmtId="177" fontId="26" fillId="0" borderId="1" xfId="6" applyNumberFormat="1" applyFont="1" applyBorder="1" applyAlignment="1">
      <alignment horizontal="right"/>
    </xf>
    <xf numFmtId="0" fontId="25" fillId="0" borderId="1" xfId="5" applyFont="1" applyBorder="1" applyAlignment="1">
      <alignment horizontal="left"/>
    </xf>
    <xf numFmtId="0" fontId="27" fillId="8" borderId="1" xfId="5" applyFont="1" applyFill="1" applyBorder="1" applyAlignment="1">
      <alignment horizontal="center"/>
    </xf>
    <xf numFmtId="177" fontId="27" fillId="8" borderId="1" xfId="6" applyNumberFormat="1" applyFont="1" applyFill="1" applyBorder="1" applyAlignment="1">
      <alignment horizontal="right"/>
    </xf>
    <xf numFmtId="177" fontId="0" fillId="0" borderId="0" xfId="23" applyNumberFormat="1" applyFont="1" applyAlignment="1"/>
    <xf numFmtId="0" fontId="28" fillId="0" borderId="0" xfId="5" applyFont="1"/>
    <xf numFmtId="0" fontId="23" fillId="6" borderId="4" xfId="5" applyFont="1" applyFill="1" applyBorder="1" applyAlignment="1">
      <alignment vertical="center"/>
    </xf>
    <xf numFmtId="0" fontId="29" fillId="7" borderId="5" xfId="5" applyFont="1" applyFill="1" applyBorder="1"/>
    <xf numFmtId="0" fontId="30" fillId="0" borderId="1" xfId="7" applyFont="1" applyBorder="1" applyAlignment="1">
      <alignment horizontal="left" vertical="center" wrapText="1"/>
    </xf>
    <xf numFmtId="0" fontId="18" fillId="0" borderId="0" xfId="0" applyFont="1" applyAlignment="1">
      <alignment horizontal="left" vertical="center"/>
    </xf>
    <xf numFmtId="176" fontId="14" fillId="0" borderId="0" xfId="0" applyNumberFormat="1" applyFont="1"/>
    <xf numFmtId="9" fontId="30" fillId="0" borderId="1" xfId="1" applyFont="1" applyBorder="1" applyAlignment="1">
      <alignment horizontal="left" vertical="center" wrapText="1"/>
    </xf>
    <xf numFmtId="2" fontId="20" fillId="0" borderId="6" xfId="12" applyNumberFormat="1" applyFont="1" applyBorder="1" applyAlignment="1">
      <alignment horizontal="center" wrapText="1"/>
    </xf>
    <xf numFmtId="2" fontId="20" fillId="0" borderId="7" xfId="12" applyNumberFormat="1" applyFont="1" applyBorder="1" applyAlignment="1">
      <alignment horizontal="center" wrapText="1"/>
    </xf>
    <xf numFmtId="0" fontId="31" fillId="0" borderId="26" xfId="0" applyFont="1" applyBorder="1" applyAlignment="1">
      <alignment horizontal="left" vertical="top" wrapText="1"/>
    </xf>
    <xf numFmtId="0" fontId="36" fillId="0" borderId="0" xfId="31" applyFont="1" applyProtection="1">
      <alignment vertical="center"/>
      <protection locked="0"/>
    </xf>
    <xf numFmtId="0" fontId="36" fillId="0" borderId="0" xfId="31" applyFont="1">
      <alignment vertical="center"/>
    </xf>
    <xf numFmtId="0" fontId="35" fillId="0" borderId="0" xfId="31" applyFont="1">
      <alignment vertical="center"/>
    </xf>
    <xf numFmtId="2" fontId="0" fillId="0" borderId="0" xfId="12" applyNumberFormat="1" applyFont="1" applyAlignment="1">
      <alignment horizontal="center"/>
    </xf>
    <xf numFmtId="43" fontId="30" fillId="0" borderId="1" xfId="12" applyFont="1" applyBorder="1" applyAlignment="1">
      <alignment horizontal="left" vertical="center" wrapText="1"/>
    </xf>
    <xf numFmtId="0" fontId="2" fillId="2" borderId="0" xfId="0" applyFont="1" applyFill="1"/>
    <xf numFmtId="0" fontId="37" fillId="0" borderId="1" xfId="7" applyFont="1" applyBorder="1" applyAlignment="1">
      <alignment horizontal="left" vertical="top" wrapText="1"/>
    </xf>
    <xf numFmtId="0" fontId="38" fillId="0" borderId="1" xfId="2" applyFont="1" applyBorder="1" applyAlignment="1">
      <alignment horizontal="center" vertical="center" wrapText="1"/>
    </xf>
    <xf numFmtId="0" fontId="0" fillId="0" borderId="25" xfId="0" applyBorder="1" applyAlignment="1">
      <alignment vertical="top" wrapText="1"/>
    </xf>
    <xf numFmtId="0" fontId="0" fillId="0" borderId="27" xfId="0" applyBorder="1" applyAlignment="1">
      <alignment vertical="top" wrapText="1"/>
    </xf>
    <xf numFmtId="0" fontId="0" fillId="0" borderId="0" xfId="0" applyAlignment="1">
      <alignment vertical="top" wrapText="1"/>
    </xf>
    <xf numFmtId="0" fontId="7" fillId="0" borderId="26" xfId="0" applyFont="1" applyBorder="1" applyAlignment="1">
      <alignment vertical="top" wrapText="1"/>
    </xf>
    <xf numFmtId="0" fontId="22" fillId="0" borderId="3" xfId="16" applyFont="1" applyBorder="1" applyAlignment="1">
      <alignment horizontal="left" vertical="top" wrapText="1"/>
    </xf>
    <xf numFmtId="0" fontId="6" fillId="0" borderId="0" xfId="0" applyFont="1" applyAlignment="1">
      <alignment horizontal="left"/>
    </xf>
    <xf numFmtId="0" fontId="0" fillId="3" borderId="0" xfId="0" applyFill="1" applyAlignment="1">
      <alignment horizontal="left"/>
    </xf>
    <xf numFmtId="0" fontId="40" fillId="0" borderId="0" xfId="0" applyFont="1" applyAlignment="1">
      <alignment horizontal="left" vertical="center" indent="8"/>
    </xf>
    <xf numFmtId="0" fontId="39" fillId="0" borderId="0" xfId="0" applyFont="1" applyAlignment="1">
      <alignment vertical="center"/>
    </xf>
    <xf numFmtId="0" fontId="41" fillId="0" borderId="0" xfId="0" applyFont="1" applyAlignment="1">
      <alignment horizontal="left" vertical="center"/>
    </xf>
    <xf numFmtId="0" fontId="33" fillId="0" borderId="0" xfId="2" applyFont="1" applyAlignment="1">
      <alignment vertical="center" wrapText="1"/>
    </xf>
    <xf numFmtId="176" fontId="42" fillId="0" borderId="0" xfId="0" applyNumberFormat="1" applyFont="1"/>
    <xf numFmtId="2" fontId="7" fillId="0" borderId="0" xfId="12" applyNumberFormat="1" applyFont="1" applyAlignment="1">
      <alignment horizontal="center"/>
    </xf>
    <xf numFmtId="0" fontId="43" fillId="2" borderId="0" xfId="0" applyFont="1" applyFill="1" applyAlignment="1">
      <alignment vertical="center"/>
    </xf>
    <xf numFmtId="0" fontId="44" fillId="2" borderId="0" xfId="0" applyFont="1" applyFill="1"/>
    <xf numFmtId="0" fontId="34" fillId="0" borderId="0" xfId="0" applyFont="1" applyAlignment="1">
      <alignment wrapText="1"/>
    </xf>
    <xf numFmtId="0" fontId="32" fillId="0" borderId="0" xfId="0" applyFont="1" applyAlignment="1">
      <alignment horizontal="left" vertical="center"/>
    </xf>
    <xf numFmtId="0" fontId="17" fillId="3" borderId="0" xfId="0" applyFont="1" applyFill="1" applyAlignment="1">
      <alignment horizontal="left" vertical="center" wrapText="1"/>
    </xf>
    <xf numFmtId="0" fontId="4" fillId="0" borderId="0" xfId="7" applyAlignment="1">
      <alignment horizontal="left" vertical="center" wrapText="1"/>
    </xf>
    <xf numFmtId="0" fontId="4" fillId="0" borderId="0" xfId="26" applyAlignment="1">
      <alignment horizontal="left" vertical="center"/>
    </xf>
    <xf numFmtId="0" fontId="4" fillId="0" borderId="0" xfId="20" applyAlignment="1">
      <alignment horizontal="left"/>
    </xf>
    <xf numFmtId="0" fontId="4" fillId="0" borderId="0" xfId="0" applyFont="1" applyAlignment="1">
      <alignment horizontal="left"/>
    </xf>
    <xf numFmtId="0" fontId="4" fillId="0" borderId="0" xfId="7" applyAlignment="1">
      <alignment horizontal="left" vertical="top" wrapText="1"/>
    </xf>
    <xf numFmtId="0" fontId="4" fillId="0" borderId="0" xfId="7" applyAlignment="1">
      <alignment horizontal="left" vertical="top"/>
    </xf>
    <xf numFmtId="0" fontId="4" fillId="0" borderId="0" xfId="26" applyAlignment="1">
      <alignment horizontal="left"/>
    </xf>
    <xf numFmtId="181" fontId="4" fillId="0" borderId="0" xfId="26" applyNumberFormat="1" applyAlignment="1">
      <alignment horizontal="left" vertical="top"/>
    </xf>
    <xf numFmtId="0" fontId="4" fillId="0" borderId="0" xfId="26" applyAlignment="1">
      <alignment horizontal="left" vertical="top"/>
    </xf>
    <xf numFmtId="182" fontId="4" fillId="0" borderId="0" xfId="7" applyNumberFormat="1" applyAlignment="1">
      <alignment horizontal="left" vertical="top"/>
    </xf>
    <xf numFmtId="0" fontId="4" fillId="0" borderId="0" xfId="17" applyAlignment="1">
      <alignment horizontal="left"/>
    </xf>
    <xf numFmtId="0" fontId="4" fillId="0" borderId="0" xfId="7" applyAlignment="1">
      <alignment horizontal="left"/>
    </xf>
    <xf numFmtId="0" fontId="4" fillId="0" borderId="0" xfId="7" applyAlignment="1">
      <alignment horizontal="left" wrapText="1"/>
    </xf>
    <xf numFmtId="181" fontId="4" fillId="0" borderId="0" xfId="7" applyNumberFormat="1" applyAlignment="1">
      <alignment horizontal="left" vertical="top"/>
    </xf>
    <xf numFmtId="0" fontId="4" fillId="0" borderId="0" xfId="17" applyAlignment="1">
      <alignment horizontal="left" vertical="center"/>
    </xf>
    <xf numFmtId="0" fontId="4" fillId="0" borderId="0" xfId="10" applyAlignment="1">
      <alignment horizontal="left"/>
    </xf>
    <xf numFmtId="0" fontId="4" fillId="0" borderId="0" xfId="10" applyAlignment="1">
      <alignment horizontal="left" vertical="center"/>
    </xf>
    <xf numFmtId="181" fontId="4" fillId="0" borderId="0" xfId="10" applyNumberFormat="1" applyAlignment="1">
      <alignment horizontal="left" vertical="top"/>
    </xf>
    <xf numFmtId="0" fontId="4" fillId="0" borderId="0" xfId="10" applyAlignment="1">
      <alignment horizontal="left" vertical="top"/>
    </xf>
    <xf numFmtId="183" fontId="4" fillId="0" borderId="0" xfId="7" applyNumberFormat="1" applyAlignment="1">
      <alignment horizontal="left" vertical="top"/>
    </xf>
    <xf numFmtId="0" fontId="4" fillId="0" borderId="0" xfId="18" applyAlignment="1">
      <alignment horizontal="left"/>
    </xf>
    <xf numFmtId="0" fontId="45" fillId="0" borderId="0" xfId="0" applyFont="1" applyAlignment="1">
      <alignment horizontal="left"/>
    </xf>
    <xf numFmtId="0" fontId="35" fillId="0" borderId="0" xfId="31" applyFont="1" applyAlignment="1">
      <alignment horizontal="left" vertical="center"/>
    </xf>
    <xf numFmtId="178" fontId="35" fillId="0" borderId="0" xfId="31" applyNumberFormat="1" applyFont="1" applyAlignment="1">
      <alignment horizontal="left" vertical="center"/>
    </xf>
    <xf numFmtId="10" fontId="35" fillId="0" borderId="0" xfId="31" applyNumberFormat="1" applyFont="1" applyAlignment="1">
      <alignment horizontal="left" vertical="center"/>
    </xf>
    <xf numFmtId="178" fontId="46" fillId="0" borderId="0" xfId="31" applyNumberFormat="1" applyAlignment="1">
      <alignment horizontal="left" vertical="center"/>
    </xf>
    <xf numFmtId="10" fontId="47" fillId="0" borderId="0" xfId="1" applyNumberFormat="1" applyFont="1" applyAlignment="1">
      <alignment horizontal="left" vertical="center"/>
    </xf>
    <xf numFmtId="10" fontId="35" fillId="0" borderId="0" xfId="1" applyNumberFormat="1" applyFont="1" applyAlignment="1">
      <alignment horizontal="left" vertical="center"/>
    </xf>
    <xf numFmtId="9" fontId="35" fillId="0" borderId="0" xfId="1" applyFont="1" applyAlignment="1">
      <alignment horizontal="left" vertical="center"/>
    </xf>
    <xf numFmtId="10" fontId="46" fillId="0" borderId="0" xfId="1" applyNumberFormat="1" applyFont="1" applyAlignment="1">
      <alignment horizontal="left" vertical="center"/>
    </xf>
    <xf numFmtId="0" fontId="46" fillId="0" borderId="0" xfId="31" applyAlignment="1">
      <alignment horizontal="left" vertical="center"/>
    </xf>
    <xf numFmtId="0" fontId="48" fillId="0" borderId="0" xfId="0" applyFont="1" applyAlignment="1">
      <alignment horizontal="left" wrapText="1"/>
    </xf>
    <xf numFmtId="0" fontId="48" fillId="0" borderId="0" xfId="0" applyFont="1" applyAlignment="1">
      <alignment horizontal="left" vertical="top" wrapText="1"/>
    </xf>
    <xf numFmtId="0" fontId="48" fillId="0" borderId="0" xfId="0" applyFont="1" applyAlignment="1">
      <alignment horizontal="left" vertical="center" wrapText="1"/>
    </xf>
    <xf numFmtId="182" fontId="48" fillId="0" borderId="0" xfId="0" applyNumberFormat="1" applyFont="1" applyAlignment="1">
      <alignment horizontal="left" vertical="top"/>
    </xf>
    <xf numFmtId="184" fontId="48" fillId="0" borderId="0" xfId="0" applyNumberFormat="1" applyFont="1" applyAlignment="1">
      <alignment horizontal="left" vertical="top"/>
    </xf>
    <xf numFmtId="181" fontId="48" fillId="0" borderId="0" xfId="0" applyNumberFormat="1" applyFont="1" applyAlignment="1">
      <alignment horizontal="left" vertical="top"/>
    </xf>
    <xf numFmtId="0" fontId="48" fillId="0" borderId="0" xfId="0" applyFont="1" applyAlignment="1">
      <alignment horizontal="left"/>
    </xf>
    <xf numFmtId="0" fontId="14" fillId="0" borderId="0" xfId="0" applyFont="1"/>
    <xf numFmtId="186" fontId="0" fillId="0" borderId="0" xfId="0" applyNumberFormat="1" applyAlignment="1">
      <alignment horizontal="center"/>
    </xf>
    <xf numFmtId="176" fontId="0" fillId="0" borderId="0" xfId="0" applyNumberFormat="1"/>
    <xf numFmtId="176" fontId="9" fillId="0" borderId="0" xfId="1" applyNumberFormat="1" applyFont="1" applyAlignment="1">
      <alignment horizontal="right" vertical="top"/>
    </xf>
    <xf numFmtId="187" fontId="3" fillId="0" borderId="0" xfId="12" applyNumberFormat="1"/>
    <xf numFmtId="10" fontId="0" fillId="0" borderId="0" xfId="1" applyNumberFormat="1" applyFont="1" applyAlignment="1">
      <alignment horizontal="center"/>
    </xf>
    <xf numFmtId="188" fontId="0" fillId="0" borderId="0" xfId="0" applyNumberFormat="1" applyAlignment="1">
      <alignment horizontal="center"/>
    </xf>
    <xf numFmtId="0" fontId="36" fillId="0" borderId="0" xfId="0" applyFont="1" applyAlignment="1">
      <alignment vertical="center"/>
    </xf>
    <xf numFmtId="0" fontId="50" fillId="9" borderId="0" xfId="0" applyFont="1" applyFill="1" applyAlignment="1">
      <alignment vertical="center"/>
    </xf>
    <xf numFmtId="0" fontId="36" fillId="0" borderId="0" xfId="0" applyFont="1" applyAlignment="1" applyProtection="1">
      <alignment vertical="center"/>
      <protection locked="0"/>
    </xf>
    <xf numFmtId="0" fontId="51" fillId="0" borderId="30" xfId="36" applyFont="1" applyBorder="1" applyAlignment="1">
      <alignment horizontal="left" vertical="top" wrapText="1"/>
    </xf>
    <xf numFmtId="186" fontId="0" fillId="0" borderId="0" xfId="0" applyNumberFormat="1" applyAlignment="1">
      <alignment horizontal="center" wrapText="1"/>
    </xf>
    <xf numFmtId="0" fontId="51" fillId="0" borderId="31" xfId="38" applyFont="1" applyBorder="1" applyAlignment="1">
      <alignment horizontal="left" vertical="top" wrapText="1"/>
    </xf>
    <xf numFmtId="0" fontId="30" fillId="0" borderId="4" xfId="7" applyFont="1" applyBorder="1" applyAlignment="1">
      <alignment horizontal="left" vertical="center" wrapText="1"/>
    </xf>
    <xf numFmtId="9" fontId="30" fillId="0" borderId="24" xfId="1" applyFont="1" applyBorder="1" applyAlignment="1">
      <alignment horizontal="left" vertical="center" wrapText="1"/>
    </xf>
    <xf numFmtId="0" fontId="8" fillId="0" borderId="0" xfId="3" applyAlignment="1">
      <alignment horizontal="left" vertical="center"/>
    </xf>
    <xf numFmtId="0" fontId="8" fillId="3" borderId="0" xfId="3" applyFill="1" applyAlignment="1">
      <alignment horizontal="left" vertical="center"/>
    </xf>
    <xf numFmtId="0" fontId="8" fillId="3" borderId="0" xfId="3" applyFill="1">
      <alignment vertical="center"/>
    </xf>
    <xf numFmtId="0" fontId="4" fillId="3" borderId="0" xfId="4" applyFill="1"/>
    <xf numFmtId="0" fontId="8" fillId="3" borderId="0" xfId="3" applyFill="1" applyAlignment="1">
      <alignment horizontal="left"/>
    </xf>
    <xf numFmtId="0" fontId="13" fillId="10" borderId="0" xfId="0" applyFont="1" applyFill="1"/>
    <xf numFmtId="2" fontId="4" fillId="0" borderId="0" xfId="7" applyNumberFormat="1" applyAlignment="1">
      <alignment horizontal="left" vertical="top" wrapText="1"/>
    </xf>
    <xf numFmtId="2" fontId="4" fillId="0" borderId="0" xfId="26" applyNumberFormat="1" applyAlignment="1">
      <alignment horizontal="left" vertical="top"/>
    </xf>
    <xf numFmtId="1" fontId="4" fillId="0" borderId="0" xfId="26" applyNumberFormat="1" applyAlignment="1">
      <alignment horizontal="left" vertical="top"/>
    </xf>
    <xf numFmtId="2" fontId="4" fillId="0" borderId="0" xfId="20" applyNumberFormat="1" applyAlignment="1">
      <alignment horizontal="left"/>
    </xf>
    <xf numFmtId="2" fontId="4" fillId="0" borderId="0" xfId="7" applyNumberFormat="1" applyAlignment="1">
      <alignment horizontal="left" vertical="top"/>
    </xf>
    <xf numFmtId="2" fontId="4" fillId="0" borderId="0" xfId="17" applyNumberFormat="1" applyAlignment="1">
      <alignment horizontal="left"/>
    </xf>
    <xf numFmtId="2" fontId="4" fillId="0" borderId="0" xfId="26" applyNumberFormat="1" applyAlignment="1">
      <alignment horizontal="left" vertical="center"/>
    </xf>
    <xf numFmtId="2" fontId="4" fillId="0" borderId="0" xfId="26" applyNumberFormat="1" applyAlignment="1">
      <alignment horizontal="left"/>
    </xf>
    <xf numFmtId="2" fontId="4" fillId="0" borderId="0" xfId="7" applyNumberFormat="1" applyAlignment="1">
      <alignment horizontal="left" vertical="center" wrapText="1"/>
    </xf>
    <xf numFmtId="2" fontId="4" fillId="0" borderId="0" xfId="7" applyNumberFormat="1" applyAlignment="1">
      <alignment horizontal="left"/>
    </xf>
    <xf numFmtId="2" fontId="4" fillId="0" borderId="0" xfId="7" applyNumberFormat="1" applyAlignment="1">
      <alignment horizontal="left" wrapText="1"/>
    </xf>
    <xf numFmtId="1" fontId="4" fillId="0" borderId="0" xfId="7" applyNumberFormat="1" applyAlignment="1">
      <alignment horizontal="left" vertical="top" wrapText="1"/>
    </xf>
    <xf numFmtId="1" fontId="4" fillId="0" borderId="0" xfId="7" applyNumberFormat="1" applyAlignment="1">
      <alignment horizontal="left" vertical="top"/>
    </xf>
    <xf numFmtId="1" fontId="4" fillId="0" borderId="0" xfId="17" applyNumberFormat="1" applyAlignment="1">
      <alignment horizontal="left"/>
    </xf>
    <xf numFmtId="2" fontId="4" fillId="0" borderId="0" xfId="17" applyNumberFormat="1" applyAlignment="1">
      <alignment horizontal="left" vertical="center"/>
    </xf>
    <xf numFmtId="1" fontId="4" fillId="0" borderId="0" xfId="7" applyNumberFormat="1" applyAlignment="1">
      <alignment horizontal="left" vertical="center" wrapText="1"/>
    </xf>
    <xf numFmtId="1" fontId="4" fillId="0" borderId="0" xfId="7" applyNumberFormat="1" applyAlignment="1">
      <alignment horizontal="left" wrapText="1"/>
    </xf>
    <xf numFmtId="2" fontId="4" fillId="0" borderId="0" xfId="10" applyNumberFormat="1" applyAlignment="1">
      <alignment horizontal="left" vertical="center"/>
    </xf>
    <xf numFmtId="1" fontId="4" fillId="0" borderId="0" xfId="10" applyNumberFormat="1" applyAlignment="1">
      <alignment horizontal="left" vertical="center"/>
    </xf>
    <xf numFmtId="2" fontId="4" fillId="0" borderId="0" xfId="10" applyNumberFormat="1" applyAlignment="1">
      <alignment horizontal="left"/>
    </xf>
    <xf numFmtId="1" fontId="4" fillId="0" borderId="0" xfId="10" applyNumberFormat="1" applyAlignment="1">
      <alignment horizontal="left"/>
    </xf>
    <xf numFmtId="2" fontId="4" fillId="0" borderId="0" xfId="10" applyNumberFormat="1" applyAlignment="1">
      <alignment horizontal="left" vertical="top"/>
    </xf>
    <xf numFmtId="1" fontId="4" fillId="0" borderId="0" xfId="10" applyNumberFormat="1" applyAlignment="1">
      <alignment horizontal="left" vertical="top"/>
    </xf>
    <xf numFmtId="2" fontId="0" fillId="0" borderId="0" xfId="0" applyNumberFormat="1"/>
    <xf numFmtId="1" fontId="0" fillId="0" borderId="0" xfId="0" applyNumberFormat="1"/>
    <xf numFmtId="1" fontId="4" fillId="0" borderId="0" xfId="7" applyNumberFormat="1" applyAlignment="1">
      <alignment horizontal="left"/>
    </xf>
    <xf numFmtId="0" fontId="36" fillId="11" borderId="0" xfId="0" applyFont="1" applyFill="1" applyAlignment="1" applyProtection="1">
      <alignment vertical="center"/>
      <protection locked="0"/>
    </xf>
    <xf numFmtId="0" fontId="0" fillId="11" borderId="0" xfId="0" applyFill="1"/>
    <xf numFmtId="2" fontId="45" fillId="0" borderId="0" xfId="0" applyNumberFormat="1" applyFont="1" applyAlignment="1">
      <alignment horizontal="left"/>
    </xf>
    <xf numFmtId="10" fontId="0" fillId="0" borderId="0" xfId="0" applyNumberFormat="1"/>
    <xf numFmtId="2" fontId="53" fillId="11" borderId="0" xfId="31" applyNumberFormat="1" applyFont="1" applyFill="1" applyAlignment="1">
      <alignment horizontal="left" vertical="center"/>
    </xf>
    <xf numFmtId="2" fontId="35" fillId="0" borderId="0" xfId="31" applyNumberFormat="1" applyFont="1" applyAlignment="1">
      <alignment horizontal="left" vertical="center"/>
    </xf>
    <xf numFmtId="2" fontId="53" fillId="11" borderId="0" xfId="0" applyNumberFormat="1" applyFont="1" applyFill="1" applyAlignment="1">
      <alignment horizontal="left"/>
    </xf>
    <xf numFmtId="2" fontId="53" fillId="11" borderId="0" xfId="0" applyNumberFormat="1" applyFont="1" applyFill="1"/>
    <xf numFmtId="2" fontId="46" fillId="0" borderId="0" xfId="31" applyNumberFormat="1" applyAlignment="1">
      <alignment horizontal="left" vertical="center"/>
    </xf>
    <xf numFmtId="2" fontId="54" fillId="11" borderId="0" xfId="12" applyNumberFormat="1" applyFont="1" applyFill="1"/>
    <xf numFmtId="2" fontId="3" fillId="0" borderId="0" xfId="12" applyNumberFormat="1"/>
    <xf numFmtId="2" fontId="35" fillId="0" borderId="0" xfId="1" applyNumberFormat="1" applyFont="1" applyAlignment="1">
      <alignment horizontal="left" vertical="center"/>
    </xf>
    <xf numFmtId="2" fontId="46" fillId="0" borderId="0" xfId="1" applyNumberFormat="1" applyFont="1" applyAlignment="1">
      <alignment horizontal="left" vertical="center"/>
    </xf>
    <xf numFmtId="2" fontId="47" fillId="0" borderId="0" xfId="1" applyNumberFormat="1" applyFont="1" applyAlignment="1">
      <alignment horizontal="left" vertical="center"/>
    </xf>
    <xf numFmtId="2" fontId="54" fillId="11" borderId="0" xfId="0" applyNumberFormat="1" applyFont="1" applyFill="1"/>
    <xf numFmtId="1" fontId="48" fillId="0" borderId="0" xfId="0" applyNumberFormat="1" applyFont="1" applyAlignment="1">
      <alignment horizontal="left" vertical="top"/>
    </xf>
    <xf numFmtId="2" fontId="48" fillId="0" borderId="0" xfId="0" applyNumberFormat="1" applyFont="1" applyAlignment="1">
      <alignment horizontal="left" vertical="top"/>
    </xf>
    <xf numFmtId="1" fontId="48" fillId="0" borderId="0" xfId="0" applyNumberFormat="1" applyFont="1" applyAlignment="1">
      <alignment horizontal="left" vertical="top" wrapText="1"/>
    </xf>
    <xf numFmtId="2" fontId="48" fillId="0" borderId="0" xfId="0" applyNumberFormat="1" applyFont="1" applyAlignment="1">
      <alignment horizontal="left" vertical="top" wrapText="1"/>
    </xf>
    <xf numFmtId="1" fontId="48" fillId="0" borderId="0" xfId="0" applyNumberFormat="1" applyFont="1" applyAlignment="1">
      <alignment horizontal="left"/>
    </xf>
    <xf numFmtId="2" fontId="48" fillId="0" borderId="0" xfId="0" applyNumberFormat="1" applyFont="1" applyAlignment="1">
      <alignment horizontal="left"/>
    </xf>
    <xf numFmtId="1" fontId="48" fillId="0" borderId="0" xfId="0" applyNumberFormat="1" applyFont="1" applyAlignment="1">
      <alignment horizontal="left" vertical="center" wrapText="1"/>
    </xf>
    <xf numFmtId="2" fontId="48" fillId="0" borderId="0" xfId="0" applyNumberFormat="1" applyFont="1" applyAlignment="1">
      <alignment horizontal="left" vertical="center" wrapText="1"/>
    </xf>
    <xf numFmtId="1" fontId="48" fillId="0" borderId="0" xfId="0" applyNumberFormat="1" applyFont="1" applyAlignment="1">
      <alignment horizontal="left" wrapText="1"/>
    </xf>
    <xf numFmtId="1" fontId="12" fillId="0" borderId="32" xfId="38" applyNumberFormat="1" applyFont="1" applyBorder="1" applyAlignment="1">
      <alignment horizontal="right" vertical="top"/>
    </xf>
    <xf numFmtId="1" fontId="12" fillId="0" borderId="33" xfId="38" applyNumberFormat="1" applyFont="1" applyBorder="1" applyAlignment="1">
      <alignment horizontal="left" vertical="top" wrapText="1"/>
    </xf>
    <xf numFmtId="2" fontId="12" fillId="0" borderId="33" xfId="38" applyNumberFormat="1" applyFont="1" applyBorder="1" applyAlignment="1">
      <alignment horizontal="left" vertical="top" wrapText="1"/>
    </xf>
    <xf numFmtId="2" fontId="12" fillId="0" borderId="34" xfId="38" applyNumberFormat="1" applyFont="1" applyBorder="1" applyAlignment="1">
      <alignment horizontal="left" vertical="top" wrapText="1"/>
    </xf>
    <xf numFmtId="2" fontId="48" fillId="0" borderId="0" xfId="0" applyNumberFormat="1" applyFont="1" applyAlignment="1">
      <alignment horizontal="left" wrapText="1"/>
    </xf>
    <xf numFmtId="0" fontId="34" fillId="2" borderId="1" xfId="0" applyFont="1" applyFill="1" applyBorder="1" applyAlignment="1">
      <alignment horizontal="left" vertical="top" wrapText="1"/>
    </xf>
    <xf numFmtId="0" fontId="0" fillId="0" borderId="28" xfId="0" applyBorder="1"/>
    <xf numFmtId="0" fontId="0" fillId="0" borderId="29" xfId="0" applyBorder="1"/>
    <xf numFmtId="0" fontId="5" fillId="0" borderId="0" xfId="0" applyFont="1" applyAlignment="1">
      <alignment horizontal="left" wrapText="1"/>
    </xf>
    <xf numFmtId="0" fontId="0" fillId="0" borderId="0" xfId="0" applyAlignment="1">
      <alignment wrapText="1"/>
    </xf>
    <xf numFmtId="0" fontId="14" fillId="3" borderId="1" xfId="0" applyFont="1" applyFill="1" applyBorder="1" applyAlignment="1">
      <alignment horizontal="left" vertical="center" wrapText="1"/>
    </xf>
    <xf numFmtId="0" fontId="32" fillId="3" borderId="1" xfId="0" applyFont="1" applyFill="1" applyBorder="1" applyAlignment="1">
      <alignment horizontal="left" vertical="center"/>
    </xf>
    <xf numFmtId="9" fontId="20" fillId="0" borderId="7" xfId="1" applyFont="1" applyBorder="1" applyAlignment="1">
      <alignment horizontal="center" wrapText="1"/>
    </xf>
    <xf numFmtId="0" fontId="0" fillId="0" borderId="6" xfId="0" applyBorder="1"/>
    <xf numFmtId="0" fontId="11" fillId="0" borderId="0" xfId="13" applyFont="1" applyAlignment="1">
      <alignment horizontal="center" vertical="center" wrapText="1"/>
    </xf>
    <xf numFmtId="0" fontId="0" fillId="0" borderId="0" xfId="0"/>
    <xf numFmtId="9" fontId="20" fillId="0" borderId="6" xfId="1" applyFont="1" applyBorder="1" applyAlignment="1">
      <alignment horizontal="center" wrapText="1"/>
    </xf>
    <xf numFmtId="9" fontId="20" fillId="0" borderId="2" xfId="1" applyFont="1" applyBorder="1" applyAlignment="1">
      <alignment horizontal="left" wrapText="1"/>
    </xf>
    <xf numFmtId="0" fontId="0" fillId="0" borderId="2" xfId="0" applyBorder="1"/>
  </cellXfs>
  <cellStyles count="39">
    <cellStyle name="Comma" xfId="12" builtinId="3"/>
    <cellStyle name="Hyperlink 2" xfId="35" xr:uid="{00000000-0005-0000-0000-000023000000}"/>
    <cellStyle name="Normal" xfId="0" builtinId="0"/>
    <cellStyle name="Normal 2" xfId="7" xr:uid="{00000000-0005-0000-0000-000007000000}"/>
    <cellStyle name="Normal 2 2" xfId="32" xr:uid="{00000000-0005-0000-0000-000020000000}"/>
    <cellStyle name="Normal 3" xfId="8" xr:uid="{00000000-0005-0000-0000-000008000000}"/>
    <cellStyle name="Normal 3 2" xfId="29" xr:uid="{00000000-0005-0000-0000-00001D000000}"/>
    <cellStyle name="Normal 3 3" xfId="27" xr:uid="{00000000-0005-0000-0000-00001B000000}"/>
    <cellStyle name="Normal 3 4" xfId="34" xr:uid="{00000000-0005-0000-0000-000022000000}"/>
    <cellStyle name="Normal 4" xfId="22" xr:uid="{00000000-0005-0000-0000-000016000000}"/>
    <cellStyle name="Normal 4 2" xfId="37" xr:uid="{00000000-0005-0000-0000-000025000000}"/>
    <cellStyle name="Normal 5" xfId="31" xr:uid="{00000000-0005-0000-0000-00001F000000}"/>
    <cellStyle name="Normal_2C.均值" xfId="38" xr:uid="{00000000-0005-0000-0000-000026000000}"/>
    <cellStyle name="Normal_reg(因子)" xfId="26" xr:uid="{00000000-0005-0000-0000-00001A000000}"/>
    <cellStyle name="Normal_reg(因子)_v1" xfId="16" xr:uid="{00000000-0005-0000-0000-000010000000}"/>
    <cellStyle name="Normal_reg(因子)_v1.1" xfId="17" xr:uid="{00000000-0005-0000-0000-000011000000}"/>
    <cellStyle name="Normal_reg(因子)_v3.1" xfId="18" xr:uid="{00000000-0005-0000-0000-000012000000}"/>
    <cellStyle name="Normal_reg(因子)_v3.4" xfId="20" xr:uid="{00000000-0005-0000-0000-000014000000}"/>
    <cellStyle name="Normal_reg(因子2)" xfId="10" xr:uid="{00000000-0005-0000-0000-00000A000000}"/>
    <cellStyle name="Normal_Sheet1 2" xfId="36" xr:uid="{00000000-0005-0000-0000-000024000000}"/>
    <cellStyle name="Normal_uplift check" xfId="13" xr:uid="{00000000-0005-0000-0000-00000D000000}"/>
    <cellStyle name="Normal_均值" xfId="11" xr:uid="{00000000-0005-0000-0000-00000B000000}"/>
    <cellStyle name="Normal_均值_v3.1" xfId="19" xr:uid="{00000000-0005-0000-0000-000013000000}"/>
    <cellStyle name="Normal_均值_v3.4" xfId="21" xr:uid="{00000000-0005-0000-0000-000015000000}"/>
    <cellStyle name="Normal_均值_v4" xfId="15" xr:uid="{00000000-0005-0000-0000-00000F000000}"/>
    <cellStyle name="Percent" xfId="1" builtinId="5"/>
    <cellStyle name="Percent 2" xfId="9" xr:uid="{00000000-0005-0000-0000-000009000000}"/>
    <cellStyle name="Percent 2 2" xfId="30" xr:uid="{00000000-0005-0000-0000-00001E000000}"/>
    <cellStyle name="Percent 2 3" xfId="28" xr:uid="{00000000-0005-0000-0000-00001C000000}"/>
    <cellStyle name="Percent 3" xfId="23" xr:uid="{00000000-0005-0000-0000-000017000000}"/>
    <cellStyle name="百分比 2" xfId="6" xr:uid="{00000000-0005-0000-0000-000006000000}"/>
    <cellStyle name="常规 2" xfId="4" xr:uid="{00000000-0005-0000-0000-000004000000}"/>
    <cellStyle name="常规 3" xfId="3" xr:uid="{00000000-0005-0000-0000-000003000000}"/>
    <cellStyle name="常规 3 2" xfId="24" xr:uid="{00000000-0005-0000-0000-000018000000}"/>
    <cellStyle name="常规 3 3" xfId="33" xr:uid="{00000000-0005-0000-0000-000021000000}"/>
    <cellStyle name="常规 4" xfId="5" xr:uid="{00000000-0005-0000-0000-000005000000}"/>
    <cellStyle name="常规_reg" xfId="25" xr:uid="{00000000-0005-0000-0000-000019000000}"/>
    <cellStyle name="常规_核对均值" xfId="14" xr:uid="{00000000-0005-0000-0000-00000E000000}"/>
    <cellStyle name="常规_核对样本量（TO CS）" xfId="2" xr:uid="{00000000-0005-0000-0000-000002000000}"/>
  </cellStyles>
  <dxfs count="26">
    <dxf>
      <fill>
        <patternFill>
          <bgColor theme="0" tint="-0.1498764000366222"/>
        </patternFill>
      </fill>
    </dxf>
    <dxf>
      <fill>
        <patternFill>
          <bgColor theme="0" tint="-0.1498764000366222"/>
        </patternFill>
      </fill>
    </dxf>
    <dxf>
      <fill>
        <patternFill>
          <bgColor theme="0" tint="-0.1498764000366222"/>
        </patternFill>
      </fill>
    </dxf>
    <dxf>
      <fill>
        <patternFill>
          <bgColor theme="0" tint="-0.1498764000366222"/>
        </patternFill>
      </fill>
    </dxf>
    <dxf>
      <fill>
        <patternFill>
          <bgColor theme="0" tint="-0.1498764000366222"/>
        </patternFill>
      </fill>
    </dxf>
    <dxf>
      <fill>
        <patternFill>
          <bgColor theme="0" tint="-0.1498764000366222"/>
        </patternFill>
      </fill>
    </dxf>
    <dxf>
      <fill>
        <patternFill>
          <bgColor theme="0" tint="-0.24994659260841701"/>
        </patternFill>
      </fill>
    </dxf>
    <dxf>
      <fill>
        <patternFill>
          <bgColor theme="0" tint="-0.1498764000366222"/>
        </patternFill>
      </fill>
    </dxf>
    <dxf>
      <fill>
        <patternFill>
          <bgColor theme="0" tint="-0.1498764000366222"/>
        </patternFill>
      </fill>
    </dxf>
    <dxf>
      <fill>
        <patternFill>
          <bgColor theme="0" tint="-0.1498764000366222"/>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1498764000366222"/>
        </patternFill>
      </fill>
    </dxf>
    <dxf>
      <fill>
        <patternFill>
          <bgColor theme="0" tint="-0.1498764000366222"/>
        </patternFill>
      </fill>
    </dxf>
    <dxf>
      <fill>
        <patternFill>
          <bgColor theme="0" tint="-0.1498764000366222"/>
        </patternFill>
      </fill>
    </dxf>
    <dxf>
      <fill>
        <patternFill>
          <bgColor theme="0" tint="-0.24994659260841701"/>
        </patternFill>
      </fill>
    </dxf>
    <dxf>
      <fill>
        <patternFill>
          <bgColor theme="0" tint="-0.1498764000366222"/>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a:t>KPI Performance Breakdown</a:t>
            </a:r>
          </a:p>
        </c:rich>
      </c:tx>
      <c:layout>
        <c:manualLayout>
          <c:xMode val="edge"/>
          <c:yMode val="edge"/>
          <c:x val="0.57836106393365128"/>
          <c:y val="6.925795823799652E-2"/>
        </c:manualLayout>
      </c:layout>
      <c:overlay val="0"/>
      <c:spPr>
        <a:noFill/>
        <a:ln>
          <a:noFill/>
          <a:prstDash val="solid"/>
        </a:ln>
      </c:spPr>
    </c:title>
    <c:autoTitleDeleted val="0"/>
    <c:plotArea>
      <c:layout/>
      <c:barChart>
        <c:barDir val="col"/>
        <c:grouping val="stacked"/>
        <c:varyColors val="0"/>
        <c:ser>
          <c:idx val="0"/>
          <c:order val="0"/>
          <c:spPr>
            <a:solidFill>
              <a:srgbClr val="A6A6A6"/>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'2F.Results to CS_MIA'!$C$2:$J$2</c:f>
              <c:strCache>
                <c:ptCount val="5"/>
                <c:pt idx="0">
                  <c:v>ABA</c:v>
                </c:pt>
                <c:pt idx="1">
                  <c:v>B6</c:v>
                </c:pt>
                <c:pt idx="2">
                  <c:v>ABA1</c:v>
                </c:pt>
                <c:pt idx="3">
                  <c:v>B61</c:v>
                </c:pt>
                <c:pt idx="4">
                  <c:v>B7</c:v>
                </c:pt>
              </c:strCache>
            </c:strRef>
          </c:cat>
          <c:val>
            <c:numRef>
              <c:f>'2F.Results to CS_MIA'!$C$3:$J$3</c:f>
              <c:numCache>
                <c:formatCode>0.0%</c:formatCode>
                <c:ptCount val="8"/>
                <c:pt idx="0">
                  <c:v>8.1144592124561918E-2</c:v>
                </c:pt>
                <c:pt idx="1">
                  <c:v>4.0791301848915038E-2</c:v>
                </c:pt>
                <c:pt idx="2">
                  <c:v>8.1144592124561918E-2</c:v>
                </c:pt>
                <c:pt idx="3">
                  <c:v>4.0791301848915038E-2</c:v>
                </c:pt>
                <c:pt idx="4">
                  <c:v>7.5052008146849314E-2</c:v>
                </c:pt>
                <c:pt idx="5">
                  <c:v>0</c:v>
                </c:pt>
                <c:pt idx="6">
                  <c:v>0</c:v>
                </c:pt>
                <c:pt idx="7">
                  <c:v>0</c:v>
                </c:pt>
              </c:numCache>
            </c:numRef>
          </c:val>
          <c:extLst>
            <c:ext xmlns:c16="http://schemas.microsoft.com/office/drawing/2014/chart" uri="{C3380CC4-5D6E-409C-BE32-E72D297353CC}">
              <c16:uniqueId val="{00000000-B6F4-4896-A8C2-32BAB8DD31E0}"/>
            </c:ext>
          </c:extLst>
        </c:ser>
        <c:ser>
          <c:idx val="1"/>
          <c:order val="1"/>
          <c:spPr>
            <a:solidFill>
              <a:srgbClr val="4472C4"/>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'2F.Results to CS_MIA'!$C$2:$J$2</c:f>
              <c:strCache>
                <c:ptCount val="5"/>
                <c:pt idx="0">
                  <c:v>ABA</c:v>
                </c:pt>
                <c:pt idx="1">
                  <c:v>B6</c:v>
                </c:pt>
                <c:pt idx="2">
                  <c:v>ABA1</c:v>
                </c:pt>
                <c:pt idx="3">
                  <c:v>B61</c:v>
                </c:pt>
                <c:pt idx="4">
                  <c:v>B7</c:v>
                </c:pt>
              </c:strCache>
            </c:strRef>
          </c:cat>
          <c:val>
            <c:numRef>
              <c:f>'2F.Results to CS_MIA'!$C$4:$J$4</c:f>
              <c:numCache>
                <c:formatCode>0.0%</c:formatCode>
                <c:ptCount val="8"/>
                <c:pt idx="0">
                  <c:v>0.17900578381528764</c:v>
                </c:pt>
                <c:pt idx="1">
                  <c:v>0.16184027709845339</c:v>
                </c:pt>
                <c:pt idx="2">
                  <c:v>0.17900578381528764</c:v>
                </c:pt>
                <c:pt idx="3">
                  <c:v>0.16184027709845339</c:v>
                </c:pt>
                <c:pt idx="4">
                  <c:v>0.11442167606367698</c:v>
                </c:pt>
                <c:pt idx="5">
                  <c:v>0</c:v>
                </c:pt>
                <c:pt idx="6">
                  <c:v>0</c:v>
                </c:pt>
                <c:pt idx="7">
                  <c:v>0</c:v>
                </c:pt>
              </c:numCache>
            </c:numRef>
          </c:val>
          <c:extLst>
            <c:ext xmlns:c16="http://schemas.microsoft.com/office/drawing/2014/chart" uri="{C3380CC4-5D6E-409C-BE32-E72D297353CC}">
              <c16:uniqueId val="{00000001-B6F4-4896-A8C2-32BAB8DD31E0}"/>
            </c:ext>
          </c:extLst>
        </c:ser>
        <c:dLbls>
          <c:showLegendKey val="0"/>
          <c:showVal val="0"/>
          <c:showCatName val="0"/>
          <c:showSerName val="0"/>
          <c:showPercent val="0"/>
          <c:showBubbleSize val="0"/>
        </c:dLbls>
        <c:gapWidth val="150"/>
        <c:overlap val="100"/>
        <c:axId val="611990304"/>
        <c:axId val="611988864"/>
      </c:barChart>
      <c:catAx>
        <c:axId val="611990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611988864"/>
        <c:crosses val="autoZero"/>
        <c:auto val="1"/>
        <c:lblAlgn val="ctr"/>
        <c:lblOffset val="100"/>
        <c:noMultiLvlLbl val="0"/>
      </c:catAx>
      <c:valAx>
        <c:axId val="611988864"/>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0"/>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611990304"/>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endParaRPr/>
          </a:p>
        </c:rich>
      </c:tx>
      <c:overlay val="0"/>
      <c:spPr>
        <a:noFill/>
        <a:ln>
          <a:noFill/>
          <a:prstDash val="solid"/>
        </a:ln>
      </c:spPr>
    </c:title>
    <c:autoTitleDeleted val="0"/>
    <c:plotArea>
      <c:layout/>
      <c:barChart>
        <c:barDir val="col"/>
        <c:grouping val="stacked"/>
        <c:varyColors val="0"/>
        <c:ser>
          <c:idx val="0"/>
          <c:order val="0"/>
          <c:tx>
            <c:strRef>
              <c:f>'2F.Results to CS_MIA'!$B$10</c:f>
              <c:strCache>
                <c:ptCount val="1"/>
                <c:pt idx="0">
                  <c:v>T2_1</c:v>
                </c:pt>
              </c:strCache>
            </c:strRef>
          </c:tx>
          <c:spPr>
            <a:solidFill>
              <a:schemeClr val="accent1"/>
            </a:solidFill>
            <a:ln>
              <a:noFill/>
              <a:prstDash val="solid"/>
            </a:ln>
          </c:spPr>
          <c:invertIfNegative val="0"/>
          <c:cat>
            <c:strRef>
              <c:f>'2F.Results to CS_MIA'!$C$9:$J$9</c:f>
              <c:strCache>
                <c:ptCount val="5"/>
                <c:pt idx="0">
                  <c:v>ABA</c:v>
                </c:pt>
                <c:pt idx="1">
                  <c:v>B6</c:v>
                </c:pt>
                <c:pt idx="2">
                  <c:v>ABA1</c:v>
                </c:pt>
                <c:pt idx="3">
                  <c:v>B61</c:v>
                </c:pt>
                <c:pt idx="4">
                  <c:v>B7</c:v>
                </c:pt>
              </c:strCache>
            </c:strRef>
          </c:cat>
          <c:val>
            <c:numRef>
              <c:f>'2F.Results to CS_MIA'!$C$10:$J$10</c:f>
              <c:numCache>
                <c:formatCode>0%</c:formatCode>
                <c:ptCount val="8"/>
                <c:pt idx="0">
                  <c:v>6.5971342719553058E-2</c:v>
                </c:pt>
                <c:pt idx="1">
                  <c:v>5.7950023138094733E-2</c:v>
                </c:pt>
                <c:pt idx="2">
                  <c:v>6.5971342719553058E-2</c:v>
                </c:pt>
                <c:pt idx="3">
                  <c:v>5.7950023138094733E-2</c:v>
                </c:pt>
                <c:pt idx="4">
                  <c:v>7.0041322408335382E-2</c:v>
                </c:pt>
                <c:pt idx="5">
                  <c:v>0</c:v>
                </c:pt>
                <c:pt idx="6">
                  <c:v>0</c:v>
                </c:pt>
                <c:pt idx="7">
                  <c:v>0</c:v>
                </c:pt>
              </c:numCache>
            </c:numRef>
          </c:val>
          <c:extLst>
            <c:ext xmlns:c16="http://schemas.microsoft.com/office/drawing/2014/chart" uri="{C3380CC4-5D6E-409C-BE32-E72D297353CC}">
              <c16:uniqueId val="{00000000-2CC4-4BF7-B9BA-D43B8E0CC982}"/>
            </c:ext>
          </c:extLst>
        </c:ser>
        <c:ser>
          <c:idx val="1"/>
          <c:order val="1"/>
          <c:tx>
            <c:strRef>
              <c:f>'2F.Results to CS_MIA'!$B$11</c:f>
              <c:strCache>
                <c:ptCount val="1"/>
                <c:pt idx="0">
                  <c:v>T2_2</c:v>
                </c:pt>
              </c:strCache>
            </c:strRef>
          </c:tx>
          <c:spPr>
            <a:solidFill>
              <a:schemeClr val="accent2"/>
            </a:solidFill>
            <a:ln>
              <a:noFill/>
              <a:prstDash val="solid"/>
            </a:ln>
          </c:spPr>
          <c:invertIfNegative val="0"/>
          <c:cat>
            <c:strRef>
              <c:f>'2F.Results to CS_MIA'!$C$9:$J$9</c:f>
              <c:strCache>
                <c:ptCount val="5"/>
                <c:pt idx="0">
                  <c:v>ABA</c:v>
                </c:pt>
                <c:pt idx="1">
                  <c:v>B6</c:v>
                </c:pt>
                <c:pt idx="2">
                  <c:v>ABA1</c:v>
                </c:pt>
                <c:pt idx="3">
                  <c:v>B61</c:v>
                </c:pt>
                <c:pt idx="4">
                  <c:v>B7</c:v>
                </c:pt>
              </c:strCache>
            </c:strRef>
          </c:cat>
          <c:val>
            <c:numRef>
              <c:f>'2F.Results to CS_MIA'!$C$11:$J$11</c:f>
              <c:numCache>
                <c:formatCode>0%</c:formatCode>
                <c:ptCount val="8"/>
                <c:pt idx="0">
                  <c:v>1.8993091292241721E-2</c:v>
                </c:pt>
                <c:pt idx="1">
                  <c:v>6.7155228358905606E-3</c:v>
                </c:pt>
                <c:pt idx="2">
                  <c:v>1.8993091292241721E-2</c:v>
                </c:pt>
                <c:pt idx="3">
                  <c:v>6.7155228358905606E-3</c:v>
                </c:pt>
                <c:pt idx="4">
                  <c:v>2.9101728843080481E-2</c:v>
                </c:pt>
                <c:pt idx="5">
                  <c:v>0</c:v>
                </c:pt>
                <c:pt idx="6">
                  <c:v>0</c:v>
                </c:pt>
                <c:pt idx="7">
                  <c:v>0</c:v>
                </c:pt>
              </c:numCache>
            </c:numRef>
          </c:val>
          <c:extLst>
            <c:ext xmlns:c16="http://schemas.microsoft.com/office/drawing/2014/chart" uri="{C3380CC4-5D6E-409C-BE32-E72D297353CC}">
              <c16:uniqueId val="{00000001-2CC4-4BF7-B9BA-D43B8E0CC982}"/>
            </c:ext>
          </c:extLst>
        </c:ser>
        <c:ser>
          <c:idx val="2"/>
          <c:order val="2"/>
          <c:tx>
            <c:strRef>
              <c:f>'2F.Results to CS_MIA'!$B$12</c:f>
              <c:strCache>
                <c:ptCount val="1"/>
                <c:pt idx="0">
                  <c:v>T2_3</c:v>
                </c:pt>
              </c:strCache>
            </c:strRef>
          </c:tx>
          <c:spPr>
            <a:solidFill>
              <a:schemeClr val="accent3"/>
            </a:solidFill>
            <a:ln>
              <a:noFill/>
              <a:prstDash val="solid"/>
            </a:ln>
          </c:spPr>
          <c:invertIfNegative val="0"/>
          <c:cat>
            <c:strRef>
              <c:f>'2F.Results to CS_MIA'!$C$9:$J$9</c:f>
              <c:strCache>
                <c:ptCount val="5"/>
                <c:pt idx="0">
                  <c:v>ABA</c:v>
                </c:pt>
                <c:pt idx="1">
                  <c:v>B6</c:v>
                </c:pt>
                <c:pt idx="2">
                  <c:v>ABA1</c:v>
                </c:pt>
                <c:pt idx="3">
                  <c:v>B61</c:v>
                </c:pt>
                <c:pt idx="4">
                  <c:v>B7</c:v>
                </c:pt>
              </c:strCache>
            </c:strRef>
          </c:cat>
          <c:val>
            <c:numRef>
              <c:f>'2F.Results to CS_MIA'!$C$12:$J$12</c:f>
              <c:numCache>
                <c:formatCode>0%</c:formatCode>
                <c:ptCount val="8"/>
                <c:pt idx="0">
                  <c:v>1.2507402944036784E-2</c:v>
                </c:pt>
                <c:pt idx="1">
                  <c:v>5.3934038151143889E-3</c:v>
                </c:pt>
                <c:pt idx="2">
                  <c:v>1.2507402944036784E-2</c:v>
                </c:pt>
                <c:pt idx="3">
                  <c:v>5.3934038151143889E-3</c:v>
                </c:pt>
                <c:pt idx="4">
                  <c:v>1.9798979625122927E-2</c:v>
                </c:pt>
                <c:pt idx="5">
                  <c:v>0</c:v>
                </c:pt>
                <c:pt idx="6">
                  <c:v>0</c:v>
                </c:pt>
                <c:pt idx="7">
                  <c:v>0</c:v>
                </c:pt>
              </c:numCache>
            </c:numRef>
          </c:val>
          <c:extLst>
            <c:ext xmlns:c16="http://schemas.microsoft.com/office/drawing/2014/chart" uri="{C3380CC4-5D6E-409C-BE32-E72D297353CC}">
              <c16:uniqueId val="{00000002-2CC4-4BF7-B9BA-D43B8E0CC982}"/>
            </c:ext>
          </c:extLst>
        </c:ser>
        <c:ser>
          <c:idx val="3"/>
          <c:order val="3"/>
          <c:tx>
            <c:strRef>
              <c:f>'2F.Results to CS_MIA'!$B$13</c:f>
              <c:strCache>
                <c:ptCount val="1"/>
                <c:pt idx="0">
                  <c:v>T2_4</c:v>
                </c:pt>
              </c:strCache>
            </c:strRef>
          </c:tx>
          <c:spPr>
            <a:solidFill>
              <a:schemeClr val="accent4"/>
            </a:solidFill>
            <a:ln>
              <a:noFill/>
              <a:prstDash val="solid"/>
            </a:ln>
          </c:spPr>
          <c:invertIfNegative val="0"/>
          <c:cat>
            <c:strRef>
              <c:f>'2F.Results to CS_MIA'!$C$9:$J$9</c:f>
              <c:strCache>
                <c:ptCount val="5"/>
                <c:pt idx="0">
                  <c:v>ABA</c:v>
                </c:pt>
                <c:pt idx="1">
                  <c:v>B6</c:v>
                </c:pt>
                <c:pt idx="2">
                  <c:v>ABA1</c:v>
                </c:pt>
                <c:pt idx="3">
                  <c:v>B61</c:v>
                </c:pt>
                <c:pt idx="4">
                  <c:v>B7</c:v>
                </c:pt>
              </c:strCache>
            </c:strRef>
          </c:cat>
          <c:val>
            <c:numRef>
              <c:f>'2F.Results to CS_MIA'!$C$13:$J$13</c:f>
              <c:numCache>
                <c:formatCode>0%</c:formatCode>
                <c:ptCount val="8"/>
                <c:pt idx="0">
                  <c:v>8.3110270169688513E-2</c:v>
                </c:pt>
                <c:pt idx="1">
                  <c:v>8.3946080216781446E-2</c:v>
                </c:pt>
                <c:pt idx="2">
                  <c:v>8.3110270169688513E-2</c:v>
                </c:pt>
                <c:pt idx="3">
                  <c:v>8.3946080216781446E-2</c:v>
                </c:pt>
                <c:pt idx="4">
                  <c:v>8.9294103163286939E-2</c:v>
                </c:pt>
                <c:pt idx="5">
                  <c:v>0</c:v>
                </c:pt>
                <c:pt idx="6">
                  <c:v>0</c:v>
                </c:pt>
                <c:pt idx="7">
                  <c:v>0</c:v>
                </c:pt>
              </c:numCache>
            </c:numRef>
          </c:val>
          <c:extLst>
            <c:ext xmlns:c16="http://schemas.microsoft.com/office/drawing/2014/chart" uri="{C3380CC4-5D6E-409C-BE32-E72D297353CC}">
              <c16:uniqueId val="{00000003-2CC4-4BF7-B9BA-D43B8E0CC982}"/>
            </c:ext>
          </c:extLst>
        </c:ser>
        <c:ser>
          <c:idx val="4"/>
          <c:order val="4"/>
          <c:tx>
            <c:strRef>
              <c:f>'2F.Results to CS_MIA'!$B$14</c:f>
              <c:strCache>
                <c:ptCount val="1"/>
                <c:pt idx="0">
                  <c:v>T2_5</c:v>
                </c:pt>
              </c:strCache>
            </c:strRef>
          </c:tx>
          <c:spPr>
            <a:solidFill>
              <a:schemeClr val="accent5"/>
            </a:solidFill>
            <a:ln>
              <a:noFill/>
              <a:prstDash val="solid"/>
            </a:ln>
          </c:spPr>
          <c:invertIfNegative val="0"/>
          <c:cat>
            <c:strRef>
              <c:f>'2F.Results to CS_MIA'!$C$9:$J$9</c:f>
              <c:strCache>
                <c:ptCount val="5"/>
                <c:pt idx="0">
                  <c:v>ABA</c:v>
                </c:pt>
                <c:pt idx="1">
                  <c:v>B6</c:v>
                </c:pt>
                <c:pt idx="2">
                  <c:v>ABA1</c:v>
                </c:pt>
                <c:pt idx="3">
                  <c:v>B61</c:v>
                </c:pt>
                <c:pt idx="4">
                  <c:v>B7</c:v>
                </c:pt>
              </c:strCache>
            </c:strRef>
          </c:cat>
          <c:val>
            <c:numRef>
              <c:f>'2F.Results to CS_MIA'!$C$14:$J$14</c:f>
              <c:numCache>
                <c:formatCode>0%</c:formatCode>
                <c:ptCount val="8"/>
                <c:pt idx="0">
                  <c:v>1.753760564144765E-2</c:v>
                </c:pt>
                <c:pt idx="1">
                  <c:v>4.0969171175530401E-2</c:v>
                </c:pt>
                <c:pt idx="2">
                  <c:v>1.753760564144765E-2</c:v>
                </c:pt>
                <c:pt idx="3">
                  <c:v>4.0969171175530401E-2</c:v>
                </c:pt>
                <c:pt idx="4">
                  <c:v>2.8984839226664186E-2</c:v>
                </c:pt>
                <c:pt idx="5">
                  <c:v>0</c:v>
                </c:pt>
                <c:pt idx="6">
                  <c:v>0</c:v>
                </c:pt>
                <c:pt idx="7">
                  <c:v>0</c:v>
                </c:pt>
              </c:numCache>
            </c:numRef>
          </c:val>
          <c:extLst>
            <c:ext xmlns:c16="http://schemas.microsoft.com/office/drawing/2014/chart" uri="{C3380CC4-5D6E-409C-BE32-E72D297353CC}">
              <c16:uniqueId val="{00000004-2CC4-4BF7-B9BA-D43B8E0CC982}"/>
            </c:ext>
          </c:extLst>
        </c:ser>
        <c:ser>
          <c:idx val="5"/>
          <c:order val="5"/>
          <c:tx>
            <c:strRef>
              <c:f>'2F.Results to CS_MIA'!$B$15</c:f>
              <c:strCache>
                <c:ptCount val="1"/>
                <c:pt idx="0">
                  <c:v>T2_6</c:v>
                </c:pt>
              </c:strCache>
            </c:strRef>
          </c:tx>
          <c:spPr>
            <a:solidFill>
              <a:schemeClr val="accent6"/>
            </a:solidFill>
            <a:ln>
              <a:noFill/>
              <a:prstDash val="solid"/>
            </a:ln>
          </c:spPr>
          <c:invertIfNegative val="0"/>
          <c:cat>
            <c:strRef>
              <c:f>'2F.Results to CS_MIA'!$C$9:$J$9</c:f>
              <c:strCache>
                <c:ptCount val="5"/>
                <c:pt idx="0">
                  <c:v>ABA</c:v>
                </c:pt>
                <c:pt idx="1">
                  <c:v>B6</c:v>
                </c:pt>
                <c:pt idx="2">
                  <c:v>ABA1</c:v>
                </c:pt>
                <c:pt idx="3">
                  <c:v>B61</c:v>
                </c:pt>
                <c:pt idx="4">
                  <c:v>B7</c:v>
                </c:pt>
              </c:strCache>
            </c:strRef>
          </c:cat>
          <c:val>
            <c:numRef>
              <c:f>'2F.Results to CS_MIA'!$C$15:$J$15</c:f>
              <c:numCache>
                <c:formatCode>0%</c:formatCode>
                <c:ptCount val="8"/>
                <c:pt idx="0">
                  <c:v>3.1713750553025458E-2</c:v>
                </c:pt>
                <c:pt idx="1">
                  <c:v>2.7870821658999744E-2</c:v>
                </c:pt>
                <c:pt idx="2">
                  <c:v>3.1713750553025458E-2</c:v>
                </c:pt>
                <c:pt idx="3">
                  <c:v>2.7870821658999744E-2</c:v>
                </c:pt>
                <c:pt idx="4">
                  <c:v>2.3880382638035991E-2</c:v>
                </c:pt>
                <c:pt idx="5">
                  <c:v>0</c:v>
                </c:pt>
                <c:pt idx="6">
                  <c:v>0</c:v>
                </c:pt>
                <c:pt idx="7">
                  <c:v>0</c:v>
                </c:pt>
              </c:numCache>
            </c:numRef>
          </c:val>
          <c:extLst>
            <c:ext xmlns:c16="http://schemas.microsoft.com/office/drawing/2014/chart" uri="{C3380CC4-5D6E-409C-BE32-E72D297353CC}">
              <c16:uniqueId val="{00000005-2CC4-4BF7-B9BA-D43B8E0CC982}"/>
            </c:ext>
          </c:extLst>
        </c:ser>
        <c:ser>
          <c:idx val="6"/>
          <c:order val="6"/>
          <c:tx>
            <c:strRef>
              <c:f>'2F.Results to CS_MIA'!$B$16</c:f>
              <c:strCache>
                <c:ptCount val="1"/>
                <c:pt idx="0">
                  <c:v>T2_7</c:v>
                </c:pt>
              </c:strCache>
            </c:strRef>
          </c:tx>
          <c:spPr>
            <a:solidFill>
              <a:schemeClr val="accent1">
                <a:lumMod val="60000"/>
              </a:schemeClr>
            </a:solidFill>
            <a:ln>
              <a:noFill/>
              <a:prstDash val="solid"/>
            </a:ln>
          </c:spPr>
          <c:invertIfNegative val="0"/>
          <c:cat>
            <c:strRef>
              <c:f>'2F.Results to CS_MIA'!$C$9:$J$9</c:f>
              <c:strCache>
                <c:ptCount val="5"/>
                <c:pt idx="0">
                  <c:v>ABA</c:v>
                </c:pt>
                <c:pt idx="1">
                  <c:v>B6</c:v>
                </c:pt>
                <c:pt idx="2">
                  <c:v>ABA1</c:v>
                </c:pt>
                <c:pt idx="3">
                  <c:v>B61</c:v>
                </c:pt>
                <c:pt idx="4">
                  <c:v>B7</c:v>
                </c:pt>
              </c:strCache>
            </c:strRef>
          </c:cat>
          <c:val>
            <c:numRef>
              <c:f>'2F.Results to CS_MIA'!$C$16:$J$16</c:f>
              <c:numCache>
                <c:formatCode>0%</c:formatCode>
                <c:ptCount val="8"/>
                <c:pt idx="0">
                  <c:v>0.10582017740486382</c:v>
                </c:pt>
                <c:pt idx="1">
                  <c:v>0.12125167010216173</c:v>
                </c:pt>
                <c:pt idx="2">
                  <c:v>0.10582017740486382</c:v>
                </c:pt>
                <c:pt idx="3">
                  <c:v>0.12125167010216173</c:v>
                </c:pt>
                <c:pt idx="4">
                  <c:v>8.7004868998054319E-2</c:v>
                </c:pt>
                <c:pt idx="5">
                  <c:v>0</c:v>
                </c:pt>
                <c:pt idx="6">
                  <c:v>0</c:v>
                </c:pt>
                <c:pt idx="7">
                  <c:v>0</c:v>
                </c:pt>
              </c:numCache>
            </c:numRef>
          </c:val>
          <c:extLst>
            <c:ext xmlns:c16="http://schemas.microsoft.com/office/drawing/2014/chart" uri="{C3380CC4-5D6E-409C-BE32-E72D297353CC}">
              <c16:uniqueId val="{00000006-2CC4-4BF7-B9BA-D43B8E0CC982}"/>
            </c:ext>
          </c:extLst>
        </c:ser>
        <c:ser>
          <c:idx val="7"/>
          <c:order val="7"/>
          <c:tx>
            <c:strRef>
              <c:f>'2F.Results to CS_MIA'!$B$17</c:f>
              <c:strCache>
                <c:ptCount val="1"/>
                <c:pt idx="0">
                  <c:v>T2_8</c:v>
                </c:pt>
              </c:strCache>
            </c:strRef>
          </c:tx>
          <c:spPr>
            <a:solidFill>
              <a:schemeClr val="accent2">
                <a:lumMod val="60000"/>
              </a:schemeClr>
            </a:solidFill>
            <a:ln>
              <a:noFill/>
              <a:prstDash val="solid"/>
            </a:ln>
          </c:spPr>
          <c:invertIfNegative val="0"/>
          <c:cat>
            <c:strRef>
              <c:f>'2F.Results to CS_MIA'!$C$9:$J$9</c:f>
              <c:strCache>
                <c:ptCount val="5"/>
                <c:pt idx="0">
                  <c:v>ABA</c:v>
                </c:pt>
                <c:pt idx="1">
                  <c:v>B6</c:v>
                </c:pt>
                <c:pt idx="2">
                  <c:v>ABA1</c:v>
                </c:pt>
                <c:pt idx="3">
                  <c:v>B61</c:v>
                </c:pt>
                <c:pt idx="4">
                  <c:v>B7</c:v>
                </c:pt>
              </c:strCache>
            </c:strRef>
          </c:cat>
          <c:val>
            <c:numRef>
              <c:f>'2F.Results to CS_MIA'!$C$17:$J$17</c:f>
              <c:numCache>
                <c:formatCode>0%</c:formatCode>
                <c:ptCount val="8"/>
                <c:pt idx="0">
                  <c:v>4.6982331961307237E-2</c:v>
                </c:pt>
                <c:pt idx="1">
                  <c:v>8.2838803843928263E-2</c:v>
                </c:pt>
                <c:pt idx="2">
                  <c:v>4.6982331961307237E-2</c:v>
                </c:pt>
                <c:pt idx="3">
                  <c:v>8.2838803843928263E-2</c:v>
                </c:pt>
                <c:pt idx="4">
                  <c:v>8.4905489462278383E-2</c:v>
                </c:pt>
                <c:pt idx="5">
                  <c:v>0</c:v>
                </c:pt>
                <c:pt idx="6">
                  <c:v>0</c:v>
                </c:pt>
                <c:pt idx="7">
                  <c:v>0</c:v>
                </c:pt>
              </c:numCache>
            </c:numRef>
          </c:val>
          <c:extLst>
            <c:ext xmlns:c16="http://schemas.microsoft.com/office/drawing/2014/chart" uri="{C3380CC4-5D6E-409C-BE32-E72D297353CC}">
              <c16:uniqueId val="{00000007-2CC4-4BF7-B9BA-D43B8E0CC982}"/>
            </c:ext>
          </c:extLst>
        </c:ser>
        <c:ser>
          <c:idx val="8"/>
          <c:order val="8"/>
          <c:tx>
            <c:strRef>
              <c:f>'2F.Results to CS_MIA'!$B$18</c:f>
              <c:strCache>
                <c:ptCount val="1"/>
                <c:pt idx="0">
                  <c:v>T2_9</c:v>
                </c:pt>
              </c:strCache>
            </c:strRef>
          </c:tx>
          <c:spPr>
            <a:solidFill>
              <a:schemeClr val="accent3">
                <a:lumMod val="60000"/>
              </a:schemeClr>
            </a:solidFill>
            <a:ln>
              <a:noFill/>
              <a:prstDash val="solid"/>
            </a:ln>
          </c:spPr>
          <c:invertIfNegative val="0"/>
          <c:cat>
            <c:strRef>
              <c:f>'2F.Results to CS_MIA'!$C$9:$J$9</c:f>
              <c:strCache>
                <c:ptCount val="5"/>
                <c:pt idx="0">
                  <c:v>ABA</c:v>
                </c:pt>
                <c:pt idx="1">
                  <c:v>B6</c:v>
                </c:pt>
                <c:pt idx="2">
                  <c:v>ABA1</c:v>
                </c:pt>
                <c:pt idx="3">
                  <c:v>B61</c:v>
                </c:pt>
                <c:pt idx="4">
                  <c:v>B7</c:v>
                </c:pt>
              </c:strCache>
            </c:strRef>
          </c:cat>
          <c:val>
            <c:numRef>
              <c:f>'2F.Results to CS_MIA'!$C$18:$J$18</c:f>
              <c:numCache>
                <c:formatCode>0%</c:formatCode>
                <c:ptCount val="8"/>
                <c:pt idx="0">
                  <c:v>8.3364803382020881E-3</c:v>
                </c:pt>
                <c:pt idx="1">
                  <c:v>1.6837220158924582E-2</c:v>
                </c:pt>
                <c:pt idx="2">
                  <c:v>8.3364803382020881E-3</c:v>
                </c:pt>
                <c:pt idx="3">
                  <c:v>1.6837220158924582E-2</c:v>
                </c:pt>
                <c:pt idx="4">
                  <c:v>1.5994068911810773E-2</c:v>
                </c:pt>
                <c:pt idx="5">
                  <c:v>0</c:v>
                </c:pt>
                <c:pt idx="6">
                  <c:v>0</c:v>
                </c:pt>
                <c:pt idx="7">
                  <c:v>0</c:v>
                </c:pt>
              </c:numCache>
            </c:numRef>
          </c:val>
          <c:extLst>
            <c:ext xmlns:c16="http://schemas.microsoft.com/office/drawing/2014/chart" uri="{C3380CC4-5D6E-409C-BE32-E72D297353CC}">
              <c16:uniqueId val="{00000008-2CC4-4BF7-B9BA-D43B8E0CC982}"/>
            </c:ext>
          </c:extLst>
        </c:ser>
        <c:ser>
          <c:idx val="9"/>
          <c:order val="9"/>
          <c:tx>
            <c:strRef>
              <c:f>'2F.Results to CS_MIA'!$B$19</c:f>
              <c:strCache>
                <c:ptCount val="1"/>
                <c:pt idx="0">
                  <c:v>T2_10</c:v>
                </c:pt>
              </c:strCache>
            </c:strRef>
          </c:tx>
          <c:spPr>
            <a:solidFill>
              <a:schemeClr val="accent4">
                <a:lumMod val="60000"/>
              </a:schemeClr>
            </a:solidFill>
            <a:ln>
              <a:noFill/>
              <a:prstDash val="solid"/>
            </a:ln>
          </c:spPr>
          <c:invertIfNegative val="0"/>
          <c:cat>
            <c:strRef>
              <c:f>'2F.Results to CS_MIA'!$C$9:$J$9</c:f>
              <c:strCache>
                <c:ptCount val="5"/>
                <c:pt idx="0">
                  <c:v>ABA</c:v>
                </c:pt>
                <c:pt idx="1">
                  <c:v>B6</c:v>
                </c:pt>
                <c:pt idx="2">
                  <c:v>ABA1</c:v>
                </c:pt>
                <c:pt idx="3">
                  <c:v>B61</c:v>
                </c:pt>
                <c:pt idx="4">
                  <c:v>B7</c:v>
                </c:pt>
              </c:strCache>
            </c:strRef>
          </c:cat>
          <c:val>
            <c:numRef>
              <c:f>'2F.Results to CS_MIA'!$C$19:$J$19</c:f>
              <c:numCache>
                <c:formatCode>0%</c:formatCode>
                <c:ptCount val="8"/>
                <c:pt idx="0">
                  <c:v>1.5582116547556538E-2</c:v>
                </c:pt>
                <c:pt idx="1">
                  <c:v>1.3243881952658958E-2</c:v>
                </c:pt>
                <c:pt idx="2">
                  <c:v>1.5582116547556538E-2</c:v>
                </c:pt>
                <c:pt idx="3">
                  <c:v>1.3243881952658958E-2</c:v>
                </c:pt>
                <c:pt idx="4">
                  <c:v>1.0399369853728703E-2</c:v>
                </c:pt>
                <c:pt idx="5">
                  <c:v>0</c:v>
                </c:pt>
                <c:pt idx="6">
                  <c:v>0</c:v>
                </c:pt>
                <c:pt idx="7">
                  <c:v>0</c:v>
                </c:pt>
              </c:numCache>
            </c:numRef>
          </c:val>
          <c:extLst>
            <c:ext xmlns:c16="http://schemas.microsoft.com/office/drawing/2014/chart" uri="{C3380CC4-5D6E-409C-BE32-E72D297353CC}">
              <c16:uniqueId val="{00000009-2CC4-4BF7-B9BA-D43B8E0CC982}"/>
            </c:ext>
          </c:extLst>
        </c:ser>
        <c:ser>
          <c:idx val="10"/>
          <c:order val="10"/>
          <c:tx>
            <c:strRef>
              <c:f>'2F.Results to CS_MIA'!$B$20</c:f>
              <c:strCache>
                <c:ptCount val="1"/>
                <c:pt idx="0">
                  <c:v>T2_11</c:v>
                </c:pt>
              </c:strCache>
            </c:strRef>
          </c:tx>
          <c:spPr>
            <a:solidFill>
              <a:schemeClr val="accent5">
                <a:lumMod val="60000"/>
              </a:schemeClr>
            </a:solidFill>
            <a:ln>
              <a:noFill/>
              <a:prstDash val="solid"/>
            </a:ln>
          </c:spPr>
          <c:invertIfNegative val="0"/>
          <c:cat>
            <c:strRef>
              <c:f>'2F.Results to CS_MIA'!$C$9:$J$9</c:f>
              <c:strCache>
                <c:ptCount val="5"/>
                <c:pt idx="0">
                  <c:v>ABA</c:v>
                </c:pt>
                <c:pt idx="1">
                  <c:v>B6</c:v>
                </c:pt>
                <c:pt idx="2">
                  <c:v>ABA1</c:v>
                </c:pt>
                <c:pt idx="3">
                  <c:v>B61</c:v>
                </c:pt>
                <c:pt idx="4">
                  <c:v>B7</c:v>
                </c:pt>
              </c:strCache>
            </c:strRef>
          </c:cat>
          <c:val>
            <c:numRef>
              <c:f>'2F.Results to CS_MIA'!$C$20:$J$20</c:f>
              <c:numCache>
                <c:formatCode>0%</c:formatCode>
                <c:ptCount val="8"/>
                <c:pt idx="0">
                  <c:v>4.4321956357664109E-2</c:v>
                </c:pt>
                <c:pt idx="1">
                  <c:v>4.1633550863937156E-2</c:v>
                </c:pt>
                <c:pt idx="2">
                  <c:v>4.4321956357664109E-2</c:v>
                </c:pt>
                <c:pt idx="3">
                  <c:v>4.1633550863937156E-2</c:v>
                </c:pt>
                <c:pt idx="4">
                  <c:v>2.7954143145983993E-2</c:v>
                </c:pt>
                <c:pt idx="5">
                  <c:v>0</c:v>
                </c:pt>
                <c:pt idx="6">
                  <c:v>0</c:v>
                </c:pt>
                <c:pt idx="7">
                  <c:v>0</c:v>
                </c:pt>
              </c:numCache>
            </c:numRef>
          </c:val>
          <c:extLst>
            <c:ext xmlns:c16="http://schemas.microsoft.com/office/drawing/2014/chart" uri="{C3380CC4-5D6E-409C-BE32-E72D297353CC}">
              <c16:uniqueId val="{0000000A-2CC4-4BF7-B9BA-D43B8E0CC982}"/>
            </c:ext>
          </c:extLst>
        </c:ser>
        <c:ser>
          <c:idx val="11"/>
          <c:order val="11"/>
          <c:tx>
            <c:strRef>
              <c:f>'2F.Results to CS_MIA'!$B$21</c:f>
              <c:strCache>
                <c:ptCount val="1"/>
                <c:pt idx="0">
                  <c:v>T2_12</c:v>
                </c:pt>
              </c:strCache>
            </c:strRef>
          </c:tx>
          <c:spPr>
            <a:solidFill>
              <a:schemeClr val="accent6">
                <a:lumMod val="60000"/>
              </a:schemeClr>
            </a:solidFill>
            <a:ln>
              <a:noFill/>
              <a:prstDash val="solid"/>
            </a:ln>
          </c:spPr>
          <c:invertIfNegative val="0"/>
          <c:cat>
            <c:strRef>
              <c:f>'2F.Results to CS_MIA'!$C$9:$J$9</c:f>
              <c:strCache>
                <c:ptCount val="5"/>
                <c:pt idx="0">
                  <c:v>ABA</c:v>
                </c:pt>
                <c:pt idx="1">
                  <c:v>B6</c:v>
                </c:pt>
                <c:pt idx="2">
                  <c:v>ABA1</c:v>
                </c:pt>
                <c:pt idx="3">
                  <c:v>B61</c:v>
                </c:pt>
                <c:pt idx="4">
                  <c:v>B7</c:v>
                </c:pt>
              </c:strCache>
            </c:strRef>
          </c:cat>
          <c:val>
            <c:numRef>
              <c:f>'2F.Results to CS_MIA'!$C$21:$J$21</c:f>
              <c:numCache>
                <c:formatCode>0%</c:formatCode>
                <c:ptCount val="8"/>
                <c:pt idx="0">
                  <c:v>2.4096944955977508E-2</c:v>
                </c:pt>
                <c:pt idx="1">
                  <c:v>8.3988918859891609E-3</c:v>
                </c:pt>
                <c:pt idx="2">
                  <c:v>2.4096944955977508E-2</c:v>
                </c:pt>
                <c:pt idx="3">
                  <c:v>8.3988918859891609E-3</c:v>
                </c:pt>
                <c:pt idx="4">
                  <c:v>5.7308442145018951E-3</c:v>
                </c:pt>
                <c:pt idx="5">
                  <c:v>0</c:v>
                </c:pt>
                <c:pt idx="6">
                  <c:v>0</c:v>
                </c:pt>
                <c:pt idx="7">
                  <c:v>0</c:v>
                </c:pt>
              </c:numCache>
            </c:numRef>
          </c:val>
          <c:extLst>
            <c:ext xmlns:c16="http://schemas.microsoft.com/office/drawing/2014/chart" uri="{C3380CC4-5D6E-409C-BE32-E72D297353CC}">
              <c16:uniqueId val="{0000000B-2CC4-4BF7-B9BA-D43B8E0CC982}"/>
            </c:ext>
          </c:extLst>
        </c:ser>
        <c:ser>
          <c:idx val="12"/>
          <c:order val="12"/>
          <c:tx>
            <c:strRef>
              <c:f>'2F.Results to CS_MIA'!$B$22</c:f>
              <c:strCache>
                <c:ptCount val="1"/>
                <c:pt idx="0">
                  <c:v>T2_13</c:v>
                </c:pt>
              </c:strCache>
            </c:strRef>
          </c:tx>
          <c:spPr>
            <a:solidFill>
              <a:schemeClr val="accent1">
                <a:lumMod val="80000"/>
                <a:lumOff val="20000"/>
              </a:schemeClr>
            </a:solidFill>
            <a:ln>
              <a:noFill/>
              <a:prstDash val="solid"/>
            </a:ln>
          </c:spPr>
          <c:invertIfNegative val="0"/>
          <c:cat>
            <c:strRef>
              <c:f>'2F.Results to CS_MIA'!$C$9:$J$9</c:f>
              <c:strCache>
                <c:ptCount val="5"/>
                <c:pt idx="0">
                  <c:v>ABA</c:v>
                </c:pt>
                <c:pt idx="1">
                  <c:v>B6</c:v>
                </c:pt>
                <c:pt idx="2">
                  <c:v>ABA1</c:v>
                </c:pt>
                <c:pt idx="3">
                  <c:v>B61</c:v>
                </c:pt>
                <c:pt idx="4">
                  <c:v>B7</c:v>
                </c:pt>
              </c:strCache>
            </c:strRef>
          </c:cat>
          <c:val>
            <c:numRef>
              <c:f>'2F.Results to CS_MIA'!$C$22:$J$22</c:f>
              <c:numCache>
                <c:formatCode>0%</c:formatCode>
                <c:ptCount val="8"/>
                <c:pt idx="0">
                  <c:v>8.884644323407109E-3</c:v>
                </c:pt>
                <c:pt idx="1">
                  <c:v>1.5725623084150185E-4</c:v>
                </c:pt>
                <c:pt idx="2">
                  <c:v>8.884644323407109E-3</c:v>
                </c:pt>
                <c:pt idx="3">
                  <c:v>1.5725623084150185E-4</c:v>
                </c:pt>
                <c:pt idx="4">
                  <c:v>5.3189861154019922E-3</c:v>
                </c:pt>
                <c:pt idx="5">
                  <c:v>0</c:v>
                </c:pt>
                <c:pt idx="6">
                  <c:v>0</c:v>
                </c:pt>
                <c:pt idx="7">
                  <c:v>0</c:v>
                </c:pt>
              </c:numCache>
            </c:numRef>
          </c:val>
          <c:extLst>
            <c:ext xmlns:c16="http://schemas.microsoft.com/office/drawing/2014/chart" uri="{C3380CC4-5D6E-409C-BE32-E72D297353CC}">
              <c16:uniqueId val="{0000000C-2CC4-4BF7-B9BA-D43B8E0CC982}"/>
            </c:ext>
          </c:extLst>
        </c:ser>
        <c:ser>
          <c:idx val="13"/>
          <c:order val="13"/>
          <c:tx>
            <c:strRef>
              <c:f>'2F.Results to CS_MIA'!$B$23</c:f>
              <c:strCache>
                <c:ptCount val="1"/>
                <c:pt idx="0">
                  <c:v>T2_14</c:v>
                </c:pt>
              </c:strCache>
            </c:strRef>
          </c:tx>
          <c:spPr>
            <a:solidFill>
              <a:schemeClr val="accent2">
                <a:lumMod val="80000"/>
                <a:lumOff val="20000"/>
              </a:schemeClr>
            </a:solidFill>
            <a:ln>
              <a:noFill/>
              <a:prstDash val="solid"/>
            </a:ln>
          </c:spPr>
          <c:invertIfNegative val="0"/>
          <c:cat>
            <c:strRef>
              <c:f>'2F.Results to CS_MIA'!$C$9:$J$9</c:f>
              <c:strCache>
                <c:ptCount val="5"/>
                <c:pt idx="0">
                  <c:v>ABA</c:v>
                </c:pt>
                <c:pt idx="1">
                  <c:v>B6</c:v>
                </c:pt>
                <c:pt idx="2">
                  <c:v>ABA1</c:v>
                </c:pt>
                <c:pt idx="3">
                  <c:v>B61</c:v>
                </c:pt>
                <c:pt idx="4">
                  <c:v>B7</c:v>
                </c:pt>
              </c:strCache>
            </c:strRef>
          </c:cat>
          <c:val>
            <c:numRef>
              <c:f>'2F.Results to CS_MIA'!$C$23:$J$23</c:f>
              <c:numCache>
                <c:formatCode>0%</c:formatCode>
                <c:ptCount val="8"/>
                <c:pt idx="0">
                  <c:v>1.8013312290201325E-2</c:v>
                </c:pt>
                <c:pt idx="1">
                  <c:v>1.9243760789149637E-2</c:v>
                </c:pt>
                <c:pt idx="2">
                  <c:v>1.8013312290201325E-2</c:v>
                </c:pt>
                <c:pt idx="3">
                  <c:v>1.9243760789149637E-2</c:v>
                </c:pt>
                <c:pt idx="4">
                  <c:v>1.7896170944854708E-2</c:v>
                </c:pt>
                <c:pt idx="5">
                  <c:v>0</c:v>
                </c:pt>
                <c:pt idx="6">
                  <c:v>0</c:v>
                </c:pt>
                <c:pt idx="7">
                  <c:v>0</c:v>
                </c:pt>
              </c:numCache>
            </c:numRef>
          </c:val>
          <c:extLst>
            <c:ext xmlns:c16="http://schemas.microsoft.com/office/drawing/2014/chart" uri="{C3380CC4-5D6E-409C-BE32-E72D297353CC}">
              <c16:uniqueId val="{0000000D-2CC4-4BF7-B9BA-D43B8E0CC982}"/>
            </c:ext>
          </c:extLst>
        </c:ser>
        <c:ser>
          <c:idx val="14"/>
          <c:order val="14"/>
          <c:tx>
            <c:strRef>
              <c:f>'2F.Results to CS_MIA'!$B$24</c:f>
              <c:strCache>
                <c:ptCount val="1"/>
                <c:pt idx="0">
                  <c:v>T2_15</c:v>
                </c:pt>
              </c:strCache>
            </c:strRef>
          </c:tx>
          <c:spPr>
            <a:solidFill>
              <a:schemeClr val="accent3">
                <a:lumMod val="80000"/>
                <a:lumOff val="20000"/>
              </a:schemeClr>
            </a:solidFill>
            <a:ln>
              <a:noFill/>
              <a:prstDash val="solid"/>
            </a:ln>
          </c:spPr>
          <c:invertIfNegative val="0"/>
          <c:cat>
            <c:strRef>
              <c:f>'2F.Results to CS_MIA'!$C$9:$J$9</c:f>
              <c:strCache>
                <c:ptCount val="5"/>
                <c:pt idx="0">
                  <c:v>ABA</c:v>
                </c:pt>
                <c:pt idx="1">
                  <c:v>B6</c:v>
                </c:pt>
                <c:pt idx="2">
                  <c:v>ABA1</c:v>
                </c:pt>
                <c:pt idx="3">
                  <c:v>B61</c:v>
                </c:pt>
                <c:pt idx="4">
                  <c:v>B7</c:v>
                </c:pt>
              </c:strCache>
            </c:strRef>
          </c:cat>
          <c:val>
            <c:numRef>
              <c:f>'2F.Results to CS_MIA'!$C$24:$J$24</c:f>
              <c:numCache>
                <c:formatCode>0%</c:formatCode>
                <c:ptCount val="8"/>
                <c:pt idx="0">
                  <c:v>1.2211569063647915E-2</c:v>
                </c:pt>
                <c:pt idx="1">
                  <c:v>2.3081156462220452E-4</c:v>
                </c:pt>
                <c:pt idx="2">
                  <c:v>1.2211569063647915E-2</c:v>
                </c:pt>
                <c:pt idx="3">
                  <c:v>2.3081156462220452E-4</c:v>
                </c:pt>
                <c:pt idx="4">
                  <c:v>1.174050161987155E-2</c:v>
                </c:pt>
                <c:pt idx="5">
                  <c:v>0</c:v>
                </c:pt>
                <c:pt idx="6">
                  <c:v>0</c:v>
                </c:pt>
                <c:pt idx="7">
                  <c:v>0</c:v>
                </c:pt>
              </c:numCache>
            </c:numRef>
          </c:val>
          <c:extLst>
            <c:ext xmlns:c16="http://schemas.microsoft.com/office/drawing/2014/chart" uri="{C3380CC4-5D6E-409C-BE32-E72D297353CC}">
              <c16:uniqueId val="{0000000E-2CC4-4BF7-B9BA-D43B8E0CC982}"/>
            </c:ext>
          </c:extLst>
        </c:ser>
        <c:ser>
          <c:idx val="15"/>
          <c:order val="15"/>
          <c:tx>
            <c:strRef>
              <c:f>'2F.Results to CS_MIA'!$B$25</c:f>
              <c:strCache>
                <c:ptCount val="1"/>
                <c:pt idx="0">
                  <c:v>T2_16</c:v>
                </c:pt>
              </c:strCache>
            </c:strRef>
          </c:tx>
          <c:spPr>
            <a:solidFill>
              <a:schemeClr val="accent4">
                <a:lumMod val="80000"/>
                <a:lumOff val="20000"/>
              </a:schemeClr>
            </a:solidFill>
            <a:ln>
              <a:noFill/>
              <a:prstDash val="solid"/>
            </a:ln>
          </c:spPr>
          <c:invertIfNegative val="0"/>
          <c:cat>
            <c:strRef>
              <c:f>'2F.Results to CS_MIA'!$C$9:$J$9</c:f>
              <c:strCache>
                <c:ptCount val="5"/>
                <c:pt idx="0">
                  <c:v>ABA</c:v>
                </c:pt>
                <c:pt idx="1">
                  <c:v>B6</c:v>
                </c:pt>
                <c:pt idx="2">
                  <c:v>ABA1</c:v>
                </c:pt>
                <c:pt idx="3">
                  <c:v>B61</c:v>
                </c:pt>
                <c:pt idx="4">
                  <c:v>B7</c:v>
                </c:pt>
              </c:strCache>
            </c:strRef>
          </c:cat>
          <c:val>
            <c:numRef>
              <c:f>'2F.Results to CS_MIA'!$C$25:$J$25</c:f>
              <c:numCache>
                <c:formatCode>0%</c:formatCode>
                <c:ptCount val="8"/>
                <c:pt idx="0">
                  <c:v>1.1506041509069564E-2</c:v>
                </c:pt>
                <c:pt idx="1">
                  <c:v>8.2194068981594533E-3</c:v>
                </c:pt>
                <c:pt idx="2">
                  <c:v>1.1506041509069564E-2</c:v>
                </c:pt>
                <c:pt idx="3">
                  <c:v>8.2194068981594533E-3</c:v>
                </c:pt>
                <c:pt idx="4">
                  <c:v>1.4245297493537052E-2</c:v>
                </c:pt>
                <c:pt idx="5">
                  <c:v>0</c:v>
                </c:pt>
                <c:pt idx="6">
                  <c:v>0</c:v>
                </c:pt>
                <c:pt idx="7">
                  <c:v>0</c:v>
                </c:pt>
              </c:numCache>
            </c:numRef>
          </c:val>
          <c:extLst>
            <c:ext xmlns:c16="http://schemas.microsoft.com/office/drawing/2014/chart" uri="{C3380CC4-5D6E-409C-BE32-E72D297353CC}">
              <c16:uniqueId val="{0000000F-2CC4-4BF7-B9BA-D43B8E0CC982}"/>
            </c:ext>
          </c:extLst>
        </c:ser>
        <c:ser>
          <c:idx val="16"/>
          <c:order val="16"/>
          <c:tx>
            <c:strRef>
              <c:f>'2F.Results to CS_MIA'!$B$26</c:f>
              <c:strCache>
                <c:ptCount val="1"/>
                <c:pt idx="0">
                  <c:v>T2_17</c:v>
                </c:pt>
              </c:strCache>
            </c:strRef>
          </c:tx>
          <c:spPr>
            <a:solidFill>
              <a:schemeClr val="accent5">
                <a:lumMod val="80000"/>
                <a:lumOff val="20000"/>
              </a:schemeClr>
            </a:solidFill>
            <a:ln>
              <a:noFill/>
              <a:prstDash val="solid"/>
            </a:ln>
          </c:spPr>
          <c:invertIfNegative val="0"/>
          <c:cat>
            <c:strRef>
              <c:f>'2F.Results to CS_MIA'!$C$9:$J$9</c:f>
              <c:strCache>
                <c:ptCount val="5"/>
                <c:pt idx="0">
                  <c:v>ABA</c:v>
                </c:pt>
                <c:pt idx="1">
                  <c:v>B6</c:v>
                </c:pt>
                <c:pt idx="2">
                  <c:v>ABA1</c:v>
                </c:pt>
                <c:pt idx="3">
                  <c:v>B61</c:v>
                </c:pt>
                <c:pt idx="4">
                  <c:v>B7</c:v>
                </c:pt>
              </c:strCache>
            </c:strRef>
          </c:cat>
          <c:val>
            <c:numRef>
              <c:f>'2F.Results to CS_MIA'!$C$26:$J$26</c:f>
              <c:numCache>
                <c:formatCode>0%</c:formatCode>
                <c:ptCount val="8"/>
                <c:pt idx="0">
                  <c:v>5.2472381798137268E-3</c:v>
                </c:pt>
                <c:pt idx="1">
                  <c:v>9.5559567640293216E-3</c:v>
                </c:pt>
                <c:pt idx="2">
                  <c:v>5.2472381798137268E-3</c:v>
                </c:pt>
                <c:pt idx="3">
                  <c:v>9.5559567640293216E-3</c:v>
                </c:pt>
                <c:pt idx="4">
                  <c:v>2.0535763913493078E-2</c:v>
                </c:pt>
                <c:pt idx="5">
                  <c:v>0</c:v>
                </c:pt>
                <c:pt idx="6">
                  <c:v>0</c:v>
                </c:pt>
                <c:pt idx="7">
                  <c:v>0</c:v>
                </c:pt>
              </c:numCache>
            </c:numRef>
          </c:val>
          <c:extLst>
            <c:ext xmlns:c16="http://schemas.microsoft.com/office/drawing/2014/chart" uri="{C3380CC4-5D6E-409C-BE32-E72D297353CC}">
              <c16:uniqueId val="{00000010-2CC4-4BF7-B9BA-D43B8E0CC982}"/>
            </c:ext>
          </c:extLst>
        </c:ser>
        <c:ser>
          <c:idx val="17"/>
          <c:order val="17"/>
          <c:tx>
            <c:strRef>
              <c:f>'2F.Results to CS_MIA'!$B$27</c:f>
              <c:strCache>
                <c:ptCount val="1"/>
                <c:pt idx="0">
                  <c:v>T2_18</c:v>
                </c:pt>
              </c:strCache>
            </c:strRef>
          </c:tx>
          <c:spPr>
            <a:solidFill>
              <a:schemeClr val="accent6">
                <a:lumMod val="80000"/>
                <a:lumOff val="20000"/>
              </a:schemeClr>
            </a:solidFill>
            <a:ln>
              <a:noFill/>
              <a:prstDash val="solid"/>
            </a:ln>
          </c:spPr>
          <c:invertIfNegative val="0"/>
          <c:cat>
            <c:strRef>
              <c:f>'2F.Results to CS_MIA'!$C$9:$J$9</c:f>
              <c:strCache>
                <c:ptCount val="5"/>
                <c:pt idx="0">
                  <c:v>ABA</c:v>
                </c:pt>
                <c:pt idx="1">
                  <c:v>B6</c:v>
                </c:pt>
                <c:pt idx="2">
                  <c:v>ABA1</c:v>
                </c:pt>
                <c:pt idx="3">
                  <c:v>B61</c:v>
                </c:pt>
                <c:pt idx="4">
                  <c:v>B7</c:v>
                </c:pt>
              </c:strCache>
            </c:strRef>
          </c:cat>
          <c:val>
            <c:numRef>
              <c:f>'2F.Results to CS_MIA'!$C$27:$J$27</c:f>
              <c:numCache>
                <c:formatCode>0%</c:formatCode>
                <c:ptCount val="8"/>
                <c:pt idx="0">
                  <c:v>1.7370341316103106E-2</c:v>
                </c:pt>
                <c:pt idx="1">
                  <c:v>7.7949929046645203E-2</c:v>
                </c:pt>
                <c:pt idx="2">
                  <c:v>1.7370341316103106E-2</c:v>
                </c:pt>
                <c:pt idx="3">
                  <c:v>7.7949929046645203E-2</c:v>
                </c:pt>
                <c:pt idx="4">
                  <c:v>7.9046837874153397E-2</c:v>
                </c:pt>
                <c:pt idx="5">
                  <c:v>0</c:v>
                </c:pt>
                <c:pt idx="6">
                  <c:v>0</c:v>
                </c:pt>
                <c:pt idx="7">
                  <c:v>0</c:v>
                </c:pt>
              </c:numCache>
            </c:numRef>
          </c:val>
          <c:extLst>
            <c:ext xmlns:c16="http://schemas.microsoft.com/office/drawing/2014/chart" uri="{C3380CC4-5D6E-409C-BE32-E72D297353CC}">
              <c16:uniqueId val="{00000011-2CC4-4BF7-B9BA-D43B8E0CC982}"/>
            </c:ext>
          </c:extLst>
        </c:ser>
        <c:ser>
          <c:idx val="18"/>
          <c:order val="18"/>
          <c:tx>
            <c:strRef>
              <c:f>'2F.Results to CS_MIA'!$B$28</c:f>
              <c:strCache>
                <c:ptCount val="1"/>
                <c:pt idx="0">
                  <c:v>T2_19</c:v>
                </c:pt>
              </c:strCache>
            </c:strRef>
          </c:tx>
          <c:spPr>
            <a:solidFill>
              <a:schemeClr val="accent1">
                <a:lumMod val="80000"/>
              </a:schemeClr>
            </a:solidFill>
            <a:ln>
              <a:noFill/>
              <a:prstDash val="solid"/>
            </a:ln>
          </c:spPr>
          <c:invertIfNegative val="0"/>
          <c:cat>
            <c:strRef>
              <c:f>'2F.Results to CS_MIA'!$C$9:$J$9</c:f>
              <c:strCache>
                <c:ptCount val="5"/>
                <c:pt idx="0">
                  <c:v>ABA</c:v>
                </c:pt>
                <c:pt idx="1">
                  <c:v>B6</c:v>
                </c:pt>
                <c:pt idx="2">
                  <c:v>ABA1</c:v>
                </c:pt>
                <c:pt idx="3">
                  <c:v>B61</c:v>
                </c:pt>
                <c:pt idx="4">
                  <c:v>B7</c:v>
                </c:pt>
              </c:strCache>
            </c:strRef>
          </c:cat>
          <c:val>
            <c:numRef>
              <c:f>'2F.Results to CS_MIA'!$C$28:$J$28</c:f>
              <c:numCache>
                <c:formatCode>0%</c:formatCode>
                <c:ptCount val="8"/>
                <c:pt idx="0">
                  <c:v>6.722930707808732E-3</c:v>
                </c:pt>
                <c:pt idx="1">
                  <c:v>4.1508677979370037E-3</c:v>
                </c:pt>
                <c:pt idx="2">
                  <c:v>6.722930707808732E-3</c:v>
                </c:pt>
                <c:pt idx="3">
                  <c:v>4.1508677979370037E-3</c:v>
                </c:pt>
                <c:pt idx="4">
                  <c:v>7.186649093450472E-3</c:v>
                </c:pt>
                <c:pt idx="5">
                  <c:v>0</c:v>
                </c:pt>
                <c:pt idx="6">
                  <c:v>0</c:v>
                </c:pt>
                <c:pt idx="7">
                  <c:v>0</c:v>
                </c:pt>
              </c:numCache>
            </c:numRef>
          </c:val>
          <c:extLst>
            <c:ext xmlns:c16="http://schemas.microsoft.com/office/drawing/2014/chart" uri="{C3380CC4-5D6E-409C-BE32-E72D297353CC}">
              <c16:uniqueId val="{00000012-2CC4-4BF7-B9BA-D43B8E0CC982}"/>
            </c:ext>
          </c:extLst>
        </c:ser>
        <c:dLbls>
          <c:showLegendKey val="0"/>
          <c:showVal val="0"/>
          <c:showCatName val="0"/>
          <c:showSerName val="0"/>
          <c:showPercent val="0"/>
          <c:showBubbleSize val="0"/>
        </c:dLbls>
        <c:gapWidth val="150"/>
        <c:overlap val="100"/>
        <c:axId val="1651306912"/>
        <c:axId val="1651307392"/>
      </c:barChart>
      <c:catAx>
        <c:axId val="165130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651307392"/>
        <c:crosses val="autoZero"/>
        <c:auto val="1"/>
        <c:lblAlgn val="ctr"/>
        <c:lblOffset val="100"/>
        <c:noMultiLvlLbl val="0"/>
      </c:catAx>
      <c:valAx>
        <c:axId val="1651307392"/>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651306912"/>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a:t>KPI Performance Breakdown</a:t>
            </a:r>
          </a:p>
        </c:rich>
      </c:tx>
      <c:layout>
        <c:manualLayout>
          <c:xMode val="edge"/>
          <c:yMode val="edge"/>
          <c:x val="0.57836106393365128"/>
          <c:y val="6.925795823799652E-2"/>
        </c:manualLayout>
      </c:layout>
      <c:overlay val="0"/>
      <c:spPr>
        <a:noFill/>
        <a:ln>
          <a:noFill/>
          <a:prstDash val="solid"/>
        </a:ln>
      </c:spPr>
    </c:title>
    <c:autoTitleDeleted val="0"/>
    <c:plotArea>
      <c:layout/>
      <c:barChart>
        <c:barDir val="col"/>
        <c:grouping val="stacked"/>
        <c:varyColors val="0"/>
        <c:ser>
          <c:idx val="0"/>
          <c:order val="0"/>
          <c:spPr>
            <a:solidFill>
              <a:srgbClr val="A6A6A6"/>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'2F.Results to CS_MIA'!$C$2:$J$2</c:f>
              <c:strCache>
                <c:ptCount val="5"/>
                <c:pt idx="0">
                  <c:v>ABA</c:v>
                </c:pt>
                <c:pt idx="1">
                  <c:v>B6</c:v>
                </c:pt>
                <c:pt idx="2">
                  <c:v>ABA1</c:v>
                </c:pt>
                <c:pt idx="3">
                  <c:v>B61</c:v>
                </c:pt>
                <c:pt idx="4">
                  <c:v>B7</c:v>
                </c:pt>
              </c:strCache>
            </c:strRef>
          </c:cat>
          <c:val>
            <c:numRef>
              <c:f>'2F.Results to CS_MIA'!$C$3:$J$3</c:f>
              <c:numCache>
                <c:formatCode>0.0%</c:formatCode>
                <c:ptCount val="8"/>
                <c:pt idx="0">
                  <c:v>8.1144592124561918E-2</c:v>
                </c:pt>
                <c:pt idx="1">
                  <c:v>4.0791301848915038E-2</c:v>
                </c:pt>
                <c:pt idx="2">
                  <c:v>8.1144592124561918E-2</c:v>
                </c:pt>
                <c:pt idx="3">
                  <c:v>4.0791301848915038E-2</c:v>
                </c:pt>
                <c:pt idx="4">
                  <c:v>7.5052008146849314E-2</c:v>
                </c:pt>
                <c:pt idx="5">
                  <c:v>0</c:v>
                </c:pt>
                <c:pt idx="6">
                  <c:v>0</c:v>
                </c:pt>
                <c:pt idx="7">
                  <c:v>0</c:v>
                </c:pt>
              </c:numCache>
            </c:numRef>
          </c:val>
          <c:extLst>
            <c:ext xmlns:c16="http://schemas.microsoft.com/office/drawing/2014/chart" uri="{C3380CC4-5D6E-409C-BE32-E72D297353CC}">
              <c16:uniqueId val="{00000000-827B-4705-A3C6-5BA1834C0524}"/>
            </c:ext>
          </c:extLst>
        </c:ser>
        <c:ser>
          <c:idx val="1"/>
          <c:order val="1"/>
          <c:spPr>
            <a:solidFill>
              <a:srgbClr val="4472C4"/>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'2F.Results to CS_MIA'!$C$2:$J$2</c:f>
              <c:strCache>
                <c:ptCount val="5"/>
                <c:pt idx="0">
                  <c:v>ABA</c:v>
                </c:pt>
                <c:pt idx="1">
                  <c:v>B6</c:v>
                </c:pt>
                <c:pt idx="2">
                  <c:v>ABA1</c:v>
                </c:pt>
                <c:pt idx="3">
                  <c:v>B61</c:v>
                </c:pt>
                <c:pt idx="4">
                  <c:v>B7</c:v>
                </c:pt>
              </c:strCache>
            </c:strRef>
          </c:cat>
          <c:val>
            <c:numRef>
              <c:f>'2F.Results to CS_MIA'!$C$4:$J$4</c:f>
              <c:numCache>
                <c:formatCode>0.0%</c:formatCode>
                <c:ptCount val="8"/>
                <c:pt idx="0">
                  <c:v>0.17900578381528764</c:v>
                </c:pt>
                <c:pt idx="1">
                  <c:v>0.16184027709845339</c:v>
                </c:pt>
                <c:pt idx="2">
                  <c:v>0.17900578381528764</c:v>
                </c:pt>
                <c:pt idx="3">
                  <c:v>0.16184027709845339</c:v>
                </c:pt>
                <c:pt idx="4">
                  <c:v>0.11442167606367698</c:v>
                </c:pt>
                <c:pt idx="5">
                  <c:v>0</c:v>
                </c:pt>
                <c:pt idx="6">
                  <c:v>0</c:v>
                </c:pt>
                <c:pt idx="7">
                  <c:v>0</c:v>
                </c:pt>
              </c:numCache>
            </c:numRef>
          </c:val>
          <c:extLst>
            <c:ext xmlns:c16="http://schemas.microsoft.com/office/drawing/2014/chart" uri="{C3380CC4-5D6E-409C-BE32-E72D297353CC}">
              <c16:uniqueId val="{00000001-827B-4705-A3C6-5BA1834C0524}"/>
            </c:ext>
          </c:extLst>
        </c:ser>
        <c:dLbls>
          <c:showLegendKey val="0"/>
          <c:showVal val="0"/>
          <c:showCatName val="0"/>
          <c:showSerName val="0"/>
          <c:showPercent val="0"/>
          <c:showBubbleSize val="0"/>
        </c:dLbls>
        <c:gapWidth val="150"/>
        <c:overlap val="100"/>
        <c:axId val="611990304"/>
        <c:axId val="611988864"/>
      </c:barChart>
      <c:catAx>
        <c:axId val="611990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611988864"/>
        <c:crosses val="autoZero"/>
        <c:auto val="1"/>
        <c:lblAlgn val="ctr"/>
        <c:lblOffset val="100"/>
        <c:noMultiLvlLbl val="0"/>
      </c:catAx>
      <c:valAx>
        <c:axId val="611988864"/>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0"/>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611990304"/>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endParaRPr lang="zh-CN" altLang="en-US"/>
          </a:p>
        </c:rich>
      </c:tx>
      <c:overlay val="0"/>
      <c:spPr>
        <a:noFill/>
        <a:ln>
          <a:noFill/>
          <a:prstDash val="solid"/>
        </a:ln>
      </c:spPr>
    </c:title>
    <c:autoTitleDeleted val="0"/>
    <c:plotArea>
      <c:layout/>
      <c:barChart>
        <c:barDir val="col"/>
        <c:grouping val="stacked"/>
        <c:varyColors val="0"/>
        <c:ser>
          <c:idx val="0"/>
          <c:order val="0"/>
          <c:tx>
            <c:strRef>
              <c:f>'2F.Results to CS_MIA'!$B$10</c:f>
              <c:strCache>
                <c:ptCount val="1"/>
                <c:pt idx="0">
                  <c:v>T2_1</c:v>
                </c:pt>
              </c:strCache>
            </c:strRef>
          </c:tx>
          <c:spPr>
            <a:solidFill>
              <a:schemeClr val="accent1"/>
            </a:solidFill>
            <a:ln>
              <a:noFill/>
              <a:prstDash val="solid"/>
            </a:ln>
          </c:spPr>
          <c:invertIfNegative val="0"/>
          <c:cat>
            <c:strRef>
              <c:f>'2F.Results to CS_MIA'!$C$9:$J$9</c:f>
              <c:strCache>
                <c:ptCount val="5"/>
                <c:pt idx="0">
                  <c:v>ABA</c:v>
                </c:pt>
                <c:pt idx="1">
                  <c:v>B6</c:v>
                </c:pt>
                <c:pt idx="2">
                  <c:v>ABA1</c:v>
                </c:pt>
                <c:pt idx="3">
                  <c:v>B61</c:v>
                </c:pt>
                <c:pt idx="4">
                  <c:v>B7</c:v>
                </c:pt>
              </c:strCache>
            </c:strRef>
          </c:cat>
          <c:val>
            <c:numRef>
              <c:f>'2F.Results to CS_MIA'!$C$10:$J$10</c:f>
              <c:numCache>
                <c:formatCode>0%</c:formatCode>
                <c:ptCount val="8"/>
                <c:pt idx="0">
                  <c:v>6.5971342719553058E-2</c:v>
                </c:pt>
                <c:pt idx="1">
                  <c:v>5.7950023138094733E-2</c:v>
                </c:pt>
                <c:pt idx="2">
                  <c:v>6.5971342719553058E-2</c:v>
                </c:pt>
                <c:pt idx="3">
                  <c:v>5.7950023138094733E-2</c:v>
                </c:pt>
                <c:pt idx="4">
                  <c:v>7.0041322408335382E-2</c:v>
                </c:pt>
                <c:pt idx="5">
                  <c:v>0</c:v>
                </c:pt>
                <c:pt idx="6">
                  <c:v>0</c:v>
                </c:pt>
                <c:pt idx="7">
                  <c:v>0</c:v>
                </c:pt>
              </c:numCache>
            </c:numRef>
          </c:val>
          <c:extLst>
            <c:ext xmlns:c16="http://schemas.microsoft.com/office/drawing/2014/chart" uri="{C3380CC4-5D6E-409C-BE32-E72D297353CC}">
              <c16:uniqueId val="{00000000-8C8C-450F-AD62-18612208DF82}"/>
            </c:ext>
          </c:extLst>
        </c:ser>
        <c:ser>
          <c:idx val="1"/>
          <c:order val="1"/>
          <c:tx>
            <c:strRef>
              <c:f>'2F.Results to CS_MIA'!$B$11</c:f>
              <c:strCache>
                <c:ptCount val="1"/>
                <c:pt idx="0">
                  <c:v>T2_2</c:v>
                </c:pt>
              </c:strCache>
            </c:strRef>
          </c:tx>
          <c:spPr>
            <a:solidFill>
              <a:schemeClr val="accent2"/>
            </a:solidFill>
            <a:ln>
              <a:noFill/>
              <a:prstDash val="solid"/>
            </a:ln>
          </c:spPr>
          <c:invertIfNegative val="0"/>
          <c:cat>
            <c:strRef>
              <c:f>'2F.Results to CS_MIA'!$C$9:$J$9</c:f>
              <c:strCache>
                <c:ptCount val="5"/>
                <c:pt idx="0">
                  <c:v>ABA</c:v>
                </c:pt>
                <c:pt idx="1">
                  <c:v>B6</c:v>
                </c:pt>
                <c:pt idx="2">
                  <c:v>ABA1</c:v>
                </c:pt>
                <c:pt idx="3">
                  <c:v>B61</c:v>
                </c:pt>
                <c:pt idx="4">
                  <c:v>B7</c:v>
                </c:pt>
              </c:strCache>
            </c:strRef>
          </c:cat>
          <c:val>
            <c:numRef>
              <c:f>'2F.Results to CS_MIA'!$C$11:$J$11</c:f>
              <c:numCache>
                <c:formatCode>0%</c:formatCode>
                <c:ptCount val="8"/>
                <c:pt idx="0">
                  <c:v>1.8993091292241721E-2</c:v>
                </c:pt>
                <c:pt idx="1">
                  <c:v>6.7155228358905606E-3</c:v>
                </c:pt>
                <c:pt idx="2">
                  <c:v>1.8993091292241721E-2</c:v>
                </c:pt>
                <c:pt idx="3">
                  <c:v>6.7155228358905606E-3</c:v>
                </c:pt>
                <c:pt idx="4">
                  <c:v>2.9101728843080481E-2</c:v>
                </c:pt>
                <c:pt idx="5">
                  <c:v>0</c:v>
                </c:pt>
                <c:pt idx="6">
                  <c:v>0</c:v>
                </c:pt>
                <c:pt idx="7">
                  <c:v>0</c:v>
                </c:pt>
              </c:numCache>
            </c:numRef>
          </c:val>
          <c:extLst>
            <c:ext xmlns:c16="http://schemas.microsoft.com/office/drawing/2014/chart" uri="{C3380CC4-5D6E-409C-BE32-E72D297353CC}">
              <c16:uniqueId val="{00000001-8C8C-450F-AD62-18612208DF82}"/>
            </c:ext>
          </c:extLst>
        </c:ser>
        <c:ser>
          <c:idx val="2"/>
          <c:order val="2"/>
          <c:tx>
            <c:strRef>
              <c:f>'2F.Results to CS_MIA'!$B$12</c:f>
              <c:strCache>
                <c:ptCount val="1"/>
                <c:pt idx="0">
                  <c:v>T2_3</c:v>
                </c:pt>
              </c:strCache>
            </c:strRef>
          </c:tx>
          <c:spPr>
            <a:solidFill>
              <a:schemeClr val="accent3"/>
            </a:solidFill>
            <a:ln>
              <a:noFill/>
              <a:prstDash val="solid"/>
            </a:ln>
          </c:spPr>
          <c:invertIfNegative val="0"/>
          <c:cat>
            <c:strRef>
              <c:f>'2F.Results to CS_MIA'!$C$9:$J$9</c:f>
              <c:strCache>
                <c:ptCount val="5"/>
                <c:pt idx="0">
                  <c:v>ABA</c:v>
                </c:pt>
                <c:pt idx="1">
                  <c:v>B6</c:v>
                </c:pt>
                <c:pt idx="2">
                  <c:v>ABA1</c:v>
                </c:pt>
                <c:pt idx="3">
                  <c:v>B61</c:v>
                </c:pt>
                <c:pt idx="4">
                  <c:v>B7</c:v>
                </c:pt>
              </c:strCache>
            </c:strRef>
          </c:cat>
          <c:val>
            <c:numRef>
              <c:f>'2F.Results to CS_MIA'!$C$12:$J$12</c:f>
              <c:numCache>
                <c:formatCode>0%</c:formatCode>
                <c:ptCount val="8"/>
                <c:pt idx="0">
                  <c:v>1.2507402944036784E-2</c:v>
                </c:pt>
                <c:pt idx="1">
                  <c:v>5.3934038151143889E-3</c:v>
                </c:pt>
                <c:pt idx="2">
                  <c:v>1.2507402944036784E-2</c:v>
                </c:pt>
                <c:pt idx="3">
                  <c:v>5.3934038151143889E-3</c:v>
                </c:pt>
                <c:pt idx="4">
                  <c:v>1.9798979625122927E-2</c:v>
                </c:pt>
                <c:pt idx="5">
                  <c:v>0</c:v>
                </c:pt>
                <c:pt idx="6">
                  <c:v>0</c:v>
                </c:pt>
                <c:pt idx="7">
                  <c:v>0</c:v>
                </c:pt>
              </c:numCache>
            </c:numRef>
          </c:val>
          <c:extLst>
            <c:ext xmlns:c16="http://schemas.microsoft.com/office/drawing/2014/chart" uri="{C3380CC4-5D6E-409C-BE32-E72D297353CC}">
              <c16:uniqueId val="{00000002-8C8C-450F-AD62-18612208DF82}"/>
            </c:ext>
          </c:extLst>
        </c:ser>
        <c:ser>
          <c:idx val="3"/>
          <c:order val="3"/>
          <c:tx>
            <c:strRef>
              <c:f>'2F.Results to CS_MIA'!$B$13</c:f>
              <c:strCache>
                <c:ptCount val="1"/>
                <c:pt idx="0">
                  <c:v>T2_4</c:v>
                </c:pt>
              </c:strCache>
            </c:strRef>
          </c:tx>
          <c:spPr>
            <a:solidFill>
              <a:schemeClr val="accent4"/>
            </a:solidFill>
            <a:ln>
              <a:noFill/>
              <a:prstDash val="solid"/>
            </a:ln>
          </c:spPr>
          <c:invertIfNegative val="0"/>
          <c:cat>
            <c:strRef>
              <c:f>'2F.Results to CS_MIA'!$C$9:$J$9</c:f>
              <c:strCache>
                <c:ptCount val="5"/>
                <c:pt idx="0">
                  <c:v>ABA</c:v>
                </c:pt>
                <c:pt idx="1">
                  <c:v>B6</c:v>
                </c:pt>
                <c:pt idx="2">
                  <c:v>ABA1</c:v>
                </c:pt>
                <c:pt idx="3">
                  <c:v>B61</c:v>
                </c:pt>
                <c:pt idx="4">
                  <c:v>B7</c:v>
                </c:pt>
              </c:strCache>
            </c:strRef>
          </c:cat>
          <c:val>
            <c:numRef>
              <c:f>'2F.Results to CS_MIA'!$C$13:$J$13</c:f>
              <c:numCache>
                <c:formatCode>0%</c:formatCode>
                <c:ptCount val="8"/>
                <c:pt idx="0">
                  <c:v>8.3110270169688513E-2</c:v>
                </c:pt>
                <c:pt idx="1">
                  <c:v>8.3946080216781446E-2</c:v>
                </c:pt>
                <c:pt idx="2">
                  <c:v>8.3110270169688513E-2</c:v>
                </c:pt>
                <c:pt idx="3">
                  <c:v>8.3946080216781446E-2</c:v>
                </c:pt>
                <c:pt idx="4">
                  <c:v>8.9294103163286939E-2</c:v>
                </c:pt>
                <c:pt idx="5">
                  <c:v>0</c:v>
                </c:pt>
                <c:pt idx="6">
                  <c:v>0</c:v>
                </c:pt>
                <c:pt idx="7">
                  <c:v>0</c:v>
                </c:pt>
              </c:numCache>
            </c:numRef>
          </c:val>
          <c:extLst>
            <c:ext xmlns:c16="http://schemas.microsoft.com/office/drawing/2014/chart" uri="{C3380CC4-5D6E-409C-BE32-E72D297353CC}">
              <c16:uniqueId val="{00000003-8C8C-450F-AD62-18612208DF82}"/>
            </c:ext>
          </c:extLst>
        </c:ser>
        <c:ser>
          <c:idx val="4"/>
          <c:order val="4"/>
          <c:tx>
            <c:strRef>
              <c:f>'2F.Results to CS_MIA'!$B$14</c:f>
              <c:strCache>
                <c:ptCount val="1"/>
                <c:pt idx="0">
                  <c:v>T2_5</c:v>
                </c:pt>
              </c:strCache>
            </c:strRef>
          </c:tx>
          <c:spPr>
            <a:solidFill>
              <a:schemeClr val="accent5"/>
            </a:solidFill>
            <a:ln>
              <a:noFill/>
              <a:prstDash val="solid"/>
            </a:ln>
          </c:spPr>
          <c:invertIfNegative val="0"/>
          <c:cat>
            <c:strRef>
              <c:f>'2F.Results to CS_MIA'!$C$9:$J$9</c:f>
              <c:strCache>
                <c:ptCount val="5"/>
                <c:pt idx="0">
                  <c:v>ABA</c:v>
                </c:pt>
                <c:pt idx="1">
                  <c:v>B6</c:v>
                </c:pt>
                <c:pt idx="2">
                  <c:v>ABA1</c:v>
                </c:pt>
                <c:pt idx="3">
                  <c:v>B61</c:v>
                </c:pt>
                <c:pt idx="4">
                  <c:v>B7</c:v>
                </c:pt>
              </c:strCache>
            </c:strRef>
          </c:cat>
          <c:val>
            <c:numRef>
              <c:f>'2F.Results to CS_MIA'!$C$14:$J$14</c:f>
              <c:numCache>
                <c:formatCode>0%</c:formatCode>
                <c:ptCount val="8"/>
                <c:pt idx="0">
                  <c:v>1.753760564144765E-2</c:v>
                </c:pt>
                <c:pt idx="1">
                  <c:v>4.0969171175530401E-2</c:v>
                </c:pt>
                <c:pt idx="2">
                  <c:v>1.753760564144765E-2</c:v>
                </c:pt>
                <c:pt idx="3">
                  <c:v>4.0969171175530401E-2</c:v>
                </c:pt>
                <c:pt idx="4">
                  <c:v>2.8984839226664186E-2</c:v>
                </c:pt>
                <c:pt idx="5">
                  <c:v>0</c:v>
                </c:pt>
                <c:pt idx="6">
                  <c:v>0</c:v>
                </c:pt>
                <c:pt idx="7">
                  <c:v>0</c:v>
                </c:pt>
              </c:numCache>
            </c:numRef>
          </c:val>
          <c:extLst>
            <c:ext xmlns:c16="http://schemas.microsoft.com/office/drawing/2014/chart" uri="{C3380CC4-5D6E-409C-BE32-E72D297353CC}">
              <c16:uniqueId val="{00000004-8C8C-450F-AD62-18612208DF82}"/>
            </c:ext>
          </c:extLst>
        </c:ser>
        <c:ser>
          <c:idx val="5"/>
          <c:order val="5"/>
          <c:tx>
            <c:strRef>
              <c:f>'2F.Results to CS_MIA'!$B$15</c:f>
              <c:strCache>
                <c:ptCount val="1"/>
                <c:pt idx="0">
                  <c:v>T2_6</c:v>
                </c:pt>
              </c:strCache>
            </c:strRef>
          </c:tx>
          <c:spPr>
            <a:solidFill>
              <a:schemeClr val="accent6"/>
            </a:solidFill>
            <a:ln>
              <a:noFill/>
              <a:prstDash val="solid"/>
            </a:ln>
          </c:spPr>
          <c:invertIfNegative val="0"/>
          <c:cat>
            <c:strRef>
              <c:f>'2F.Results to CS_MIA'!$C$9:$J$9</c:f>
              <c:strCache>
                <c:ptCount val="5"/>
                <c:pt idx="0">
                  <c:v>ABA</c:v>
                </c:pt>
                <c:pt idx="1">
                  <c:v>B6</c:v>
                </c:pt>
                <c:pt idx="2">
                  <c:v>ABA1</c:v>
                </c:pt>
                <c:pt idx="3">
                  <c:v>B61</c:v>
                </c:pt>
                <c:pt idx="4">
                  <c:v>B7</c:v>
                </c:pt>
              </c:strCache>
            </c:strRef>
          </c:cat>
          <c:val>
            <c:numRef>
              <c:f>'2F.Results to CS_MIA'!$C$15:$J$15</c:f>
              <c:numCache>
                <c:formatCode>0%</c:formatCode>
                <c:ptCount val="8"/>
                <c:pt idx="0">
                  <c:v>3.1713750553025458E-2</c:v>
                </c:pt>
                <c:pt idx="1">
                  <c:v>2.7870821658999744E-2</c:v>
                </c:pt>
                <c:pt idx="2">
                  <c:v>3.1713750553025458E-2</c:v>
                </c:pt>
                <c:pt idx="3">
                  <c:v>2.7870821658999744E-2</c:v>
                </c:pt>
                <c:pt idx="4">
                  <c:v>2.3880382638035991E-2</c:v>
                </c:pt>
                <c:pt idx="5">
                  <c:v>0</c:v>
                </c:pt>
                <c:pt idx="6">
                  <c:v>0</c:v>
                </c:pt>
                <c:pt idx="7">
                  <c:v>0</c:v>
                </c:pt>
              </c:numCache>
            </c:numRef>
          </c:val>
          <c:extLst>
            <c:ext xmlns:c16="http://schemas.microsoft.com/office/drawing/2014/chart" uri="{C3380CC4-5D6E-409C-BE32-E72D297353CC}">
              <c16:uniqueId val="{00000005-8C8C-450F-AD62-18612208DF82}"/>
            </c:ext>
          </c:extLst>
        </c:ser>
        <c:ser>
          <c:idx val="6"/>
          <c:order val="6"/>
          <c:tx>
            <c:strRef>
              <c:f>'2F.Results to CS_MIA'!$B$16</c:f>
              <c:strCache>
                <c:ptCount val="1"/>
                <c:pt idx="0">
                  <c:v>T2_7</c:v>
                </c:pt>
              </c:strCache>
            </c:strRef>
          </c:tx>
          <c:spPr>
            <a:solidFill>
              <a:schemeClr val="accent1">
                <a:lumMod val="60000"/>
              </a:schemeClr>
            </a:solidFill>
            <a:ln>
              <a:noFill/>
              <a:prstDash val="solid"/>
            </a:ln>
          </c:spPr>
          <c:invertIfNegative val="0"/>
          <c:cat>
            <c:strRef>
              <c:f>'2F.Results to CS_MIA'!$C$9:$J$9</c:f>
              <c:strCache>
                <c:ptCount val="5"/>
                <c:pt idx="0">
                  <c:v>ABA</c:v>
                </c:pt>
                <c:pt idx="1">
                  <c:v>B6</c:v>
                </c:pt>
                <c:pt idx="2">
                  <c:v>ABA1</c:v>
                </c:pt>
                <c:pt idx="3">
                  <c:v>B61</c:v>
                </c:pt>
                <c:pt idx="4">
                  <c:v>B7</c:v>
                </c:pt>
              </c:strCache>
            </c:strRef>
          </c:cat>
          <c:val>
            <c:numRef>
              <c:f>'2F.Results to CS_MIA'!$C$16:$J$16</c:f>
              <c:numCache>
                <c:formatCode>0%</c:formatCode>
                <c:ptCount val="8"/>
                <c:pt idx="0">
                  <c:v>0.10582017740486382</c:v>
                </c:pt>
                <c:pt idx="1">
                  <c:v>0.12125167010216173</c:v>
                </c:pt>
                <c:pt idx="2">
                  <c:v>0.10582017740486382</c:v>
                </c:pt>
                <c:pt idx="3">
                  <c:v>0.12125167010216173</c:v>
                </c:pt>
                <c:pt idx="4">
                  <c:v>8.7004868998054319E-2</c:v>
                </c:pt>
                <c:pt idx="5">
                  <c:v>0</c:v>
                </c:pt>
                <c:pt idx="6">
                  <c:v>0</c:v>
                </c:pt>
                <c:pt idx="7">
                  <c:v>0</c:v>
                </c:pt>
              </c:numCache>
            </c:numRef>
          </c:val>
          <c:extLst>
            <c:ext xmlns:c16="http://schemas.microsoft.com/office/drawing/2014/chart" uri="{C3380CC4-5D6E-409C-BE32-E72D297353CC}">
              <c16:uniqueId val="{00000006-8C8C-450F-AD62-18612208DF82}"/>
            </c:ext>
          </c:extLst>
        </c:ser>
        <c:ser>
          <c:idx val="7"/>
          <c:order val="7"/>
          <c:tx>
            <c:strRef>
              <c:f>'2F.Results to CS_MIA'!$B$17</c:f>
              <c:strCache>
                <c:ptCount val="1"/>
                <c:pt idx="0">
                  <c:v>T2_8</c:v>
                </c:pt>
              </c:strCache>
            </c:strRef>
          </c:tx>
          <c:spPr>
            <a:solidFill>
              <a:schemeClr val="accent2">
                <a:lumMod val="60000"/>
              </a:schemeClr>
            </a:solidFill>
            <a:ln>
              <a:noFill/>
              <a:prstDash val="solid"/>
            </a:ln>
          </c:spPr>
          <c:invertIfNegative val="0"/>
          <c:cat>
            <c:strRef>
              <c:f>'2F.Results to CS_MIA'!$C$9:$J$9</c:f>
              <c:strCache>
                <c:ptCount val="5"/>
                <c:pt idx="0">
                  <c:v>ABA</c:v>
                </c:pt>
                <c:pt idx="1">
                  <c:v>B6</c:v>
                </c:pt>
                <c:pt idx="2">
                  <c:v>ABA1</c:v>
                </c:pt>
                <c:pt idx="3">
                  <c:v>B61</c:v>
                </c:pt>
                <c:pt idx="4">
                  <c:v>B7</c:v>
                </c:pt>
              </c:strCache>
            </c:strRef>
          </c:cat>
          <c:val>
            <c:numRef>
              <c:f>'2F.Results to CS_MIA'!$C$17:$J$17</c:f>
              <c:numCache>
                <c:formatCode>0%</c:formatCode>
                <c:ptCount val="8"/>
                <c:pt idx="0">
                  <c:v>4.6982331961307237E-2</c:v>
                </c:pt>
                <c:pt idx="1">
                  <c:v>8.2838803843928263E-2</c:v>
                </c:pt>
                <c:pt idx="2">
                  <c:v>4.6982331961307237E-2</c:v>
                </c:pt>
                <c:pt idx="3">
                  <c:v>8.2838803843928263E-2</c:v>
                </c:pt>
                <c:pt idx="4">
                  <c:v>8.4905489462278383E-2</c:v>
                </c:pt>
                <c:pt idx="5">
                  <c:v>0</c:v>
                </c:pt>
                <c:pt idx="6">
                  <c:v>0</c:v>
                </c:pt>
                <c:pt idx="7">
                  <c:v>0</c:v>
                </c:pt>
              </c:numCache>
            </c:numRef>
          </c:val>
          <c:extLst>
            <c:ext xmlns:c16="http://schemas.microsoft.com/office/drawing/2014/chart" uri="{C3380CC4-5D6E-409C-BE32-E72D297353CC}">
              <c16:uniqueId val="{00000007-8C8C-450F-AD62-18612208DF82}"/>
            </c:ext>
          </c:extLst>
        </c:ser>
        <c:ser>
          <c:idx val="8"/>
          <c:order val="8"/>
          <c:tx>
            <c:strRef>
              <c:f>'2F.Results to CS_MIA'!$B$18</c:f>
              <c:strCache>
                <c:ptCount val="1"/>
                <c:pt idx="0">
                  <c:v>T2_9</c:v>
                </c:pt>
              </c:strCache>
            </c:strRef>
          </c:tx>
          <c:spPr>
            <a:solidFill>
              <a:schemeClr val="accent3">
                <a:lumMod val="60000"/>
              </a:schemeClr>
            </a:solidFill>
            <a:ln>
              <a:noFill/>
              <a:prstDash val="solid"/>
            </a:ln>
          </c:spPr>
          <c:invertIfNegative val="0"/>
          <c:cat>
            <c:strRef>
              <c:f>'2F.Results to CS_MIA'!$C$9:$J$9</c:f>
              <c:strCache>
                <c:ptCount val="5"/>
                <c:pt idx="0">
                  <c:v>ABA</c:v>
                </c:pt>
                <c:pt idx="1">
                  <c:v>B6</c:v>
                </c:pt>
                <c:pt idx="2">
                  <c:v>ABA1</c:v>
                </c:pt>
                <c:pt idx="3">
                  <c:v>B61</c:v>
                </c:pt>
                <c:pt idx="4">
                  <c:v>B7</c:v>
                </c:pt>
              </c:strCache>
            </c:strRef>
          </c:cat>
          <c:val>
            <c:numRef>
              <c:f>'2F.Results to CS_MIA'!$C$18:$J$18</c:f>
              <c:numCache>
                <c:formatCode>0%</c:formatCode>
                <c:ptCount val="8"/>
                <c:pt idx="0">
                  <c:v>8.3364803382020881E-3</c:v>
                </c:pt>
                <c:pt idx="1">
                  <c:v>1.6837220158924582E-2</c:v>
                </c:pt>
                <c:pt idx="2">
                  <c:v>8.3364803382020881E-3</c:v>
                </c:pt>
                <c:pt idx="3">
                  <c:v>1.6837220158924582E-2</c:v>
                </c:pt>
                <c:pt idx="4">
                  <c:v>1.5994068911810773E-2</c:v>
                </c:pt>
                <c:pt idx="5">
                  <c:v>0</c:v>
                </c:pt>
                <c:pt idx="6">
                  <c:v>0</c:v>
                </c:pt>
                <c:pt idx="7">
                  <c:v>0</c:v>
                </c:pt>
              </c:numCache>
            </c:numRef>
          </c:val>
          <c:extLst>
            <c:ext xmlns:c16="http://schemas.microsoft.com/office/drawing/2014/chart" uri="{C3380CC4-5D6E-409C-BE32-E72D297353CC}">
              <c16:uniqueId val="{00000008-8C8C-450F-AD62-18612208DF82}"/>
            </c:ext>
          </c:extLst>
        </c:ser>
        <c:ser>
          <c:idx val="9"/>
          <c:order val="9"/>
          <c:tx>
            <c:strRef>
              <c:f>'2F.Results to CS_MIA'!$B$19</c:f>
              <c:strCache>
                <c:ptCount val="1"/>
                <c:pt idx="0">
                  <c:v>T2_10</c:v>
                </c:pt>
              </c:strCache>
            </c:strRef>
          </c:tx>
          <c:spPr>
            <a:solidFill>
              <a:schemeClr val="accent4">
                <a:lumMod val="60000"/>
              </a:schemeClr>
            </a:solidFill>
            <a:ln>
              <a:noFill/>
              <a:prstDash val="solid"/>
            </a:ln>
          </c:spPr>
          <c:invertIfNegative val="0"/>
          <c:cat>
            <c:strRef>
              <c:f>'2F.Results to CS_MIA'!$C$9:$J$9</c:f>
              <c:strCache>
                <c:ptCount val="5"/>
                <c:pt idx="0">
                  <c:v>ABA</c:v>
                </c:pt>
                <c:pt idx="1">
                  <c:v>B6</c:v>
                </c:pt>
                <c:pt idx="2">
                  <c:v>ABA1</c:v>
                </c:pt>
                <c:pt idx="3">
                  <c:v>B61</c:v>
                </c:pt>
                <c:pt idx="4">
                  <c:v>B7</c:v>
                </c:pt>
              </c:strCache>
            </c:strRef>
          </c:cat>
          <c:val>
            <c:numRef>
              <c:f>'2F.Results to CS_MIA'!$C$19:$J$19</c:f>
              <c:numCache>
                <c:formatCode>0%</c:formatCode>
                <c:ptCount val="8"/>
                <c:pt idx="0">
                  <c:v>1.5582116547556538E-2</c:v>
                </c:pt>
                <c:pt idx="1">
                  <c:v>1.3243881952658958E-2</c:v>
                </c:pt>
                <c:pt idx="2">
                  <c:v>1.5582116547556538E-2</c:v>
                </c:pt>
                <c:pt idx="3">
                  <c:v>1.3243881952658958E-2</c:v>
                </c:pt>
                <c:pt idx="4">
                  <c:v>1.0399369853728703E-2</c:v>
                </c:pt>
                <c:pt idx="5">
                  <c:v>0</c:v>
                </c:pt>
                <c:pt idx="6">
                  <c:v>0</c:v>
                </c:pt>
                <c:pt idx="7">
                  <c:v>0</c:v>
                </c:pt>
              </c:numCache>
            </c:numRef>
          </c:val>
          <c:extLst>
            <c:ext xmlns:c16="http://schemas.microsoft.com/office/drawing/2014/chart" uri="{C3380CC4-5D6E-409C-BE32-E72D297353CC}">
              <c16:uniqueId val="{00000009-8C8C-450F-AD62-18612208DF82}"/>
            </c:ext>
          </c:extLst>
        </c:ser>
        <c:ser>
          <c:idx val="10"/>
          <c:order val="10"/>
          <c:tx>
            <c:strRef>
              <c:f>'2F.Results to CS_MIA'!$B$20</c:f>
              <c:strCache>
                <c:ptCount val="1"/>
                <c:pt idx="0">
                  <c:v>T2_11</c:v>
                </c:pt>
              </c:strCache>
            </c:strRef>
          </c:tx>
          <c:spPr>
            <a:solidFill>
              <a:schemeClr val="accent5">
                <a:lumMod val="60000"/>
              </a:schemeClr>
            </a:solidFill>
            <a:ln>
              <a:noFill/>
              <a:prstDash val="solid"/>
            </a:ln>
          </c:spPr>
          <c:invertIfNegative val="0"/>
          <c:cat>
            <c:strRef>
              <c:f>'2F.Results to CS_MIA'!$C$9:$J$9</c:f>
              <c:strCache>
                <c:ptCount val="5"/>
                <c:pt idx="0">
                  <c:v>ABA</c:v>
                </c:pt>
                <c:pt idx="1">
                  <c:v>B6</c:v>
                </c:pt>
                <c:pt idx="2">
                  <c:v>ABA1</c:v>
                </c:pt>
                <c:pt idx="3">
                  <c:v>B61</c:v>
                </c:pt>
                <c:pt idx="4">
                  <c:v>B7</c:v>
                </c:pt>
              </c:strCache>
            </c:strRef>
          </c:cat>
          <c:val>
            <c:numRef>
              <c:f>'2F.Results to CS_MIA'!$C$20:$J$20</c:f>
              <c:numCache>
                <c:formatCode>0%</c:formatCode>
                <c:ptCount val="8"/>
                <c:pt idx="0">
                  <c:v>4.4321956357664109E-2</c:v>
                </c:pt>
                <c:pt idx="1">
                  <c:v>4.1633550863937156E-2</c:v>
                </c:pt>
                <c:pt idx="2">
                  <c:v>4.4321956357664109E-2</c:v>
                </c:pt>
                <c:pt idx="3">
                  <c:v>4.1633550863937156E-2</c:v>
                </c:pt>
                <c:pt idx="4">
                  <c:v>2.7954143145983993E-2</c:v>
                </c:pt>
                <c:pt idx="5">
                  <c:v>0</c:v>
                </c:pt>
                <c:pt idx="6">
                  <c:v>0</c:v>
                </c:pt>
                <c:pt idx="7">
                  <c:v>0</c:v>
                </c:pt>
              </c:numCache>
            </c:numRef>
          </c:val>
          <c:extLst>
            <c:ext xmlns:c16="http://schemas.microsoft.com/office/drawing/2014/chart" uri="{C3380CC4-5D6E-409C-BE32-E72D297353CC}">
              <c16:uniqueId val="{0000000A-8C8C-450F-AD62-18612208DF82}"/>
            </c:ext>
          </c:extLst>
        </c:ser>
        <c:ser>
          <c:idx val="11"/>
          <c:order val="11"/>
          <c:tx>
            <c:strRef>
              <c:f>'2F.Results to CS_MIA'!$B$21</c:f>
              <c:strCache>
                <c:ptCount val="1"/>
                <c:pt idx="0">
                  <c:v>T2_12</c:v>
                </c:pt>
              </c:strCache>
            </c:strRef>
          </c:tx>
          <c:spPr>
            <a:solidFill>
              <a:schemeClr val="accent6">
                <a:lumMod val="60000"/>
              </a:schemeClr>
            </a:solidFill>
            <a:ln>
              <a:noFill/>
              <a:prstDash val="solid"/>
            </a:ln>
          </c:spPr>
          <c:invertIfNegative val="0"/>
          <c:cat>
            <c:strRef>
              <c:f>'2F.Results to CS_MIA'!$C$9:$J$9</c:f>
              <c:strCache>
                <c:ptCount val="5"/>
                <c:pt idx="0">
                  <c:v>ABA</c:v>
                </c:pt>
                <c:pt idx="1">
                  <c:v>B6</c:v>
                </c:pt>
                <c:pt idx="2">
                  <c:v>ABA1</c:v>
                </c:pt>
                <c:pt idx="3">
                  <c:v>B61</c:v>
                </c:pt>
                <c:pt idx="4">
                  <c:v>B7</c:v>
                </c:pt>
              </c:strCache>
            </c:strRef>
          </c:cat>
          <c:val>
            <c:numRef>
              <c:f>'2F.Results to CS_MIA'!$C$21:$J$21</c:f>
              <c:numCache>
                <c:formatCode>0%</c:formatCode>
                <c:ptCount val="8"/>
                <c:pt idx="0">
                  <c:v>2.4096944955977508E-2</c:v>
                </c:pt>
                <c:pt idx="1">
                  <c:v>8.3988918859891609E-3</c:v>
                </c:pt>
                <c:pt idx="2">
                  <c:v>2.4096944955977508E-2</c:v>
                </c:pt>
                <c:pt idx="3">
                  <c:v>8.3988918859891609E-3</c:v>
                </c:pt>
                <c:pt idx="4">
                  <c:v>5.7308442145018951E-3</c:v>
                </c:pt>
                <c:pt idx="5">
                  <c:v>0</c:v>
                </c:pt>
                <c:pt idx="6">
                  <c:v>0</c:v>
                </c:pt>
                <c:pt idx="7">
                  <c:v>0</c:v>
                </c:pt>
              </c:numCache>
            </c:numRef>
          </c:val>
          <c:extLst>
            <c:ext xmlns:c16="http://schemas.microsoft.com/office/drawing/2014/chart" uri="{C3380CC4-5D6E-409C-BE32-E72D297353CC}">
              <c16:uniqueId val="{0000000B-8C8C-450F-AD62-18612208DF82}"/>
            </c:ext>
          </c:extLst>
        </c:ser>
        <c:ser>
          <c:idx val="12"/>
          <c:order val="12"/>
          <c:tx>
            <c:strRef>
              <c:f>'2F.Results to CS_MIA'!$B$22</c:f>
              <c:strCache>
                <c:ptCount val="1"/>
                <c:pt idx="0">
                  <c:v>T2_13</c:v>
                </c:pt>
              </c:strCache>
            </c:strRef>
          </c:tx>
          <c:spPr>
            <a:solidFill>
              <a:schemeClr val="accent1">
                <a:lumMod val="80000"/>
                <a:lumOff val="20000"/>
              </a:schemeClr>
            </a:solidFill>
            <a:ln>
              <a:noFill/>
              <a:prstDash val="solid"/>
            </a:ln>
          </c:spPr>
          <c:invertIfNegative val="0"/>
          <c:cat>
            <c:strRef>
              <c:f>'2F.Results to CS_MIA'!$C$9:$J$9</c:f>
              <c:strCache>
                <c:ptCount val="5"/>
                <c:pt idx="0">
                  <c:v>ABA</c:v>
                </c:pt>
                <c:pt idx="1">
                  <c:v>B6</c:v>
                </c:pt>
                <c:pt idx="2">
                  <c:v>ABA1</c:v>
                </c:pt>
                <c:pt idx="3">
                  <c:v>B61</c:v>
                </c:pt>
                <c:pt idx="4">
                  <c:v>B7</c:v>
                </c:pt>
              </c:strCache>
            </c:strRef>
          </c:cat>
          <c:val>
            <c:numRef>
              <c:f>'2F.Results to CS_MIA'!$C$22:$J$22</c:f>
              <c:numCache>
                <c:formatCode>0%</c:formatCode>
                <c:ptCount val="8"/>
                <c:pt idx="0">
                  <c:v>8.884644323407109E-3</c:v>
                </c:pt>
                <c:pt idx="1">
                  <c:v>1.5725623084150185E-4</c:v>
                </c:pt>
                <c:pt idx="2">
                  <c:v>8.884644323407109E-3</c:v>
                </c:pt>
                <c:pt idx="3">
                  <c:v>1.5725623084150185E-4</c:v>
                </c:pt>
                <c:pt idx="4">
                  <c:v>5.3189861154019922E-3</c:v>
                </c:pt>
                <c:pt idx="5">
                  <c:v>0</c:v>
                </c:pt>
                <c:pt idx="6">
                  <c:v>0</c:v>
                </c:pt>
                <c:pt idx="7">
                  <c:v>0</c:v>
                </c:pt>
              </c:numCache>
            </c:numRef>
          </c:val>
          <c:extLst>
            <c:ext xmlns:c16="http://schemas.microsoft.com/office/drawing/2014/chart" uri="{C3380CC4-5D6E-409C-BE32-E72D297353CC}">
              <c16:uniqueId val="{0000000C-8C8C-450F-AD62-18612208DF82}"/>
            </c:ext>
          </c:extLst>
        </c:ser>
        <c:ser>
          <c:idx val="13"/>
          <c:order val="13"/>
          <c:tx>
            <c:strRef>
              <c:f>'2F.Results to CS_MIA'!$B$23</c:f>
              <c:strCache>
                <c:ptCount val="1"/>
                <c:pt idx="0">
                  <c:v>T2_14</c:v>
                </c:pt>
              </c:strCache>
            </c:strRef>
          </c:tx>
          <c:spPr>
            <a:solidFill>
              <a:schemeClr val="accent2">
                <a:lumMod val="80000"/>
                <a:lumOff val="20000"/>
              </a:schemeClr>
            </a:solidFill>
            <a:ln>
              <a:noFill/>
              <a:prstDash val="solid"/>
            </a:ln>
          </c:spPr>
          <c:invertIfNegative val="0"/>
          <c:cat>
            <c:strRef>
              <c:f>'2F.Results to CS_MIA'!$C$9:$J$9</c:f>
              <c:strCache>
                <c:ptCount val="5"/>
                <c:pt idx="0">
                  <c:v>ABA</c:v>
                </c:pt>
                <c:pt idx="1">
                  <c:v>B6</c:v>
                </c:pt>
                <c:pt idx="2">
                  <c:v>ABA1</c:v>
                </c:pt>
                <c:pt idx="3">
                  <c:v>B61</c:v>
                </c:pt>
                <c:pt idx="4">
                  <c:v>B7</c:v>
                </c:pt>
              </c:strCache>
            </c:strRef>
          </c:cat>
          <c:val>
            <c:numRef>
              <c:f>'2F.Results to CS_MIA'!$C$23:$J$23</c:f>
              <c:numCache>
                <c:formatCode>0%</c:formatCode>
                <c:ptCount val="8"/>
                <c:pt idx="0">
                  <c:v>1.8013312290201325E-2</c:v>
                </c:pt>
                <c:pt idx="1">
                  <c:v>1.9243760789149637E-2</c:v>
                </c:pt>
                <c:pt idx="2">
                  <c:v>1.8013312290201325E-2</c:v>
                </c:pt>
                <c:pt idx="3">
                  <c:v>1.9243760789149637E-2</c:v>
                </c:pt>
                <c:pt idx="4">
                  <c:v>1.7896170944854708E-2</c:v>
                </c:pt>
                <c:pt idx="5">
                  <c:v>0</c:v>
                </c:pt>
                <c:pt idx="6">
                  <c:v>0</c:v>
                </c:pt>
                <c:pt idx="7">
                  <c:v>0</c:v>
                </c:pt>
              </c:numCache>
            </c:numRef>
          </c:val>
          <c:extLst>
            <c:ext xmlns:c16="http://schemas.microsoft.com/office/drawing/2014/chart" uri="{C3380CC4-5D6E-409C-BE32-E72D297353CC}">
              <c16:uniqueId val="{0000000D-8C8C-450F-AD62-18612208DF82}"/>
            </c:ext>
          </c:extLst>
        </c:ser>
        <c:ser>
          <c:idx val="14"/>
          <c:order val="14"/>
          <c:tx>
            <c:strRef>
              <c:f>'2F.Results to CS_MIA'!$B$24</c:f>
              <c:strCache>
                <c:ptCount val="1"/>
                <c:pt idx="0">
                  <c:v>T2_15</c:v>
                </c:pt>
              </c:strCache>
            </c:strRef>
          </c:tx>
          <c:spPr>
            <a:solidFill>
              <a:schemeClr val="accent3">
                <a:lumMod val="80000"/>
                <a:lumOff val="20000"/>
              </a:schemeClr>
            </a:solidFill>
            <a:ln>
              <a:noFill/>
              <a:prstDash val="solid"/>
            </a:ln>
          </c:spPr>
          <c:invertIfNegative val="0"/>
          <c:cat>
            <c:strRef>
              <c:f>'2F.Results to CS_MIA'!$C$9:$J$9</c:f>
              <c:strCache>
                <c:ptCount val="5"/>
                <c:pt idx="0">
                  <c:v>ABA</c:v>
                </c:pt>
                <c:pt idx="1">
                  <c:v>B6</c:v>
                </c:pt>
                <c:pt idx="2">
                  <c:v>ABA1</c:v>
                </c:pt>
                <c:pt idx="3">
                  <c:v>B61</c:v>
                </c:pt>
                <c:pt idx="4">
                  <c:v>B7</c:v>
                </c:pt>
              </c:strCache>
            </c:strRef>
          </c:cat>
          <c:val>
            <c:numRef>
              <c:f>'2F.Results to CS_MIA'!$C$24:$J$24</c:f>
              <c:numCache>
                <c:formatCode>0%</c:formatCode>
                <c:ptCount val="8"/>
                <c:pt idx="0">
                  <c:v>1.2211569063647915E-2</c:v>
                </c:pt>
                <c:pt idx="1">
                  <c:v>2.3081156462220452E-4</c:v>
                </c:pt>
                <c:pt idx="2">
                  <c:v>1.2211569063647915E-2</c:v>
                </c:pt>
                <c:pt idx="3">
                  <c:v>2.3081156462220452E-4</c:v>
                </c:pt>
                <c:pt idx="4">
                  <c:v>1.174050161987155E-2</c:v>
                </c:pt>
                <c:pt idx="5">
                  <c:v>0</c:v>
                </c:pt>
                <c:pt idx="6">
                  <c:v>0</c:v>
                </c:pt>
                <c:pt idx="7">
                  <c:v>0</c:v>
                </c:pt>
              </c:numCache>
            </c:numRef>
          </c:val>
          <c:extLst>
            <c:ext xmlns:c16="http://schemas.microsoft.com/office/drawing/2014/chart" uri="{C3380CC4-5D6E-409C-BE32-E72D297353CC}">
              <c16:uniqueId val="{0000000E-8C8C-450F-AD62-18612208DF82}"/>
            </c:ext>
          </c:extLst>
        </c:ser>
        <c:ser>
          <c:idx val="15"/>
          <c:order val="15"/>
          <c:tx>
            <c:strRef>
              <c:f>'2F.Results to CS_MIA'!$B$25</c:f>
              <c:strCache>
                <c:ptCount val="1"/>
                <c:pt idx="0">
                  <c:v>T2_16</c:v>
                </c:pt>
              </c:strCache>
            </c:strRef>
          </c:tx>
          <c:spPr>
            <a:solidFill>
              <a:schemeClr val="accent4">
                <a:lumMod val="80000"/>
                <a:lumOff val="20000"/>
              </a:schemeClr>
            </a:solidFill>
            <a:ln>
              <a:noFill/>
              <a:prstDash val="solid"/>
            </a:ln>
          </c:spPr>
          <c:invertIfNegative val="0"/>
          <c:cat>
            <c:strRef>
              <c:f>'2F.Results to CS_MIA'!$C$9:$J$9</c:f>
              <c:strCache>
                <c:ptCount val="5"/>
                <c:pt idx="0">
                  <c:v>ABA</c:v>
                </c:pt>
                <c:pt idx="1">
                  <c:v>B6</c:v>
                </c:pt>
                <c:pt idx="2">
                  <c:v>ABA1</c:v>
                </c:pt>
                <c:pt idx="3">
                  <c:v>B61</c:v>
                </c:pt>
                <c:pt idx="4">
                  <c:v>B7</c:v>
                </c:pt>
              </c:strCache>
            </c:strRef>
          </c:cat>
          <c:val>
            <c:numRef>
              <c:f>'2F.Results to CS_MIA'!$C$25:$J$25</c:f>
              <c:numCache>
                <c:formatCode>0%</c:formatCode>
                <c:ptCount val="8"/>
                <c:pt idx="0">
                  <c:v>1.1506041509069564E-2</c:v>
                </c:pt>
                <c:pt idx="1">
                  <c:v>8.2194068981594533E-3</c:v>
                </c:pt>
                <c:pt idx="2">
                  <c:v>1.1506041509069564E-2</c:v>
                </c:pt>
                <c:pt idx="3">
                  <c:v>8.2194068981594533E-3</c:v>
                </c:pt>
                <c:pt idx="4">
                  <c:v>1.4245297493537052E-2</c:v>
                </c:pt>
                <c:pt idx="5">
                  <c:v>0</c:v>
                </c:pt>
                <c:pt idx="6">
                  <c:v>0</c:v>
                </c:pt>
                <c:pt idx="7">
                  <c:v>0</c:v>
                </c:pt>
              </c:numCache>
            </c:numRef>
          </c:val>
          <c:extLst>
            <c:ext xmlns:c16="http://schemas.microsoft.com/office/drawing/2014/chart" uri="{C3380CC4-5D6E-409C-BE32-E72D297353CC}">
              <c16:uniqueId val="{0000000F-8C8C-450F-AD62-18612208DF82}"/>
            </c:ext>
          </c:extLst>
        </c:ser>
        <c:ser>
          <c:idx val="16"/>
          <c:order val="16"/>
          <c:tx>
            <c:strRef>
              <c:f>'2F.Results to CS_MIA'!$B$26</c:f>
              <c:strCache>
                <c:ptCount val="1"/>
                <c:pt idx="0">
                  <c:v>T2_17</c:v>
                </c:pt>
              </c:strCache>
            </c:strRef>
          </c:tx>
          <c:spPr>
            <a:solidFill>
              <a:schemeClr val="accent5">
                <a:lumMod val="80000"/>
                <a:lumOff val="20000"/>
              </a:schemeClr>
            </a:solidFill>
            <a:ln>
              <a:noFill/>
              <a:prstDash val="solid"/>
            </a:ln>
          </c:spPr>
          <c:invertIfNegative val="0"/>
          <c:cat>
            <c:strRef>
              <c:f>'2F.Results to CS_MIA'!$C$9:$J$9</c:f>
              <c:strCache>
                <c:ptCount val="5"/>
                <c:pt idx="0">
                  <c:v>ABA</c:v>
                </c:pt>
                <c:pt idx="1">
                  <c:v>B6</c:v>
                </c:pt>
                <c:pt idx="2">
                  <c:v>ABA1</c:v>
                </c:pt>
                <c:pt idx="3">
                  <c:v>B61</c:v>
                </c:pt>
                <c:pt idx="4">
                  <c:v>B7</c:v>
                </c:pt>
              </c:strCache>
            </c:strRef>
          </c:cat>
          <c:val>
            <c:numRef>
              <c:f>'2F.Results to CS_MIA'!$C$26:$J$26</c:f>
              <c:numCache>
                <c:formatCode>0%</c:formatCode>
                <c:ptCount val="8"/>
                <c:pt idx="0">
                  <c:v>5.2472381798137268E-3</c:v>
                </c:pt>
                <c:pt idx="1">
                  <c:v>9.5559567640293216E-3</c:v>
                </c:pt>
                <c:pt idx="2">
                  <c:v>5.2472381798137268E-3</c:v>
                </c:pt>
                <c:pt idx="3">
                  <c:v>9.5559567640293216E-3</c:v>
                </c:pt>
                <c:pt idx="4">
                  <c:v>2.0535763913493078E-2</c:v>
                </c:pt>
                <c:pt idx="5">
                  <c:v>0</c:v>
                </c:pt>
                <c:pt idx="6">
                  <c:v>0</c:v>
                </c:pt>
                <c:pt idx="7">
                  <c:v>0</c:v>
                </c:pt>
              </c:numCache>
            </c:numRef>
          </c:val>
          <c:extLst>
            <c:ext xmlns:c16="http://schemas.microsoft.com/office/drawing/2014/chart" uri="{C3380CC4-5D6E-409C-BE32-E72D297353CC}">
              <c16:uniqueId val="{00000010-8C8C-450F-AD62-18612208DF82}"/>
            </c:ext>
          </c:extLst>
        </c:ser>
        <c:ser>
          <c:idx val="17"/>
          <c:order val="17"/>
          <c:tx>
            <c:strRef>
              <c:f>'2F.Results to CS_MIA'!$B$27</c:f>
              <c:strCache>
                <c:ptCount val="1"/>
                <c:pt idx="0">
                  <c:v>T2_18</c:v>
                </c:pt>
              </c:strCache>
            </c:strRef>
          </c:tx>
          <c:spPr>
            <a:solidFill>
              <a:schemeClr val="accent6">
                <a:lumMod val="80000"/>
                <a:lumOff val="20000"/>
              </a:schemeClr>
            </a:solidFill>
            <a:ln>
              <a:noFill/>
              <a:prstDash val="solid"/>
            </a:ln>
          </c:spPr>
          <c:invertIfNegative val="0"/>
          <c:cat>
            <c:strRef>
              <c:f>'2F.Results to CS_MIA'!$C$9:$J$9</c:f>
              <c:strCache>
                <c:ptCount val="5"/>
                <c:pt idx="0">
                  <c:v>ABA</c:v>
                </c:pt>
                <c:pt idx="1">
                  <c:v>B6</c:v>
                </c:pt>
                <c:pt idx="2">
                  <c:v>ABA1</c:v>
                </c:pt>
                <c:pt idx="3">
                  <c:v>B61</c:v>
                </c:pt>
                <c:pt idx="4">
                  <c:v>B7</c:v>
                </c:pt>
              </c:strCache>
            </c:strRef>
          </c:cat>
          <c:val>
            <c:numRef>
              <c:f>'2F.Results to CS_MIA'!$C$27:$J$27</c:f>
              <c:numCache>
                <c:formatCode>0%</c:formatCode>
                <c:ptCount val="8"/>
                <c:pt idx="0">
                  <c:v>1.7370341316103106E-2</c:v>
                </c:pt>
                <c:pt idx="1">
                  <c:v>7.7949929046645203E-2</c:v>
                </c:pt>
                <c:pt idx="2">
                  <c:v>1.7370341316103106E-2</c:v>
                </c:pt>
                <c:pt idx="3">
                  <c:v>7.7949929046645203E-2</c:v>
                </c:pt>
                <c:pt idx="4">
                  <c:v>7.9046837874153397E-2</c:v>
                </c:pt>
                <c:pt idx="5">
                  <c:v>0</c:v>
                </c:pt>
                <c:pt idx="6">
                  <c:v>0</c:v>
                </c:pt>
                <c:pt idx="7">
                  <c:v>0</c:v>
                </c:pt>
              </c:numCache>
            </c:numRef>
          </c:val>
          <c:extLst>
            <c:ext xmlns:c16="http://schemas.microsoft.com/office/drawing/2014/chart" uri="{C3380CC4-5D6E-409C-BE32-E72D297353CC}">
              <c16:uniqueId val="{00000011-8C8C-450F-AD62-18612208DF82}"/>
            </c:ext>
          </c:extLst>
        </c:ser>
        <c:ser>
          <c:idx val="18"/>
          <c:order val="18"/>
          <c:tx>
            <c:strRef>
              <c:f>'2F.Results to CS_MIA'!$B$28</c:f>
              <c:strCache>
                <c:ptCount val="1"/>
                <c:pt idx="0">
                  <c:v>T2_19</c:v>
                </c:pt>
              </c:strCache>
            </c:strRef>
          </c:tx>
          <c:spPr>
            <a:solidFill>
              <a:schemeClr val="accent1">
                <a:lumMod val="80000"/>
              </a:schemeClr>
            </a:solidFill>
            <a:ln>
              <a:noFill/>
              <a:prstDash val="solid"/>
            </a:ln>
          </c:spPr>
          <c:invertIfNegative val="0"/>
          <c:cat>
            <c:strRef>
              <c:f>'2F.Results to CS_MIA'!$C$9:$J$9</c:f>
              <c:strCache>
                <c:ptCount val="5"/>
                <c:pt idx="0">
                  <c:v>ABA</c:v>
                </c:pt>
                <c:pt idx="1">
                  <c:v>B6</c:v>
                </c:pt>
                <c:pt idx="2">
                  <c:v>ABA1</c:v>
                </c:pt>
                <c:pt idx="3">
                  <c:v>B61</c:v>
                </c:pt>
                <c:pt idx="4">
                  <c:v>B7</c:v>
                </c:pt>
              </c:strCache>
            </c:strRef>
          </c:cat>
          <c:val>
            <c:numRef>
              <c:f>'2F.Results to CS_MIA'!$C$28:$J$28</c:f>
              <c:numCache>
                <c:formatCode>0%</c:formatCode>
                <c:ptCount val="8"/>
                <c:pt idx="0">
                  <c:v>6.722930707808732E-3</c:v>
                </c:pt>
                <c:pt idx="1">
                  <c:v>4.1508677979370037E-3</c:v>
                </c:pt>
                <c:pt idx="2">
                  <c:v>6.722930707808732E-3</c:v>
                </c:pt>
                <c:pt idx="3">
                  <c:v>4.1508677979370037E-3</c:v>
                </c:pt>
                <c:pt idx="4">
                  <c:v>7.186649093450472E-3</c:v>
                </c:pt>
                <c:pt idx="5">
                  <c:v>0</c:v>
                </c:pt>
                <c:pt idx="6">
                  <c:v>0</c:v>
                </c:pt>
                <c:pt idx="7">
                  <c:v>0</c:v>
                </c:pt>
              </c:numCache>
            </c:numRef>
          </c:val>
          <c:extLst>
            <c:ext xmlns:c16="http://schemas.microsoft.com/office/drawing/2014/chart" uri="{C3380CC4-5D6E-409C-BE32-E72D297353CC}">
              <c16:uniqueId val="{00000012-8C8C-450F-AD62-18612208DF82}"/>
            </c:ext>
          </c:extLst>
        </c:ser>
        <c:dLbls>
          <c:showLegendKey val="0"/>
          <c:showVal val="0"/>
          <c:showCatName val="0"/>
          <c:showSerName val="0"/>
          <c:showPercent val="0"/>
          <c:showBubbleSize val="0"/>
        </c:dLbls>
        <c:gapWidth val="150"/>
        <c:overlap val="100"/>
        <c:axId val="1651306912"/>
        <c:axId val="1651307392"/>
      </c:barChart>
      <c:catAx>
        <c:axId val="165130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651307392"/>
        <c:crosses val="autoZero"/>
        <c:auto val="1"/>
        <c:lblAlgn val="ctr"/>
        <c:lblOffset val="100"/>
        <c:noMultiLvlLbl val="0"/>
      </c:catAx>
      <c:valAx>
        <c:axId val="1651307392"/>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651306912"/>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endParaRPr lang="zh-CN" altLang="en-US"/>
          </a:p>
        </c:rich>
      </c:tx>
      <c:overlay val="0"/>
      <c:spPr>
        <a:noFill/>
        <a:ln>
          <a:noFill/>
          <a:prstDash val="solid"/>
        </a:ln>
      </c:spPr>
    </c:title>
    <c:autoTitleDeleted val="0"/>
    <c:plotArea>
      <c:layout/>
      <c:bubbleChart>
        <c:varyColors val="0"/>
        <c:ser>
          <c:idx val="0"/>
          <c:order val="0"/>
          <c:tx>
            <c:strRef>
              <c:f>'2F.Results to CS_ROE SCAN'!$C$126</c:f>
              <c:strCache>
                <c:ptCount val="1"/>
                <c:pt idx="0">
                  <c:v>ABA</c:v>
                </c:pt>
              </c:strCache>
            </c:strRef>
          </c:tx>
          <c:spPr>
            <a:solidFill>
              <a:schemeClr val="accent1">
                <a:alpha val="75000"/>
              </a:schemeClr>
            </a:solidFill>
            <a:ln w="25400">
              <a:noFill/>
              <a:prstDash val="solid"/>
            </a:ln>
          </c:spPr>
          <c:invertIfNegative val="0"/>
          <c:xVal>
            <c:numRef>
              <c:f>'2F.Results to CS_ROE SCAN'!$C$88:$C$114</c:f>
              <c:numCache>
                <c:formatCode>0%</c:formatCode>
                <c:ptCount val="27"/>
                <c:pt idx="0">
                  <c:v>6.2406015037593993E-2</c:v>
                </c:pt>
                <c:pt idx="1">
                  <c:v>3.1954887218045111E-2</c:v>
                </c:pt>
                <c:pt idx="2">
                  <c:v>2.4436090225563908E-2</c:v>
                </c:pt>
                <c:pt idx="3">
                  <c:v>7.5375939849624055E-2</c:v>
                </c:pt>
                <c:pt idx="4">
                  <c:v>3.4210526315789483E-2</c:v>
                </c:pt>
                <c:pt idx="5">
                  <c:v>3.1954887218045111E-2</c:v>
                </c:pt>
                <c:pt idx="6">
                  <c:v>7.1616541353383453E-2</c:v>
                </c:pt>
                <c:pt idx="7">
                  <c:v>6.7481203007518795E-2</c:v>
                </c:pt>
                <c:pt idx="8">
                  <c:v>1.9360902255639099E-2</c:v>
                </c:pt>
                <c:pt idx="9">
                  <c:v>2.180451127819549E-2</c:v>
                </c:pt>
                <c:pt idx="10">
                  <c:v>3.6278195488721812E-2</c:v>
                </c:pt>
                <c:pt idx="11">
                  <c:v>1.635338345864662E-2</c:v>
                </c:pt>
                <c:pt idx="12">
                  <c:v>1.165413533834586E-2</c:v>
                </c:pt>
                <c:pt idx="13">
                  <c:v>2.424812030075188E-2</c:v>
                </c:pt>
                <c:pt idx="14">
                  <c:v>1.7105263157894741E-2</c:v>
                </c:pt>
                <c:pt idx="15">
                  <c:v>1.9360902255639099E-2</c:v>
                </c:pt>
                <c:pt idx="16">
                  <c:v>2.4812030075187969E-2</c:v>
                </c:pt>
                <c:pt idx="17">
                  <c:v>6.5601503759398494E-2</c:v>
                </c:pt>
                <c:pt idx="18">
                  <c:v>1.5977443609022559E-2</c:v>
                </c:pt>
                <c:pt idx="19">
                  <c:v>3.6466165413533827E-2</c:v>
                </c:pt>
                <c:pt idx="20">
                  <c:v>7.3496240601503754E-2</c:v>
                </c:pt>
                <c:pt idx="21">
                  <c:v>1.578947368421053E-2</c:v>
                </c:pt>
                <c:pt idx="22">
                  <c:v>6.0150375939849621E-2</c:v>
                </c:pt>
                <c:pt idx="23">
                  <c:v>1.8045112781954888E-2</c:v>
                </c:pt>
                <c:pt idx="24">
                  <c:v>1.823308270676692E-2</c:v>
                </c:pt>
                <c:pt idx="25">
                  <c:v>2.8007518796992481E-2</c:v>
                </c:pt>
                <c:pt idx="26">
                  <c:v>2.7443609022556392E-2</c:v>
                </c:pt>
              </c:numCache>
            </c:numRef>
          </c:xVal>
          <c:yVal>
            <c:numRef>
              <c:f>'2F.Results to CS_ROE SCAN'!$C$127:$C$153</c:f>
              <c:numCache>
                <c:formatCode>_(* #,##0.00_);_(* \(#,##0.00\);_(* "-"??_);_(@_)</c:formatCode>
                <c:ptCount val="27"/>
                <c:pt idx="0">
                  <c:v>112.08241420870348</c:v>
                </c:pt>
                <c:pt idx="1">
                  <c:v>84.043131133822797</c:v>
                </c:pt>
                <c:pt idx="2">
                  <c:v>77.990328864320006</c:v>
                </c:pt>
                <c:pt idx="3">
                  <c:v>114.46797969295224</c:v>
                </c:pt>
                <c:pt idx="4">
                  <c:v>78.050971504161296</c:v>
                </c:pt>
                <c:pt idx="5">
                  <c:v>108.59959341668817</c:v>
                </c:pt>
                <c:pt idx="6">
                  <c:v>132.51059738066084</c:v>
                </c:pt>
                <c:pt idx="7">
                  <c:v>90.959678640691848</c:v>
                </c:pt>
                <c:pt idx="8">
                  <c:v>71.532204557069974</c:v>
                </c:pt>
                <c:pt idx="9">
                  <c:v>92.153765706684268</c:v>
                </c:pt>
                <c:pt idx="10">
                  <c:v>120.49240237929098</c:v>
                </c:pt>
                <c:pt idx="11">
                  <c:v>132.32753531172344</c:v>
                </c:pt>
                <c:pt idx="12">
                  <c:v>95.181607572240196</c:v>
                </c:pt>
                <c:pt idx="13">
                  <c:v>93.957356866076509</c:v>
                </c:pt>
                <c:pt idx="14">
                  <c:v>92.107266947278248</c:v>
                </c:pt>
                <c:pt idx="15">
                  <c:v>84.037517156680693</c:v>
                </c:pt>
                <c:pt idx="16">
                  <c:v>50.131105332395478</c:v>
                </c:pt>
                <c:pt idx="17">
                  <c:v>56.094504955504242</c:v>
                </c:pt>
                <c:pt idx="18">
                  <c:v>70.712910309110399</c:v>
                </c:pt>
                <c:pt idx="19">
                  <c:v>77.698603818900907</c:v>
                </c:pt>
                <c:pt idx="20">
                  <c:v>235.54365307317687</c:v>
                </c:pt>
                <c:pt idx="21">
                  <c:v>72.895157132789038</c:v>
                </c:pt>
                <c:pt idx="22">
                  <c:v>78.70609506904988</c:v>
                </c:pt>
                <c:pt idx="23">
                  <c:v>75.922041335207467</c:v>
                </c:pt>
                <c:pt idx="24">
                  <c:v>99.915711902758957</c:v>
                </c:pt>
                <c:pt idx="25">
                  <c:v>68.603416632865716</c:v>
                </c:pt>
                <c:pt idx="26">
                  <c:v>65.257737316421441</c:v>
                </c:pt>
              </c:numCache>
            </c:numRef>
          </c:yVal>
          <c:bubbleSize>
            <c:numRef>
              <c:f>'2F.Results to CS_ROE SCAN'!$C$49:$C$67</c:f>
              <c:numCache>
                <c:formatCode>0%</c:formatCode>
                <c:ptCount val="19"/>
                <c:pt idx="0">
                  <c:v>1.1809251912860565E-2</c:v>
                </c:pt>
                <c:pt idx="1">
                  <c:v>3.3998731938430435E-3</c:v>
                </c:pt>
                <c:pt idx="2">
                  <c:v>2.2388974674909406E-3</c:v>
                </c:pt>
                <c:pt idx="3">
                  <c:v>1.4877219054825412E-2</c:v>
                </c:pt>
                <c:pt idx="4">
                  <c:v>3.1393328440907468E-3</c:v>
                </c:pt>
                <c:pt idx="5">
                  <c:v>5.6769447754668337E-3</c:v>
                </c:pt>
                <c:pt idx="6">
                  <c:v>1.8942423799830441E-2</c:v>
                </c:pt>
                <c:pt idx="7">
                  <c:v>8.4101091582038431E-3</c:v>
                </c:pt>
                <c:pt idx="8">
                  <c:v>1.492278197200599E-3</c:v>
                </c:pt>
                <c:pt idx="9">
                  <c:v>2.7892889860965222E-3</c:v>
                </c:pt>
                <c:pt idx="10">
                  <c:v>7.933886538030635E-3</c:v>
                </c:pt>
                <c:pt idx="11">
                  <c:v>4.3134925193985957E-3</c:v>
                </c:pt>
                <c:pt idx="12">
                  <c:v>1.5904027210315356E-3</c:v>
                </c:pt>
                <c:pt idx="13">
                  <c:v>3.2244870856170424E-3</c:v>
                </c:pt>
                <c:pt idx="14">
                  <c:v>2.1859414918528131E-3</c:v>
                </c:pt>
                <c:pt idx="15">
                  <c:v>2.0596479789422324E-3</c:v>
                </c:pt>
                <c:pt idx="16">
                  <c:v>9.3928598324305944E-4</c:v>
                </c:pt>
                <c:pt idx="17">
                  <c:v>3.1093915624281119E-3</c:v>
                </c:pt>
                <c:pt idx="18">
                  <c:v>1.2034434808871686E-3</c:v>
                </c:pt>
              </c:numCache>
            </c:numRef>
          </c:bubbleSize>
          <c:bubble3D val="0"/>
          <c:extLst>
            <c:ext xmlns:c16="http://schemas.microsoft.com/office/drawing/2014/chart" uri="{C3380CC4-5D6E-409C-BE32-E72D297353CC}">
              <c16:uniqueId val="{00000013-FE21-4C28-805A-499FE484E9AB}"/>
            </c:ext>
          </c:extLst>
        </c:ser>
        <c:dLbls>
          <c:showLegendKey val="0"/>
          <c:showVal val="0"/>
          <c:showCatName val="0"/>
          <c:showSerName val="0"/>
          <c:showPercent val="0"/>
          <c:showBubbleSize val="0"/>
        </c:dLbls>
        <c:bubbleScale val="100"/>
        <c:showNegBubbles val="0"/>
        <c:axId val="1645756240"/>
        <c:axId val="1645762960"/>
      </c:bubbleChart>
      <c:valAx>
        <c:axId val="1645756240"/>
        <c:scaling>
          <c:orientation val="minMax"/>
        </c:scaling>
        <c:delete val="0"/>
        <c:axPos val="b"/>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645762960"/>
        <c:crosses val="autoZero"/>
        <c:crossBetween val="midCat"/>
      </c:valAx>
      <c:valAx>
        <c:axId val="1645762960"/>
        <c:scaling>
          <c:orientation val="minMax"/>
        </c:scaling>
        <c:delete val="0"/>
        <c:axPos val="l"/>
        <c:majorGridlines>
          <c:spPr>
            <a:ln w="9525" cap="flat" cmpd="sng" algn="ctr">
              <a:solidFill>
                <a:schemeClr val="tx1">
                  <a:lumMod val="15000"/>
                  <a:lumOff val="85000"/>
                </a:schemeClr>
              </a:solidFill>
              <a:prstDash val="solid"/>
              <a:round/>
            </a:ln>
          </c:spPr>
        </c:majorGridlines>
        <c:numFmt formatCode="_(* #,##0.00_);_(* \(#,##0.00\);_(* &quot;-&quot;??_);_(@_)" sourceLinked="1"/>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645756240"/>
        <c:crosses val="autoZero"/>
        <c:crossBetween val="midCat"/>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7</xdr:col>
      <xdr:colOff>299874</xdr:colOff>
      <xdr:row>11</xdr:row>
      <xdr:rowOff>66285</xdr:rowOff>
    </xdr:from>
    <xdr:to>
      <xdr:col>14</xdr:col>
      <xdr:colOff>185575</xdr:colOff>
      <xdr:row>16</xdr:row>
      <xdr:rowOff>152009</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a:stretch>
          <a:fillRect/>
        </a:stretch>
      </xdr:blipFill>
      <xdr:spPr>
        <a:xfrm>
          <a:off x="4926303" y="2360061"/>
          <a:ext cx="4512128" cy="960470"/>
        </a:xfrm>
        <a:prstGeom prst="rect">
          <a:avLst/>
        </a:prstGeom>
        <a:ln>
          <a:prstDash val="solid"/>
        </a:ln>
      </xdr:spPr>
    </xdr:pic>
    <xdr:clientData/>
  </xdr:twoCellAnchor>
  <xdr:twoCellAnchor editAs="oneCell">
    <xdr:from>
      <xdr:col>0</xdr:col>
      <xdr:colOff>654439</xdr:colOff>
      <xdr:row>11</xdr:row>
      <xdr:rowOff>116634</xdr:rowOff>
    </xdr:from>
    <xdr:to>
      <xdr:col>5</xdr:col>
      <xdr:colOff>500529</xdr:colOff>
      <xdr:row>17</xdr:row>
      <xdr:rowOff>38202</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54439" y="2410410"/>
          <a:ext cx="3285152" cy="971262"/>
        </a:xfrm>
        <a:prstGeom prst="rect">
          <a:avLst/>
        </a:prstGeom>
        <a:ln>
          <a:prstDash val="solid"/>
        </a:ln>
      </xdr:spPr>
    </xdr:pic>
    <xdr:clientData/>
  </xdr:twoCellAnchor>
  <xdr:twoCellAnchor editAs="oneCell">
    <xdr:from>
      <xdr:col>0</xdr:col>
      <xdr:colOff>0</xdr:colOff>
      <xdr:row>21</xdr:row>
      <xdr:rowOff>1</xdr:rowOff>
    </xdr:from>
    <xdr:to>
      <xdr:col>2</xdr:col>
      <xdr:colOff>620135</xdr:colOff>
      <xdr:row>29</xdr:row>
      <xdr:rowOff>12421</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a:stretch>
          <a:fillRect/>
        </a:stretch>
      </xdr:blipFill>
      <xdr:spPr>
        <a:xfrm>
          <a:off x="0" y="4218215"/>
          <a:ext cx="2079949" cy="1412012"/>
        </a:xfrm>
        <a:prstGeom prst="rect">
          <a:avLst/>
        </a:prstGeom>
        <a:ln>
          <a:prstDash val="solid"/>
        </a:ln>
      </xdr:spPr>
    </xdr:pic>
    <xdr:clientData/>
  </xdr:twoCellAnchor>
  <xdr:twoCellAnchor editAs="oneCell">
    <xdr:from>
      <xdr:col>4</xdr:col>
      <xdr:colOff>0</xdr:colOff>
      <xdr:row>20</xdr:row>
      <xdr:rowOff>179293</xdr:rowOff>
    </xdr:from>
    <xdr:to>
      <xdr:col>10</xdr:col>
      <xdr:colOff>610399</xdr:colOff>
      <xdr:row>28</xdr:row>
      <xdr:rowOff>156882</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4"/>
        <a:stretch>
          <a:fillRect/>
        </a:stretch>
      </xdr:blipFill>
      <xdr:spPr>
        <a:xfrm>
          <a:off x="2629647" y="4317999"/>
          <a:ext cx="4554869" cy="1411941"/>
        </a:xfrm>
        <a:prstGeom prst="rect">
          <a:avLst/>
        </a:prstGeom>
        <a:ln>
          <a:prstDash val="solid"/>
        </a:ln>
      </xdr:spPr>
    </xdr:pic>
    <xdr:clientData/>
  </xdr:twoCellAnchor>
  <xdr:twoCellAnchor editAs="oneCell">
    <xdr:from>
      <xdr:col>0</xdr:col>
      <xdr:colOff>0</xdr:colOff>
      <xdr:row>31</xdr:row>
      <xdr:rowOff>0</xdr:rowOff>
    </xdr:from>
    <xdr:to>
      <xdr:col>10</xdr:col>
      <xdr:colOff>635869</xdr:colOff>
      <xdr:row>34</xdr:row>
      <xdr:rowOff>149412</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5"/>
        <a:stretch>
          <a:fillRect/>
        </a:stretch>
      </xdr:blipFill>
      <xdr:spPr>
        <a:xfrm>
          <a:off x="0" y="6110941"/>
          <a:ext cx="7344457" cy="687294"/>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13</xdr:col>
      <xdr:colOff>367393</xdr:colOff>
      <xdr:row>0</xdr:row>
      <xdr:rowOff>68036</xdr:rowOff>
    </xdr:from>
    <xdr:to>
      <xdr:col>25</xdr:col>
      <xdr:colOff>435428</xdr:colOff>
      <xdr:row>9</xdr:row>
      <xdr:rowOff>54429</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136071</xdr:colOff>
      <xdr:row>10</xdr:row>
      <xdr:rowOff>172810</xdr:rowOff>
    </xdr:from>
    <xdr:to>
      <xdr:col>26</xdr:col>
      <xdr:colOff>122465</xdr:colOff>
      <xdr:row>29</xdr:row>
      <xdr:rowOff>122464</xdr:rowOff>
    </xdr:to>
    <xdr:graphicFrame macro="">
      <xdr:nvGraphicFramePr>
        <xdr:cNvPr id="3" name="Chart 2">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14</xdr:col>
      <xdr:colOff>0</xdr:colOff>
      <xdr:row>0</xdr:row>
      <xdr:rowOff>0</xdr:rowOff>
    </xdr:from>
    <xdr:to>
      <xdr:col>26</xdr:col>
      <xdr:colOff>68035</xdr:colOff>
      <xdr:row>8</xdr:row>
      <xdr:rowOff>421822</xdr:rowOff>
    </xdr:to>
    <xdr:graphicFrame macro="">
      <xdr:nvGraphicFramePr>
        <xdr:cNvPr id="2" name="Chart 1">
          <a:extLst>
            <a:ext uri="{FF2B5EF4-FFF2-40B4-BE49-F238E27FC236}">
              <a16:creationId xmlns:a16="http://schemas.microsoft.com/office/drawing/2014/main" id="{00000000-0008-0000-0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10</xdr:row>
      <xdr:rowOff>0</xdr:rowOff>
    </xdr:from>
    <xdr:to>
      <xdr:col>26</xdr:col>
      <xdr:colOff>598715</xdr:colOff>
      <xdr:row>28</xdr:row>
      <xdr:rowOff>153761</xdr:rowOff>
    </xdr:to>
    <xdr:graphicFrame macro="">
      <xdr:nvGraphicFramePr>
        <xdr:cNvPr id="3" name="Chart 2">
          <a:extLst>
            <a:ext uri="{FF2B5EF4-FFF2-40B4-BE49-F238E27FC236}">
              <a16:creationId xmlns:a16="http://schemas.microsoft.com/office/drawing/2014/main" id="{00000000-0008-0000-0C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102053</xdr:colOff>
      <xdr:row>86</xdr:row>
      <xdr:rowOff>63952</xdr:rowOff>
    </xdr:from>
    <xdr:to>
      <xdr:col>19</xdr:col>
      <xdr:colOff>90714</xdr:colOff>
      <xdr:row>101</xdr:row>
      <xdr:rowOff>168469</xdr:rowOff>
    </xdr:to>
    <xdr:graphicFrame macro="">
      <xdr:nvGraphicFramePr>
        <xdr:cNvPr id="4" name="Chart 3">
          <a:extLst>
            <a:ext uri="{FF2B5EF4-FFF2-40B4-BE49-F238E27FC236}">
              <a16:creationId xmlns:a16="http://schemas.microsoft.com/office/drawing/2014/main" id="{00000000-0008-0000-0C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rgb="FFFFFF00"/>
  </sheetPr>
  <dimension ref="A2:M31"/>
  <sheetViews>
    <sheetView topLeftCell="A15" zoomScale="85" workbookViewId="0">
      <selection activeCell="P12" sqref="P12"/>
    </sheetView>
  </sheetViews>
  <sheetFormatPr defaultRowHeight="14" x14ac:dyDescent="0.3"/>
  <cols>
    <col min="1" max="1" width="10.4140625" customWidth="1"/>
  </cols>
  <sheetData>
    <row r="2" spans="1:13" ht="15.75" customHeight="1" x14ac:dyDescent="0.35">
      <c r="B2" s="96" t="s">
        <v>62</v>
      </c>
      <c r="C2" s="97"/>
      <c r="D2" s="97"/>
      <c r="E2" s="97"/>
      <c r="F2" s="97"/>
      <c r="G2" s="97"/>
      <c r="H2" s="97"/>
      <c r="I2" s="97"/>
      <c r="J2" s="97"/>
      <c r="K2" s="97"/>
      <c r="L2" s="97"/>
      <c r="M2" s="97"/>
    </row>
    <row r="3" spans="1:13" x14ac:dyDescent="0.3">
      <c r="B3" s="90" t="s">
        <v>63</v>
      </c>
    </row>
    <row r="4" spans="1:13" x14ac:dyDescent="0.3">
      <c r="B4" s="90" t="s">
        <v>64</v>
      </c>
    </row>
    <row r="5" spans="1:13" x14ac:dyDescent="0.3">
      <c r="B5" s="90" t="s">
        <v>65</v>
      </c>
    </row>
    <row r="6" spans="1:13" x14ac:dyDescent="0.3">
      <c r="B6" s="90" t="s">
        <v>66</v>
      </c>
    </row>
    <row r="7" spans="1:13" x14ac:dyDescent="0.3">
      <c r="B7" s="90" t="s">
        <v>67</v>
      </c>
    </row>
    <row r="8" spans="1:13" x14ac:dyDescent="0.3">
      <c r="A8" t="s">
        <v>68</v>
      </c>
      <c r="B8" s="90"/>
    </row>
    <row r="9" spans="1:13" x14ac:dyDescent="0.3">
      <c r="A9" t="s">
        <v>69</v>
      </c>
      <c r="B9" s="90"/>
    </row>
    <row r="10" spans="1:13" x14ac:dyDescent="0.3">
      <c r="A10" t="s">
        <v>70</v>
      </c>
      <c r="B10" s="90"/>
    </row>
    <row r="11" spans="1:13" x14ac:dyDescent="0.3">
      <c r="A11" t="s">
        <v>71</v>
      </c>
      <c r="B11" s="90"/>
    </row>
    <row r="12" spans="1:13" x14ac:dyDescent="0.3">
      <c r="B12" s="90"/>
    </row>
    <row r="13" spans="1:13" x14ac:dyDescent="0.3">
      <c r="B13" s="90"/>
    </row>
    <row r="14" spans="1:13" x14ac:dyDescent="0.3">
      <c r="B14" s="90"/>
    </row>
    <row r="15" spans="1:13" x14ac:dyDescent="0.3">
      <c r="B15" s="90"/>
    </row>
    <row r="16" spans="1:13" x14ac:dyDescent="0.3">
      <c r="B16" s="90"/>
    </row>
    <row r="17" spans="1:2" x14ac:dyDescent="0.3">
      <c r="B17" s="90"/>
    </row>
    <row r="18" spans="1:2" x14ac:dyDescent="0.3">
      <c r="B18" s="90"/>
    </row>
    <row r="19" spans="1:2" x14ac:dyDescent="0.3">
      <c r="B19" s="90"/>
    </row>
    <row r="20" spans="1:2" x14ac:dyDescent="0.3">
      <c r="A20" s="159" t="s">
        <v>72</v>
      </c>
      <c r="B20" s="91"/>
    </row>
    <row r="21" spans="1:2" x14ac:dyDescent="0.3">
      <c r="A21" t="s">
        <v>73</v>
      </c>
    </row>
    <row r="31" spans="1:2" x14ac:dyDescent="0.3">
      <c r="A31" t="s">
        <v>74</v>
      </c>
    </row>
  </sheetData>
  <phoneticPr fontId="52"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theme="1"/>
  </sheetPr>
  <dimension ref="A1:E59"/>
  <sheetViews>
    <sheetView zoomScale="80" zoomScaleNormal="80" workbookViewId="0">
      <selection activeCell="B1" sqref="B1:B1048576"/>
    </sheetView>
  </sheetViews>
  <sheetFormatPr defaultColWidth="9" defaultRowHeight="14" x14ac:dyDescent="0.3"/>
  <cols>
    <col min="1" max="1" width="24.58203125" style="26" customWidth="1"/>
    <col min="2" max="2" width="36.58203125" style="154" customWidth="1"/>
    <col min="3" max="3" width="45.4140625" style="26" customWidth="1"/>
    <col min="4" max="9" width="9" style="26" customWidth="1"/>
    <col min="10" max="16384" width="9" style="26"/>
  </cols>
  <sheetData>
    <row r="1" spans="1:5" x14ac:dyDescent="0.3">
      <c r="A1" s="26" t="s">
        <v>75</v>
      </c>
      <c r="B1" s="154" t="s">
        <v>76</v>
      </c>
      <c r="C1" s="27" t="s">
        <v>77</v>
      </c>
    </row>
    <row r="2" spans="1:5" x14ac:dyDescent="0.3">
      <c r="A2" s="156" t="s">
        <v>78</v>
      </c>
      <c r="B2" s="89" t="s">
        <v>79</v>
      </c>
      <c r="C2" s="28" t="str">
        <f>"REGRESSION 
  /MISSING PAIRWISE 
  /STATISTICS COEFF OUTS R ANOVA 
  /CRITERIA=PIN(.05) POUT(.10) 
  /NOORIGIN 
  /DEPENDENT "&amp;B2&amp;"
  /METHOD=ENTER  "&amp;_xlfn.TEXTJOIN(" ",,$A$2:$A$40) &amp;".
"</f>
        <v xml:space="preserve">REGRESSION 
  /MISSING PAIRWISE 
  /STATISTICS COEFF OUTS R ANOVA 
  /CRITERIA=PIN(.05) POUT(.10) 
  /NOORIGIN 
  /DEPENDENT dLevel_ABA
  /METHOD=ENTER  dLevel_B7_T2B Factor1 Factor2 Factor3 Factor4 Factor5 Factor6 Factor7 Factor8 Factor9 Factor10 Factor11 Factor12 Factor13 Factor14 Factor15 Factor16 Factor17 Factor18 Factor19 Factor20 Factor21 Factor22 Factor23 Factor24 Factor25 Factor26 Factor27 Factor1 Factor2 Factor3 Factor4 Factor5 Factor6 Factor7 Factor8.
</v>
      </c>
    </row>
    <row r="3" spans="1:5" x14ac:dyDescent="0.3">
      <c r="A3" s="156" t="s">
        <v>3</v>
      </c>
      <c r="B3" s="89" t="s">
        <v>80</v>
      </c>
      <c r="C3" s="28" t="str">
        <f t="shared" ref="C3:C11" si="0">"REGRESSION 
  /MISSING PAIRWISE 
  /STATISTICS COEFF OUTS R ANOVA 
  /CRITERIA=PIN(.05) POUT(.10) 
  /NOORIGIN 
  /DEPENDENT "&amp;B3&amp;"
  /METHOD=ENTER  "&amp;_xlfn.TEXTJOIN(" ",,$A$2:$A$12) &amp;".
"</f>
        <v xml:space="preserve">REGRESSION 
  /MISSING PAIRWISE 
  /STATISTICS COEFF OUTS R ANOVA 
  /CRITERIA=PIN(.05) POUT(.10) 
  /NOORIGIN 
  /DEPENDENT dLevel_B6_T2B
  /METHOD=ENTER  dLevel_B7_T2B Factor1 Factor2 Factor3 Factor4 Factor5 Factor6 Factor7 Factor8 Factor9 Factor10.
</v>
      </c>
    </row>
    <row r="4" spans="1:5" x14ac:dyDescent="0.3">
      <c r="A4" s="156" t="s">
        <v>5</v>
      </c>
      <c r="B4" s="89"/>
      <c r="C4" s="28" t="str">
        <f t="shared" si="0"/>
        <v xml:space="preserve">REGRESSION 
  /MISSING PAIRWISE 
  /STATISTICS COEFF OUTS R ANOVA 
  /CRITERIA=PIN(.05) POUT(.10) 
  /NOORIGIN 
  /DEPENDENT 
  /METHOD=ENTER  dLevel_B7_T2B Factor1 Factor2 Factor3 Factor4 Factor5 Factor6 Factor7 Factor8 Factor9 Factor10.
</v>
      </c>
    </row>
    <row r="5" spans="1:5" x14ac:dyDescent="0.3">
      <c r="A5" s="156" t="s">
        <v>6</v>
      </c>
      <c r="B5" s="89"/>
      <c r="C5" s="28" t="str">
        <f t="shared" si="0"/>
        <v xml:space="preserve">REGRESSION 
  /MISSING PAIRWISE 
  /STATISTICS COEFF OUTS R ANOVA 
  /CRITERIA=PIN(.05) POUT(.10) 
  /NOORIGIN 
  /DEPENDENT 
  /METHOD=ENTER  dLevel_B7_T2B Factor1 Factor2 Factor3 Factor4 Factor5 Factor6 Factor7 Factor8 Factor9 Factor10.
</v>
      </c>
    </row>
    <row r="6" spans="1:5" x14ac:dyDescent="0.3">
      <c r="A6" s="156" t="s">
        <v>7</v>
      </c>
      <c r="B6" s="100"/>
      <c r="C6" s="28" t="str">
        <f t="shared" si="0"/>
        <v xml:space="preserve">REGRESSION 
  /MISSING PAIRWISE 
  /STATISTICS COEFF OUTS R ANOVA 
  /CRITERIA=PIN(.05) POUT(.10) 
  /NOORIGIN 
  /DEPENDENT 
  /METHOD=ENTER  dLevel_B7_T2B Factor1 Factor2 Factor3 Factor4 Factor5 Factor6 Factor7 Factor8 Factor9 Factor10.
</v>
      </c>
    </row>
    <row r="7" spans="1:5" x14ac:dyDescent="0.25">
      <c r="A7" s="157" t="s">
        <v>8</v>
      </c>
      <c r="B7" s="100"/>
      <c r="C7" s="28" t="str">
        <f t="shared" si="0"/>
        <v xml:space="preserve">REGRESSION 
  /MISSING PAIRWISE 
  /STATISTICS COEFF OUTS R ANOVA 
  /CRITERIA=PIN(.05) POUT(.10) 
  /NOORIGIN 
  /DEPENDENT 
  /METHOD=ENTER  dLevel_B7_T2B Factor1 Factor2 Factor3 Factor4 Factor5 Factor6 Factor7 Factor8 Factor9 Factor10.
</v>
      </c>
    </row>
    <row r="8" spans="1:5" x14ac:dyDescent="0.3">
      <c r="A8" s="157" t="s">
        <v>10</v>
      </c>
      <c r="B8" s="158"/>
      <c r="C8" s="28" t="str">
        <f t="shared" si="0"/>
        <v xml:space="preserve">REGRESSION 
  /MISSING PAIRWISE 
  /STATISTICS COEFF OUTS R ANOVA 
  /CRITERIA=PIN(.05) POUT(.10) 
  /NOORIGIN 
  /DEPENDENT 
  /METHOD=ENTER  dLevel_B7_T2B Factor1 Factor2 Factor3 Factor4 Factor5 Factor6 Factor7 Factor8 Factor9 Factor10.
</v>
      </c>
    </row>
    <row r="9" spans="1:5" x14ac:dyDescent="0.3">
      <c r="A9" s="157" t="s">
        <v>11</v>
      </c>
      <c r="B9" s="158"/>
      <c r="C9" s="28" t="str">
        <f t="shared" si="0"/>
        <v xml:space="preserve">REGRESSION 
  /MISSING PAIRWISE 
  /STATISTICS COEFF OUTS R ANOVA 
  /CRITERIA=PIN(.05) POUT(.10) 
  /NOORIGIN 
  /DEPENDENT 
  /METHOD=ENTER  dLevel_B7_T2B Factor1 Factor2 Factor3 Factor4 Factor5 Factor6 Factor7 Factor8 Factor9 Factor10.
</v>
      </c>
    </row>
    <row r="10" spans="1:5" x14ac:dyDescent="0.3">
      <c r="A10" s="157" t="s">
        <v>12</v>
      </c>
      <c r="B10" s="158"/>
      <c r="C10" s="28" t="str">
        <f t="shared" si="0"/>
        <v xml:space="preserve">REGRESSION 
  /MISSING PAIRWISE 
  /STATISTICS COEFF OUTS R ANOVA 
  /CRITERIA=PIN(.05) POUT(.10) 
  /NOORIGIN 
  /DEPENDENT 
  /METHOD=ENTER  dLevel_B7_T2B Factor1 Factor2 Factor3 Factor4 Factor5 Factor6 Factor7 Factor8 Factor9 Factor10.
</v>
      </c>
    </row>
    <row r="11" spans="1:5" x14ac:dyDescent="0.3">
      <c r="A11" s="157" t="s">
        <v>13</v>
      </c>
      <c r="B11" s="158"/>
      <c r="C11" s="28" t="str">
        <f t="shared" si="0"/>
        <v xml:space="preserve">REGRESSION 
  /MISSING PAIRWISE 
  /STATISTICS COEFF OUTS R ANOVA 
  /CRITERIA=PIN(.05) POUT(.10) 
  /NOORIGIN 
  /DEPENDENT 
  /METHOD=ENTER  dLevel_B7_T2B Factor1 Factor2 Factor3 Factor4 Factor5 Factor6 Factor7 Factor8 Factor9 Factor10.
</v>
      </c>
    </row>
    <row r="12" spans="1:5" x14ac:dyDescent="0.3">
      <c r="A12" s="157" t="s">
        <v>14</v>
      </c>
      <c r="B12" s="158"/>
      <c r="C12" s="28"/>
    </row>
    <row r="13" spans="1:5" x14ac:dyDescent="0.3">
      <c r="A13" s="156" t="s">
        <v>15</v>
      </c>
      <c r="B13" s="158"/>
      <c r="C13" s="28"/>
    </row>
    <row r="14" spans="1:5" x14ac:dyDescent="0.3">
      <c r="A14" s="156" t="s">
        <v>16</v>
      </c>
      <c r="B14" s="158"/>
      <c r="C14" s="28"/>
    </row>
    <row r="15" spans="1:5" x14ac:dyDescent="0.3">
      <c r="A15" s="156" t="s">
        <v>17</v>
      </c>
      <c r="B15" s="155"/>
      <c r="C15" s="27"/>
      <c r="D15" s="29"/>
      <c r="E15" s="29"/>
    </row>
    <row r="16" spans="1:5" x14ac:dyDescent="0.3">
      <c r="A16" s="156" t="s">
        <v>18</v>
      </c>
      <c r="B16" s="89"/>
      <c r="C16" s="28"/>
    </row>
    <row r="17" spans="1:3" x14ac:dyDescent="0.3">
      <c r="A17" s="156" t="s">
        <v>19</v>
      </c>
      <c r="B17" s="89"/>
      <c r="C17" s="28"/>
    </row>
    <row r="18" spans="1:3" x14ac:dyDescent="0.3">
      <c r="A18" s="156" t="s">
        <v>20</v>
      </c>
      <c r="B18" s="89"/>
      <c r="C18" s="28"/>
    </row>
    <row r="19" spans="1:3" x14ac:dyDescent="0.3">
      <c r="A19" s="156" t="s">
        <v>21</v>
      </c>
      <c r="B19" s="89"/>
      <c r="C19" s="28"/>
    </row>
    <row r="20" spans="1:3" x14ac:dyDescent="0.3">
      <c r="A20" s="156" t="s">
        <v>22</v>
      </c>
      <c r="B20" s="89"/>
      <c r="C20" s="28"/>
    </row>
    <row r="21" spans="1:3" x14ac:dyDescent="0.3">
      <c r="A21" s="156" t="s">
        <v>23</v>
      </c>
      <c r="B21" s="89"/>
      <c r="C21" s="28"/>
    </row>
    <row r="22" spans="1:3" x14ac:dyDescent="0.3">
      <c r="A22" s="156" t="s">
        <v>24</v>
      </c>
      <c r="B22" s="89"/>
      <c r="C22" s="28"/>
    </row>
    <row r="23" spans="1:3" x14ac:dyDescent="0.3">
      <c r="A23" s="156" t="s">
        <v>25</v>
      </c>
      <c r="B23" s="89"/>
      <c r="C23" s="28"/>
    </row>
    <row r="24" spans="1:3" x14ac:dyDescent="0.3">
      <c r="A24" s="156" t="s">
        <v>26</v>
      </c>
      <c r="B24" s="155"/>
    </row>
    <row r="25" spans="1:3" x14ac:dyDescent="0.3">
      <c r="A25" s="156" t="s">
        <v>27</v>
      </c>
      <c r="B25" s="155"/>
    </row>
    <row r="26" spans="1:3" x14ac:dyDescent="0.3">
      <c r="A26" s="156" t="s">
        <v>28</v>
      </c>
      <c r="B26" s="155"/>
    </row>
    <row r="27" spans="1:3" x14ac:dyDescent="0.3">
      <c r="A27" s="156" t="s">
        <v>29</v>
      </c>
      <c r="B27" s="155"/>
    </row>
    <row r="28" spans="1:3" x14ac:dyDescent="0.3">
      <c r="A28" s="156" t="s">
        <v>30</v>
      </c>
      <c r="B28" s="155"/>
    </row>
    <row r="29" spans="1:3" x14ac:dyDescent="0.3">
      <c r="A29" s="156" t="s">
        <v>31</v>
      </c>
      <c r="B29" s="155"/>
    </row>
    <row r="30" spans="1:3" x14ac:dyDescent="0.3">
      <c r="A30" s="156"/>
      <c r="B30" s="155"/>
      <c r="C30" s="27"/>
    </row>
    <row r="31" spans="1:3" x14ac:dyDescent="0.3">
      <c r="A31" s="156"/>
      <c r="B31" s="89"/>
      <c r="C31" s="28"/>
    </row>
    <row r="32" spans="1:3" x14ac:dyDescent="0.3">
      <c r="A32" s="156"/>
      <c r="B32" s="89"/>
      <c r="C32" s="28"/>
    </row>
    <row r="33" spans="1:3" x14ac:dyDescent="0.3">
      <c r="A33" s="156" t="s">
        <v>3</v>
      </c>
      <c r="B33" s="89" t="s">
        <v>79</v>
      </c>
      <c r="C33" s="28"/>
    </row>
    <row r="34" spans="1:3" x14ac:dyDescent="0.3">
      <c r="A34" s="156" t="s">
        <v>5</v>
      </c>
      <c r="B34" s="89" t="s">
        <v>80</v>
      </c>
      <c r="C34" s="28"/>
    </row>
    <row r="35" spans="1:3" x14ac:dyDescent="0.3">
      <c r="A35" s="156" t="s">
        <v>6</v>
      </c>
      <c r="B35" s="89" t="s">
        <v>78</v>
      </c>
      <c r="C35" s="28"/>
    </row>
    <row r="36" spans="1:3" x14ac:dyDescent="0.3">
      <c r="A36" s="156" t="s">
        <v>7</v>
      </c>
      <c r="B36" s="89"/>
      <c r="C36" s="28"/>
    </row>
    <row r="37" spans="1:3" x14ac:dyDescent="0.3">
      <c r="A37" s="156" t="s">
        <v>8</v>
      </c>
      <c r="B37" s="89"/>
      <c r="C37" s="28"/>
    </row>
    <row r="38" spans="1:3" x14ac:dyDescent="0.3">
      <c r="A38" s="156" t="s">
        <v>10</v>
      </c>
      <c r="B38" s="89"/>
      <c r="C38" s="28"/>
    </row>
    <row r="39" spans="1:3" x14ac:dyDescent="0.3">
      <c r="A39" s="156" t="s">
        <v>11</v>
      </c>
      <c r="B39" s="155"/>
    </row>
    <row r="40" spans="1:3" x14ac:dyDescent="0.3">
      <c r="A40" s="156" t="s">
        <v>12</v>
      </c>
      <c r="B40" s="155"/>
    </row>
    <row r="41" spans="1:3" x14ac:dyDescent="0.3">
      <c r="A41" t="s">
        <v>13</v>
      </c>
    </row>
    <row r="42" spans="1:3" x14ac:dyDescent="0.3">
      <c r="A42" t="s">
        <v>14</v>
      </c>
    </row>
    <row r="43" spans="1:3" x14ac:dyDescent="0.3">
      <c r="A43" t="s">
        <v>15</v>
      </c>
    </row>
    <row r="44" spans="1:3" x14ac:dyDescent="0.3">
      <c r="A44" t="s">
        <v>16</v>
      </c>
    </row>
    <row r="45" spans="1:3" x14ac:dyDescent="0.3">
      <c r="A45" t="s">
        <v>17</v>
      </c>
    </row>
    <row r="46" spans="1:3" x14ac:dyDescent="0.3">
      <c r="A46" t="s">
        <v>18</v>
      </c>
    </row>
    <row r="47" spans="1:3" x14ac:dyDescent="0.3">
      <c r="A47" t="s">
        <v>19</v>
      </c>
    </row>
    <row r="48" spans="1:3" x14ac:dyDescent="0.3">
      <c r="A48" t="s">
        <v>20</v>
      </c>
    </row>
    <row r="49" spans="1:1" x14ac:dyDescent="0.3">
      <c r="A49" t="s">
        <v>21</v>
      </c>
    </row>
    <row r="50" spans="1:1" x14ac:dyDescent="0.3">
      <c r="A50" t="s">
        <v>22</v>
      </c>
    </row>
    <row r="51" spans="1:1" x14ac:dyDescent="0.3">
      <c r="A51" t="s">
        <v>23</v>
      </c>
    </row>
    <row r="52" spans="1:1" x14ac:dyDescent="0.3">
      <c r="A52" t="s">
        <v>24</v>
      </c>
    </row>
    <row r="53" spans="1:1" x14ac:dyDescent="0.3">
      <c r="A53" t="s">
        <v>25</v>
      </c>
    </row>
    <row r="54" spans="1:1" x14ac:dyDescent="0.3">
      <c r="A54" t="s">
        <v>26</v>
      </c>
    </row>
    <row r="55" spans="1:1" x14ac:dyDescent="0.3">
      <c r="A55" t="s">
        <v>27</v>
      </c>
    </row>
    <row r="56" spans="1:1" x14ac:dyDescent="0.3">
      <c r="A56" t="s">
        <v>28</v>
      </c>
    </row>
    <row r="57" spans="1:1" x14ac:dyDescent="0.3">
      <c r="A57" t="s">
        <v>29</v>
      </c>
    </row>
    <row r="58" spans="1:1" x14ac:dyDescent="0.3">
      <c r="A58" t="s">
        <v>30</v>
      </c>
    </row>
    <row r="59" spans="1:1" x14ac:dyDescent="0.3">
      <c r="A59" t="s">
        <v>31</v>
      </c>
    </row>
  </sheetData>
  <phoneticPr fontId="52"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rgb="FF92D050"/>
  </sheetPr>
  <dimension ref="A1:K419"/>
  <sheetViews>
    <sheetView zoomScaleNormal="80" workbookViewId="0">
      <selection activeCell="A5" sqref="A5"/>
    </sheetView>
  </sheetViews>
  <sheetFormatPr defaultColWidth="9" defaultRowHeight="14" x14ac:dyDescent="0.3"/>
  <cols>
    <col min="1" max="1" width="25" style="119" bestFit="1" customWidth="1"/>
    <col min="2" max="3" width="25" style="119" customWidth="1"/>
    <col min="4" max="4" width="23" style="119" customWidth="1"/>
    <col min="5" max="5" width="25" style="119" customWidth="1"/>
    <col min="6" max="6" width="21" style="119" customWidth="1"/>
    <col min="7" max="7" width="24" customWidth="1"/>
    <col min="8" max="8" width="25" style="104" customWidth="1"/>
    <col min="9" max="9" width="24" customWidth="1"/>
    <col min="10" max="10" width="2" style="104" customWidth="1"/>
    <col min="11" max="11" width="2" customWidth="1"/>
    <col min="12" max="12" width="2" style="104" customWidth="1"/>
    <col min="13" max="13" width="10.58203125" style="104" customWidth="1"/>
    <col min="14" max="19" width="9" style="104" customWidth="1"/>
    <col min="20" max="16384" width="9" style="104"/>
  </cols>
  <sheetData>
    <row r="1" spans="1:11" ht="12.5" x14ac:dyDescent="0.25">
      <c r="A1" s="101" t="s">
        <v>81</v>
      </c>
      <c r="B1" s="101"/>
      <c r="C1" s="101"/>
      <c r="D1" s="102"/>
      <c r="E1" s="102"/>
      <c r="F1" s="102"/>
      <c r="G1" s="102"/>
      <c r="H1" s="103"/>
      <c r="I1" s="103"/>
      <c r="J1" s="103"/>
      <c r="K1" s="103"/>
    </row>
    <row r="2" spans="1:11" ht="12.5" x14ac:dyDescent="0.25">
      <c r="A2" s="105" t="s">
        <v>82</v>
      </c>
      <c r="B2" s="105"/>
      <c r="C2" s="106"/>
      <c r="D2" s="107"/>
      <c r="E2" s="107"/>
      <c r="F2" s="107"/>
      <c r="G2" s="107"/>
      <c r="H2" s="103"/>
      <c r="I2" s="103"/>
      <c r="J2" s="103"/>
      <c r="K2" s="103"/>
    </row>
    <row r="3" spans="1:11" ht="12.5" x14ac:dyDescent="0.25">
      <c r="A3" s="105" t="s">
        <v>83</v>
      </c>
      <c r="B3" s="105" t="s">
        <v>84</v>
      </c>
      <c r="C3" s="105" t="s">
        <v>85</v>
      </c>
      <c r="D3" s="107" t="s">
        <v>86</v>
      </c>
      <c r="E3" s="107" t="s">
        <v>87</v>
      </c>
      <c r="F3" s="107"/>
      <c r="G3" s="107"/>
      <c r="H3" s="103"/>
      <c r="I3" s="103"/>
      <c r="J3" s="103"/>
      <c r="K3" s="103"/>
    </row>
    <row r="4" spans="1:11" ht="12.5" x14ac:dyDescent="0.25">
      <c r="A4" s="105">
        <v>1</v>
      </c>
      <c r="B4" s="160">
        <v>0.82950938294862919</v>
      </c>
      <c r="C4" s="160">
        <v>0.68808581639981559</v>
      </c>
      <c r="D4" s="161">
        <v>0.68643516488955192</v>
      </c>
      <c r="E4" s="161">
        <v>0.24569055135205151</v>
      </c>
      <c r="F4" s="108"/>
      <c r="G4" s="108"/>
      <c r="H4" s="103"/>
      <c r="I4" s="103"/>
      <c r="J4" s="103"/>
      <c r="K4" s="103"/>
    </row>
    <row r="5" spans="1:11" ht="102" customHeight="1" x14ac:dyDescent="0.25">
      <c r="A5" s="105" t="s">
        <v>88</v>
      </c>
      <c r="B5" s="105"/>
      <c r="C5" s="105"/>
      <c r="D5" s="108"/>
      <c r="E5" s="108"/>
      <c r="F5" s="108"/>
      <c r="G5" s="108"/>
      <c r="H5" s="103"/>
      <c r="I5" s="103"/>
      <c r="J5" s="103"/>
      <c r="K5" s="103"/>
    </row>
    <row r="6" spans="1:11" ht="12.5" x14ac:dyDescent="0.25">
      <c r="A6" s="105"/>
      <c r="B6" s="105"/>
      <c r="C6" s="105"/>
      <c r="D6" s="108"/>
      <c r="E6" s="108"/>
      <c r="F6" s="108"/>
      <c r="G6" s="108"/>
      <c r="H6" s="103"/>
      <c r="I6" s="103"/>
      <c r="J6" s="103"/>
      <c r="K6" s="103"/>
    </row>
    <row r="7" spans="1:11" ht="12.5" x14ac:dyDescent="0.25">
      <c r="A7" s="105" t="s">
        <v>89</v>
      </c>
      <c r="B7" s="105"/>
      <c r="C7" s="105"/>
      <c r="D7" s="108"/>
      <c r="E7" s="108"/>
      <c r="F7" s="108"/>
      <c r="G7" s="108"/>
      <c r="H7" s="103"/>
      <c r="I7" s="103"/>
      <c r="J7" s="103"/>
      <c r="K7" s="103"/>
    </row>
    <row r="8" spans="1:11" ht="25.5" customHeight="1" x14ac:dyDescent="0.25">
      <c r="A8" s="105" t="s">
        <v>83</v>
      </c>
      <c r="B8" s="105"/>
      <c r="C8" s="105" t="s">
        <v>90</v>
      </c>
      <c r="D8" s="108"/>
      <c r="E8" s="108" t="s">
        <v>91</v>
      </c>
      <c r="F8" s="108" t="s">
        <v>92</v>
      </c>
      <c r="G8" s="108" t="s">
        <v>93</v>
      </c>
      <c r="H8" s="103" t="s">
        <v>94</v>
      </c>
      <c r="I8" s="103"/>
      <c r="J8" s="103"/>
      <c r="K8" s="103"/>
    </row>
    <row r="9" spans="1:11" ht="12.5" x14ac:dyDescent="0.25">
      <c r="A9" s="105"/>
      <c r="B9" s="105"/>
      <c r="C9" s="110" t="s">
        <v>95</v>
      </c>
      <c r="D9" s="108" t="s">
        <v>96</v>
      </c>
      <c r="E9" s="108" t="s">
        <v>97</v>
      </c>
      <c r="F9" s="108"/>
      <c r="G9" s="108"/>
      <c r="H9" s="103" t="s">
        <v>98</v>
      </c>
      <c r="I9" s="103" t="s">
        <v>99</v>
      </c>
      <c r="J9" s="103"/>
      <c r="K9" s="103"/>
    </row>
    <row r="10" spans="1:11" ht="12.5" x14ac:dyDescent="0.25">
      <c r="A10" s="105">
        <v>1</v>
      </c>
      <c r="B10" s="105" t="s">
        <v>100</v>
      </c>
      <c r="C10" s="160">
        <v>8.1144592124561918E-2</v>
      </c>
      <c r="D10" s="161">
        <v>3.7539155465131429E-3</v>
      </c>
      <c r="E10" s="108"/>
      <c r="F10" s="161">
        <v>21.615987658521991</v>
      </c>
      <c r="G10" s="162">
        <v>0</v>
      </c>
      <c r="H10" s="163">
        <v>7.3785369369357451E-2</v>
      </c>
      <c r="I10" s="163">
        <v>8.8503814879766385E-2</v>
      </c>
      <c r="J10" s="103"/>
      <c r="K10" s="103"/>
    </row>
    <row r="11" spans="1:11" ht="12.5" x14ac:dyDescent="0.25">
      <c r="A11" s="105"/>
      <c r="B11" s="105" t="s">
        <v>78</v>
      </c>
      <c r="C11" s="160">
        <v>0.7782185834912525</v>
      </c>
      <c r="D11" s="161">
        <v>1.261044900322141E-2</v>
      </c>
      <c r="E11" s="108">
        <v>0.69514539407764731</v>
      </c>
      <c r="F11" s="161">
        <v>61.712202578389743</v>
      </c>
      <c r="G11" s="162">
        <v>0</v>
      </c>
      <c r="H11" s="163">
        <v>0.75349690232715349</v>
      </c>
      <c r="I11" s="163">
        <v>0.80294026465535151</v>
      </c>
      <c r="J11" s="103"/>
      <c r="K11" s="103"/>
    </row>
    <row r="12" spans="1:11" ht="12.5" x14ac:dyDescent="0.25">
      <c r="A12" s="105"/>
      <c r="B12" s="105" t="s">
        <v>3</v>
      </c>
      <c r="C12" s="160">
        <v>1.7417586305124251E-2</v>
      </c>
      <c r="D12" s="161">
        <v>3.4938149553513129E-3</v>
      </c>
      <c r="E12" s="108">
        <v>3.9697503212993472E-2</v>
      </c>
      <c r="F12" s="161">
        <v>4.9852629654717537</v>
      </c>
      <c r="G12" s="161">
        <v>6.3851448373064557E-7</v>
      </c>
      <c r="H12" s="163">
        <v>1.056826798580893E-2</v>
      </c>
      <c r="I12" s="163">
        <v>2.4266904624439579E-2</v>
      </c>
      <c r="J12" s="103"/>
      <c r="K12" s="103"/>
    </row>
    <row r="13" spans="1:11" ht="12.5" x14ac:dyDescent="0.25">
      <c r="A13" s="105"/>
      <c r="B13" s="105" t="s">
        <v>5</v>
      </c>
      <c r="C13" s="164">
        <v>8.3588181866641569E-3</v>
      </c>
      <c r="D13" s="161">
        <v>3.4293303816530629E-3</v>
      </c>
      <c r="E13" s="109">
        <v>1.905110191555686E-2</v>
      </c>
      <c r="F13" s="161">
        <v>2.4374490808421032</v>
      </c>
      <c r="G13" s="161">
        <v>1.482401438732794E-2</v>
      </c>
      <c r="H13" s="163">
        <v>1.6359162281432619E-3</v>
      </c>
      <c r="I13" s="163">
        <v>1.508172014518505E-2</v>
      </c>
      <c r="J13" s="103"/>
      <c r="K13" s="103"/>
    </row>
    <row r="14" spans="1:11" ht="12.5" x14ac:dyDescent="0.25">
      <c r="A14" s="105"/>
      <c r="B14" s="105" t="s">
        <v>6</v>
      </c>
      <c r="C14" s="164">
        <v>7.1924805850805034E-3</v>
      </c>
      <c r="D14" s="161">
        <v>3.4167210704865291E-3</v>
      </c>
      <c r="E14" s="109">
        <v>1.639282941584318E-2</v>
      </c>
      <c r="F14" s="161">
        <v>2.1050827494257001</v>
      </c>
      <c r="G14" s="161">
        <v>3.5331129903337637E-2</v>
      </c>
      <c r="H14" s="163">
        <v>4.9429807709450418E-4</v>
      </c>
      <c r="I14" s="163">
        <v>1.38906630930665E-2</v>
      </c>
      <c r="J14" s="103"/>
      <c r="K14" s="103"/>
    </row>
    <row r="15" spans="1:11" ht="25.5" customHeight="1" x14ac:dyDescent="0.25">
      <c r="A15" s="105"/>
      <c r="B15" s="105" t="s">
        <v>7</v>
      </c>
      <c r="C15" s="160">
        <v>1.8287504423458421E-2</v>
      </c>
      <c r="D15" s="165">
        <v>3.5096120585136519E-3</v>
      </c>
      <c r="E15" s="111">
        <v>4.1680187650012933E-2</v>
      </c>
      <c r="F15" s="165">
        <v>5.2106911301197556</v>
      </c>
      <c r="G15" s="165">
        <v>1.9527614303349589E-7</v>
      </c>
      <c r="H15" s="163">
        <v>1.140721726650727E-2</v>
      </c>
      <c r="I15" s="163">
        <v>2.516779158040958E-2</v>
      </c>
      <c r="J15" s="103"/>
      <c r="K15" s="103"/>
    </row>
    <row r="16" spans="1:11" ht="12.5" x14ac:dyDescent="0.25">
      <c r="A16" s="105"/>
      <c r="B16" s="105" t="s">
        <v>8</v>
      </c>
      <c r="C16" s="160">
        <v>7.2419159044828721E-3</v>
      </c>
      <c r="D16" s="166">
        <v>3.4217197583938201E-3</v>
      </c>
      <c r="E16" s="102">
        <v>1.6505500524022661E-2</v>
      </c>
      <c r="F16" s="166">
        <v>2.1164550038669092</v>
      </c>
      <c r="G16" s="166">
        <v>3.4352693531681133E-2</v>
      </c>
      <c r="H16" s="163">
        <v>5.3393390651429538E-4</v>
      </c>
      <c r="I16" s="163">
        <v>1.394989790245145E-2</v>
      </c>
      <c r="J16" s="103"/>
      <c r="K16" s="103"/>
    </row>
    <row r="17" spans="1:11" ht="12.5" x14ac:dyDescent="0.25">
      <c r="A17" s="107"/>
      <c r="B17" s="107" t="s">
        <v>10</v>
      </c>
      <c r="C17" s="167">
        <v>1.395600003700672E-2</v>
      </c>
      <c r="D17" s="167">
        <v>3.409665555377351E-3</v>
      </c>
      <c r="E17" s="107">
        <v>3.1807986859041501E-2</v>
      </c>
      <c r="F17" s="167">
        <v>4.0930700710504722</v>
      </c>
      <c r="G17" s="167">
        <v>4.3203877644559803E-5</v>
      </c>
      <c r="H17" s="163">
        <v>7.2716492486472823E-3</v>
      </c>
      <c r="I17" s="163">
        <v>2.0640350825366159E-2</v>
      </c>
      <c r="J17" s="103"/>
      <c r="K17" s="103"/>
    </row>
    <row r="18" spans="1:11" ht="12.5" x14ac:dyDescent="0.25">
      <c r="A18" s="101"/>
      <c r="B18" s="101" t="s">
        <v>11</v>
      </c>
      <c r="C18" s="168">
        <v>2.435055363988535E-2</v>
      </c>
      <c r="D18" s="168">
        <v>3.5148934707651602E-3</v>
      </c>
      <c r="E18" s="112">
        <v>5.5498859854831432E-2</v>
      </c>
      <c r="F18" s="169">
        <v>6.9278212390842278</v>
      </c>
      <c r="G18" s="169">
        <v>4.7832848792950236E-12</v>
      </c>
      <c r="H18" s="163">
        <v>1.7459912736628679E-2</v>
      </c>
      <c r="I18" s="163">
        <v>3.1241194543142021E-2</v>
      </c>
      <c r="J18" s="103"/>
      <c r="K18" s="103"/>
    </row>
    <row r="19" spans="1:11" ht="12.5" x14ac:dyDescent="0.25">
      <c r="A19" s="113"/>
      <c r="B19" s="113" t="s">
        <v>12</v>
      </c>
      <c r="C19" s="170">
        <v>1.1050652706517511E-2</v>
      </c>
      <c r="D19" s="170">
        <v>3.514173900681533E-3</v>
      </c>
      <c r="E19" s="112">
        <v>2.5186229230487221E-2</v>
      </c>
      <c r="F19" s="169">
        <v>3.1445947237768621</v>
      </c>
      <c r="G19" s="169">
        <v>1.6723813987447041E-3</v>
      </c>
      <c r="H19" s="163">
        <v>4.1614224574078934E-3</v>
      </c>
      <c r="I19" s="163">
        <v>1.793988295562712E-2</v>
      </c>
      <c r="J19" s="103"/>
      <c r="K19" s="103"/>
    </row>
    <row r="20" spans="1:11" ht="12.5" x14ac:dyDescent="0.25">
      <c r="A20" s="106"/>
      <c r="B20" s="105" t="s">
        <v>13</v>
      </c>
      <c r="C20" s="164">
        <v>5.8628193840161852E-3</v>
      </c>
      <c r="D20" s="160">
        <v>3.4155792578456552E-3</v>
      </c>
      <c r="E20" s="112">
        <v>1.336231595222309E-2</v>
      </c>
      <c r="F20" s="169">
        <v>1.7164934382796619</v>
      </c>
      <c r="G20" s="169">
        <v>8.6130299031030422E-2</v>
      </c>
      <c r="H20" s="163">
        <v>-8.3312470025868109E-4</v>
      </c>
      <c r="I20" s="163">
        <v>1.2558763468291051E-2</v>
      </c>
      <c r="J20" s="103"/>
      <c r="K20" s="103"/>
    </row>
    <row r="21" spans="1:11" ht="25.5" customHeight="1" x14ac:dyDescent="0.25">
      <c r="A21" s="105"/>
      <c r="B21" s="105" t="s">
        <v>14</v>
      </c>
      <c r="C21" s="160">
        <v>1.001739309998532E-2</v>
      </c>
      <c r="D21" s="160">
        <v>3.3853906571769681E-3</v>
      </c>
      <c r="E21" s="112">
        <v>2.28312630582743E-2</v>
      </c>
      <c r="F21" s="169">
        <v>2.959006541460325</v>
      </c>
      <c r="G21" s="169">
        <v>3.1000017873292758E-3</v>
      </c>
      <c r="H21" s="163">
        <v>3.380631124161225E-3</v>
      </c>
      <c r="I21" s="163">
        <v>1.6654155075809411E-2</v>
      </c>
      <c r="J21" s="103"/>
      <c r="K21" s="103"/>
    </row>
    <row r="22" spans="1:11" ht="12.5" x14ac:dyDescent="0.25">
      <c r="A22" s="109"/>
      <c r="B22" s="109" t="s">
        <v>15</v>
      </c>
      <c r="C22" s="161">
        <v>1.7374025667725619E-2</v>
      </c>
      <c r="D22" s="161">
        <v>3.4132107521691762E-3</v>
      </c>
      <c r="E22" s="108">
        <v>3.9598221457600002E-2</v>
      </c>
      <c r="F22" s="161">
        <v>5.0902293849519884</v>
      </c>
      <c r="G22" s="161">
        <v>3.7000829844480171E-7</v>
      </c>
      <c r="H22" s="163">
        <v>1.0682724831455191E-2</v>
      </c>
      <c r="I22" s="163">
        <v>2.4065326503996041E-2</v>
      </c>
      <c r="J22" s="103"/>
      <c r="K22" s="103"/>
    </row>
    <row r="23" spans="1:11" ht="12.5" x14ac:dyDescent="0.25">
      <c r="A23" s="101"/>
      <c r="B23" s="101" t="s">
        <v>16</v>
      </c>
      <c r="C23" s="168">
        <v>2.0225125566054859E-2</v>
      </c>
      <c r="D23" s="168">
        <v>3.377391507566226E-3</v>
      </c>
      <c r="E23" s="101">
        <v>4.6096340392781807E-2</v>
      </c>
      <c r="F23" s="169">
        <v>5.9883864576390886</v>
      </c>
      <c r="G23" s="169">
        <v>2.2590154191703959E-9</v>
      </c>
      <c r="H23" s="163">
        <v>1.36040452226778E-2</v>
      </c>
      <c r="I23" s="163">
        <v>2.684620590943191E-2</v>
      </c>
      <c r="J23" s="103"/>
      <c r="K23" s="103"/>
    </row>
    <row r="24" spans="1:11" ht="25.5" customHeight="1" x14ac:dyDescent="0.25">
      <c r="A24" s="113"/>
      <c r="B24" s="113" t="s">
        <v>17</v>
      </c>
      <c r="C24" s="170">
        <v>1.0279179758849699E-2</v>
      </c>
      <c r="D24" s="170">
        <v>3.382860012810246E-3</v>
      </c>
      <c r="E24" s="113">
        <v>2.3427917298955731E-2</v>
      </c>
      <c r="F24" s="169">
        <v>3.0386063035196269</v>
      </c>
      <c r="G24" s="169">
        <v>2.3883574660432672E-3</v>
      </c>
      <c r="H24" s="163">
        <v>3.647378889736228E-3</v>
      </c>
      <c r="I24" s="163">
        <v>1.691098062796317E-2</v>
      </c>
      <c r="J24" s="103"/>
      <c r="K24" s="103"/>
    </row>
    <row r="25" spans="1:11" ht="12.5" x14ac:dyDescent="0.25">
      <c r="A25" s="106"/>
      <c r="B25" s="106" t="s">
        <v>18</v>
      </c>
      <c r="C25" s="164">
        <v>1.0260698620936721E-2</v>
      </c>
      <c r="D25" s="164">
        <v>3.4072662399594182E-3</v>
      </c>
      <c r="E25" s="114">
        <v>2.338579578918808E-2</v>
      </c>
      <c r="F25" s="169">
        <v>3.0114167483016909</v>
      </c>
      <c r="G25" s="169">
        <v>2.6126027529791429E-3</v>
      </c>
      <c r="H25" s="163">
        <v>3.581051480382296E-3</v>
      </c>
      <c r="I25" s="163">
        <v>1.694034576149114E-2</v>
      </c>
      <c r="J25" s="103"/>
      <c r="K25" s="103"/>
    </row>
    <row r="26" spans="1:11" ht="12.5" x14ac:dyDescent="0.25">
      <c r="A26" s="105"/>
      <c r="B26" s="105" t="s">
        <v>19</v>
      </c>
      <c r="C26" s="160">
        <v>9.7128636863376312E-3</v>
      </c>
      <c r="D26" s="160">
        <v>3.4011060026419761E-3</v>
      </c>
      <c r="E26" s="105">
        <v>2.2137191149288069E-2</v>
      </c>
      <c r="F26" s="169">
        <v>2.855795637887407</v>
      </c>
      <c r="G26" s="169">
        <v>4.3096326361717896E-3</v>
      </c>
      <c r="H26" s="163">
        <v>3.0452931516850332E-3</v>
      </c>
      <c r="I26" s="163">
        <v>1.6380434220990229E-2</v>
      </c>
      <c r="J26" s="103"/>
      <c r="K26" s="103"/>
    </row>
    <row r="27" spans="1:11" ht="12.5" x14ac:dyDescent="0.25">
      <c r="A27" s="109"/>
      <c r="B27" s="109" t="s">
        <v>20</v>
      </c>
      <c r="C27" s="161">
        <v>8.1002566638846297E-3</v>
      </c>
      <c r="D27" s="161">
        <v>3.4060353383862409E-3</v>
      </c>
      <c r="E27" s="108">
        <v>1.8461798282924571E-2</v>
      </c>
      <c r="F27" s="161">
        <v>2.3782068766563311</v>
      </c>
      <c r="G27" s="161">
        <v>1.7432363588554271E-2</v>
      </c>
      <c r="H27" s="163">
        <v>1.423022598092944E-3</v>
      </c>
      <c r="I27" s="163">
        <v>1.477749072967632E-2</v>
      </c>
      <c r="J27" s="103"/>
      <c r="K27" s="103"/>
    </row>
    <row r="28" spans="1:11" ht="12.5" x14ac:dyDescent="0.25">
      <c r="A28" s="101"/>
      <c r="B28" s="101" t="s">
        <v>21</v>
      </c>
      <c r="C28" s="168">
        <v>2.913554157651791E-3</v>
      </c>
      <c r="D28" s="168">
        <v>3.4168634999867369E-3</v>
      </c>
      <c r="E28" s="101">
        <v>6.6404623182826214E-3</v>
      </c>
      <c r="F28" s="168">
        <v>0.8526984345915779</v>
      </c>
      <c r="G28" s="168">
        <v>0.39386515582655252</v>
      </c>
      <c r="H28" s="163">
        <v>-3.7849075708989632E-3</v>
      </c>
      <c r="I28" s="163">
        <v>9.6120158862025434E-3</v>
      </c>
      <c r="J28" s="103"/>
      <c r="K28" s="103"/>
    </row>
    <row r="29" spans="1:11" ht="12.5" x14ac:dyDescent="0.25">
      <c r="A29" s="113"/>
      <c r="B29" s="113" t="s">
        <v>22</v>
      </c>
      <c r="C29" s="170">
        <v>4.2895410961281428E-3</v>
      </c>
      <c r="D29" s="170">
        <v>3.507821282188065E-3</v>
      </c>
      <c r="E29" s="113">
        <v>9.7765596485499973E-3</v>
      </c>
      <c r="F29" s="170">
        <v>1.2228505248854831</v>
      </c>
      <c r="G29" s="170">
        <v>0.22144062264395711</v>
      </c>
      <c r="H29" s="163">
        <v>-2.5872354006279599E-3</v>
      </c>
      <c r="I29" s="163">
        <v>1.1166317592884251E-2</v>
      </c>
      <c r="J29" s="103"/>
      <c r="K29" s="103"/>
    </row>
    <row r="30" spans="1:11" ht="12.5" x14ac:dyDescent="0.25">
      <c r="A30" s="106"/>
      <c r="B30" s="105" t="s">
        <v>23</v>
      </c>
      <c r="C30" s="164">
        <v>5.7518112562611129E-3</v>
      </c>
      <c r="D30" s="164">
        <v>3.382835790071538E-3</v>
      </c>
      <c r="E30" s="114">
        <v>1.3109310430618229E-2</v>
      </c>
      <c r="F30" s="164">
        <v>1.7002927760024309</v>
      </c>
      <c r="G30" s="164">
        <v>8.9134638093486096E-2</v>
      </c>
      <c r="H30" s="163">
        <v>-8.799421262939422E-4</v>
      </c>
      <c r="I30" s="163">
        <v>1.238356463881617E-2</v>
      </c>
      <c r="J30" s="103"/>
      <c r="K30" s="103"/>
    </row>
    <row r="31" spans="1:11" ht="38.25" customHeight="1" x14ac:dyDescent="0.25">
      <c r="A31" s="105"/>
      <c r="B31" s="105" t="s">
        <v>24</v>
      </c>
      <c r="C31" s="164">
        <v>7.2466156198490381E-3</v>
      </c>
      <c r="D31" s="164">
        <v>3.4115337423083359E-3</v>
      </c>
      <c r="E31" s="114">
        <v>1.6516211937336819E-2</v>
      </c>
      <c r="F31" s="160">
        <v>2.1241518235565748</v>
      </c>
      <c r="G31" s="160">
        <v>3.3703702429715543E-2</v>
      </c>
      <c r="H31" s="163">
        <v>5.5860241458033973E-4</v>
      </c>
      <c r="I31" s="163">
        <v>1.3934628825117741E-2</v>
      </c>
      <c r="J31" s="103"/>
      <c r="K31" s="103"/>
    </row>
    <row r="32" spans="1:11" ht="12.5" x14ac:dyDescent="0.25">
      <c r="A32" s="105"/>
      <c r="B32" s="105" t="s">
        <v>25</v>
      </c>
      <c r="C32" s="164">
        <v>6.2234646805980363E-2</v>
      </c>
      <c r="D32" s="164">
        <v>3.7128447021047418E-3</v>
      </c>
      <c r="E32" s="105">
        <v>0.14184285056839879</v>
      </c>
      <c r="F32" s="160">
        <v>16.761984892796811</v>
      </c>
      <c r="G32" s="171">
        <v>0</v>
      </c>
      <c r="H32" s="163">
        <v>5.4955939845284511E-2</v>
      </c>
      <c r="I32" s="163">
        <v>6.9513353766676209E-2</v>
      </c>
      <c r="J32" s="103"/>
      <c r="K32" s="103"/>
    </row>
    <row r="33" spans="1:11" ht="12.5" x14ac:dyDescent="0.25">
      <c r="A33" s="105"/>
      <c r="B33" s="105" t="s">
        <v>26</v>
      </c>
      <c r="C33" s="160">
        <v>6.1201620490157049E-3</v>
      </c>
      <c r="D33" s="160">
        <v>3.3925036504075141E-3</v>
      </c>
      <c r="E33" s="105">
        <v>1.3948841610353639E-2</v>
      </c>
      <c r="F33" s="160">
        <v>1.804025191919997</v>
      </c>
      <c r="G33" s="160">
        <v>7.1284208387687897E-2</v>
      </c>
      <c r="H33" s="163">
        <v>-5.3054432725939838E-4</v>
      </c>
      <c r="I33" s="163">
        <v>1.2770868425290811E-2</v>
      </c>
      <c r="J33" s="103"/>
      <c r="K33" s="103"/>
    </row>
    <row r="34" spans="1:11" ht="12.5" x14ac:dyDescent="0.25">
      <c r="A34" s="109"/>
      <c r="B34" s="109" t="s">
        <v>27</v>
      </c>
      <c r="C34" s="161">
        <v>8.3207866514069893E-3</v>
      </c>
      <c r="D34" s="161">
        <v>3.5355446928225349E-3</v>
      </c>
      <c r="E34" s="109">
        <v>1.8964421880412041E-2</v>
      </c>
      <c r="F34" s="161">
        <v>2.3534666859957709</v>
      </c>
      <c r="G34" s="161">
        <v>1.8635661769730309E-2</v>
      </c>
      <c r="H34" s="163">
        <v>1.389660835422708E-3</v>
      </c>
      <c r="I34" s="163">
        <v>1.5251912467391269E-2</v>
      </c>
      <c r="J34" s="103"/>
      <c r="K34" s="103"/>
    </row>
    <row r="35" spans="1:11" ht="12.5" x14ac:dyDescent="0.25">
      <c r="A35" s="101"/>
      <c r="B35" s="101" t="s">
        <v>28</v>
      </c>
      <c r="C35" s="168">
        <v>6.6398534706282389E-3</v>
      </c>
      <c r="D35" s="168">
        <v>3.3958234651499299E-3</v>
      </c>
      <c r="E35" s="101">
        <v>1.513330262107123E-2</v>
      </c>
      <c r="F35" s="168">
        <v>1.9552999555985691</v>
      </c>
      <c r="G35" s="168">
        <v>5.0600244815819817E-2</v>
      </c>
      <c r="H35" s="163">
        <v>-1.7361111783294018E-5</v>
      </c>
      <c r="I35" s="163">
        <v>1.3297068053039769E-2</v>
      </c>
      <c r="J35" s="103"/>
      <c r="K35" s="103"/>
    </row>
    <row r="36" spans="1:11" ht="12.5" x14ac:dyDescent="0.25">
      <c r="A36" s="113"/>
      <c r="B36" s="113" t="s">
        <v>29</v>
      </c>
      <c r="C36" s="170">
        <v>1.1515968241579241E-2</v>
      </c>
      <c r="D36" s="170">
        <v>3.3814828057281599E-3</v>
      </c>
      <c r="E36" s="113">
        <v>2.624675877944864E-2</v>
      </c>
      <c r="F36" s="170">
        <v>3.405597160533075</v>
      </c>
      <c r="G36" s="170">
        <v>6.6510814074094426E-4</v>
      </c>
      <c r="H36" s="163">
        <v>4.886867266368956E-3</v>
      </c>
      <c r="I36" s="163">
        <v>1.814506921678952E-2</v>
      </c>
      <c r="J36" s="103"/>
      <c r="K36" s="103"/>
    </row>
    <row r="37" spans="1:11" ht="25.5" customHeight="1" x14ac:dyDescent="0.25">
      <c r="A37" s="113"/>
      <c r="B37" s="113" t="s">
        <v>30</v>
      </c>
      <c r="C37" s="170">
        <v>5.4778768836800003E-3</v>
      </c>
      <c r="D37" s="170">
        <v>3.408142978029684E-3</v>
      </c>
      <c r="E37" s="113">
        <v>1.2484969580790539E-2</v>
      </c>
      <c r="F37" s="170">
        <v>1.607290808804879</v>
      </c>
      <c r="G37" s="170">
        <v>0.10805025807089</v>
      </c>
      <c r="H37" s="163">
        <v>-1.203489025098459E-3</v>
      </c>
      <c r="I37" s="163">
        <v>1.2159242792458461E-2</v>
      </c>
      <c r="J37" s="103"/>
      <c r="K37" s="103"/>
    </row>
    <row r="38" spans="1:11" ht="12.5" x14ac:dyDescent="0.25">
      <c r="A38" s="106"/>
      <c r="B38" s="105" t="s">
        <v>31</v>
      </c>
      <c r="C38" s="164">
        <v>4.9704165343066216E-3</v>
      </c>
      <c r="D38" s="164">
        <v>3.413710538756057E-3</v>
      </c>
      <c r="E38" s="105">
        <v>1.132838516680721E-2</v>
      </c>
      <c r="F38" s="164">
        <v>1.45601581559924</v>
      </c>
      <c r="G38" s="164">
        <v>0.14544758029601801</v>
      </c>
      <c r="H38" s="163">
        <v>-1.721864089808617E-3</v>
      </c>
      <c r="I38" s="163">
        <v>1.166269715842186E-2</v>
      </c>
      <c r="J38" s="103"/>
      <c r="K38" s="103"/>
    </row>
    <row r="39" spans="1:11" ht="38.25" customHeight="1" x14ac:dyDescent="0.25">
      <c r="A39" s="105"/>
      <c r="B39" s="105" t="s">
        <v>101</v>
      </c>
      <c r="C39" s="114"/>
      <c r="D39" s="114"/>
      <c r="E39" s="114"/>
      <c r="F39" s="114"/>
      <c r="G39" s="114"/>
      <c r="H39" s="103"/>
      <c r="I39" s="103"/>
      <c r="J39" s="103"/>
      <c r="K39" s="103"/>
    </row>
    <row r="40" spans="1:11" ht="12.5" x14ac:dyDescent="0.25">
      <c r="A40" s="105"/>
      <c r="B40" s="105"/>
      <c r="C40" s="114"/>
      <c r="D40" s="114"/>
      <c r="E40" s="114"/>
      <c r="F40" s="114"/>
      <c r="G40" s="114"/>
      <c r="H40" s="103"/>
      <c r="I40" s="103"/>
      <c r="J40" s="103"/>
      <c r="K40" s="103"/>
    </row>
    <row r="41" spans="1:11" ht="25" x14ac:dyDescent="0.25">
      <c r="A41" s="105" t="s">
        <v>102</v>
      </c>
      <c r="B41" s="105"/>
      <c r="C41" s="114"/>
      <c r="D41" s="114"/>
      <c r="E41" s="114"/>
      <c r="F41" s="114"/>
      <c r="G41" s="114"/>
      <c r="H41" s="103"/>
      <c r="I41" s="103"/>
      <c r="J41" s="103"/>
      <c r="K41" s="103"/>
    </row>
    <row r="42" spans="1:11" ht="12.5" x14ac:dyDescent="0.25">
      <c r="A42" s="105" t="s">
        <v>82</v>
      </c>
      <c r="B42" s="105"/>
      <c r="C42" s="114"/>
      <c r="D42" s="114"/>
      <c r="E42" s="114"/>
      <c r="F42" s="114"/>
      <c r="G42" s="114"/>
      <c r="H42" s="103"/>
      <c r="I42" s="103"/>
      <c r="J42" s="103"/>
      <c r="K42" s="103"/>
    </row>
    <row r="43" spans="1:11" ht="12.5" x14ac:dyDescent="0.25">
      <c r="A43" s="105" t="s">
        <v>83</v>
      </c>
      <c r="B43" s="105" t="s">
        <v>84</v>
      </c>
      <c r="C43" s="114" t="s">
        <v>85</v>
      </c>
      <c r="D43" s="114" t="s">
        <v>86</v>
      </c>
      <c r="E43" s="114" t="s">
        <v>87</v>
      </c>
      <c r="F43" s="114"/>
      <c r="G43" s="114"/>
      <c r="H43" s="103"/>
      <c r="I43" s="103"/>
      <c r="J43" s="103"/>
      <c r="K43" s="103"/>
    </row>
    <row r="44" spans="1:11" ht="12.5" x14ac:dyDescent="0.25">
      <c r="A44" s="105">
        <v>2</v>
      </c>
      <c r="B44" s="160">
        <v>0.82430067895669634</v>
      </c>
      <c r="C44" s="164">
        <v>0.6794716093284705</v>
      </c>
      <c r="D44" s="164">
        <v>0.67777537138879884</v>
      </c>
      <c r="E44" s="164">
        <v>0.22819349871522349</v>
      </c>
      <c r="F44" s="114"/>
      <c r="G44" s="114"/>
      <c r="H44" s="103"/>
      <c r="I44" s="103"/>
      <c r="J44" s="103"/>
      <c r="K44" s="103"/>
    </row>
    <row r="45" spans="1:11" ht="102" customHeight="1" x14ac:dyDescent="0.25">
      <c r="A45" s="105" t="s">
        <v>88</v>
      </c>
      <c r="B45" s="105"/>
      <c r="C45" s="114"/>
      <c r="D45" s="114"/>
      <c r="E45" s="114"/>
      <c r="F45" s="114"/>
      <c r="G45" s="114"/>
      <c r="H45" s="103"/>
      <c r="I45" s="103"/>
      <c r="J45" s="103"/>
      <c r="K45" s="103"/>
    </row>
    <row r="46" spans="1:11" ht="12.5" x14ac:dyDescent="0.25">
      <c r="A46" s="105"/>
      <c r="B46" s="105"/>
      <c r="C46" s="114"/>
      <c r="D46" s="114"/>
      <c r="E46" s="114"/>
      <c r="F46" s="114"/>
      <c r="G46" s="114"/>
      <c r="H46" s="103"/>
      <c r="I46" s="103"/>
      <c r="J46" s="103"/>
      <c r="K46" s="103"/>
    </row>
    <row r="47" spans="1:11" ht="38.25" customHeight="1" x14ac:dyDescent="0.25">
      <c r="A47" s="105" t="s">
        <v>89</v>
      </c>
      <c r="B47" s="105"/>
      <c r="C47" s="114"/>
      <c r="D47" s="114"/>
      <c r="E47" s="114"/>
      <c r="F47" s="114"/>
      <c r="G47" s="114"/>
      <c r="H47" s="103"/>
      <c r="I47" s="103"/>
      <c r="J47" s="103"/>
      <c r="K47" s="103"/>
    </row>
    <row r="48" spans="1:11" ht="12.5" x14ac:dyDescent="0.25">
      <c r="A48" s="105" t="s">
        <v>83</v>
      </c>
      <c r="B48" s="105"/>
      <c r="C48" s="114" t="s">
        <v>90</v>
      </c>
      <c r="D48" s="114"/>
      <c r="E48" s="114" t="s">
        <v>91</v>
      </c>
      <c r="F48" s="114" t="s">
        <v>92</v>
      </c>
      <c r="G48" s="114" t="s">
        <v>93</v>
      </c>
      <c r="H48" s="103" t="s">
        <v>94</v>
      </c>
      <c r="I48" s="103"/>
      <c r="J48" s="103"/>
      <c r="K48" s="103"/>
    </row>
    <row r="49" spans="1:11" ht="12.5" x14ac:dyDescent="0.25">
      <c r="A49" s="105"/>
      <c r="B49" s="105"/>
      <c r="C49" s="114" t="s">
        <v>95</v>
      </c>
      <c r="D49" s="114" t="s">
        <v>96</v>
      </c>
      <c r="E49" s="114" t="s">
        <v>97</v>
      </c>
      <c r="F49" s="114"/>
      <c r="G49" s="114"/>
      <c r="H49" s="103" t="s">
        <v>98</v>
      </c>
      <c r="I49" s="103" t="s">
        <v>99</v>
      </c>
      <c r="J49" s="103"/>
      <c r="K49" s="103"/>
    </row>
    <row r="50" spans="1:11" ht="12.5" x14ac:dyDescent="0.25">
      <c r="A50" s="105">
        <v>2</v>
      </c>
      <c r="B50" s="105" t="s">
        <v>100</v>
      </c>
      <c r="C50" s="164">
        <v>4.0791301848915038E-2</v>
      </c>
      <c r="D50" s="164">
        <v>3.4865773947197901E-3</v>
      </c>
      <c r="E50" s="114"/>
      <c r="F50" s="164">
        <v>11.699525704116301</v>
      </c>
      <c r="G50" s="172">
        <v>0</v>
      </c>
      <c r="H50" s="163">
        <v>3.395617213353385E-2</v>
      </c>
      <c r="I50" s="163">
        <v>4.7626431564296218E-2</v>
      </c>
      <c r="J50" s="103"/>
      <c r="K50" s="103"/>
    </row>
    <row r="51" spans="1:11" ht="12.5" x14ac:dyDescent="0.25">
      <c r="A51" s="105"/>
      <c r="B51" s="105" t="s">
        <v>78</v>
      </c>
      <c r="C51" s="164">
        <v>0.68309410602007425</v>
      </c>
      <c r="D51" s="164">
        <v>1.1712385611002331E-2</v>
      </c>
      <c r="E51" s="114">
        <v>0.66597122954848931</v>
      </c>
      <c r="F51" s="164">
        <v>58.322371607915002</v>
      </c>
      <c r="G51" s="172">
        <v>0</v>
      </c>
      <c r="H51" s="163">
        <v>0.66013299950656201</v>
      </c>
      <c r="I51" s="163">
        <v>0.7060552125335865</v>
      </c>
      <c r="J51" s="103"/>
      <c r="K51" s="103"/>
    </row>
    <row r="52" spans="1:11" ht="12.5" x14ac:dyDescent="0.25">
      <c r="A52" s="105"/>
      <c r="B52" s="105" t="s">
        <v>3</v>
      </c>
      <c r="C52" s="164">
        <v>1.717586634417469E-2</v>
      </c>
      <c r="D52" s="164">
        <v>3.2450000789113849E-3</v>
      </c>
      <c r="E52" s="114">
        <v>4.2726247384892217E-2</v>
      </c>
      <c r="F52" s="164">
        <v>5.2930249388273527</v>
      </c>
      <c r="G52" s="164">
        <v>1.251643684252457E-7</v>
      </c>
      <c r="H52" s="163">
        <v>1.0814327805155949E-2</v>
      </c>
      <c r="I52" s="163">
        <v>2.3537404883193429E-2</v>
      </c>
      <c r="J52" s="103"/>
      <c r="K52" s="103"/>
    </row>
    <row r="53" spans="1:11" ht="25.5" customHeight="1" x14ac:dyDescent="0.25">
      <c r="A53" s="105"/>
      <c r="B53" s="105" t="s">
        <v>5</v>
      </c>
      <c r="C53" s="164">
        <v>3.317885877886111E-3</v>
      </c>
      <c r="D53" s="164">
        <v>3.1851078266274201E-3</v>
      </c>
      <c r="E53" s="114">
        <v>8.2534883523637716E-3</v>
      </c>
      <c r="F53" s="164">
        <v>1.041687144827145</v>
      </c>
      <c r="G53" s="164">
        <v>0.2976043456542925</v>
      </c>
      <c r="H53" s="163">
        <v>-2.926239144390622E-3</v>
      </c>
      <c r="I53" s="163">
        <v>9.5620109001628428E-3</v>
      </c>
      <c r="J53" s="103"/>
      <c r="K53" s="103"/>
    </row>
    <row r="54" spans="1:11" ht="12.5" x14ac:dyDescent="0.25">
      <c r="A54" s="105"/>
      <c r="B54" s="105" t="s">
        <v>6</v>
      </c>
      <c r="C54" s="164">
        <v>3.4818245669518732E-3</v>
      </c>
      <c r="D54" s="164">
        <v>3.17339649782114E-3</v>
      </c>
      <c r="E54" s="114">
        <v>8.661298057249767E-3</v>
      </c>
      <c r="F54" s="164">
        <v>1.0971917846832251</v>
      </c>
      <c r="G54" s="164">
        <v>0.27260749497794851</v>
      </c>
      <c r="H54" s="163">
        <v>-2.739341420584478E-3</v>
      </c>
      <c r="I54" s="163">
        <v>9.7029905544882226E-3</v>
      </c>
      <c r="J54" s="103"/>
      <c r="K54" s="103"/>
    </row>
    <row r="55" spans="1:11" ht="12.5" x14ac:dyDescent="0.25">
      <c r="A55" s="105"/>
      <c r="B55" s="105" t="s">
        <v>7</v>
      </c>
      <c r="C55" s="164">
        <v>2.0736361841578541E-2</v>
      </c>
      <c r="D55" s="164">
        <v>3.2596721785112348E-3</v>
      </c>
      <c r="E55" s="114">
        <v>5.158324524377858E-2</v>
      </c>
      <c r="F55" s="164">
        <v>6.3614868937677356</v>
      </c>
      <c r="G55" s="164">
        <v>2.1661605842382409E-10</v>
      </c>
      <c r="H55" s="163">
        <v>1.434605993590865E-2</v>
      </c>
      <c r="I55" s="163">
        <v>2.7126663747248449E-2</v>
      </c>
      <c r="J55" s="103"/>
      <c r="K55" s="103"/>
    </row>
    <row r="56" spans="1:11" ht="12.5" x14ac:dyDescent="0.25">
      <c r="A56" s="105"/>
      <c r="B56" s="105" t="s">
        <v>8</v>
      </c>
      <c r="C56" s="164">
        <v>1.899208939251339E-2</v>
      </c>
      <c r="D56" s="164">
        <v>3.1780392000995659E-3</v>
      </c>
      <c r="E56" s="114">
        <v>4.7244237552869058E-2</v>
      </c>
      <c r="F56" s="164">
        <v>5.9760400035085706</v>
      </c>
      <c r="G56" s="164">
        <v>2.4357142969222419E-9</v>
      </c>
      <c r="H56" s="163">
        <v>1.2761821793651561E-2</v>
      </c>
      <c r="I56" s="163">
        <v>2.5222356991375219E-2</v>
      </c>
      <c r="J56" s="103"/>
      <c r="K56" s="103"/>
    </row>
    <row r="57" spans="1:11" ht="12.5" x14ac:dyDescent="0.25">
      <c r="A57" s="105"/>
      <c r="B57" s="105" t="s">
        <v>10</v>
      </c>
      <c r="C57" s="164">
        <v>1.3768781840999869E-2</v>
      </c>
      <c r="D57" s="164">
        <v>3.166843446964517E-3</v>
      </c>
      <c r="E57" s="114">
        <v>3.4250870805518148E-2</v>
      </c>
      <c r="F57" s="164">
        <v>4.347793653708246</v>
      </c>
      <c r="G57" s="164">
        <v>1.4009477357301851E-5</v>
      </c>
      <c r="H57" s="163">
        <v>7.56046253591616E-3</v>
      </c>
      <c r="I57" s="163">
        <v>1.997710114608359E-2</v>
      </c>
      <c r="J57" s="103"/>
      <c r="K57" s="103"/>
    </row>
    <row r="58" spans="1:11" ht="12.5" x14ac:dyDescent="0.25">
      <c r="A58" s="105"/>
      <c r="B58" s="105" t="s">
        <v>11</v>
      </c>
      <c r="C58" s="164">
        <v>3.1322792558358237E-2</v>
      </c>
      <c r="D58" s="164">
        <v>3.2645774706895332E-3</v>
      </c>
      <c r="E58" s="114">
        <v>7.7917780496002495E-2</v>
      </c>
      <c r="F58" s="164">
        <v>9.5947462848055327</v>
      </c>
      <c r="G58" s="172">
        <v>0</v>
      </c>
      <c r="H58" s="163">
        <v>2.4922874256855191E-2</v>
      </c>
      <c r="I58" s="163">
        <v>3.7722710859861279E-2</v>
      </c>
      <c r="J58" s="103"/>
      <c r="K58" s="103"/>
    </row>
    <row r="59" spans="1:11" ht="12.5" x14ac:dyDescent="0.25">
      <c r="A59" s="105"/>
      <c r="B59" s="105" t="s">
        <v>12</v>
      </c>
      <c r="C59" s="164">
        <v>2.1873564995686001E-2</v>
      </c>
      <c r="D59" s="164">
        <v>3.2639091453752311E-3</v>
      </c>
      <c r="E59" s="114">
        <v>5.441212282792178E-2</v>
      </c>
      <c r="F59" s="164">
        <v>6.7016464066346861</v>
      </c>
      <c r="G59" s="164">
        <v>2.2752022488248261E-11</v>
      </c>
      <c r="H59" s="163">
        <v>1.5474956887446489E-2</v>
      </c>
      <c r="I59" s="163">
        <v>2.8272173103925519E-2</v>
      </c>
      <c r="J59" s="103"/>
      <c r="K59" s="103"/>
    </row>
    <row r="60" spans="1:11" ht="12.5" x14ac:dyDescent="0.25">
      <c r="A60" s="107"/>
      <c r="B60" s="107" t="s">
        <v>13</v>
      </c>
      <c r="C60" s="167">
        <v>1.3293109003165059E-2</v>
      </c>
      <c r="D60" s="167">
        <v>3.172336000297061E-3</v>
      </c>
      <c r="E60" s="107">
        <v>3.3067599176806628E-2</v>
      </c>
      <c r="F60" s="167">
        <v>4.1903218958900572</v>
      </c>
      <c r="G60" s="167">
        <v>2.8309707138740588E-5</v>
      </c>
      <c r="H60" s="163">
        <v>7.0740220281729016E-3</v>
      </c>
      <c r="I60" s="163">
        <v>1.9512195978157221E-2</v>
      </c>
      <c r="J60" s="103"/>
      <c r="K60" s="103"/>
    </row>
    <row r="61" spans="1:11" ht="12.5" x14ac:dyDescent="0.25">
      <c r="A61" s="101"/>
      <c r="B61" s="101" t="s">
        <v>14</v>
      </c>
      <c r="C61" s="168">
        <v>9.5581966131244121E-3</v>
      </c>
      <c r="D61" s="169">
        <v>3.1442973054022229E-3</v>
      </c>
      <c r="E61" s="112">
        <v>2.3776726300871659E-2</v>
      </c>
      <c r="F61" s="169">
        <v>3.039851415037139</v>
      </c>
      <c r="G61" s="169">
        <v>2.378523514304121E-3</v>
      </c>
      <c r="H61" s="163">
        <v>3.394077044548199E-3</v>
      </c>
      <c r="I61" s="163">
        <v>1.572231618170063E-2</v>
      </c>
      <c r="J61" s="103"/>
      <c r="K61" s="103"/>
    </row>
    <row r="62" spans="1:11" ht="12.5" x14ac:dyDescent="0.25">
      <c r="A62" s="105"/>
      <c r="B62" s="105" t="s">
        <v>15</v>
      </c>
      <c r="C62" s="164">
        <v>1.8321346160412741E-2</v>
      </c>
      <c r="D62" s="169">
        <v>3.170136169680586E-3</v>
      </c>
      <c r="E62" s="112">
        <v>4.5575713782818029E-2</v>
      </c>
      <c r="F62" s="169">
        <v>5.7793562105121632</v>
      </c>
      <c r="G62" s="169">
        <v>7.9274444786392451E-9</v>
      </c>
      <c r="H62" s="163">
        <v>1.210657176073821E-2</v>
      </c>
      <c r="I62" s="163">
        <v>2.453612056008727E-2</v>
      </c>
      <c r="J62" s="103"/>
      <c r="K62" s="103"/>
    </row>
    <row r="63" spans="1:11" ht="25.5" customHeight="1" x14ac:dyDescent="0.25">
      <c r="A63" s="105"/>
      <c r="B63" s="105" t="s">
        <v>16</v>
      </c>
      <c r="C63" s="160">
        <v>7.91377361175611E-3</v>
      </c>
      <c r="D63" s="169">
        <v>3.1368678217433021E-3</v>
      </c>
      <c r="E63" s="112">
        <v>1.9686101551355091E-2</v>
      </c>
      <c r="F63" s="169">
        <v>2.522826609684198</v>
      </c>
      <c r="G63" s="169">
        <v>1.167065409360513E-2</v>
      </c>
      <c r="H63" s="163">
        <v>1.764218895405447E-3</v>
      </c>
      <c r="I63" s="163">
        <v>1.4063328328106771E-2</v>
      </c>
      <c r="J63" s="103"/>
      <c r="K63" s="103"/>
    </row>
    <row r="64" spans="1:11" ht="12.5" x14ac:dyDescent="0.25">
      <c r="A64" s="105"/>
      <c r="B64" s="105" t="s">
        <v>17</v>
      </c>
      <c r="C64" s="160">
        <v>-6.9180378008014496E-3</v>
      </c>
      <c r="D64" s="169">
        <v>3.1419468829343329E-3</v>
      </c>
      <c r="E64" s="112">
        <v>-1.7209134524694771E-2</v>
      </c>
      <c r="F64" s="169">
        <v>-2.2018315581263241</v>
      </c>
      <c r="G64" s="169">
        <v>2.7720210414375002E-2</v>
      </c>
      <c r="H64" s="163">
        <v>-1.307754957192039E-2</v>
      </c>
      <c r="I64" s="163">
        <v>-7.5852602968251061E-4</v>
      </c>
      <c r="J64" s="103"/>
      <c r="K64" s="103"/>
    </row>
    <row r="65" spans="1:11" ht="12.5" x14ac:dyDescent="0.25">
      <c r="A65" s="105"/>
      <c r="B65" s="105" t="s">
        <v>18</v>
      </c>
      <c r="C65" s="160">
        <v>1.2305682157350209E-2</v>
      </c>
      <c r="D65" s="169">
        <v>3.1646150007474099E-3</v>
      </c>
      <c r="E65" s="108">
        <v>3.061130132007121E-2</v>
      </c>
      <c r="F65" s="161">
        <v>3.888524245269612</v>
      </c>
      <c r="G65" s="161">
        <v>1.0209140366734811E-4</v>
      </c>
      <c r="H65" s="163">
        <v>6.1017315259637309E-3</v>
      </c>
      <c r="I65" s="163">
        <v>1.8509632788736699E-2</v>
      </c>
      <c r="J65" s="103"/>
      <c r="K65" s="103"/>
    </row>
    <row r="66" spans="1:11" ht="12.5" x14ac:dyDescent="0.25">
      <c r="A66" s="105"/>
      <c r="B66" s="105" t="s">
        <v>19</v>
      </c>
      <c r="C66" s="160">
        <v>-1.197899950445894E-3</v>
      </c>
      <c r="D66" s="169">
        <v>3.15889346974572E-3</v>
      </c>
      <c r="E66" s="108">
        <v>-2.9798653878359001E-3</v>
      </c>
      <c r="F66" s="161">
        <v>-0.37921505170046821</v>
      </c>
      <c r="G66" s="161">
        <v>0.70454339264382115</v>
      </c>
      <c r="H66" s="163">
        <v>-7.3906340212516889E-3</v>
      </c>
      <c r="I66" s="163">
        <v>4.9948341203599001E-3</v>
      </c>
      <c r="J66" s="103"/>
      <c r="K66" s="103"/>
    </row>
    <row r="67" spans="1:11" ht="12.5" x14ac:dyDescent="0.25">
      <c r="A67" s="105"/>
      <c r="B67" s="105" t="s">
        <v>20</v>
      </c>
      <c r="C67" s="160">
        <v>6.4959954891668798E-3</v>
      </c>
      <c r="D67" s="169">
        <v>3.1634717588318721E-3</v>
      </c>
      <c r="E67" s="108">
        <v>1.6159272826166481E-2</v>
      </c>
      <c r="F67" s="161">
        <v>2.0534387484355352</v>
      </c>
      <c r="G67" s="161">
        <v>4.0079094307535527E-2</v>
      </c>
      <c r="H67" s="163">
        <v>2.9428608345936908E-4</v>
      </c>
      <c r="I67" s="163">
        <v>1.269770489487439E-2</v>
      </c>
      <c r="J67" s="103"/>
      <c r="K67" s="103"/>
    </row>
    <row r="68" spans="1:11" ht="12.5" x14ac:dyDescent="0.25">
      <c r="A68" s="105"/>
      <c r="B68" s="105" t="s">
        <v>21</v>
      </c>
      <c r="C68" s="160">
        <v>5.9566061274578946E-3</v>
      </c>
      <c r="D68" s="169">
        <v>3.1735287840885351E-3</v>
      </c>
      <c r="E68" s="108">
        <v>1.481750159650309E-2</v>
      </c>
      <c r="F68" s="161">
        <v>1.8769661574595371</v>
      </c>
      <c r="G68" s="161">
        <v>6.0577715990371539E-2</v>
      </c>
      <c r="H68" s="163">
        <v>-2.6481919572337188E-4</v>
      </c>
      <c r="I68" s="163">
        <v>1.217803145063916E-2</v>
      </c>
      <c r="J68" s="103"/>
      <c r="K68" s="103"/>
    </row>
    <row r="69" spans="1:11" ht="12.5" x14ac:dyDescent="0.25">
      <c r="A69" s="105"/>
      <c r="B69" s="105" t="s">
        <v>22</v>
      </c>
      <c r="C69" s="164">
        <v>2.1609792437306891E-2</v>
      </c>
      <c r="D69" s="169">
        <v>3.2580089337795859E-3</v>
      </c>
      <c r="E69" s="108">
        <v>5.3755968934032533E-2</v>
      </c>
      <c r="F69" s="161">
        <v>6.6328217253344279</v>
      </c>
      <c r="G69" s="161">
        <v>3.6216807330902163E-11</v>
      </c>
      <c r="H69" s="163">
        <v>1.522275117730815E-2</v>
      </c>
      <c r="I69" s="163">
        <v>2.7996833697305639E-2</v>
      </c>
      <c r="J69" s="103"/>
      <c r="K69" s="103"/>
    </row>
    <row r="70" spans="1:11" ht="12.5" x14ac:dyDescent="0.25">
      <c r="A70" s="105"/>
      <c r="B70" s="105" t="s">
        <v>23</v>
      </c>
      <c r="C70" s="160">
        <v>3.9867342154279546E-3</v>
      </c>
      <c r="D70" s="169">
        <v>3.1419243852376828E-3</v>
      </c>
      <c r="E70" s="108">
        <v>9.9172984310023603E-3</v>
      </c>
      <c r="F70" s="161">
        <v>1.268882928615217</v>
      </c>
      <c r="G70" s="161">
        <v>0.20453863959400989</v>
      </c>
      <c r="H70" s="163">
        <v>-2.172733450926485E-3</v>
      </c>
      <c r="I70" s="163">
        <v>1.0146201881782399E-2</v>
      </c>
      <c r="J70" s="103"/>
      <c r="K70" s="103"/>
    </row>
    <row r="71" spans="1:11" ht="12.5" x14ac:dyDescent="0.25">
      <c r="A71" s="105"/>
      <c r="B71" s="105" t="s">
        <v>24</v>
      </c>
      <c r="C71" s="160">
        <v>1.0550296604744099E-2</v>
      </c>
      <c r="D71" s="169">
        <v>3.1685785894422789E-3</v>
      </c>
      <c r="E71" s="109">
        <v>2.6244648956014409E-2</v>
      </c>
      <c r="F71" s="161">
        <v>3.3296622781892622</v>
      </c>
      <c r="G71" s="161">
        <v>8.754636795589299E-4</v>
      </c>
      <c r="H71" s="163">
        <v>4.338575704752972E-3</v>
      </c>
      <c r="I71" s="163">
        <v>1.6762017504735219E-2</v>
      </c>
      <c r="J71" s="103"/>
      <c r="K71" s="103"/>
    </row>
    <row r="72" spans="1:11" ht="12.5" x14ac:dyDescent="0.25">
      <c r="A72" s="105"/>
      <c r="B72" s="105" t="s">
        <v>25</v>
      </c>
      <c r="C72" s="160">
        <v>5.0770221897476688E-2</v>
      </c>
      <c r="D72" s="169">
        <v>3.4484314439326459E-3</v>
      </c>
      <c r="E72" s="111">
        <v>0.12629471009555079</v>
      </c>
      <c r="F72" s="165">
        <v>14.722700080584319</v>
      </c>
      <c r="G72" s="173">
        <v>0</v>
      </c>
      <c r="H72" s="163">
        <v>4.4009873978748448E-2</v>
      </c>
      <c r="I72" s="163">
        <v>5.7530569816204941E-2</v>
      </c>
      <c r="J72" s="103"/>
      <c r="K72" s="103"/>
    </row>
    <row r="73" spans="1:11" ht="12.5" x14ac:dyDescent="0.25">
      <c r="A73" s="105"/>
      <c r="B73" s="105" t="s">
        <v>26</v>
      </c>
      <c r="C73" s="164">
        <v>6.2200388967754549E-4</v>
      </c>
      <c r="D73" s="169">
        <v>3.150903741029006E-3</v>
      </c>
      <c r="E73" s="115">
        <v>1.547281023978249E-3</v>
      </c>
      <c r="F73" s="174">
        <v>0.19740491643023489</v>
      </c>
      <c r="G73" s="174">
        <v>0.84351826537774821</v>
      </c>
      <c r="H73" s="163">
        <v>-5.5550670175191054E-3</v>
      </c>
      <c r="I73" s="163">
        <v>6.7990747968741964E-3</v>
      </c>
      <c r="J73" s="103"/>
      <c r="K73" s="103"/>
    </row>
    <row r="74" spans="1:11" ht="12.5" x14ac:dyDescent="0.25">
      <c r="A74" s="105"/>
      <c r="B74" s="105" t="s">
        <v>27</v>
      </c>
      <c r="C74" s="164">
        <v>1.7634410266879359E-2</v>
      </c>
      <c r="D74" s="169">
        <v>3.2837579991554602E-3</v>
      </c>
      <c r="E74" s="102">
        <v>4.3866909560862533E-2</v>
      </c>
      <c r="F74" s="166">
        <v>5.3701917959285357</v>
      </c>
      <c r="G74" s="166">
        <v>8.2013269731007199E-8</v>
      </c>
      <c r="H74" s="163">
        <v>1.1196890218668289E-2</v>
      </c>
      <c r="I74" s="163">
        <v>2.4071930315090421E-2</v>
      </c>
      <c r="J74" s="103"/>
      <c r="K74" s="103"/>
    </row>
    <row r="75" spans="1:11" ht="12.5" x14ac:dyDescent="0.25">
      <c r="A75" s="105"/>
      <c r="B75" s="105" t="s">
        <v>28</v>
      </c>
      <c r="C75" s="160">
        <v>2.0672516458531782E-3</v>
      </c>
      <c r="D75" s="169">
        <v>3.1539871324618041E-3</v>
      </c>
      <c r="E75" s="107">
        <v>5.1424425096033167E-3</v>
      </c>
      <c r="F75" s="167">
        <v>0.65544073549837578</v>
      </c>
      <c r="G75" s="167">
        <v>0.51221252789344884</v>
      </c>
      <c r="H75" s="163">
        <v>-4.1158639802814151E-3</v>
      </c>
      <c r="I75" s="163">
        <v>8.2503672719877706E-3</v>
      </c>
      <c r="J75" s="103"/>
      <c r="K75" s="103"/>
    </row>
    <row r="76" spans="1:11" ht="12.5" x14ac:dyDescent="0.25">
      <c r="A76" s="105"/>
      <c r="B76" s="105" t="s">
        <v>29</v>
      </c>
      <c r="C76" s="160">
        <v>2.4463974799540482E-3</v>
      </c>
      <c r="D76" s="169">
        <v>3.1406677547758141E-3</v>
      </c>
      <c r="E76" s="107">
        <v>6.085596023850318E-3</v>
      </c>
      <c r="F76" s="167">
        <v>0.77894182733400141</v>
      </c>
      <c r="G76" s="167">
        <v>0.43604881895487552</v>
      </c>
      <c r="H76" s="163">
        <v>-3.7106066724040651E-3</v>
      </c>
      <c r="I76" s="163">
        <v>8.6034016323121611E-3</v>
      </c>
      <c r="J76" s="103"/>
      <c r="K76" s="103"/>
    </row>
    <row r="77" spans="1:11" ht="12.5" x14ac:dyDescent="0.25">
      <c r="A77" s="109"/>
      <c r="B77" s="109" t="s">
        <v>30</v>
      </c>
      <c r="C77" s="161">
        <v>1.2128013206978519E-2</v>
      </c>
      <c r="D77" s="161">
        <v>3.1654293012022289E-3</v>
      </c>
      <c r="E77" s="109">
        <v>3.016933656708105E-2</v>
      </c>
      <c r="F77" s="161">
        <v>3.831396013922125</v>
      </c>
      <c r="G77" s="161">
        <v>1.2889435235430291E-4</v>
      </c>
      <c r="H77" s="163">
        <v>5.9224662108463694E-3</v>
      </c>
      <c r="I77" s="163">
        <v>1.8333560203110669E-2</v>
      </c>
      <c r="J77" s="103"/>
      <c r="K77" s="103"/>
    </row>
    <row r="78" spans="1:11" ht="12.5" x14ac:dyDescent="0.25">
      <c r="A78" s="101"/>
      <c r="B78" s="101" t="s">
        <v>31</v>
      </c>
      <c r="C78" s="168">
        <v>7.3957324482413021E-3</v>
      </c>
      <c r="D78" s="168">
        <v>3.170600363558795E-3</v>
      </c>
      <c r="E78" s="108">
        <v>1.839743555545335E-2</v>
      </c>
      <c r="F78" s="161">
        <v>2.3325968587034618</v>
      </c>
      <c r="G78" s="161">
        <v>1.9706618913686521E-2</v>
      </c>
      <c r="H78" s="163">
        <v>1.1800480371109961E-3</v>
      </c>
      <c r="I78" s="163">
        <v>1.361141685937161E-2</v>
      </c>
      <c r="J78" s="103"/>
      <c r="K78" s="103"/>
    </row>
    <row r="79" spans="1:11" ht="38.25" customHeight="1" x14ac:dyDescent="0.25">
      <c r="A79" s="113"/>
      <c r="B79" s="113" t="s">
        <v>103</v>
      </c>
      <c r="C79" s="113"/>
      <c r="D79" s="113"/>
      <c r="E79" s="108"/>
      <c r="F79" s="108"/>
      <c r="G79" s="108"/>
      <c r="H79" s="103"/>
      <c r="I79" s="103"/>
      <c r="J79" s="103"/>
      <c r="K79" s="103"/>
    </row>
    <row r="80" spans="1:11" ht="12.5" x14ac:dyDescent="0.25">
      <c r="A80" s="106"/>
      <c r="B80" s="105"/>
      <c r="C80" s="106"/>
      <c r="D80" s="105"/>
      <c r="E80" s="108"/>
      <c r="F80" s="108"/>
      <c r="G80" s="108"/>
      <c r="H80" s="103"/>
      <c r="I80" s="103"/>
      <c r="J80" s="103"/>
      <c r="K80" s="103"/>
    </row>
    <row r="81" spans="1:11" ht="12.5" x14ac:dyDescent="0.25">
      <c r="A81" s="105" t="s">
        <v>81</v>
      </c>
      <c r="B81" s="105"/>
      <c r="C81" s="105"/>
      <c r="D81" s="105"/>
      <c r="E81" s="112"/>
      <c r="F81" s="112"/>
      <c r="G81" s="112"/>
      <c r="H81" s="103"/>
      <c r="I81" s="103"/>
      <c r="J81" s="103"/>
      <c r="K81" s="103"/>
    </row>
    <row r="82" spans="1:11" ht="12.5" x14ac:dyDescent="0.25">
      <c r="A82" s="109" t="s">
        <v>82</v>
      </c>
      <c r="B82" s="109"/>
      <c r="C82" s="108"/>
      <c r="D82" s="108"/>
      <c r="E82" s="108"/>
      <c r="F82" s="108"/>
      <c r="G82" s="108"/>
      <c r="H82" s="103"/>
      <c r="I82" s="103"/>
      <c r="J82" s="103"/>
      <c r="K82" s="103"/>
    </row>
    <row r="83" spans="1:11" ht="12.5" x14ac:dyDescent="0.25">
      <c r="A83" s="101" t="s">
        <v>83</v>
      </c>
      <c r="B83" s="101" t="s">
        <v>84</v>
      </c>
      <c r="C83" s="101" t="s">
        <v>85</v>
      </c>
      <c r="D83" s="101" t="s">
        <v>86</v>
      </c>
      <c r="E83" s="101" t="s">
        <v>87</v>
      </c>
      <c r="F83" s="112"/>
      <c r="G83" s="112"/>
      <c r="H83" s="103"/>
      <c r="I83" s="103"/>
      <c r="J83" s="103"/>
      <c r="K83" s="103"/>
    </row>
    <row r="84" spans="1:11" ht="12.5" x14ac:dyDescent="0.25">
      <c r="A84" s="113">
        <v>3</v>
      </c>
      <c r="B84" s="170">
        <v>0.68086259200766752</v>
      </c>
      <c r="C84" s="170">
        <v>0.46357386919539961</v>
      </c>
      <c r="D84" s="170">
        <v>0.46083700118109039</v>
      </c>
      <c r="E84" s="170">
        <v>0.32216979349753722</v>
      </c>
      <c r="F84" s="112"/>
      <c r="G84" s="112"/>
      <c r="H84" s="103"/>
      <c r="I84" s="103"/>
      <c r="J84" s="103"/>
      <c r="K84" s="103"/>
    </row>
    <row r="85" spans="1:11" ht="12.5" x14ac:dyDescent="0.25">
      <c r="A85" s="106" t="s">
        <v>104</v>
      </c>
      <c r="B85" s="106"/>
      <c r="C85" s="114"/>
      <c r="D85" s="114"/>
      <c r="E85" s="114"/>
      <c r="F85" s="112"/>
      <c r="G85" s="112"/>
      <c r="H85" s="103"/>
      <c r="I85" s="103"/>
      <c r="J85" s="103"/>
      <c r="K85" s="103"/>
    </row>
    <row r="86" spans="1:11" ht="12.5" x14ac:dyDescent="0.25">
      <c r="A86" s="105"/>
      <c r="B86" s="105"/>
      <c r="C86" s="105"/>
      <c r="D86" s="105"/>
      <c r="E86" s="105"/>
      <c r="F86" s="112"/>
      <c r="G86" s="112"/>
      <c r="H86" s="103"/>
      <c r="I86" s="103"/>
      <c r="J86" s="103"/>
      <c r="K86" s="103"/>
    </row>
    <row r="87" spans="1:11" ht="12.5" x14ac:dyDescent="0.25">
      <c r="A87" s="111" t="s">
        <v>89</v>
      </c>
      <c r="B87" s="111"/>
      <c r="C87" s="111"/>
      <c r="D87" s="111"/>
      <c r="E87" s="111"/>
      <c r="F87" s="111"/>
      <c r="G87" s="111"/>
      <c r="H87" s="103"/>
      <c r="I87" s="103"/>
      <c r="J87" s="103"/>
      <c r="K87" s="103"/>
    </row>
    <row r="88" spans="1:11" ht="25.5" customHeight="1" x14ac:dyDescent="0.25">
      <c r="A88" s="101" t="s">
        <v>83</v>
      </c>
      <c r="B88" s="101"/>
      <c r="C88" s="101" t="s">
        <v>90</v>
      </c>
      <c r="D88" s="101"/>
      <c r="E88" s="101" t="s">
        <v>91</v>
      </c>
      <c r="F88" s="101" t="s">
        <v>92</v>
      </c>
      <c r="G88" s="101" t="s">
        <v>93</v>
      </c>
      <c r="H88" s="103" t="s">
        <v>94</v>
      </c>
      <c r="I88" s="103"/>
      <c r="J88" s="103"/>
      <c r="K88" s="103"/>
    </row>
    <row r="89" spans="1:11" ht="12.5" x14ac:dyDescent="0.25">
      <c r="A89" s="113"/>
      <c r="B89" s="113"/>
      <c r="C89" s="113" t="s">
        <v>95</v>
      </c>
      <c r="D89" s="113" t="s">
        <v>96</v>
      </c>
      <c r="E89" s="113" t="s">
        <v>97</v>
      </c>
      <c r="F89" s="113"/>
      <c r="G89" s="113"/>
      <c r="H89" s="103" t="s">
        <v>98</v>
      </c>
      <c r="I89" s="103" t="s">
        <v>99</v>
      </c>
      <c r="J89" s="103"/>
      <c r="K89" s="103"/>
    </row>
    <row r="90" spans="1:11" ht="12.5" x14ac:dyDescent="0.25">
      <c r="A90" s="106">
        <v>3</v>
      </c>
      <c r="B90" s="105" t="s">
        <v>100</v>
      </c>
      <c r="C90" s="164">
        <v>0.1395514595927749</v>
      </c>
      <c r="D90" s="164">
        <v>4.7634293138556494E-3</v>
      </c>
      <c r="E90" s="114"/>
      <c r="F90" s="164">
        <v>29.296427090217101</v>
      </c>
      <c r="G90" s="172">
        <v>0</v>
      </c>
      <c r="H90" s="163">
        <v>0.13021317388834019</v>
      </c>
      <c r="I90" s="163">
        <v>0.14888974529720961</v>
      </c>
      <c r="J90" s="103"/>
      <c r="K90" s="103"/>
    </row>
    <row r="91" spans="1:11" ht="12.5" x14ac:dyDescent="0.25">
      <c r="A91" s="105"/>
      <c r="B91" s="105" t="s">
        <v>3</v>
      </c>
      <c r="C91" s="164">
        <v>7.4581274688995475E-2</v>
      </c>
      <c r="D91" s="164">
        <v>4.4174314982772002E-3</v>
      </c>
      <c r="E91" s="114">
        <v>0.16998281735078941</v>
      </c>
      <c r="F91" s="160">
        <v>16.883402655611569</v>
      </c>
      <c r="G91" s="171">
        <v>0</v>
      </c>
      <c r="H91" s="163">
        <v>6.5921287378867502E-2</v>
      </c>
      <c r="I91" s="163">
        <v>8.3241261999123448E-2</v>
      </c>
      <c r="J91" s="103"/>
      <c r="K91" s="103"/>
    </row>
    <row r="92" spans="1:11" ht="12.5" x14ac:dyDescent="0.25">
      <c r="A92" s="105"/>
      <c r="B92" s="105" t="s">
        <v>5</v>
      </c>
      <c r="C92" s="164">
        <v>4.7950255749533981E-2</v>
      </c>
      <c r="D92" s="164">
        <v>4.4174314982771863E-3</v>
      </c>
      <c r="E92" s="105">
        <v>0.1092864073319378</v>
      </c>
      <c r="F92" s="160">
        <v>10.85478196282947</v>
      </c>
      <c r="G92" s="171">
        <v>0</v>
      </c>
      <c r="H92" s="163">
        <v>3.9290268439406043E-2</v>
      </c>
      <c r="I92" s="163">
        <v>5.6610243059661933E-2</v>
      </c>
      <c r="J92" s="103"/>
      <c r="K92" s="103"/>
    </row>
    <row r="93" spans="1:11" ht="12.5" x14ac:dyDescent="0.25">
      <c r="A93" s="105"/>
      <c r="B93" s="105" t="s">
        <v>6</v>
      </c>
      <c r="C93" s="160">
        <v>4.2388019835586752E-2</v>
      </c>
      <c r="D93" s="160">
        <v>4.4174314982771716E-3</v>
      </c>
      <c r="E93" s="105">
        <v>9.6609169843504483E-2</v>
      </c>
      <c r="F93" s="160">
        <v>9.59562584097079</v>
      </c>
      <c r="G93" s="171">
        <v>0</v>
      </c>
      <c r="H93" s="163">
        <v>3.3728032525458827E-2</v>
      </c>
      <c r="I93" s="163">
        <v>5.1048007145714669E-2</v>
      </c>
      <c r="J93" s="103"/>
      <c r="K93" s="103"/>
    </row>
    <row r="94" spans="1:11" ht="12.5" x14ac:dyDescent="0.25">
      <c r="A94" s="109"/>
      <c r="B94" s="109" t="s">
        <v>7</v>
      </c>
      <c r="C94" s="161">
        <v>7.9024847219962946E-2</v>
      </c>
      <c r="D94" s="161">
        <v>4.4174314982771941E-3</v>
      </c>
      <c r="E94" s="108">
        <v>0.18011043961343079</v>
      </c>
      <c r="F94" s="161">
        <v>17.889320355229678</v>
      </c>
      <c r="G94" s="162">
        <v>0</v>
      </c>
      <c r="H94" s="163">
        <v>7.0364859909834987E-2</v>
      </c>
      <c r="I94" s="163">
        <v>8.7684834530090905E-2</v>
      </c>
      <c r="J94" s="103"/>
      <c r="K94" s="103"/>
    </row>
    <row r="95" spans="1:11" ht="12.5" x14ac:dyDescent="0.25">
      <c r="A95" s="101"/>
      <c r="B95" s="101" t="s">
        <v>8</v>
      </c>
      <c r="C95" s="168">
        <v>4.4240689713151003E-2</v>
      </c>
      <c r="D95" s="168">
        <v>4.4174314982771846E-3</v>
      </c>
      <c r="E95" s="101">
        <v>0.10083170487957779</v>
      </c>
      <c r="F95" s="168">
        <v>10.015025638859379</v>
      </c>
      <c r="G95" s="175">
        <v>0</v>
      </c>
      <c r="H95" s="163">
        <v>3.5580702403023051E-2</v>
      </c>
      <c r="I95" s="163">
        <v>5.2900677023278941E-2</v>
      </c>
      <c r="J95" s="103"/>
      <c r="K95" s="103"/>
    </row>
    <row r="96" spans="1:11" ht="12.5" x14ac:dyDescent="0.25">
      <c r="A96" s="113"/>
      <c r="B96" s="113" t="s">
        <v>10</v>
      </c>
      <c r="C96" s="170">
        <v>4.6441375859866157E-2</v>
      </c>
      <c r="D96" s="170">
        <v>4.4174314982771837E-3</v>
      </c>
      <c r="E96" s="113">
        <v>0.10584742541912889</v>
      </c>
      <c r="F96" s="170">
        <v>10.51320793044068</v>
      </c>
      <c r="G96" s="176">
        <v>0</v>
      </c>
      <c r="H96" s="163">
        <v>3.7781388549738219E-2</v>
      </c>
      <c r="I96" s="163">
        <v>5.5101363169994103E-2</v>
      </c>
      <c r="J96" s="103"/>
      <c r="K96" s="103"/>
    </row>
    <row r="97" spans="1:11" ht="12.5" x14ac:dyDescent="0.25">
      <c r="A97" s="113"/>
      <c r="B97" s="113" t="s">
        <v>11</v>
      </c>
      <c r="C97" s="170">
        <v>8.6240081592195095E-2</v>
      </c>
      <c r="D97" s="170">
        <v>4.4174314982771846E-3</v>
      </c>
      <c r="E97" s="113">
        <v>0.1965551285994086</v>
      </c>
      <c r="F97" s="170">
        <v>19.52267547913965</v>
      </c>
      <c r="G97" s="176">
        <v>0</v>
      </c>
      <c r="H97" s="163">
        <v>7.758009428206715E-2</v>
      </c>
      <c r="I97" s="163">
        <v>9.490006890232304E-2</v>
      </c>
      <c r="J97" s="103"/>
      <c r="K97" s="103"/>
    </row>
    <row r="98" spans="1:11" ht="12.5" x14ac:dyDescent="0.25">
      <c r="A98" s="106"/>
      <c r="B98" s="105" t="s">
        <v>12</v>
      </c>
      <c r="C98" s="164">
        <v>7.2784364397759177E-2</v>
      </c>
      <c r="D98" s="164">
        <v>4.4174314982771924E-3</v>
      </c>
      <c r="E98" s="105">
        <v>0.16588736745261251</v>
      </c>
      <c r="F98" s="164">
        <v>16.476625483868901</v>
      </c>
      <c r="G98" s="172">
        <v>0</v>
      </c>
      <c r="H98" s="163">
        <v>6.4124377087631218E-2</v>
      </c>
      <c r="I98" s="163">
        <v>8.1444351707887136E-2</v>
      </c>
      <c r="J98" s="103"/>
      <c r="K98" s="103"/>
    </row>
    <row r="99" spans="1:11" ht="12.5" x14ac:dyDescent="0.25">
      <c r="A99" s="105"/>
      <c r="B99" s="105" t="s">
        <v>13</v>
      </c>
      <c r="C99" s="164">
        <v>4.0633725303554802E-2</v>
      </c>
      <c r="D99" s="164">
        <v>4.417431498277175E-3</v>
      </c>
      <c r="E99" s="114">
        <v>9.2610848170116902E-2</v>
      </c>
      <c r="F99" s="164">
        <v>9.1984958497720228</v>
      </c>
      <c r="G99" s="172">
        <v>0</v>
      </c>
      <c r="H99" s="163">
        <v>3.1973737993426878E-2</v>
      </c>
      <c r="I99" s="163">
        <v>4.9293712613682733E-2</v>
      </c>
      <c r="J99" s="103"/>
      <c r="K99" s="103"/>
    </row>
    <row r="100" spans="1:11" ht="12.5" x14ac:dyDescent="0.25">
      <c r="A100" s="105"/>
      <c r="B100" s="105" t="s">
        <v>14</v>
      </c>
      <c r="C100" s="164">
        <v>3.06839701034517E-2</v>
      </c>
      <c r="D100" s="164">
        <v>4.4174314982771794E-3</v>
      </c>
      <c r="E100" s="114">
        <v>6.9933742852235331E-2</v>
      </c>
      <c r="F100" s="164">
        <v>6.946111131642585</v>
      </c>
      <c r="G100" s="164">
        <v>4.2075232187244183E-12</v>
      </c>
      <c r="H100" s="163">
        <v>2.2023982793323769E-2</v>
      </c>
      <c r="I100" s="163">
        <v>3.9343957413579628E-2</v>
      </c>
      <c r="J100" s="103"/>
      <c r="K100" s="103"/>
    </row>
    <row r="101" spans="1:11" ht="12.5" x14ac:dyDescent="0.25">
      <c r="A101" s="105"/>
      <c r="B101" s="105" t="s">
        <v>15</v>
      </c>
      <c r="C101" s="164">
        <v>5.1247596429524457E-2</v>
      </c>
      <c r="D101" s="164">
        <v>4.4174314982771846E-3</v>
      </c>
      <c r="E101" s="114">
        <v>0.1168015813603706</v>
      </c>
      <c r="F101" s="164">
        <v>11.6012204036466</v>
      </c>
      <c r="G101" s="172">
        <v>0</v>
      </c>
      <c r="H101" s="163">
        <v>4.2587609119396512E-2</v>
      </c>
      <c r="I101" s="163">
        <v>5.9907583739652402E-2</v>
      </c>
      <c r="J101" s="103"/>
      <c r="K101" s="103"/>
    </row>
    <row r="102" spans="1:11" ht="12.5" x14ac:dyDescent="0.25">
      <c r="A102" s="105"/>
      <c r="B102" s="105" t="s">
        <v>16</v>
      </c>
      <c r="C102" s="164">
        <v>3.5094102989460502E-2</v>
      </c>
      <c r="D102" s="164">
        <v>4.4174314982771811E-3</v>
      </c>
      <c r="E102" s="114">
        <v>7.9985150742234223E-2</v>
      </c>
      <c r="F102" s="164">
        <v>7.9444589017729799</v>
      </c>
      <c r="G102" s="172">
        <v>2.442490654175344E-15</v>
      </c>
      <c r="H102" s="163">
        <v>2.643411567933257E-2</v>
      </c>
      <c r="I102" s="163">
        <v>4.3754090299588433E-2</v>
      </c>
      <c r="J102" s="103"/>
      <c r="K102" s="103"/>
    </row>
    <row r="103" spans="1:11" ht="12.5" x14ac:dyDescent="0.25">
      <c r="A103" s="105"/>
      <c r="B103" s="105" t="s">
        <v>17</v>
      </c>
      <c r="C103" s="164">
        <v>2.9302246397143999E-2</v>
      </c>
      <c r="D103" s="164">
        <v>4.4174314982771846E-3</v>
      </c>
      <c r="E103" s="114">
        <v>6.6784570497941689E-2</v>
      </c>
      <c r="F103" s="164">
        <v>6.633322193806964</v>
      </c>
      <c r="G103" s="164">
        <v>3.6094460753588458E-11</v>
      </c>
      <c r="H103" s="163">
        <v>2.0642259087016061E-2</v>
      </c>
      <c r="I103" s="163">
        <v>3.7962233707271947E-2</v>
      </c>
      <c r="J103" s="103"/>
      <c r="K103" s="103"/>
    </row>
    <row r="104" spans="1:11" ht="12.5" x14ac:dyDescent="0.25">
      <c r="A104" s="105"/>
      <c r="B104" s="105" t="s">
        <v>18</v>
      </c>
      <c r="C104" s="164">
        <v>4.1772753999337303E-2</v>
      </c>
      <c r="D104" s="164">
        <v>4.4174314982771837E-3</v>
      </c>
      <c r="E104" s="114">
        <v>9.5206879245743739E-2</v>
      </c>
      <c r="F104" s="164">
        <v>9.4563444878837046</v>
      </c>
      <c r="G104" s="172">
        <v>0</v>
      </c>
      <c r="H104" s="163">
        <v>3.3112766689209372E-2</v>
      </c>
      <c r="I104" s="163">
        <v>5.0432741309465241E-2</v>
      </c>
      <c r="J104" s="103"/>
      <c r="K104" s="103"/>
    </row>
    <row r="105" spans="1:11" ht="12.5" x14ac:dyDescent="0.25">
      <c r="A105" s="105"/>
      <c r="B105" s="105" t="s">
        <v>19</v>
      </c>
      <c r="C105" s="164">
        <v>3.8579470360532657E-2</v>
      </c>
      <c r="D105" s="164">
        <v>4.4174314982771759E-3</v>
      </c>
      <c r="E105" s="114">
        <v>8.7928868085600909E-2</v>
      </c>
      <c r="F105" s="164">
        <v>8.733462052683528</v>
      </c>
      <c r="G105" s="172">
        <v>0</v>
      </c>
      <c r="H105" s="163">
        <v>2.9919483050404729E-2</v>
      </c>
      <c r="I105" s="163">
        <v>4.7239457670660581E-2</v>
      </c>
      <c r="J105" s="103"/>
      <c r="K105" s="103"/>
    </row>
    <row r="106" spans="1:11" ht="12.5" x14ac:dyDescent="0.25">
      <c r="A106" s="105"/>
      <c r="B106" s="105" t="s">
        <v>20</v>
      </c>
      <c r="C106" s="164">
        <v>3.9101393864507061E-2</v>
      </c>
      <c r="D106" s="164">
        <v>4.4174314982771794E-3</v>
      </c>
      <c r="E106" s="114">
        <v>8.9118416373922871E-2</v>
      </c>
      <c r="F106" s="164">
        <v>8.8516129519511058</v>
      </c>
      <c r="G106" s="172">
        <v>0</v>
      </c>
      <c r="H106" s="163">
        <v>3.044140655437913E-2</v>
      </c>
      <c r="I106" s="163">
        <v>4.7761381174634993E-2</v>
      </c>
      <c r="J106" s="103"/>
      <c r="K106" s="103"/>
    </row>
    <row r="107" spans="1:11" ht="12.5" x14ac:dyDescent="0.25">
      <c r="A107" s="105"/>
      <c r="B107" s="105" t="s">
        <v>21</v>
      </c>
      <c r="C107" s="164">
        <v>3.8161713120581753E-2</v>
      </c>
      <c r="D107" s="164">
        <v>4.4174314982771768E-3</v>
      </c>
      <c r="E107" s="114">
        <v>8.697673160212481E-2</v>
      </c>
      <c r="F107" s="164">
        <v>8.6388918844502829</v>
      </c>
      <c r="G107" s="172">
        <v>0</v>
      </c>
      <c r="H107" s="163">
        <v>2.9501725810453829E-2</v>
      </c>
      <c r="I107" s="163">
        <v>4.6821700430709677E-2</v>
      </c>
      <c r="J107" s="103"/>
      <c r="K107" s="103"/>
    </row>
    <row r="108" spans="1:11" ht="12.5" x14ac:dyDescent="0.25">
      <c r="A108" s="105"/>
      <c r="B108" s="105" t="s">
        <v>22</v>
      </c>
      <c r="C108" s="164">
        <v>6.4631616116376273E-2</v>
      </c>
      <c r="D108" s="164">
        <v>4.4174314982771898E-3</v>
      </c>
      <c r="E108" s="114">
        <v>0.14730593226261091</v>
      </c>
      <c r="F108" s="164">
        <v>14.631039811615141</v>
      </c>
      <c r="G108" s="172">
        <v>0</v>
      </c>
      <c r="H108" s="163">
        <v>5.5971628806248321E-2</v>
      </c>
      <c r="I108" s="163">
        <v>7.3291603426504232E-2</v>
      </c>
      <c r="J108" s="103"/>
      <c r="K108" s="103"/>
    </row>
    <row r="109" spans="1:11" ht="12.5" x14ac:dyDescent="0.25">
      <c r="A109" s="105"/>
      <c r="B109" s="105" t="s">
        <v>23</v>
      </c>
      <c r="C109" s="164">
        <v>2.4758466153330189E-2</v>
      </c>
      <c r="D109" s="164">
        <v>4.4174314982771802E-3</v>
      </c>
      <c r="E109" s="114">
        <v>5.6428558610412377E-2</v>
      </c>
      <c r="F109" s="164">
        <v>5.6047198837120868</v>
      </c>
      <c r="G109" s="164">
        <v>2.1914517089882679E-8</v>
      </c>
      <c r="H109" s="163">
        <v>1.6098478843202261E-2</v>
      </c>
      <c r="I109" s="163">
        <v>3.341845346345812E-2</v>
      </c>
      <c r="J109" s="103"/>
      <c r="K109" s="103"/>
    </row>
    <row r="110" spans="1:11" ht="12.5" x14ac:dyDescent="0.25">
      <c r="A110" s="105"/>
      <c r="B110" s="105" t="s">
        <v>24</v>
      </c>
      <c r="C110" s="164">
        <v>4.0470569037048848E-2</v>
      </c>
      <c r="D110" s="164">
        <v>4.417431498277175E-3</v>
      </c>
      <c r="E110" s="114">
        <v>9.2238988585190682E-2</v>
      </c>
      <c r="F110" s="164">
        <v>9.161561204250166</v>
      </c>
      <c r="G110" s="172">
        <v>0</v>
      </c>
      <c r="H110" s="163">
        <v>3.1810581726920917E-2</v>
      </c>
      <c r="I110" s="163">
        <v>4.9130556347176772E-2</v>
      </c>
      <c r="J110" s="103"/>
      <c r="K110" s="103"/>
    </row>
    <row r="111" spans="1:11" ht="12.5" x14ac:dyDescent="0.25">
      <c r="A111" s="105"/>
      <c r="B111" s="105" t="s">
        <v>25</v>
      </c>
      <c r="C111" s="164">
        <v>0.15856292321002291</v>
      </c>
      <c r="D111" s="164">
        <v>4.4174314982771811E-3</v>
      </c>
      <c r="E111" s="114">
        <v>0.3613906108069459</v>
      </c>
      <c r="F111" s="164">
        <v>35.894823331581527</v>
      </c>
      <c r="G111" s="172">
        <v>0</v>
      </c>
      <c r="H111" s="163">
        <v>0.14990293589989501</v>
      </c>
      <c r="I111" s="163">
        <v>0.1672229105201509</v>
      </c>
      <c r="J111" s="103"/>
      <c r="K111" s="103"/>
    </row>
    <row r="112" spans="1:11" ht="12.5" x14ac:dyDescent="0.25">
      <c r="A112" s="105"/>
      <c r="B112" s="105" t="s">
        <v>26</v>
      </c>
      <c r="C112" s="164">
        <v>3.0832798999873259E-2</v>
      </c>
      <c r="D112" s="164">
        <v>4.4174314982771794E-3</v>
      </c>
      <c r="E112" s="114">
        <v>7.0272948037751942E-2</v>
      </c>
      <c r="F112" s="164">
        <v>6.9798024059678587</v>
      </c>
      <c r="G112" s="164">
        <v>3.3195668436292181E-12</v>
      </c>
      <c r="H112" s="163">
        <v>2.2172811689745331E-2</v>
      </c>
      <c r="I112" s="163">
        <v>3.9492786310001193E-2</v>
      </c>
      <c r="J112" s="103"/>
      <c r="K112" s="103"/>
    </row>
    <row r="113" spans="1:11" ht="12.5" x14ac:dyDescent="0.25">
      <c r="A113" s="105"/>
      <c r="B113" s="105" t="s">
        <v>27</v>
      </c>
      <c r="C113" s="164">
        <v>7.4538735465007444E-2</v>
      </c>
      <c r="D113" s="164">
        <v>4.417431498277182E-3</v>
      </c>
      <c r="E113" s="114">
        <v>0.16988586356216739</v>
      </c>
      <c r="F113" s="164">
        <v>16.873772800795638</v>
      </c>
      <c r="G113" s="172">
        <v>0</v>
      </c>
      <c r="H113" s="163">
        <v>6.5878748154879513E-2</v>
      </c>
      <c r="I113" s="163">
        <v>8.3198722775135375E-2</v>
      </c>
      <c r="J113" s="103"/>
      <c r="K113" s="103"/>
    </row>
    <row r="114" spans="1:11" ht="12.5" x14ac:dyDescent="0.25">
      <c r="A114" s="105"/>
      <c r="B114" s="105" t="s">
        <v>28</v>
      </c>
      <c r="C114" s="164">
        <v>3.303190515446601E-2</v>
      </c>
      <c r="D114" s="164">
        <v>4.4174314982771837E-3</v>
      </c>
      <c r="E114" s="114">
        <v>7.5285067519081844E-2</v>
      </c>
      <c r="F114" s="164">
        <v>7.4776270254215804</v>
      </c>
      <c r="G114" s="172">
        <v>8.8151708155237429E-14</v>
      </c>
      <c r="H114" s="163">
        <v>2.4371917844338072E-2</v>
      </c>
      <c r="I114" s="163">
        <v>4.1691892464593948E-2</v>
      </c>
      <c r="J114" s="103"/>
      <c r="K114" s="103"/>
    </row>
    <row r="115" spans="1:11" ht="12.5" x14ac:dyDescent="0.25">
      <c r="A115" s="105"/>
      <c r="B115" s="105" t="s">
        <v>29</v>
      </c>
      <c r="C115" s="164">
        <v>2.9582468327106211E-2</v>
      </c>
      <c r="D115" s="164">
        <v>4.4174314982771828E-3</v>
      </c>
      <c r="E115" s="114">
        <v>6.7423241710482418E-2</v>
      </c>
      <c r="F115" s="164">
        <v>6.696757683428368</v>
      </c>
      <c r="G115" s="164">
        <v>2.3518964553659319E-11</v>
      </c>
      <c r="H115" s="163">
        <v>2.0922481016978269E-2</v>
      </c>
      <c r="I115" s="163">
        <v>3.8242455637234149E-2</v>
      </c>
      <c r="J115" s="103"/>
      <c r="K115" s="103"/>
    </row>
    <row r="116" spans="1:11" ht="12.5" x14ac:dyDescent="0.25">
      <c r="A116" s="105"/>
      <c r="B116" s="105" t="s">
        <v>30</v>
      </c>
      <c r="C116" s="164">
        <v>3.7348961770662659E-2</v>
      </c>
      <c r="D116" s="164">
        <v>4.4174314982771846E-3</v>
      </c>
      <c r="E116" s="114">
        <v>8.5124339499133561E-2</v>
      </c>
      <c r="F116" s="164">
        <v>8.4549045718601157</v>
      </c>
      <c r="G116" s="172">
        <v>0</v>
      </c>
      <c r="H116" s="163">
        <v>2.868897446053471E-2</v>
      </c>
      <c r="I116" s="163">
        <v>4.6008949080790597E-2</v>
      </c>
      <c r="J116" s="103"/>
      <c r="K116" s="103"/>
    </row>
    <row r="117" spans="1:11" ht="12.5" x14ac:dyDescent="0.25">
      <c r="A117" s="105"/>
      <c r="B117" s="105" t="s">
        <v>31</v>
      </c>
      <c r="C117" s="164">
        <v>3.9035252614677239E-2</v>
      </c>
      <c r="D117" s="164">
        <v>4.4174314982771794E-3</v>
      </c>
      <c r="E117" s="114">
        <v>8.8967669741660815E-2</v>
      </c>
      <c r="F117" s="164">
        <v>8.8366401674595707</v>
      </c>
      <c r="G117" s="172">
        <v>0</v>
      </c>
      <c r="H117" s="163">
        <v>3.0375265304549311E-2</v>
      </c>
      <c r="I117" s="163">
        <v>4.769523992480517E-2</v>
      </c>
      <c r="J117" s="103"/>
      <c r="K117" s="103"/>
    </row>
    <row r="118" spans="1:11" ht="25" x14ac:dyDescent="0.25">
      <c r="A118" s="105"/>
      <c r="B118" s="105" t="s">
        <v>101</v>
      </c>
      <c r="C118" s="114"/>
      <c r="D118" s="114"/>
      <c r="E118" s="114"/>
      <c r="F118" s="114"/>
      <c r="G118" s="114"/>
      <c r="H118" s="103"/>
      <c r="I118" s="103"/>
      <c r="J118" s="103"/>
      <c r="K118" s="103"/>
    </row>
    <row r="119" spans="1:11" ht="38.25" customHeight="1" x14ac:dyDescent="0.25">
      <c r="A119" s="105"/>
      <c r="B119" s="105"/>
      <c r="C119" s="114"/>
      <c r="D119" s="114"/>
      <c r="E119" s="114"/>
      <c r="F119" s="114"/>
      <c r="G119" s="114"/>
      <c r="H119" s="103"/>
      <c r="I119" s="103"/>
      <c r="J119" s="103"/>
      <c r="K119" s="103"/>
    </row>
    <row r="120" spans="1:11" ht="12.5" x14ac:dyDescent="0.25">
      <c r="A120" s="116" t="s">
        <v>102</v>
      </c>
      <c r="B120" s="116"/>
      <c r="C120" s="116"/>
      <c r="D120" s="116"/>
      <c r="E120" s="116"/>
      <c r="F120" s="116"/>
      <c r="G120" s="116"/>
      <c r="H120" s="103"/>
      <c r="I120" s="103"/>
      <c r="J120" s="103"/>
      <c r="K120" s="103"/>
    </row>
    <row r="121" spans="1:11" ht="12.5" x14ac:dyDescent="0.25">
      <c r="A121" s="101" t="s">
        <v>82</v>
      </c>
      <c r="B121" s="101"/>
      <c r="C121" s="101"/>
      <c r="D121" s="112"/>
      <c r="E121" s="112"/>
      <c r="F121" s="112"/>
      <c r="G121" s="112"/>
      <c r="H121" s="103"/>
      <c r="I121" s="103"/>
      <c r="J121" s="103"/>
      <c r="K121" s="103"/>
    </row>
    <row r="122" spans="1:11" ht="12.5" x14ac:dyDescent="0.25">
      <c r="A122" s="105" t="s">
        <v>83</v>
      </c>
      <c r="B122" s="105" t="s">
        <v>84</v>
      </c>
      <c r="C122" s="106" t="s">
        <v>85</v>
      </c>
      <c r="D122" s="112" t="s">
        <v>86</v>
      </c>
      <c r="E122" s="112" t="s">
        <v>87</v>
      </c>
      <c r="F122" s="112"/>
      <c r="G122" s="112"/>
      <c r="H122" s="103"/>
      <c r="I122" s="103"/>
      <c r="J122" s="103"/>
      <c r="K122" s="103"/>
    </row>
    <row r="123" spans="1:11" ht="12.5" x14ac:dyDescent="0.25">
      <c r="A123" s="105">
        <v>4</v>
      </c>
      <c r="B123" s="160">
        <v>0.68804727191218773</v>
      </c>
      <c r="C123" s="160">
        <v>0.473409048385804</v>
      </c>
      <c r="D123" s="169">
        <v>0.47072235985716021</v>
      </c>
      <c r="E123" s="169">
        <v>0.29245946068932682</v>
      </c>
      <c r="F123" s="112"/>
      <c r="G123" s="112"/>
      <c r="H123" s="103"/>
      <c r="I123" s="103"/>
      <c r="J123" s="103"/>
      <c r="K123" s="103"/>
    </row>
    <row r="124" spans="1:11" ht="125" x14ac:dyDescent="0.25">
      <c r="A124" s="105" t="s">
        <v>104</v>
      </c>
      <c r="B124" s="105"/>
      <c r="C124" s="105"/>
      <c r="D124" s="112"/>
      <c r="E124" s="112"/>
      <c r="F124" s="112"/>
      <c r="G124" s="112"/>
      <c r="H124" s="103"/>
      <c r="I124" s="103"/>
      <c r="J124" s="103"/>
      <c r="K124" s="103"/>
    </row>
    <row r="125" spans="1:11" ht="12.5" x14ac:dyDescent="0.25">
      <c r="A125" s="105"/>
      <c r="B125" s="105"/>
      <c r="C125" s="105"/>
      <c r="D125" s="112"/>
      <c r="E125" s="112"/>
      <c r="F125" s="112"/>
      <c r="G125" s="112"/>
      <c r="H125" s="103"/>
      <c r="I125" s="103"/>
      <c r="J125" s="103"/>
      <c r="K125" s="103"/>
    </row>
    <row r="126" spans="1:11" ht="12.5" x14ac:dyDescent="0.25">
      <c r="A126" s="105" t="s">
        <v>89</v>
      </c>
      <c r="B126" s="105"/>
      <c r="C126" s="105"/>
      <c r="D126" s="112"/>
      <c r="E126" s="112"/>
      <c r="F126" s="112"/>
      <c r="G126" s="112"/>
      <c r="H126" s="103"/>
      <c r="I126" s="103"/>
      <c r="J126" s="103"/>
      <c r="K126" s="103"/>
    </row>
    <row r="127" spans="1:11" ht="12.5" x14ac:dyDescent="0.25">
      <c r="A127" s="105" t="s">
        <v>83</v>
      </c>
      <c r="B127" s="105"/>
      <c r="C127" s="105" t="s">
        <v>90</v>
      </c>
      <c r="D127" s="112"/>
      <c r="E127" s="112" t="s">
        <v>91</v>
      </c>
      <c r="F127" s="112" t="s">
        <v>92</v>
      </c>
      <c r="G127" s="112" t="s">
        <v>93</v>
      </c>
      <c r="H127" s="103" t="s">
        <v>94</v>
      </c>
      <c r="I127" s="103"/>
      <c r="J127" s="103"/>
      <c r="K127" s="103"/>
    </row>
    <row r="128" spans="1:11" ht="12.5" x14ac:dyDescent="0.25">
      <c r="A128" s="105"/>
      <c r="B128" s="105"/>
      <c r="C128" s="105" t="s">
        <v>95</v>
      </c>
      <c r="D128" s="112" t="s">
        <v>96</v>
      </c>
      <c r="E128" s="112" t="s">
        <v>97</v>
      </c>
      <c r="F128" s="112"/>
      <c r="G128" s="112"/>
      <c r="H128" s="103" t="s">
        <v>98</v>
      </c>
      <c r="I128" s="103" t="s">
        <v>99</v>
      </c>
      <c r="J128" s="103"/>
      <c r="K128" s="103"/>
    </row>
    <row r="129" spans="1:11" ht="12.5" x14ac:dyDescent="0.25">
      <c r="A129" s="105">
        <v>4</v>
      </c>
      <c r="B129" s="105" t="s">
        <v>100</v>
      </c>
      <c r="C129" s="164">
        <v>9.2058886258996581E-2</v>
      </c>
      <c r="D129" s="169">
        <v>4.3241483102375404E-3</v>
      </c>
      <c r="E129" s="112"/>
      <c r="F129" s="177">
        <v>21.28948399874367</v>
      </c>
      <c r="G129" s="178">
        <v>0</v>
      </c>
      <c r="H129" s="163">
        <v>8.3581772463712428E-2</v>
      </c>
      <c r="I129" s="163">
        <v>0.10053600005428071</v>
      </c>
      <c r="J129" s="103"/>
      <c r="K129" s="103"/>
    </row>
    <row r="130" spans="1:11" ht="12.5" x14ac:dyDescent="0.25">
      <c r="A130" s="105"/>
      <c r="B130" s="105" t="s">
        <v>3</v>
      </c>
      <c r="C130" s="160">
        <v>6.7352229954270176E-2</v>
      </c>
      <c r="D130" s="169">
        <v>4.0100582354194872E-3</v>
      </c>
      <c r="E130" s="112">
        <v>0.16754369073943631</v>
      </c>
      <c r="F130" s="179">
        <v>16.795823402106912</v>
      </c>
      <c r="G130" s="180">
        <v>0</v>
      </c>
      <c r="H130" s="163">
        <v>5.9490862223915898E-2</v>
      </c>
      <c r="I130" s="163">
        <v>7.5213597684624461E-2</v>
      </c>
      <c r="J130" s="103"/>
      <c r="K130" s="103"/>
    </row>
    <row r="131" spans="1:11" ht="12.5" x14ac:dyDescent="0.25">
      <c r="A131" s="105"/>
      <c r="B131" s="105" t="s">
        <v>5</v>
      </c>
      <c r="C131" s="160">
        <v>3.8069918560953063E-2</v>
      </c>
      <c r="D131" s="169">
        <v>4.0100582354194742E-3</v>
      </c>
      <c r="E131" s="112">
        <v>9.470175918722451E-2</v>
      </c>
      <c r="F131" s="179">
        <v>9.4936074056716873</v>
      </c>
      <c r="G131" s="180">
        <v>0</v>
      </c>
      <c r="H131" s="163">
        <v>3.0208550830598809E-2</v>
      </c>
      <c r="I131" s="163">
        <v>4.5931286291307313E-2</v>
      </c>
      <c r="J131" s="103"/>
      <c r="K131" s="103"/>
    </row>
    <row r="132" spans="1:11" ht="12.5" x14ac:dyDescent="0.25">
      <c r="A132" s="105"/>
      <c r="B132" s="105" t="s">
        <v>6</v>
      </c>
      <c r="C132" s="160">
        <v>3.4375285517681292E-2</v>
      </c>
      <c r="D132" s="169">
        <v>4.0100582354194612E-3</v>
      </c>
      <c r="E132" s="112">
        <v>8.5511084187779071E-2</v>
      </c>
      <c r="F132" s="181">
        <v>8.5722659122643776</v>
      </c>
      <c r="G132" s="182">
        <v>0</v>
      </c>
      <c r="H132" s="163">
        <v>2.6513917787327059E-2</v>
      </c>
      <c r="I132" s="163">
        <v>4.2236653248035508E-2</v>
      </c>
      <c r="J132" s="103"/>
      <c r="K132" s="103"/>
    </row>
    <row r="133" spans="1:11" ht="12.5" x14ac:dyDescent="0.25">
      <c r="A133" s="105"/>
      <c r="B133" s="105" t="s">
        <v>7</v>
      </c>
      <c r="C133" s="164">
        <v>7.404955913569003E-2</v>
      </c>
      <c r="D133" s="169">
        <v>4.0100582354194812E-3</v>
      </c>
      <c r="E133" s="112">
        <v>0.1842037961273929</v>
      </c>
      <c r="F133" s="181">
        <v>18.46595605062177</v>
      </c>
      <c r="G133" s="182">
        <v>0</v>
      </c>
      <c r="H133" s="163">
        <v>6.6188191405335758E-2</v>
      </c>
      <c r="I133" s="163">
        <v>8.1910926866044301E-2</v>
      </c>
      <c r="J133" s="103"/>
      <c r="K133" s="103"/>
    </row>
    <row r="134" spans="1:11" ht="12.5" x14ac:dyDescent="0.25">
      <c r="A134" s="105"/>
      <c r="B134" s="105" t="s">
        <v>8</v>
      </c>
      <c r="C134" s="164">
        <v>5.1468369007025158E-2</v>
      </c>
      <c r="D134" s="169">
        <v>4.0100582354194734E-3</v>
      </c>
      <c r="E134" s="112">
        <v>0.12803140305274369</v>
      </c>
      <c r="F134" s="181">
        <v>12.83481834563465</v>
      </c>
      <c r="G134" s="182">
        <v>0</v>
      </c>
      <c r="H134" s="163">
        <v>4.3607001276670908E-2</v>
      </c>
      <c r="I134" s="163">
        <v>5.9329736737379409E-2</v>
      </c>
      <c r="J134" s="103"/>
      <c r="K134" s="103"/>
    </row>
    <row r="135" spans="1:11" ht="12.5" x14ac:dyDescent="0.25">
      <c r="A135" s="105"/>
      <c r="B135" s="105" t="s">
        <v>10</v>
      </c>
      <c r="C135" s="160">
        <v>4.2283352460594711E-2</v>
      </c>
      <c r="D135" s="169">
        <v>4.0100582354194716E-3</v>
      </c>
      <c r="E135" s="112">
        <v>0.10518298997515731</v>
      </c>
      <c r="F135" s="181">
        <v>10.54432379238793</v>
      </c>
      <c r="G135" s="182">
        <v>0</v>
      </c>
      <c r="H135" s="163">
        <v>3.4421984730240461E-2</v>
      </c>
      <c r="I135" s="163">
        <v>5.0144720190948962E-2</v>
      </c>
      <c r="J135" s="103"/>
      <c r="K135" s="103"/>
    </row>
    <row r="136" spans="1:11" ht="12.5" x14ac:dyDescent="0.25">
      <c r="A136" s="105"/>
      <c r="B136" s="105" t="s">
        <v>11</v>
      </c>
      <c r="C136" s="160">
        <v>8.5647339241536696E-2</v>
      </c>
      <c r="D136" s="169">
        <v>4.0100582354194716E-3</v>
      </c>
      <c r="E136" s="112">
        <v>0.21305413834527209</v>
      </c>
      <c r="F136" s="181">
        <v>21.358128539142658</v>
      </c>
      <c r="G136" s="182">
        <v>0</v>
      </c>
      <c r="H136" s="163">
        <v>7.7785971511182453E-2</v>
      </c>
      <c r="I136" s="163">
        <v>9.350870697189094E-2</v>
      </c>
      <c r="J136" s="103"/>
      <c r="K136" s="103"/>
    </row>
    <row r="137" spans="1:11" ht="14" customHeight="1" x14ac:dyDescent="0.3">
      <c r="A137"/>
      <c r="B137" t="s">
        <v>12</v>
      </c>
      <c r="C137" s="183">
        <v>7.6061341404013938E-2</v>
      </c>
      <c r="D137" s="183">
        <v>4.0100582354194794E-3</v>
      </c>
      <c r="E137">
        <v>0.18920825442711059</v>
      </c>
      <c r="F137" s="183">
        <v>18.96764010362493</v>
      </c>
      <c r="G137" s="184">
        <v>0</v>
      </c>
      <c r="H137" s="163">
        <v>6.8199973673659681E-2</v>
      </c>
      <c r="I137" s="163">
        <v>8.3922709134368195E-2</v>
      </c>
      <c r="J137" s="103"/>
      <c r="K137" s="103"/>
    </row>
    <row r="138" spans="1:11" ht="14" customHeight="1" x14ac:dyDescent="0.3">
      <c r="A138" s="101"/>
      <c r="B138" s="101" t="s">
        <v>13</v>
      </c>
      <c r="C138" s="168">
        <v>4.3813841093704183E-2</v>
      </c>
      <c r="D138" s="168">
        <v>4.0100582354194647E-3</v>
      </c>
      <c r="E138" s="112">
        <v>0.10899019449385</v>
      </c>
      <c r="F138" s="183">
        <v>10.92598623798318</v>
      </c>
      <c r="G138" s="184">
        <v>0</v>
      </c>
      <c r="H138" s="163">
        <v>3.5952473363349953E-2</v>
      </c>
      <c r="I138" s="163">
        <v>5.1675208824058412E-2</v>
      </c>
      <c r="J138" s="103"/>
      <c r="K138" s="103"/>
    </row>
    <row r="139" spans="1:11" ht="12.5" x14ac:dyDescent="0.25">
      <c r="A139" s="113"/>
      <c r="B139" s="113" t="s">
        <v>14</v>
      </c>
      <c r="C139" s="170">
        <v>2.76986230205034E-2</v>
      </c>
      <c r="D139" s="170">
        <v>4.0100582354194681E-3</v>
      </c>
      <c r="E139" s="112">
        <v>6.89023887168453E-2</v>
      </c>
      <c r="F139" s="177">
        <v>6.9072869754985033</v>
      </c>
      <c r="G139" s="177">
        <v>5.5220272798806036E-12</v>
      </c>
      <c r="H139" s="163">
        <v>1.983725529014916E-2</v>
      </c>
      <c r="I139" s="163">
        <v>3.555999075085764E-2</v>
      </c>
      <c r="J139" s="103"/>
      <c r="K139" s="103"/>
    </row>
    <row r="140" spans="1:11" ht="12.5" x14ac:dyDescent="0.25">
      <c r="A140" s="106"/>
      <c r="B140" s="105" t="s">
        <v>15</v>
      </c>
      <c r="C140" s="164">
        <v>4.8054427621193392E-2</v>
      </c>
      <c r="D140" s="160">
        <v>4.0100582354194734E-3</v>
      </c>
      <c r="E140" s="112">
        <v>0.11953896946682201</v>
      </c>
      <c r="F140" s="179">
        <v>11.983473755254989</v>
      </c>
      <c r="G140" s="180">
        <v>0</v>
      </c>
      <c r="H140" s="163">
        <v>4.0193059890839142E-2</v>
      </c>
      <c r="I140" s="163">
        <v>5.5915795351547642E-2</v>
      </c>
      <c r="J140" s="103"/>
      <c r="K140" s="103"/>
    </row>
    <row r="141" spans="1:11" ht="12.5" x14ac:dyDescent="0.25">
      <c r="A141" s="105"/>
      <c r="B141" s="105" t="s">
        <v>16</v>
      </c>
      <c r="C141" s="160">
        <v>2.0965262044360489E-2</v>
      </c>
      <c r="D141" s="160">
        <v>4.0100582354194699E-3</v>
      </c>
      <c r="E141" s="112">
        <v>5.2152651554618477E-2</v>
      </c>
      <c r="F141" s="179">
        <v>5.2281689725055642</v>
      </c>
      <c r="G141" s="179">
        <v>1.777768101618449E-7</v>
      </c>
      <c r="H141" s="163">
        <v>1.3103894314006241E-2</v>
      </c>
      <c r="I141" s="163">
        <v>2.8826629774714729E-2</v>
      </c>
      <c r="J141" s="103"/>
      <c r="K141" s="103"/>
    </row>
    <row r="142" spans="1:11" ht="14" customHeight="1" x14ac:dyDescent="0.3">
      <c r="A142"/>
      <c r="B142" t="s">
        <v>17</v>
      </c>
      <c r="C142" s="181">
        <v>9.7797704688875678E-3</v>
      </c>
      <c r="D142" s="181">
        <v>4.0100582354194734E-3</v>
      </c>
      <c r="E142">
        <v>2.4327907777581929E-2</v>
      </c>
      <c r="F142" s="181">
        <v>2.4388100857254891</v>
      </c>
      <c r="G142" s="181">
        <v>1.4768362257219669E-2</v>
      </c>
      <c r="H142" s="163">
        <v>1.918402738533317E-3</v>
      </c>
      <c r="I142" s="163">
        <v>1.7641138199241822E-2</v>
      </c>
      <c r="J142" s="103"/>
      <c r="K142" s="103"/>
    </row>
    <row r="143" spans="1:11" ht="12.5" x14ac:dyDescent="0.25">
      <c r="A143" s="101"/>
      <c r="B143" s="101" t="s">
        <v>18</v>
      </c>
      <c r="C143" s="168">
        <v>3.996590481740913E-2</v>
      </c>
      <c r="D143" s="168">
        <v>4.0100582354194716E-3</v>
      </c>
      <c r="E143" s="101">
        <v>9.9418166278921152E-2</v>
      </c>
      <c r="F143" s="181">
        <v>9.9664150670940295</v>
      </c>
      <c r="G143" s="182">
        <v>0</v>
      </c>
      <c r="H143" s="163">
        <v>3.210453708705488E-2</v>
      </c>
      <c r="I143" s="163">
        <v>4.782727254776338E-2</v>
      </c>
      <c r="J143" s="103"/>
      <c r="K143" s="103"/>
    </row>
    <row r="144" spans="1:11" ht="12.5" x14ac:dyDescent="0.25">
      <c r="A144" s="113"/>
      <c r="B144" s="113" t="s">
        <v>19</v>
      </c>
      <c r="C144" s="170">
        <v>2.4140236786768049E-2</v>
      </c>
      <c r="D144" s="170">
        <v>4.0100582354194664E-3</v>
      </c>
      <c r="E144" s="113">
        <v>6.0050637808505447E-2</v>
      </c>
      <c r="F144" s="181">
        <v>6.0199217491520791</v>
      </c>
      <c r="G144" s="181">
        <v>1.862456189272166E-9</v>
      </c>
      <c r="H144" s="163">
        <v>1.6278869056413809E-2</v>
      </c>
      <c r="I144" s="163">
        <v>3.2001604517122292E-2</v>
      </c>
      <c r="J144" s="103"/>
      <c r="K144" s="103"/>
    </row>
    <row r="145" spans="1:11" ht="12.5" x14ac:dyDescent="0.25">
      <c r="A145" s="106"/>
      <c r="B145" s="106" t="s">
        <v>20</v>
      </c>
      <c r="C145" s="164">
        <v>3.3707751351718607E-2</v>
      </c>
      <c r="D145" s="164">
        <v>4.0100582354194681E-3</v>
      </c>
      <c r="E145" s="120">
        <v>8.3850543208868589E-2</v>
      </c>
      <c r="F145" s="169">
        <v>8.4058009567017269</v>
      </c>
      <c r="G145" s="185">
        <v>0</v>
      </c>
      <c r="H145" s="163">
        <v>2.584638362136437E-2</v>
      </c>
      <c r="I145" s="163">
        <v>4.156911908207285E-2</v>
      </c>
      <c r="J145" s="103"/>
      <c r="K145" s="103"/>
    </row>
    <row r="146" spans="1:11" ht="12.5" x14ac:dyDescent="0.25">
      <c r="A146" s="105"/>
      <c r="B146" s="105" t="s">
        <v>21</v>
      </c>
      <c r="C146" s="160">
        <v>3.689625489248486E-2</v>
      </c>
      <c r="D146" s="160">
        <v>4.0100582354194664E-3</v>
      </c>
      <c r="E146" s="105">
        <v>9.1782183356766536E-2</v>
      </c>
      <c r="F146" s="169">
        <v>9.2009274495300133</v>
      </c>
      <c r="G146" s="185">
        <v>0</v>
      </c>
      <c r="H146" s="163">
        <v>2.903488716213062E-2</v>
      </c>
      <c r="I146" s="163">
        <v>4.4757622622839097E-2</v>
      </c>
      <c r="J146" s="103"/>
      <c r="K146" s="103"/>
    </row>
    <row r="147" spans="1:11" ht="14" customHeight="1" x14ac:dyDescent="0.3">
      <c r="A147"/>
      <c r="B147" t="s">
        <v>22</v>
      </c>
      <c r="C147" s="183">
        <v>7.4576036967775858E-2</v>
      </c>
      <c r="D147" s="183">
        <v>4.0100582354194777E-3</v>
      </c>
      <c r="E147">
        <v>0.18551344896502059</v>
      </c>
      <c r="F147" s="183">
        <v>18.597245373912809</v>
      </c>
      <c r="G147" s="184">
        <v>0</v>
      </c>
      <c r="H147" s="163">
        <v>6.67146692374216E-2</v>
      </c>
      <c r="I147" s="163">
        <v>8.2437404698130115E-2</v>
      </c>
      <c r="J147" s="103"/>
      <c r="K147" s="103"/>
    </row>
    <row r="148" spans="1:11" ht="12.5" x14ac:dyDescent="0.25">
      <c r="A148" s="101"/>
      <c r="B148" s="101" t="s">
        <v>23</v>
      </c>
      <c r="C148" s="168">
        <v>2.0670136810492571E-2</v>
      </c>
      <c r="D148" s="168">
        <v>4.010058235419469E-3</v>
      </c>
      <c r="E148" s="101">
        <v>5.141850554421705E-2</v>
      </c>
      <c r="F148" s="168">
        <v>5.1545727261315921</v>
      </c>
      <c r="G148" s="168">
        <v>2.6345078163458879E-7</v>
      </c>
      <c r="H148" s="163">
        <v>1.2808769080138329E-2</v>
      </c>
      <c r="I148" s="163">
        <v>2.8531504540846821E-2</v>
      </c>
      <c r="J148" s="103"/>
      <c r="K148" s="103"/>
    </row>
    <row r="149" spans="1:11" ht="12.5" x14ac:dyDescent="0.25">
      <c r="A149" s="113"/>
      <c r="B149" s="113" t="s">
        <v>24</v>
      </c>
      <c r="C149" s="170">
        <v>3.9713165802957917E-2</v>
      </c>
      <c r="D149" s="170">
        <v>4.0100582354194638E-3</v>
      </c>
      <c r="E149" s="113">
        <v>9.8789459147713463E-2</v>
      </c>
      <c r="F149" s="170">
        <v>9.9033887967474392</v>
      </c>
      <c r="G149" s="176">
        <v>0</v>
      </c>
      <c r="H149" s="163">
        <v>3.1851798072603688E-2</v>
      </c>
      <c r="I149" s="163">
        <v>4.7574533533312147E-2</v>
      </c>
      <c r="J149" s="103"/>
      <c r="K149" s="103"/>
    </row>
    <row r="150" spans="1:11" ht="12.5" x14ac:dyDescent="0.25">
      <c r="A150" s="106"/>
      <c r="B150" s="105" t="s">
        <v>25</v>
      </c>
      <c r="C150" s="164">
        <v>0.13532394401430869</v>
      </c>
      <c r="D150" s="164">
        <v>4.0100582354194699E-3</v>
      </c>
      <c r="E150" s="114">
        <v>0.33662839435261738</v>
      </c>
      <c r="F150" s="164">
        <v>33.746129375139418</v>
      </c>
      <c r="G150" s="172">
        <v>0</v>
      </c>
      <c r="H150" s="163">
        <v>0.12746257628395449</v>
      </c>
      <c r="I150" s="163">
        <v>0.14318531174466301</v>
      </c>
      <c r="J150" s="103"/>
      <c r="K150" s="103"/>
    </row>
    <row r="151" spans="1:11" ht="12.5" x14ac:dyDescent="0.25">
      <c r="A151" s="105"/>
      <c r="B151" s="105" t="s">
        <v>26</v>
      </c>
      <c r="C151" s="164">
        <v>2.2313925675472759E-2</v>
      </c>
      <c r="D151" s="164">
        <v>4.0100582354194681E-3</v>
      </c>
      <c r="E151" s="114">
        <v>5.5507552832215708E-2</v>
      </c>
      <c r="F151" s="160">
        <v>5.5644891833194619</v>
      </c>
      <c r="G151" s="160">
        <v>2.7584824646709191E-8</v>
      </c>
      <c r="H151" s="163">
        <v>1.4452557945118519E-2</v>
      </c>
      <c r="I151" s="163">
        <v>3.0175293405826999E-2</v>
      </c>
      <c r="J151" s="103"/>
      <c r="K151" s="103"/>
    </row>
    <row r="152" spans="1:11" ht="12.5" x14ac:dyDescent="0.25">
      <c r="A152" s="105"/>
      <c r="B152" s="105" t="s">
        <v>27</v>
      </c>
      <c r="C152" s="164">
        <v>7.575829924468365E-2</v>
      </c>
      <c r="D152" s="164">
        <v>4.0100582354194707E-3</v>
      </c>
      <c r="E152" s="105">
        <v>0.18845441447469499</v>
      </c>
      <c r="F152" s="160">
        <v>18.892069590295861</v>
      </c>
      <c r="G152" s="171">
        <v>0</v>
      </c>
      <c r="H152" s="163">
        <v>6.7896931514329406E-2</v>
      </c>
      <c r="I152" s="163">
        <v>8.3619666975037893E-2</v>
      </c>
      <c r="J152" s="103"/>
      <c r="K152" s="103"/>
    </row>
    <row r="153" spans="1:11" ht="12.5" x14ac:dyDescent="0.25">
      <c r="A153" s="105"/>
      <c r="B153" s="105" t="s">
        <v>28</v>
      </c>
      <c r="C153" s="160">
        <v>2.5233307216163719E-2</v>
      </c>
      <c r="D153" s="160">
        <v>4.0100582354194716E-3</v>
      </c>
      <c r="E153" s="105">
        <v>6.2769731951393196E-2</v>
      </c>
      <c r="F153" s="160">
        <v>6.2925039325580228</v>
      </c>
      <c r="G153" s="160">
        <v>3.3751956785010861E-10</v>
      </c>
      <c r="H153" s="163">
        <v>1.7371939485809468E-2</v>
      </c>
      <c r="I153" s="163">
        <v>3.3094674946517973E-2</v>
      </c>
      <c r="J153" s="103"/>
      <c r="K153" s="103"/>
    </row>
    <row r="154" spans="1:11" ht="14" customHeight="1" x14ac:dyDescent="0.3">
      <c r="A154"/>
      <c r="B154" t="s">
        <v>29</v>
      </c>
      <c r="C154" s="181">
        <v>1.8304563792906681E-2</v>
      </c>
      <c r="D154" s="181">
        <v>4.0100582354194716E-3</v>
      </c>
      <c r="E154" s="118">
        <v>4.5533966393114397E-2</v>
      </c>
      <c r="F154" s="181">
        <v>4.5646628348757474</v>
      </c>
      <c r="G154" s="181">
        <v>5.1162406113913761E-6</v>
      </c>
      <c r="H154" s="163">
        <v>1.044319606255243E-2</v>
      </c>
      <c r="I154" s="163">
        <v>2.6165931523260931E-2</v>
      </c>
      <c r="J154" s="103"/>
      <c r="K154" s="103"/>
    </row>
    <row r="155" spans="1:11" ht="12.5" x14ac:dyDescent="0.25">
      <c r="A155" s="101"/>
      <c r="B155" s="101" t="s">
        <v>30</v>
      </c>
      <c r="C155" s="168">
        <v>4.0103379897779221E-2</v>
      </c>
      <c r="D155" s="168">
        <v>4.0100582354194734E-3</v>
      </c>
      <c r="E155" s="101">
        <v>9.9760145785249943E-2</v>
      </c>
      <c r="F155" s="168">
        <v>10.00069763166025</v>
      </c>
      <c r="G155" s="175">
        <v>0</v>
      </c>
      <c r="H155" s="163">
        <v>3.224201216742497E-2</v>
      </c>
      <c r="I155" s="163">
        <v>4.7964747628133471E-2</v>
      </c>
      <c r="J155" s="103"/>
      <c r="K155" s="103"/>
    </row>
    <row r="156" spans="1:11" ht="12.5" x14ac:dyDescent="0.25">
      <c r="A156" s="113"/>
      <c r="B156" s="113" t="s">
        <v>31</v>
      </c>
      <c r="C156" s="170">
        <v>3.7296700174621347E-2</v>
      </c>
      <c r="D156" s="170">
        <v>4.0100582354194681E-3</v>
      </c>
      <c r="E156" s="113">
        <v>9.2778320835123121E-2</v>
      </c>
      <c r="F156" s="170">
        <v>9.300787665673381</v>
      </c>
      <c r="G156" s="176">
        <v>0</v>
      </c>
      <c r="H156" s="163">
        <v>2.9435332444267111E-2</v>
      </c>
      <c r="I156" s="163">
        <v>4.5158067904975591E-2</v>
      </c>
      <c r="J156" s="103"/>
      <c r="K156" s="103"/>
    </row>
    <row r="157" spans="1:11" ht="25" x14ac:dyDescent="0.25">
      <c r="A157" s="113"/>
      <c r="B157" s="113" t="s">
        <v>103</v>
      </c>
      <c r="C157" s="113"/>
      <c r="D157" s="113"/>
      <c r="E157" s="113"/>
      <c r="F157" s="113"/>
      <c r="G157" s="113"/>
      <c r="H157" s="103"/>
      <c r="I157" s="103"/>
      <c r="J157" s="103"/>
      <c r="K157" s="103"/>
    </row>
    <row r="158" spans="1:11" ht="12.5" x14ac:dyDescent="0.25">
      <c r="A158" s="106"/>
      <c r="B158" s="105"/>
      <c r="C158" s="114"/>
      <c r="D158" s="114"/>
      <c r="E158" s="105"/>
      <c r="F158" s="114"/>
      <c r="G158" s="114"/>
      <c r="H158" s="103"/>
      <c r="I158" s="103"/>
      <c r="J158" s="103"/>
      <c r="K158" s="103"/>
    </row>
    <row r="159" spans="1:11" ht="25" x14ac:dyDescent="0.25">
      <c r="A159" s="105" t="s">
        <v>105</v>
      </c>
      <c r="B159" s="105"/>
      <c r="C159" s="114"/>
      <c r="D159" s="114"/>
      <c r="E159" s="114"/>
      <c r="F159" s="114"/>
      <c r="G159" s="114"/>
      <c r="H159" s="103"/>
      <c r="I159" s="103"/>
      <c r="J159" s="103"/>
      <c r="K159" s="103"/>
    </row>
    <row r="160" spans="1:11" ht="12.5" x14ac:dyDescent="0.25">
      <c r="A160" s="105" t="s">
        <v>82</v>
      </c>
      <c r="B160" s="105"/>
      <c r="C160" s="114"/>
      <c r="D160" s="114"/>
      <c r="E160" s="114"/>
      <c r="F160" s="114"/>
      <c r="G160" s="114"/>
      <c r="H160" s="103"/>
      <c r="I160" s="103"/>
      <c r="J160" s="103"/>
      <c r="K160" s="103"/>
    </row>
    <row r="161" spans="1:11" ht="12.5" x14ac:dyDescent="0.25">
      <c r="A161" s="105" t="s">
        <v>83</v>
      </c>
      <c r="B161" s="105" t="s">
        <v>84</v>
      </c>
      <c r="C161" s="114" t="s">
        <v>85</v>
      </c>
      <c r="D161" s="114" t="s">
        <v>86</v>
      </c>
      <c r="E161" s="114" t="s">
        <v>87</v>
      </c>
      <c r="F161" s="114"/>
      <c r="G161" s="114"/>
      <c r="H161" s="103"/>
      <c r="I161" s="103"/>
      <c r="J161" s="103"/>
      <c r="K161" s="103"/>
    </row>
    <row r="162" spans="1:11" ht="12.5" x14ac:dyDescent="0.25">
      <c r="A162" s="105">
        <v>5</v>
      </c>
      <c r="B162" s="160">
        <v>0.73170378106137024</v>
      </c>
      <c r="C162" s="164">
        <v>0.5353904232195057</v>
      </c>
      <c r="D162" s="164">
        <v>0.53301996619511538</v>
      </c>
      <c r="E162" s="164">
        <v>0.26782307185666931</v>
      </c>
      <c r="F162" s="114"/>
      <c r="G162" s="114"/>
      <c r="H162" s="103"/>
      <c r="I162" s="103"/>
      <c r="J162" s="103"/>
      <c r="K162" s="103"/>
    </row>
    <row r="163" spans="1:11" ht="125" x14ac:dyDescent="0.25">
      <c r="A163" s="105" t="s">
        <v>104</v>
      </c>
      <c r="B163" s="105"/>
      <c r="C163" s="114"/>
      <c r="D163" s="114"/>
      <c r="E163" s="114"/>
      <c r="F163" s="114"/>
      <c r="G163" s="114"/>
      <c r="H163" s="103"/>
      <c r="I163" s="103"/>
      <c r="J163" s="103"/>
      <c r="K163" s="103"/>
    </row>
    <row r="164" spans="1:11" ht="12.5" x14ac:dyDescent="0.25">
      <c r="A164" s="105"/>
      <c r="B164" s="105"/>
      <c r="C164" s="114"/>
      <c r="D164" s="114"/>
      <c r="E164" s="114"/>
      <c r="F164" s="114"/>
      <c r="G164" s="114"/>
      <c r="H164" s="103"/>
      <c r="I164" s="103"/>
      <c r="J164" s="103"/>
      <c r="K164" s="103"/>
    </row>
    <row r="165" spans="1:11" ht="12.5" x14ac:dyDescent="0.25">
      <c r="A165" s="105" t="s">
        <v>89</v>
      </c>
      <c r="B165" s="105"/>
      <c r="C165" s="114"/>
      <c r="D165" s="114"/>
      <c r="E165" s="114"/>
      <c r="F165" s="114"/>
      <c r="G165" s="114"/>
      <c r="H165" s="103"/>
      <c r="I165" s="103"/>
      <c r="J165" s="103"/>
      <c r="K165" s="103"/>
    </row>
    <row r="166" spans="1:11" ht="12.5" x14ac:dyDescent="0.25">
      <c r="A166" s="105" t="s">
        <v>83</v>
      </c>
      <c r="B166" s="105"/>
      <c r="C166" s="114" t="s">
        <v>90</v>
      </c>
      <c r="D166" s="114"/>
      <c r="E166" s="114" t="s">
        <v>91</v>
      </c>
      <c r="F166" s="114" t="s">
        <v>92</v>
      </c>
      <c r="G166" s="114" t="s">
        <v>93</v>
      </c>
      <c r="H166" s="103" t="s">
        <v>94</v>
      </c>
      <c r="I166" s="103"/>
      <c r="J166" s="103"/>
      <c r="K166" s="103"/>
    </row>
    <row r="167" spans="1:11" ht="12.5" x14ac:dyDescent="0.25">
      <c r="A167" s="105"/>
      <c r="B167" s="105"/>
      <c r="C167" s="114" t="s">
        <v>95</v>
      </c>
      <c r="D167" s="114" t="s">
        <v>96</v>
      </c>
      <c r="E167" s="114" t="s">
        <v>97</v>
      </c>
      <c r="F167" s="114"/>
      <c r="G167" s="114"/>
      <c r="H167" s="103" t="s">
        <v>98</v>
      </c>
      <c r="I167" s="103" t="s">
        <v>99</v>
      </c>
      <c r="J167" s="103"/>
      <c r="K167" s="103"/>
    </row>
    <row r="168" spans="1:11" ht="12.5" x14ac:dyDescent="0.25">
      <c r="A168" s="105">
        <v>5</v>
      </c>
      <c r="B168" s="105" t="s">
        <v>100</v>
      </c>
      <c r="C168" s="164">
        <v>7.5052008146849314E-2</v>
      </c>
      <c r="D168" s="164">
        <v>3.9598879136342087E-3</v>
      </c>
      <c r="E168" s="114"/>
      <c r="F168" s="164">
        <v>18.953063769416119</v>
      </c>
      <c r="G168" s="172">
        <v>0</v>
      </c>
      <c r="H168" s="163">
        <v>6.728899493544456E-2</v>
      </c>
      <c r="I168" s="163">
        <v>8.2815021358254068E-2</v>
      </c>
      <c r="J168" s="103"/>
      <c r="K168" s="103"/>
    </row>
    <row r="169" spans="1:11" ht="12.5" x14ac:dyDescent="0.25">
      <c r="A169" s="105"/>
      <c r="B169" s="105" t="s">
        <v>3</v>
      </c>
      <c r="C169" s="164">
        <v>7.3454540403573854E-2</v>
      </c>
      <c r="D169" s="164">
        <v>3.6722563612843879E-3</v>
      </c>
      <c r="E169" s="114">
        <v>0.18742167501614901</v>
      </c>
      <c r="F169" s="164">
        <v>20.002563322644171</v>
      </c>
      <c r="G169" s="172">
        <v>0</v>
      </c>
      <c r="H169" s="163">
        <v>6.6255403642616228E-2</v>
      </c>
      <c r="I169" s="163">
        <v>8.0653677164531479E-2</v>
      </c>
      <c r="J169" s="103"/>
      <c r="K169" s="103"/>
    </row>
    <row r="170" spans="1:11" ht="12.5" x14ac:dyDescent="0.25">
      <c r="A170" s="105"/>
      <c r="B170" s="105" t="s">
        <v>5</v>
      </c>
      <c r="C170" s="164">
        <v>5.0874443765212607E-2</v>
      </c>
      <c r="D170" s="164">
        <v>3.672256361284377E-3</v>
      </c>
      <c r="E170" s="114">
        <v>0.1298078160125162</v>
      </c>
      <c r="F170" s="164">
        <v>13.853728814134101</v>
      </c>
      <c r="G170" s="172">
        <v>0</v>
      </c>
      <c r="H170" s="163">
        <v>4.3675307004255003E-2</v>
      </c>
      <c r="I170" s="163">
        <v>5.8073580526170211E-2</v>
      </c>
      <c r="J170" s="103"/>
      <c r="K170" s="103"/>
    </row>
    <row r="171" spans="1:11" ht="12.5" x14ac:dyDescent="0.25">
      <c r="A171" s="105"/>
      <c r="B171" s="105" t="s">
        <v>6</v>
      </c>
      <c r="C171" s="164">
        <v>4.5225775890124477E-2</v>
      </c>
      <c r="D171" s="164">
        <v>3.6722563612843649E-3</v>
      </c>
      <c r="E171" s="114">
        <v>0.1153950542017106</v>
      </c>
      <c r="F171" s="164">
        <v>12.3155279590303</v>
      </c>
      <c r="G171" s="172">
        <v>0</v>
      </c>
      <c r="H171" s="163">
        <v>3.80266391291669E-2</v>
      </c>
      <c r="I171" s="163">
        <v>5.2424912651082067E-2</v>
      </c>
      <c r="J171" s="103"/>
      <c r="K171" s="103"/>
    </row>
    <row r="172" spans="1:11" ht="12.5" x14ac:dyDescent="0.25">
      <c r="A172" s="105"/>
      <c r="B172" s="105" t="s">
        <v>7</v>
      </c>
      <c r="C172" s="164">
        <v>7.8046636362784569E-2</v>
      </c>
      <c r="D172" s="164">
        <v>3.6722563612843831E-3</v>
      </c>
      <c r="E172" s="114">
        <v>0.19913855884363679</v>
      </c>
      <c r="F172" s="164">
        <v>21.253046814925391</v>
      </c>
      <c r="G172" s="172">
        <v>0</v>
      </c>
      <c r="H172" s="163">
        <v>7.0847499601826958E-2</v>
      </c>
      <c r="I172" s="163">
        <v>8.524577312374218E-2</v>
      </c>
      <c r="J172" s="103"/>
      <c r="K172" s="103"/>
    </row>
    <row r="173" spans="1:11" ht="12.5" x14ac:dyDescent="0.25">
      <c r="A173" s="105"/>
      <c r="B173" s="105" t="s">
        <v>8</v>
      </c>
      <c r="C173" s="164">
        <v>4.7542907087471081E-2</v>
      </c>
      <c r="D173" s="164">
        <v>3.6722563612843762E-3</v>
      </c>
      <c r="E173" s="114">
        <v>0.12130729063873449</v>
      </c>
      <c r="F173" s="164">
        <v>12.94651092137884</v>
      </c>
      <c r="G173" s="172">
        <v>0</v>
      </c>
      <c r="H173" s="163">
        <v>4.0343770326513477E-2</v>
      </c>
      <c r="I173" s="163">
        <v>5.4742043848428693E-2</v>
      </c>
      <c r="J173" s="103"/>
      <c r="K173" s="103"/>
    </row>
    <row r="174" spans="1:11" ht="12.5" x14ac:dyDescent="0.25">
      <c r="A174" s="105"/>
      <c r="B174" s="105" t="s">
        <v>10</v>
      </c>
      <c r="C174" s="164">
        <v>4.1743253774694629E-2</v>
      </c>
      <c r="D174" s="164">
        <v>3.672256361284374E-3</v>
      </c>
      <c r="E174" s="114">
        <v>0.1065092845192839</v>
      </c>
      <c r="F174" s="164">
        <v>11.367194898151091</v>
      </c>
      <c r="G174" s="172">
        <v>0</v>
      </c>
      <c r="H174" s="163">
        <v>3.4544117013737018E-2</v>
      </c>
      <c r="I174" s="163">
        <v>4.8942390535652233E-2</v>
      </c>
      <c r="J174" s="103"/>
      <c r="K174" s="103"/>
    </row>
    <row r="175" spans="1:11" ht="12.5" x14ac:dyDescent="0.25">
      <c r="A175" s="105"/>
      <c r="B175" s="105" t="s">
        <v>11</v>
      </c>
      <c r="C175" s="164">
        <v>7.9527178180015659E-2</v>
      </c>
      <c r="D175" s="164">
        <v>3.6722563612843749E-3</v>
      </c>
      <c r="E175" s="114">
        <v>0.20291620997033871</v>
      </c>
      <c r="F175" s="164">
        <v>21.656216330224009</v>
      </c>
      <c r="G175" s="172">
        <v>0</v>
      </c>
      <c r="H175" s="163">
        <v>7.2328041419058062E-2</v>
      </c>
      <c r="I175" s="163">
        <v>8.6726314940973256E-2</v>
      </c>
      <c r="J175" s="103"/>
      <c r="K175" s="103"/>
    </row>
    <row r="176" spans="1:11" ht="12.5" x14ac:dyDescent="0.25">
      <c r="A176" s="105"/>
      <c r="B176" s="105" t="s">
        <v>12</v>
      </c>
      <c r="C176" s="164">
        <v>7.9326956462913933E-2</v>
      </c>
      <c r="D176" s="164">
        <v>3.6722563612843809E-3</v>
      </c>
      <c r="E176" s="114">
        <v>0.20240533767588739</v>
      </c>
      <c r="F176" s="164">
        <v>21.60169352533142</v>
      </c>
      <c r="G176" s="172">
        <v>0</v>
      </c>
      <c r="H176" s="163">
        <v>7.2127819701956322E-2</v>
      </c>
      <c r="I176" s="163">
        <v>8.6526093223871545E-2</v>
      </c>
      <c r="J176" s="103"/>
      <c r="K176" s="103"/>
    </row>
    <row r="177" spans="1:11" ht="12.5" x14ac:dyDescent="0.25">
      <c r="A177" s="105"/>
      <c r="B177" s="105" t="s">
        <v>13</v>
      </c>
      <c r="C177" s="164">
        <v>4.4680127996364012E-2</v>
      </c>
      <c r="D177" s="164">
        <v>3.6722563612843671E-3</v>
      </c>
      <c r="E177" s="114">
        <v>0.1140028156599438</v>
      </c>
      <c r="F177" s="164">
        <v>12.166941411665819</v>
      </c>
      <c r="G177" s="172">
        <v>0</v>
      </c>
      <c r="H177" s="163">
        <v>3.7480991235406422E-2</v>
      </c>
      <c r="I177" s="163">
        <v>5.1879264757321603E-2</v>
      </c>
      <c r="J177" s="103"/>
      <c r="K177" s="103"/>
    </row>
    <row r="178" spans="1:11" ht="12.5" x14ac:dyDescent="0.25">
      <c r="A178" s="105"/>
      <c r="B178" s="105" t="s">
        <v>14</v>
      </c>
      <c r="C178" s="164">
        <v>2.6556262522994398E-2</v>
      </c>
      <c r="D178" s="164">
        <v>3.672256361284371E-3</v>
      </c>
      <c r="E178" s="114">
        <v>6.7759176994129783E-2</v>
      </c>
      <c r="F178" s="164">
        <v>7.2315927621421174</v>
      </c>
      <c r="G178" s="172">
        <v>5.4534154969587689E-13</v>
      </c>
      <c r="H178" s="163">
        <v>1.9357125762036811E-2</v>
      </c>
      <c r="I178" s="163">
        <v>3.3755399283951992E-2</v>
      </c>
      <c r="J178" s="103"/>
      <c r="K178" s="103"/>
    </row>
    <row r="179" spans="1:11" ht="12.5" x14ac:dyDescent="0.25">
      <c r="A179" s="105"/>
      <c r="B179" s="105" t="s">
        <v>15</v>
      </c>
      <c r="C179" s="164">
        <v>4.3527064863748709E-2</v>
      </c>
      <c r="D179" s="164">
        <v>3.6722563612843762E-3</v>
      </c>
      <c r="E179" s="114">
        <v>0.1110607371644988</v>
      </c>
      <c r="F179" s="164">
        <v>11.852948318816461</v>
      </c>
      <c r="G179" s="172">
        <v>0</v>
      </c>
      <c r="H179" s="163">
        <v>3.6327928102791097E-2</v>
      </c>
      <c r="I179" s="163">
        <v>5.0726201624706313E-2</v>
      </c>
      <c r="J179" s="103"/>
      <c r="K179" s="103"/>
    </row>
    <row r="180" spans="1:11" ht="12.5" x14ac:dyDescent="0.25">
      <c r="A180" s="116"/>
      <c r="B180" s="116" t="s">
        <v>16</v>
      </c>
      <c r="C180" s="179">
        <v>1.9106428115221692E-2</v>
      </c>
      <c r="D180" s="179">
        <v>3.6722563612843718E-3</v>
      </c>
      <c r="E180" s="116">
        <v>4.875067955304066E-2</v>
      </c>
      <c r="F180" s="179">
        <v>5.2029123883222619</v>
      </c>
      <c r="G180" s="179">
        <v>2.0358750618676419E-7</v>
      </c>
      <c r="H180" s="163">
        <v>1.1907291354264091E-2</v>
      </c>
      <c r="I180" s="163">
        <v>2.6305564876179289E-2</v>
      </c>
      <c r="J180" s="103"/>
      <c r="K180" s="103"/>
    </row>
    <row r="181" spans="1:11" ht="12.5" x14ac:dyDescent="0.25">
      <c r="A181" s="116"/>
      <c r="B181" s="116" t="s">
        <v>17</v>
      </c>
      <c r="C181" s="179">
        <v>2.4444374680636441E-2</v>
      </c>
      <c r="D181" s="179">
        <v>3.6722563612843762E-3</v>
      </c>
      <c r="E181" s="116">
        <v>6.2370625725735741E-2</v>
      </c>
      <c r="F181" s="179">
        <v>6.6565000576612769</v>
      </c>
      <c r="G181" s="179">
        <v>3.0879299117714247E-11</v>
      </c>
      <c r="H181" s="163">
        <v>1.724523791967884E-2</v>
      </c>
      <c r="I181" s="163">
        <v>3.1643511441594052E-2</v>
      </c>
      <c r="J181" s="103"/>
      <c r="K181" s="103"/>
    </row>
    <row r="182" spans="1:11" ht="14" customHeight="1" x14ac:dyDescent="0.3">
      <c r="A182"/>
      <c r="B182" t="s">
        <v>18</v>
      </c>
      <c r="C182" s="181">
        <v>4.0492550610947947E-2</v>
      </c>
      <c r="D182" s="181">
        <v>3.672256361284374E-3</v>
      </c>
      <c r="E182">
        <v>0.103318074274015</v>
      </c>
      <c r="F182" s="181">
        <v>11.02661323916548</v>
      </c>
      <c r="G182" s="182">
        <v>0</v>
      </c>
      <c r="H182" s="163">
        <v>3.329341384999035E-2</v>
      </c>
      <c r="I182" s="163">
        <v>4.7691687371905538E-2</v>
      </c>
      <c r="J182" s="103"/>
      <c r="K182" s="103"/>
    </row>
    <row r="183" spans="1:11" ht="14" customHeight="1" x14ac:dyDescent="0.3">
      <c r="A183"/>
      <c r="B183" t="s">
        <v>19</v>
      </c>
      <c r="C183" s="181">
        <v>3.7093186010404608E-2</v>
      </c>
      <c r="D183" s="181">
        <v>3.6722563612843679E-3</v>
      </c>
      <c r="E183" s="118">
        <v>9.4644483725030662E-2</v>
      </c>
      <c r="F183" s="181">
        <v>10.10092497938551</v>
      </c>
      <c r="G183" s="182">
        <v>0</v>
      </c>
      <c r="H183" s="163">
        <v>2.9894049249447021E-2</v>
      </c>
      <c r="I183" s="163">
        <v>4.4292322771362198E-2</v>
      </c>
      <c r="J183" s="103"/>
      <c r="K183" s="103"/>
    </row>
    <row r="184" spans="1:11" ht="14" customHeight="1" x14ac:dyDescent="0.3">
      <c r="A184"/>
      <c r="B184" t="s">
        <v>20</v>
      </c>
      <c r="C184" s="181">
        <v>3.9836027895329758E-2</v>
      </c>
      <c r="D184" s="181">
        <v>3.672256361284371E-3</v>
      </c>
      <c r="E184" s="118">
        <v>0.1016429349787276</v>
      </c>
      <c r="F184" s="181">
        <v>10.84783413143769</v>
      </c>
      <c r="G184" s="182">
        <v>0</v>
      </c>
      <c r="H184" s="163">
        <v>3.2636891134372167E-2</v>
      </c>
      <c r="I184" s="163">
        <v>4.7035164656287362E-2</v>
      </c>
      <c r="J184" s="103"/>
      <c r="K184" s="103"/>
    </row>
    <row r="185" spans="1:11" ht="14" customHeight="1" x14ac:dyDescent="0.3">
      <c r="A185"/>
      <c r="B185" t="s">
        <v>21</v>
      </c>
      <c r="C185" s="181">
        <v>4.5293391484946113E-2</v>
      </c>
      <c r="D185" s="181">
        <v>3.6722563612843688E-3</v>
      </c>
      <c r="E185" s="118">
        <v>0.1155675776150905</v>
      </c>
      <c r="F185" s="181">
        <v>12.33394050656768</v>
      </c>
      <c r="G185" s="182">
        <v>0</v>
      </c>
      <c r="H185" s="163">
        <v>3.8094254723988523E-2</v>
      </c>
      <c r="I185" s="163">
        <v>5.2492528245903697E-2</v>
      </c>
      <c r="J185" s="103"/>
      <c r="K185" s="103"/>
    </row>
    <row r="186" spans="1:11" ht="14" customHeight="1" x14ac:dyDescent="0.3">
      <c r="A186"/>
      <c r="B186" t="s">
        <v>22</v>
      </c>
      <c r="C186" s="181">
        <v>7.7538722796286735E-2</v>
      </c>
      <c r="D186" s="181">
        <v>3.6722563612843801E-3</v>
      </c>
      <c r="E186" s="118">
        <v>0.19784260067858081</v>
      </c>
      <c r="F186" s="181">
        <v>21.11473578308879</v>
      </c>
      <c r="G186" s="182">
        <v>0</v>
      </c>
      <c r="H186" s="163">
        <v>7.0339586035329124E-2</v>
      </c>
      <c r="I186" s="163">
        <v>8.4737859557244347E-2</v>
      </c>
      <c r="J186" s="103"/>
      <c r="K186" s="103"/>
    </row>
    <row r="187" spans="1:11" ht="14" customHeight="1" x14ac:dyDescent="0.3">
      <c r="A187"/>
      <c r="B187" t="s">
        <v>23</v>
      </c>
      <c r="C187" s="183">
        <v>2.4423285822604029E-2</v>
      </c>
      <c r="D187" s="183">
        <v>3.672256361284371E-3</v>
      </c>
      <c r="E187">
        <v>6.231681681106703E-2</v>
      </c>
      <c r="F187" s="183">
        <v>6.6507573055335358</v>
      </c>
      <c r="G187" s="183">
        <v>3.2098101954147751E-11</v>
      </c>
      <c r="H187" s="163">
        <v>1.7224149061646439E-2</v>
      </c>
      <c r="I187" s="163">
        <v>3.1622422583561627E-2</v>
      </c>
      <c r="J187" s="103"/>
      <c r="K187" s="103"/>
    </row>
    <row r="188" spans="1:11" ht="14" customHeight="1" x14ac:dyDescent="0.3">
      <c r="A188"/>
      <c r="B188" t="s">
        <v>24</v>
      </c>
      <c r="C188" s="183">
        <v>4.269231565783202E-2</v>
      </c>
      <c r="D188" s="183">
        <v>3.6722563612843671E-3</v>
      </c>
      <c r="E188">
        <v>0.1089308471191494</v>
      </c>
      <c r="F188" s="183">
        <v>11.62563597354637</v>
      </c>
      <c r="G188" s="184">
        <v>0</v>
      </c>
      <c r="H188" s="163">
        <v>3.5493178896874443E-2</v>
      </c>
      <c r="I188" s="163">
        <v>4.9891452418789603E-2</v>
      </c>
      <c r="J188" s="103"/>
      <c r="K188" s="103"/>
    </row>
    <row r="189" spans="1:11" ht="12.5" x14ac:dyDescent="0.25">
      <c r="A189" s="117"/>
      <c r="B189" s="117" t="s">
        <v>25</v>
      </c>
      <c r="C189" s="177">
        <v>0.12378048847393371</v>
      </c>
      <c r="D189" s="177">
        <v>3.6722563612843718E-3</v>
      </c>
      <c r="E189" s="117">
        <v>0.31582998622877712</v>
      </c>
      <c r="F189" s="177">
        <v>33.706930098595137</v>
      </c>
      <c r="G189" s="178">
        <v>0</v>
      </c>
      <c r="H189" s="163">
        <v>0.11658135171297609</v>
      </c>
      <c r="I189" s="163">
        <v>0.13097962523489129</v>
      </c>
      <c r="J189" s="103"/>
      <c r="K189" s="103"/>
    </row>
    <row r="190" spans="1:11" ht="12.5" x14ac:dyDescent="0.25">
      <c r="A190" s="116"/>
      <c r="B190" s="116" t="s">
        <v>26</v>
      </c>
      <c r="C190" s="179">
        <v>3.1755392989962862E-2</v>
      </c>
      <c r="D190" s="179">
        <v>3.672256361284371E-3</v>
      </c>
      <c r="E190" s="116">
        <v>8.1024929327382644E-2</v>
      </c>
      <c r="F190" s="179">
        <v>8.6473791222071501</v>
      </c>
      <c r="G190" s="180">
        <v>0</v>
      </c>
      <c r="H190" s="163">
        <v>2.4556256229005272E-2</v>
      </c>
      <c r="I190" s="163">
        <v>3.8954529750920452E-2</v>
      </c>
      <c r="J190" s="103"/>
      <c r="K190" s="103"/>
    </row>
    <row r="191" spans="1:11" ht="12.5" x14ac:dyDescent="0.25">
      <c r="A191" s="116"/>
      <c r="B191" s="116" t="s">
        <v>27</v>
      </c>
      <c r="C191" s="179">
        <v>8.5089138473834897E-2</v>
      </c>
      <c r="D191" s="179">
        <v>3.6722563612843731E-3</v>
      </c>
      <c r="E191" s="116">
        <v>0.2171077345366024</v>
      </c>
      <c r="F191" s="179">
        <v>23.17080565804369</v>
      </c>
      <c r="G191" s="180">
        <v>0</v>
      </c>
      <c r="H191" s="163">
        <v>7.7890001712877299E-2</v>
      </c>
      <c r="I191" s="163">
        <v>9.2288275234792494E-2</v>
      </c>
      <c r="J191" s="103"/>
      <c r="K191" s="103"/>
    </row>
    <row r="192" spans="1:11" x14ac:dyDescent="0.3">
      <c r="A192"/>
      <c r="B192" t="s">
        <v>28</v>
      </c>
      <c r="C192" s="181">
        <v>3.3913417442997279E-2</v>
      </c>
      <c r="D192" s="181">
        <v>3.672256361284374E-3</v>
      </c>
      <c r="E192">
        <v>8.6531199674883638E-2</v>
      </c>
      <c r="F192" s="181">
        <v>9.2350353860197369</v>
      </c>
      <c r="G192" s="182">
        <v>0</v>
      </c>
      <c r="H192" s="163">
        <v>2.6714280682039682E-2</v>
      </c>
      <c r="I192" s="163">
        <v>4.1112554203954883E-2</v>
      </c>
      <c r="J192" s="103"/>
      <c r="K192" s="103"/>
    </row>
    <row r="193" spans="1:11" ht="14" customHeight="1" x14ac:dyDescent="0.3">
      <c r="A193"/>
      <c r="B193" t="s">
        <v>29</v>
      </c>
      <c r="C193" s="181">
        <v>2.321520003348785E-2</v>
      </c>
      <c r="D193" s="181">
        <v>3.672256361284374E-3</v>
      </c>
      <c r="E193" s="118">
        <v>5.9234346198421953E-2</v>
      </c>
      <c r="F193" s="181">
        <v>6.3217808751697051</v>
      </c>
      <c r="G193" s="181">
        <v>2.7976465588608329E-10</v>
      </c>
      <c r="H193" s="163">
        <v>1.6016063272530249E-2</v>
      </c>
      <c r="I193" s="163">
        <v>3.0414336794445451E-2</v>
      </c>
      <c r="J193" s="103"/>
      <c r="K193" s="103"/>
    </row>
    <row r="194" spans="1:11" ht="14" customHeight="1" x14ac:dyDescent="0.3">
      <c r="A194"/>
      <c r="B194" t="s">
        <v>30</v>
      </c>
      <c r="C194" s="181">
        <v>4.0953898510110012E-2</v>
      </c>
      <c r="D194" s="181">
        <v>3.6722563612843762E-3</v>
      </c>
      <c r="E194" s="118">
        <v>0.10449521860779031</v>
      </c>
      <c r="F194" s="181">
        <v>11.152243874331891</v>
      </c>
      <c r="G194" s="182">
        <v>0</v>
      </c>
      <c r="H194" s="163">
        <v>3.3754761749152408E-2</v>
      </c>
      <c r="I194" s="163">
        <v>4.8153035271067617E-2</v>
      </c>
      <c r="J194" s="103"/>
      <c r="K194" s="103"/>
    </row>
    <row r="195" spans="1:11" ht="14" customHeight="1" x14ac:dyDescent="0.3">
      <c r="A195"/>
      <c r="B195" t="s">
        <v>31</v>
      </c>
      <c r="C195" s="181">
        <v>4.3772838124153203E-2</v>
      </c>
      <c r="D195" s="181">
        <v>3.672256361284371E-3</v>
      </c>
      <c r="E195" s="118">
        <v>0.11168783571941621</v>
      </c>
      <c r="F195" s="181">
        <v>11.919875362090369</v>
      </c>
      <c r="G195" s="182">
        <v>0</v>
      </c>
      <c r="H195" s="163">
        <v>3.6573701363195599E-2</v>
      </c>
      <c r="I195" s="163">
        <v>5.0971974885110793E-2</v>
      </c>
      <c r="J195" s="103"/>
      <c r="K195" s="103"/>
    </row>
    <row r="196" spans="1:11" ht="14" customHeight="1" x14ac:dyDescent="0.3">
      <c r="B196" t="s">
        <v>106</v>
      </c>
      <c r="C196" s="118"/>
      <c r="D196" s="118"/>
      <c r="E196" s="118"/>
      <c r="F196" s="118"/>
      <c r="G196" s="118"/>
      <c r="H196" s="103"/>
      <c r="I196" s="103"/>
      <c r="J196" s="103"/>
      <c r="K196" s="103"/>
    </row>
    <row r="197" spans="1:11" ht="14" customHeight="1" x14ac:dyDescent="0.3">
      <c r="H197" s="103"/>
      <c r="I197" s="103"/>
      <c r="J197" s="103"/>
      <c r="K197" s="103"/>
    </row>
    <row r="198" spans="1:11" x14ac:dyDescent="0.3">
      <c r="H198" s="103"/>
      <c r="I198" s="103"/>
      <c r="J198" s="103"/>
      <c r="K198" s="103"/>
    </row>
    <row r="199" spans="1:11" ht="12.5" x14ac:dyDescent="0.25">
      <c r="A199" s="117"/>
      <c r="B199" s="117"/>
      <c r="C199" s="117"/>
      <c r="D199" s="117"/>
      <c r="E199" s="117"/>
      <c r="F199" s="117"/>
      <c r="G199" s="117"/>
      <c r="H199" s="103"/>
      <c r="I199" s="103"/>
      <c r="J199" s="103"/>
      <c r="K199" s="103"/>
    </row>
    <row r="200" spans="1:11" ht="12.5" x14ac:dyDescent="0.25">
      <c r="A200" s="116"/>
      <c r="B200" s="116"/>
      <c r="C200" s="116"/>
      <c r="D200" s="116"/>
      <c r="E200" s="116"/>
      <c r="F200" s="116"/>
      <c r="G200" s="116"/>
      <c r="H200" s="103"/>
      <c r="I200" s="103"/>
      <c r="J200" s="103"/>
      <c r="K200" s="103"/>
    </row>
    <row r="201" spans="1:11" ht="12.5" x14ac:dyDescent="0.25">
      <c r="A201" s="116"/>
      <c r="B201" s="116"/>
      <c r="C201" s="116"/>
      <c r="D201" s="116"/>
      <c r="E201" s="116"/>
      <c r="F201" s="116"/>
      <c r="G201" s="116"/>
      <c r="H201" s="103"/>
      <c r="I201" s="103"/>
      <c r="J201" s="103"/>
      <c r="K201" s="103"/>
    </row>
    <row r="202" spans="1:11" ht="14" customHeight="1" x14ac:dyDescent="0.25">
      <c r="C202" s="118"/>
      <c r="D202" s="118"/>
      <c r="F202" s="118"/>
      <c r="G202" s="118"/>
      <c r="H202" s="103"/>
      <c r="I202" s="103"/>
      <c r="J202" s="103"/>
      <c r="K202" s="103"/>
    </row>
    <row r="203" spans="1:11" ht="14" customHeight="1" x14ac:dyDescent="0.25">
      <c r="C203" s="118"/>
      <c r="D203" s="118"/>
      <c r="E203" s="118"/>
      <c r="F203" s="118"/>
      <c r="G203" s="118"/>
      <c r="H203" s="103"/>
      <c r="I203" s="103"/>
      <c r="J203" s="103"/>
      <c r="K203" s="103"/>
    </row>
    <row r="204" spans="1:11" ht="14" customHeight="1" x14ac:dyDescent="0.25">
      <c r="C204" s="118"/>
      <c r="D204" s="118"/>
      <c r="E204" s="118"/>
      <c r="F204" s="118"/>
      <c r="G204" s="118"/>
      <c r="H204" s="103"/>
      <c r="I204" s="103"/>
      <c r="J204" s="103"/>
      <c r="K204" s="103"/>
    </row>
    <row r="205" spans="1:11" ht="14" customHeight="1" x14ac:dyDescent="0.25">
      <c r="C205" s="118"/>
      <c r="D205" s="118"/>
      <c r="E205" s="118"/>
      <c r="F205" s="118"/>
      <c r="G205" s="118"/>
      <c r="H205" s="103"/>
      <c r="I205" s="103"/>
      <c r="J205" s="103"/>
      <c r="K205" s="103"/>
    </row>
    <row r="206" spans="1:11" ht="14" customHeight="1" x14ac:dyDescent="0.25">
      <c r="C206" s="118"/>
      <c r="D206" s="118"/>
      <c r="E206" s="118"/>
      <c r="F206" s="118"/>
      <c r="G206" s="118"/>
      <c r="H206" s="103"/>
      <c r="I206" s="103"/>
      <c r="J206" s="103"/>
      <c r="K206" s="103"/>
    </row>
    <row r="207" spans="1:11" ht="14" customHeight="1" x14ac:dyDescent="0.3">
      <c r="H207" s="103"/>
      <c r="I207" s="103"/>
      <c r="J207" s="103"/>
      <c r="K207" s="103"/>
    </row>
    <row r="208" spans="1:11" ht="14" customHeight="1" x14ac:dyDescent="0.3">
      <c r="H208" s="103"/>
      <c r="I208" s="103"/>
      <c r="J208" s="103"/>
      <c r="K208" s="103"/>
    </row>
    <row r="209" spans="1:11" ht="12.5" x14ac:dyDescent="0.25">
      <c r="A209" s="117"/>
      <c r="B209" s="117"/>
      <c r="C209" s="117"/>
      <c r="D209" s="117"/>
      <c r="E209" s="117"/>
      <c r="F209" s="117"/>
      <c r="G209" s="117"/>
      <c r="H209" s="103"/>
      <c r="I209" s="103"/>
      <c r="J209" s="103"/>
      <c r="K209" s="103"/>
    </row>
    <row r="210" spans="1:11" ht="12.5" x14ac:dyDescent="0.25">
      <c r="A210" s="116"/>
      <c r="B210" s="116"/>
      <c r="C210" s="116"/>
      <c r="D210" s="116"/>
      <c r="E210" s="116"/>
      <c r="F210" s="116"/>
      <c r="G210" s="116"/>
      <c r="H210" s="103"/>
      <c r="I210" s="103"/>
      <c r="J210" s="103"/>
      <c r="K210" s="103"/>
    </row>
    <row r="211" spans="1:11" ht="12.5" x14ac:dyDescent="0.25">
      <c r="A211" s="116"/>
      <c r="B211" s="116"/>
      <c r="C211" s="116"/>
      <c r="D211" s="116"/>
      <c r="E211" s="116"/>
      <c r="F211" s="116"/>
      <c r="G211" s="116"/>
      <c r="H211" s="103"/>
      <c r="I211" s="103"/>
      <c r="J211" s="103"/>
      <c r="K211" s="103"/>
    </row>
    <row r="212" spans="1:11" ht="14" customHeight="1" x14ac:dyDescent="0.25">
      <c r="C212" s="118"/>
      <c r="D212" s="118"/>
      <c r="F212" s="118"/>
      <c r="G212" s="118"/>
      <c r="H212" s="103"/>
      <c r="I212" s="103"/>
      <c r="J212" s="103"/>
      <c r="K212" s="103"/>
    </row>
    <row r="213" spans="1:11" ht="14" customHeight="1" x14ac:dyDescent="0.25">
      <c r="C213" s="118"/>
      <c r="D213" s="118"/>
      <c r="E213" s="118"/>
      <c r="F213" s="118"/>
      <c r="G213" s="118"/>
      <c r="H213" s="103"/>
      <c r="I213" s="103"/>
      <c r="J213" s="103"/>
      <c r="K213" s="103"/>
    </row>
    <row r="214" spans="1:11" ht="14" customHeight="1" x14ac:dyDescent="0.25">
      <c r="C214" s="118"/>
      <c r="D214" s="118"/>
      <c r="E214" s="118"/>
      <c r="F214" s="118"/>
      <c r="G214" s="118"/>
      <c r="H214" s="103"/>
      <c r="I214" s="103"/>
      <c r="J214" s="103"/>
      <c r="K214" s="103"/>
    </row>
    <row r="215" spans="1:11" ht="14" customHeight="1" x14ac:dyDescent="0.25">
      <c r="C215" s="118"/>
      <c r="D215" s="118"/>
      <c r="E215" s="118"/>
      <c r="F215" s="118"/>
      <c r="G215" s="118"/>
      <c r="H215" s="103"/>
      <c r="I215" s="103"/>
      <c r="J215" s="103"/>
      <c r="K215" s="103"/>
    </row>
    <row r="216" spans="1:11" ht="14" customHeight="1" x14ac:dyDescent="0.25">
      <c r="C216" s="118"/>
      <c r="D216" s="118"/>
      <c r="E216" s="118"/>
      <c r="F216" s="118"/>
      <c r="G216" s="118"/>
      <c r="H216" s="103"/>
      <c r="I216" s="103"/>
      <c r="J216" s="103"/>
      <c r="K216" s="103"/>
    </row>
    <row r="217" spans="1:11" ht="14" customHeight="1" x14ac:dyDescent="0.3">
      <c r="H217" s="103"/>
      <c r="I217" s="103"/>
      <c r="J217" s="103"/>
      <c r="K217" s="103"/>
    </row>
    <row r="218" spans="1:11" ht="14" customHeight="1" x14ac:dyDescent="0.3">
      <c r="H218" s="103"/>
      <c r="I218" s="103"/>
      <c r="J218" s="103"/>
      <c r="K218" s="103"/>
    </row>
    <row r="219" spans="1:11" ht="12.5" x14ac:dyDescent="0.25">
      <c r="A219" s="117"/>
      <c r="B219" s="117"/>
      <c r="C219" s="117"/>
      <c r="D219" s="117"/>
      <c r="E219" s="117"/>
      <c r="F219" s="117"/>
      <c r="G219" s="117"/>
      <c r="H219" s="103"/>
      <c r="I219" s="103"/>
      <c r="J219" s="103"/>
      <c r="K219" s="103"/>
    </row>
    <row r="220" spans="1:11" ht="12.5" x14ac:dyDescent="0.25">
      <c r="A220" s="116"/>
      <c r="B220" s="116"/>
      <c r="C220" s="116"/>
      <c r="D220" s="116"/>
      <c r="E220" s="116"/>
      <c r="F220" s="116"/>
      <c r="G220" s="116"/>
      <c r="H220" s="103"/>
      <c r="I220" s="103"/>
      <c r="J220" s="103"/>
      <c r="K220" s="103"/>
    </row>
    <row r="221" spans="1:11" ht="12.5" x14ac:dyDescent="0.25">
      <c r="A221" s="116"/>
      <c r="B221" s="116"/>
      <c r="C221" s="116"/>
      <c r="D221" s="116"/>
      <c r="E221" s="116"/>
      <c r="F221" s="116"/>
      <c r="G221" s="116"/>
      <c r="H221" s="103"/>
      <c r="I221" s="103"/>
      <c r="J221" s="103"/>
      <c r="K221" s="103"/>
    </row>
    <row r="222" spans="1:11" ht="14" customHeight="1" x14ac:dyDescent="0.25">
      <c r="C222" s="118"/>
      <c r="D222" s="118"/>
      <c r="F222" s="118"/>
      <c r="G222" s="118"/>
      <c r="H222" s="103"/>
      <c r="I222" s="103"/>
      <c r="J222" s="103"/>
      <c r="K222" s="103"/>
    </row>
    <row r="223" spans="1:11" ht="14" customHeight="1" x14ac:dyDescent="0.25">
      <c r="C223" s="118"/>
      <c r="D223" s="118"/>
      <c r="E223" s="118"/>
      <c r="F223" s="118"/>
      <c r="G223" s="118"/>
      <c r="H223" s="103"/>
      <c r="I223" s="103"/>
      <c r="J223" s="103"/>
      <c r="K223" s="103"/>
    </row>
    <row r="224" spans="1:11" ht="12.5" x14ac:dyDescent="0.25">
      <c r="C224" s="118"/>
      <c r="D224" s="118"/>
      <c r="E224" s="118"/>
      <c r="F224" s="118"/>
      <c r="G224" s="118"/>
      <c r="H224" s="103"/>
      <c r="I224" s="103"/>
      <c r="J224" s="103"/>
      <c r="K224" s="103"/>
    </row>
    <row r="225" spans="1:11" ht="14" customHeight="1" x14ac:dyDescent="0.25">
      <c r="C225" s="118"/>
      <c r="D225" s="118"/>
      <c r="E225" s="118"/>
      <c r="F225" s="118"/>
      <c r="G225" s="118"/>
      <c r="H225" s="103"/>
      <c r="I225" s="103"/>
      <c r="J225" s="103"/>
      <c r="K225" s="103"/>
    </row>
    <row r="226" spans="1:11" ht="14" customHeight="1" x14ac:dyDescent="0.25">
      <c r="C226" s="118"/>
      <c r="D226" s="118"/>
      <c r="E226" s="118"/>
      <c r="F226" s="118"/>
      <c r="G226" s="118"/>
      <c r="H226" s="103"/>
      <c r="I226" s="103"/>
      <c r="J226" s="103"/>
      <c r="K226" s="103"/>
    </row>
    <row r="227" spans="1:11" ht="14" customHeight="1" x14ac:dyDescent="0.3">
      <c r="H227" s="103"/>
      <c r="I227" s="103"/>
      <c r="J227" s="103"/>
      <c r="K227" s="103"/>
    </row>
    <row r="228" spans="1:11" ht="14" customHeight="1" x14ac:dyDescent="0.3">
      <c r="H228" s="103"/>
      <c r="I228" s="103"/>
      <c r="J228" s="103"/>
      <c r="K228" s="103"/>
    </row>
    <row r="229" spans="1:11" ht="12.5" x14ac:dyDescent="0.25">
      <c r="A229" s="117"/>
      <c r="B229" s="117"/>
      <c r="C229" s="117"/>
      <c r="D229" s="117"/>
      <c r="E229" s="117"/>
      <c r="F229" s="117"/>
      <c r="G229" s="117"/>
      <c r="H229" s="103"/>
      <c r="I229" s="103"/>
      <c r="J229" s="103"/>
      <c r="K229" s="103"/>
    </row>
    <row r="230" spans="1:11" ht="12.5" x14ac:dyDescent="0.25">
      <c r="A230" s="116"/>
      <c r="B230" s="116"/>
      <c r="C230" s="116"/>
      <c r="D230" s="116"/>
      <c r="E230" s="116"/>
      <c r="F230" s="116"/>
      <c r="G230" s="116"/>
      <c r="H230" s="103"/>
      <c r="I230" s="103"/>
      <c r="J230" s="103"/>
      <c r="K230" s="103"/>
    </row>
    <row r="231" spans="1:11" ht="12.5" x14ac:dyDescent="0.25">
      <c r="A231" s="116"/>
      <c r="B231" s="116"/>
      <c r="C231" s="116"/>
      <c r="D231" s="116"/>
      <c r="E231" s="116"/>
      <c r="F231" s="116"/>
      <c r="G231" s="116"/>
      <c r="H231" s="103"/>
      <c r="I231" s="103"/>
      <c r="J231" s="103"/>
      <c r="K231" s="103"/>
    </row>
    <row r="232" spans="1:11" ht="14" customHeight="1" x14ac:dyDescent="0.25">
      <c r="C232" s="118"/>
      <c r="D232" s="118"/>
      <c r="F232" s="118"/>
      <c r="G232" s="118"/>
      <c r="H232" s="103"/>
      <c r="I232" s="103"/>
      <c r="J232" s="103"/>
      <c r="K232" s="103"/>
    </row>
    <row r="233" spans="1:11" ht="12.5" x14ac:dyDescent="0.25">
      <c r="C233" s="118"/>
      <c r="D233" s="118"/>
      <c r="E233" s="118"/>
      <c r="F233" s="118"/>
      <c r="G233" s="118"/>
      <c r="H233" s="103"/>
      <c r="I233" s="103"/>
      <c r="J233" s="103"/>
      <c r="K233" s="103"/>
    </row>
    <row r="234" spans="1:11" ht="14" customHeight="1" x14ac:dyDescent="0.25">
      <c r="C234" s="118"/>
      <c r="D234" s="118"/>
      <c r="E234" s="118"/>
      <c r="F234" s="118"/>
      <c r="G234" s="118"/>
      <c r="H234" s="103"/>
      <c r="I234" s="103"/>
      <c r="J234" s="103"/>
      <c r="K234" s="103"/>
    </row>
    <row r="235" spans="1:11" ht="14" customHeight="1" x14ac:dyDescent="0.25">
      <c r="C235" s="118"/>
      <c r="D235" s="118"/>
      <c r="E235" s="118"/>
      <c r="F235" s="118"/>
      <c r="G235" s="118"/>
      <c r="H235" s="103"/>
      <c r="I235" s="103"/>
      <c r="J235" s="103"/>
      <c r="K235" s="103"/>
    </row>
    <row r="236" spans="1:11" ht="14" customHeight="1" x14ac:dyDescent="0.25">
      <c r="C236" s="118"/>
      <c r="D236" s="118"/>
      <c r="E236" s="118"/>
      <c r="F236" s="118"/>
      <c r="G236" s="118"/>
      <c r="H236" s="103"/>
      <c r="I236" s="103"/>
      <c r="J236" s="103"/>
      <c r="K236" s="103"/>
    </row>
    <row r="237" spans="1:11" ht="14" customHeight="1" x14ac:dyDescent="0.3">
      <c r="H237" s="103"/>
      <c r="I237" s="103"/>
      <c r="J237" s="103"/>
      <c r="K237" s="103"/>
    </row>
    <row r="238" spans="1:11" ht="14" customHeight="1" x14ac:dyDescent="0.3">
      <c r="H238" s="103"/>
      <c r="I238" s="103"/>
      <c r="J238" s="103"/>
      <c r="K238" s="103"/>
    </row>
    <row r="239" spans="1:11" ht="14" customHeight="1" x14ac:dyDescent="0.3">
      <c r="H239" s="103"/>
      <c r="I239" s="103"/>
      <c r="J239" s="103"/>
      <c r="K239" s="103"/>
    </row>
    <row r="240" spans="1:11" ht="14" customHeight="1" x14ac:dyDescent="0.3">
      <c r="H240" s="103"/>
      <c r="I240" s="103"/>
      <c r="J240" s="103"/>
      <c r="K240" s="103"/>
    </row>
    <row r="241" spans="8:11" ht="14" customHeight="1" x14ac:dyDescent="0.3">
      <c r="H241" s="103"/>
      <c r="I241" s="103"/>
      <c r="J241" s="103"/>
      <c r="K241" s="103"/>
    </row>
    <row r="242" spans="8:11" ht="14" customHeight="1" x14ac:dyDescent="0.3">
      <c r="H242" s="103"/>
      <c r="I242" s="103"/>
      <c r="J242" s="103"/>
      <c r="K242" s="103"/>
    </row>
    <row r="243" spans="8:11" ht="14" customHeight="1" x14ac:dyDescent="0.3">
      <c r="H243" s="103"/>
      <c r="I243" s="103"/>
      <c r="J243" s="103"/>
      <c r="K243" s="103"/>
    </row>
    <row r="244" spans="8:11" ht="14" customHeight="1" x14ac:dyDescent="0.3">
      <c r="H244" s="103"/>
      <c r="I244" s="103"/>
      <c r="J244" s="103"/>
      <c r="K244" s="103"/>
    </row>
    <row r="245" spans="8:11" ht="14" customHeight="1" x14ac:dyDescent="0.3">
      <c r="H245" s="103"/>
      <c r="I245" s="103"/>
      <c r="J245" s="103"/>
      <c r="K245" s="103"/>
    </row>
    <row r="246" spans="8:11" ht="14" customHeight="1" x14ac:dyDescent="0.3">
      <c r="H246" s="103"/>
      <c r="I246" s="103"/>
      <c r="J246" s="103"/>
      <c r="K246" s="103"/>
    </row>
    <row r="247" spans="8:11" ht="14" customHeight="1" x14ac:dyDescent="0.3">
      <c r="H247" s="103"/>
      <c r="I247" s="103"/>
      <c r="J247" s="103"/>
      <c r="K247" s="103"/>
    </row>
    <row r="248" spans="8:11" ht="14" customHeight="1" x14ac:dyDescent="0.3">
      <c r="H248" s="103"/>
      <c r="I248" s="103"/>
      <c r="J248" s="103"/>
      <c r="K248" s="103"/>
    </row>
    <row r="249" spans="8:11" ht="14" customHeight="1" x14ac:dyDescent="0.3">
      <c r="H249" s="103"/>
      <c r="I249" s="103"/>
      <c r="J249" s="103"/>
      <c r="K249" s="103"/>
    </row>
    <row r="250" spans="8:11" ht="14" customHeight="1" x14ac:dyDescent="0.3">
      <c r="H250" s="103"/>
      <c r="I250" s="103"/>
      <c r="J250" s="103"/>
      <c r="K250" s="103"/>
    </row>
    <row r="251" spans="8:11" ht="14" customHeight="1" x14ac:dyDescent="0.3">
      <c r="H251" s="103"/>
      <c r="I251" s="103"/>
      <c r="J251" s="103"/>
      <c r="K251" s="103"/>
    </row>
    <row r="252" spans="8:11" ht="14" customHeight="1" x14ac:dyDescent="0.3">
      <c r="H252" s="103"/>
      <c r="I252" s="103"/>
      <c r="J252" s="103"/>
      <c r="K252" s="103"/>
    </row>
    <row r="253" spans="8:11" ht="14" customHeight="1" x14ac:dyDescent="0.3">
      <c r="H253" s="103"/>
      <c r="I253" s="103"/>
      <c r="J253" s="103"/>
      <c r="K253" s="103"/>
    </row>
    <row r="254" spans="8:11" ht="14" customHeight="1" x14ac:dyDescent="0.3">
      <c r="H254" s="103"/>
      <c r="I254" s="103"/>
      <c r="J254" s="103"/>
      <c r="K254" s="103"/>
    </row>
    <row r="255" spans="8:11" ht="14" customHeight="1" x14ac:dyDescent="0.3">
      <c r="H255" s="103"/>
      <c r="I255" s="103"/>
      <c r="J255" s="103"/>
      <c r="K255" s="103"/>
    </row>
    <row r="256" spans="8:11" x14ac:dyDescent="0.3">
      <c r="H256" s="103"/>
      <c r="I256" s="103"/>
      <c r="J256" s="103"/>
      <c r="K256" s="103"/>
    </row>
    <row r="257" spans="8:11" x14ac:dyDescent="0.3">
      <c r="H257" s="103"/>
      <c r="I257" s="103"/>
      <c r="J257" s="103"/>
      <c r="K257" s="103"/>
    </row>
    <row r="258" spans="8:11" x14ac:dyDescent="0.3">
      <c r="H258" s="103"/>
      <c r="I258" s="103"/>
      <c r="J258" s="103"/>
      <c r="K258" s="103"/>
    </row>
    <row r="259" spans="8:11" x14ac:dyDescent="0.3">
      <c r="H259" s="103"/>
      <c r="I259" s="103"/>
      <c r="J259" s="103"/>
      <c r="K259" s="103"/>
    </row>
    <row r="260" spans="8:11" x14ac:dyDescent="0.3">
      <c r="H260" s="103"/>
      <c r="I260" s="103"/>
      <c r="J260" s="103"/>
      <c r="K260" s="103"/>
    </row>
    <row r="261" spans="8:11" x14ac:dyDescent="0.3">
      <c r="H261" s="103"/>
      <c r="I261" s="103"/>
      <c r="J261" s="103"/>
      <c r="K261" s="103"/>
    </row>
    <row r="262" spans="8:11" x14ac:dyDescent="0.3">
      <c r="H262" s="103"/>
      <c r="I262" s="103"/>
      <c r="J262" s="103"/>
      <c r="K262" s="103"/>
    </row>
    <row r="263" spans="8:11" x14ac:dyDescent="0.3">
      <c r="H263" s="103"/>
      <c r="I263" s="103"/>
      <c r="J263" s="103"/>
      <c r="K263" s="103"/>
    </row>
    <row r="264" spans="8:11" x14ac:dyDescent="0.3">
      <c r="H264" s="103"/>
      <c r="I264" s="103"/>
      <c r="J264" s="103"/>
      <c r="K264" s="103"/>
    </row>
    <row r="265" spans="8:11" x14ac:dyDescent="0.3">
      <c r="H265" s="103"/>
      <c r="I265" s="103"/>
      <c r="J265" s="103"/>
      <c r="K265" s="103"/>
    </row>
    <row r="266" spans="8:11" x14ac:dyDescent="0.3">
      <c r="H266" s="103"/>
      <c r="I266" s="103"/>
      <c r="J266" s="103"/>
      <c r="K266" s="103"/>
    </row>
    <row r="267" spans="8:11" x14ac:dyDescent="0.3">
      <c r="H267" s="103"/>
      <c r="I267" s="103"/>
      <c r="J267" s="103"/>
      <c r="K267" s="103"/>
    </row>
    <row r="268" spans="8:11" x14ac:dyDescent="0.3">
      <c r="H268" s="103"/>
      <c r="I268" s="103"/>
      <c r="J268" s="103"/>
      <c r="K268" s="103"/>
    </row>
    <row r="269" spans="8:11" x14ac:dyDescent="0.3">
      <c r="H269" s="103"/>
      <c r="I269" s="103"/>
      <c r="J269" s="103"/>
      <c r="K269" s="103"/>
    </row>
    <row r="270" spans="8:11" x14ac:dyDescent="0.3">
      <c r="H270" s="121"/>
      <c r="I270" s="121"/>
      <c r="J270" s="121"/>
      <c r="K270" s="121"/>
    </row>
    <row r="271" spans="8:11" x14ac:dyDescent="0.3">
      <c r="H271" s="121"/>
      <c r="I271" s="121"/>
      <c r="J271" s="121"/>
      <c r="K271" s="121"/>
    </row>
    <row r="272" spans="8:11" x14ac:dyDescent="0.3">
      <c r="H272" s="121"/>
      <c r="I272" s="121"/>
      <c r="J272" s="121"/>
      <c r="K272" s="121"/>
    </row>
    <row r="273" spans="8:11" x14ac:dyDescent="0.3">
      <c r="H273" s="121"/>
      <c r="I273" s="121"/>
      <c r="J273" s="121"/>
      <c r="K273" s="121"/>
    </row>
    <row r="274" spans="8:11" x14ac:dyDescent="0.3">
      <c r="H274" s="121"/>
      <c r="I274" s="121"/>
      <c r="J274" s="121"/>
      <c r="K274" s="121"/>
    </row>
    <row r="275" spans="8:11" x14ac:dyDescent="0.3">
      <c r="H275" s="121"/>
      <c r="I275" s="121"/>
      <c r="J275" s="121"/>
      <c r="K275" s="121"/>
    </row>
    <row r="276" spans="8:11" x14ac:dyDescent="0.3">
      <c r="H276" s="121"/>
      <c r="I276" s="121"/>
      <c r="J276" s="121"/>
      <c r="K276" s="121"/>
    </row>
    <row r="277" spans="8:11" x14ac:dyDescent="0.3">
      <c r="H277" s="121"/>
      <c r="I277" s="121"/>
      <c r="J277" s="121"/>
      <c r="K277" s="121"/>
    </row>
    <row r="278" spans="8:11" x14ac:dyDescent="0.3">
      <c r="H278" s="121"/>
      <c r="I278" s="121"/>
      <c r="J278" s="121"/>
      <c r="K278" s="121"/>
    </row>
    <row r="279" spans="8:11" x14ac:dyDescent="0.3">
      <c r="H279" s="121"/>
      <c r="I279" s="121"/>
      <c r="J279" s="121"/>
      <c r="K279" s="121"/>
    </row>
    <row r="280" spans="8:11" x14ac:dyDescent="0.3">
      <c r="H280" s="121"/>
      <c r="I280" s="121"/>
      <c r="J280" s="121"/>
      <c r="K280" s="121"/>
    </row>
    <row r="281" spans="8:11" x14ac:dyDescent="0.3">
      <c r="H281" s="121"/>
      <c r="I281" s="121"/>
      <c r="J281" s="121"/>
      <c r="K281" s="121"/>
    </row>
    <row r="282" spans="8:11" x14ac:dyDescent="0.3">
      <c r="H282" s="121"/>
      <c r="I282" s="121"/>
      <c r="J282" s="121"/>
      <c r="K282" s="121"/>
    </row>
    <row r="283" spans="8:11" x14ac:dyDescent="0.3">
      <c r="H283" s="121"/>
      <c r="I283" s="121"/>
      <c r="J283" s="121"/>
      <c r="K283" s="121"/>
    </row>
    <row r="284" spans="8:11" x14ac:dyDescent="0.3">
      <c r="H284" s="121"/>
      <c r="I284" s="121"/>
      <c r="J284" s="121"/>
      <c r="K284" s="121"/>
    </row>
    <row r="285" spans="8:11" x14ac:dyDescent="0.3">
      <c r="H285" s="121"/>
      <c r="I285" s="121"/>
      <c r="J285" s="121"/>
      <c r="K285" s="121"/>
    </row>
    <row r="286" spans="8:11" x14ac:dyDescent="0.3">
      <c r="H286" s="121"/>
      <c r="I286" s="121"/>
      <c r="J286" s="121"/>
      <c r="K286" s="121"/>
    </row>
    <row r="287" spans="8:11" x14ac:dyDescent="0.3">
      <c r="H287" s="121"/>
      <c r="I287" s="121"/>
      <c r="J287" s="121"/>
      <c r="K287" s="121"/>
    </row>
    <row r="288" spans="8:11" x14ac:dyDescent="0.3">
      <c r="H288" s="121"/>
      <c r="I288" s="121"/>
      <c r="J288" s="121"/>
      <c r="K288" s="121"/>
    </row>
    <row r="289" spans="8:11" x14ac:dyDescent="0.3">
      <c r="H289" s="121"/>
      <c r="I289" s="121"/>
      <c r="J289" s="121"/>
      <c r="K289" s="121"/>
    </row>
    <row r="290" spans="8:11" x14ac:dyDescent="0.3">
      <c r="H290" s="121"/>
      <c r="I290" s="121"/>
      <c r="J290" s="121"/>
      <c r="K290" s="121"/>
    </row>
    <row r="291" spans="8:11" x14ac:dyDescent="0.3">
      <c r="H291" s="121"/>
      <c r="I291" s="121"/>
      <c r="J291" s="121"/>
      <c r="K291" s="121"/>
    </row>
    <row r="292" spans="8:11" x14ac:dyDescent="0.3">
      <c r="H292" s="121"/>
      <c r="I292" s="121"/>
      <c r="J292" s="121"/>
      <c r="K292" s="121"/>
    </row>
    <row r="293" spans="8:11" x14ac:dyDescent="0.3">
      <c r="H293" s="121"/>
      <c r="I293" s="121"/>
      <c r="J293" s="121"/>
      <c r="K293" s="121"/>
    </row>
    <row r="294" spans="8:11" x14ac:dyDescent="0.3">
      <c r="H294" s="121"/>
      <c r="I294" s="121"/>
      <c r="J294" s="121"/>
      <c r="K294" s="121"/>
    </row>
    <row r="295" spans="8:11" x14ac:dyDescent="0.3">
      <c r="H295" s="121"/>
      <c r="I295" s="121"/>
      <c r="J295" s="121"/>
      <c r="K295" s="121"/>
    </row>
    <row r="296" spans="8:11" x14ac:dyDescent="0.3">
      <c r="H296" s="121"/>
      <c r="I296" s="121"/>
      <c r="J296" s="121"/>
      <c r="K296" s="121"/>
    </row>
    <row r="297" spans="8:11" x14ac:dyDescent="0.3">
      <c r="H297" s="121"/>
      <c r="I297" s="121"/>
      <c r="J297" s="121"/>
      <c r="K297" s="121"/>
    </row>
    <row r="298" spans="8:11" x14ac:dyDescent="0.3">
      <c r="H298" s="121"/>
      <c r="I298" s="121"/>
      <c r="J298" s="121"/>
      <c r="K298" s="121"/>
    </row>
    <row r="299" spans="8:11" x14ac:dyDescent="0.3">
      <c r="H299" s="121"/>
      <c r="I299" s="121"/>
      <c r="J299" s="121"/>
      <c r="K299" s="121"/>
    </row>
    <row r="300" spans="8:11" x14ac:dyDescent="0.3">
      <c r="H300" s="121"/>
      <c r="I300" s="121"/>
      <c r="J300" s="121"/>
      <c r="K300" s="121"/>
    </row>
    <row r="301" spans="8:11" x14ac:dyDescent="0.3">
      <c r="H301" s="121"/>
      <c r="I301" s="121"/>
      <c r="J301" s="121"/>
      <c r="K301" s="121"/>
    </row>
    <row r="302" spans="8:11" x14ac:dyDescent="0.3">
      <c r="H302" s="121"/>
      <c r="I302" s="121"/>
      <c r="J302" s="121"/>
      <c r="K302" s="121"/>
    </row>
    <row r="303" spans="8:11" x14ac:dyDescent="0.3">
      <c r="H303" s="121"/>
      <c r="I303" s="121"/>
      <c r="J303" s="121"/>
      <c r="K303" s="121"/>
    </row>
    <row r="304" spans="8:11" x14ac:dyDescent="0.3">
      <c r="H304" s="121"/>
      <c r="I304" s="121"/>
      <c r="J304" s="121"/>
      <c r="K304" s="121"/>
    </row>
    <row r="305" spans="8:11" x14ac:dyDescent="0.3">
      <c r="H305" s="121"/>
      <c r="I305" s="121"/>
      <c r="J305" s="121"/>
      <c r="K305" s="121"/>
    </row>
    <row r="306" spans="8:11" x14ac:dyDescent="0.3">
      <c r="H306" s="121"/>
      <c r="I306" s="121"/>
      <c r="J306" s="121"/>
      <c r="K306" s="121"/>
    </row>
    <row r="307" spans="8:11" x14ac:dyDescent="0.3">
      <c r="H307" s="121"/>
      <c r="I307" s="121"/>
      <c r="J307" s="121"/>
      <c r="K307" s="121"/>
    </row>
    <row r="308" spans="8:11" x14ac:dyDescent="0.3">
      <c r="H308" s="121"/>
      <c r="I308" s="121"/>
      <c r="J308" s="121"/>
      <c r="K308" s="121"/>
    </row>
    <row r="309" spans="8:11" x14ac:dyDescent="0.3">
      <c r="H309" s="121"/>
      <c r="I309" s="121"/>
      <c r="J309" s="121"/>
      <c r="K309" s="121"/>
    </row>
    <row r="310" spans="8:11" x14ac:dyDescent="0.3">
      <c r="H310" s="121"/>
      <c r="I310" s="121"/>
      <c r="J310" s="121"/>
      <c r="K310" s="121"/>
    </row>
    <row r="311" spans="8:11" x14ac:dyDescent="0.3">
      <c r="H311" s="121"/>
      <c r="I311" s="121"/>
      <c r="J311" s="121"/>
      <c r="K311" s="121"/>
    </row>
    <row r="312" spans="8:11" x14ac:dyDescent="0.3">
      <c r="H312" s="121"/>
      <c r="I312" s="121"/>
      <c r="J312" s="121"/>
      <c r="K312" s="121"/>
    </row>
    <row r="313" spans="8:11" x14ac:dyDescent="0.3">
      <c r="H313" s="121"/>
      <c r="I313" s="121"/>
      <c r="J313" s="121"/>
      <c r="K313" s="121"/>
    </row>
    <row r="314" spans="8:11" x14ac:dyDescent="0.3">
      <c r="H314" s="121"/>
      <c r="I314" s="121"/>
      <c r="J314" s="121"/>
      <c r="K314" s="121"/>
    </row>
    <row r="315" spans="8:11" x14ac:dyDescent="0.3">
      <c r="H315" s="121"/>
      <c r="I315" s="121"/>
      <c r="J315" s="121"/>
      <c r="K315" s="121"/>
    </row>
    <row r="316" spans="8:11" x14ac:dyDescent="0.3">
      <c r="H316" s="121"/>
      <c r="I316" s="121"/>
      <c r="J316" s="121"/>
      <c r="K316" s="121"/>
    </row>
    <row r="317" spans="8:11" x14ac:dyDescent="0.3">
      <c r="H317" s="121"/>
      <c r="I317" s="121"/>
      <c r="J317" s="121"/>
      <c r="K317" s="121"/>
    </row>
    <row r="318" spans="8:11" x14ac:dyDescent="0.3">
      <c r="H318" s="121"/>
      <c r="I318" s="121"/>
      <c r="J318" s="121"/>
      <c r="K318" s="121"/>
    </row>
    <row r="319" spans="8:11" x14ac:dyDescent="0.3">
      <c r="H319" s="121"/>
      <c r="I319" s="121"/>
      <c r="J319" s="121"/>
      <c r="K319" s="121"/>
    </row>
    <row r="320" spans="8:11" x14ac:dyDescent="0.3">
      <c r="H320" s="121"/>
      <c r="I320" s="121"/>
      <c r="J320" s="121"/>
      <c r="K320" s="121"/>
    </row>
    <row r="321" spans="8:11" x14ac:dyDescent="0.3">
      <c r="H321" s="121"/>
      <c r="I321" s="121"/>
      <c r="J321" s="121"/>
      <c r="K321" s="121"/>
    </row>
    <row r="322" spans="8:11" x14ac:dyDescent="0.3">
      <c r="H322" s="121"/>
      <c r="I322" s="121"/>
      <c r="J322" s="121"/>
      <c r="K322" s="121"/>
    </row>
    <row r="323" spans="8:11" x14ac:dyDescent="0.3">
      <c r="H323" s="121"/>
      <c r="I323" s="121"/>
      <c r="J323" s="121"/>
      <c r="K323" s="121"/>
    </row>
    <row r="324" spans="8:11" x14ac:dyDescent="0.3">
      <c r="H324" s="121"/>
      <c r="I324" s="121"/>
      <c r="J324" s="121"/>
      <c r="K324" s="121"/>
    </row>
    <row r="325" spans="8:11" x14ac:dyDescent="0.3">
      <c r="H325" s="121"/>
      <c r="I325" s="121"/>
      <c r="J325" s="121"/>
      <c r="K325" s="121"/>
    </row>
    <row r="326" spans="8:11" x14ac:dyDescent="0.3">
      <c r="H326" s="121"/>
      <c r="I326" s="121"/>
      <c r="J326" s="121"/>
      <c r="K326" s="121"/>
    </row>
    <row r="327" spans="8:11" x14ac:dyDescent="0.3">
      <c r="H327" s="121"/>
      <c r="I327" s="121"/>
      <c r="J327" s="121"/>
      <c r="K327" s="121"/>
    </row>
    <row r="328" spans="8:11" x14ac:dyDescent="0.3">
      <c r="H328" s="121"/>
      <c r="I328" s="121"/>
      <c r="J328" s="121"/>
      <c r="K328" s="121"/>
    </row>
    <row r="329" spans="8:11" x14ac:dyDescent="0.3">
      <c r="H329" s="121"/>
      <c r="I329" s="121"/>
      <c r="J329" s="121"/>
      <c r="K329" s="121"/>
    </row>
    <row r="330" spans="8:11" x14ac:dyDescent="0.3">
      <c r="H330" s="121"/>
      <c r="I330" s="121"/>
      <c r="J330" s="121"/>
      <c r="K330" s="121"/>
    </row>
    <row r="331" spans="8:11" x14ac:dyDescent="0.3">
      <c r="H331" s="121"/>
      <c r="I331" s="121"/>
      <c r="J331" s="121"/>
      <c r="K331" s="121"/>
    </row>
    <row r="332" spans="8:11" x14ac:dyDescent="0.3">
      <c r="H332" s="121"/>
      <c r="I332" s="121"/>
      <c r="J332" s="121"/>
      <c r="K332" s="121"/>
    </row>
    <row r="333" spans="8:11" x14ac:dyDescent="0.3">
      <c r="H333" s="121"/>
      <c r="I333" s="121"/>
      <c r="J333" s="121"/>
      <c r="K333" s="121"/>
    </row>
    <row r="334" spans="8:11" x14ac:dyDescent="0.3">
      <c r="H334" s="121"/>
      <c r="I334" s="121"/>
      <c r="J334" s="121"/>
      <c r="K334" s="121"/>
    </row>
    <row r="335" spans="8:11" x14ac:dyDescent="0.3">
      <c r="H335" s="121"/>
      <c r="I335" s="121"/>
      <c r="J335" s="121"/>
      <c r="K335" s="121"/>
    </row>
    <row r="336" spans="8:11" x14ac:dyDescent="0.3">
      <c r="H336" s="121"/>
      <c r="I336" s="121"/>
      <c r="J336" s="121"/>
      <c r="K336" s="121"/>
    </row>
    <row r="337" spans="8:11" x14ac:dyDescent="0.3">
      <c r="H337" s="121"/>
      <c r="I337" s="121"/>
      <c r="J337" s="121"/>
      <c r="K337" s="121"/>
    </row>
    <row r="338" spans="8:11" x14ac:dyDescent="0.3">
      <c r="H338" s="121"/>
      <c r="I338" s="121"/>
      <c r="J338" s="121"/>
      <c r="K338" s="121"/>
    </row>
    <row r="339" spans="8:11" x14ac:dyDescent="0.3">
      <c r="H339" s="121"/>
      <c r="I339" s="121"/>
      <c r="J339" s="121"/>
      <c r="K339" s="121"/>
    </row>
    <row r="340" spans="8:11" x14ac:dyDescent="0.3">
      <c r="H340" s="121"/>
      <c r="I340" s="121"/>
      <c r="J340" s="121"/>
      <c r="K340" s="121"/>
    </row>
    <row r="341" spans="8:11" x14ac:dyDescent="0.3">
      <c r="H341" s="121"/>
      <c r="I341" s="121"/>
      <c r="J341" s="121"/>
      <c r="K341" s="121"/>
    </row>
    <row r="342" spans="8:11" x14ac:dyDescent="0.3">
      <c r="H342" s="121"/>
      <c r="I342" s="121"/>
      <c r="J342" s="121"/>
      <c r="K342" s="121"/>
    </row>
    <row r="343" spans="8:11" x14ac:dyDescent="0.3">
      <c r="H343" s="121"/>
      <c r="I343" s="121"/>
      <c r="J343" s="121"/>
      <c r="K343" s="121"/>
    </row>
    <row r="344" spans="8:11" x14ac:dyDescent="0.3">
      <c r="H344" s="121"/>
      <c r="I344" s="121"/>
      <c r="J344" s="121"/>
      <c r="K344" s="121"/>
    </row>
    <row r="345" spans="8:11" x14ac:dyDescent="0.3">
      <c r="H345" s="121"/>
      <c r="I345" s="121"/>
      <c r="J345" s="121"/>
      <c r="K345" s="121"/>
    </row>
    <row r="346" spans="8:11" x14ac:dyDescent="0.3">
      <c r="H346" s="121"/>
      <c r="I346" s="121"/>
      <c r="J346" s="121"/>
      <c r="K346" s="121"/>
    </row>
    <row r="347" spans="8:11" x14ac:dyDescent="0.3">
      <c r="H347" s="121"/>
      <c r="I347" s="121"/>
      <c r="J347" s="121"/>
      <c r="K347" s="121"/>
    </row>
    <row r="348" spans="8:11" x14ac:dyDescent="0.3">
      <c r="H348" s="121"/>
      <c r="I348" s="121"/>
      <c r="J348" s="121"/>
      <c r="K348" s="121"/>
    </row>
    <row r="349" spans="8:11" x14ac:dyDescent="0.3">
      <c r="H349" s="121"/>
      <c r="I349" s="121"/>
      <c r="J349" s="121"/>
      <c r="K349" s="121"/>
    </row>
    <row r="350" spans="8:11" x14ac:dyDescent="0.3">
      <c r="H350" s="121"/>
      <c r="I350" s="121"/>
      <c r="J350" s="121"/>
      <c r="K350" s="121"/>
    </row>
    <row r="351" spans="8:11" x14ac:dyDescent="0.3">
      <c r="H351" s="121"/>
      <c r="I351" s="121"/>
      <c r="J351" s="121"/>
      <c r="K351" s="121"/>
    </row>
    <row r="352" spans="8:11" x14ac:dyDescent="0.3">
      <c r="H352" s="121"/>
      <c r="I352" s="121"/>
      <c r="J352" s="121"/>
      <c r="K352" s="121"/>
    </row>
    <row r="353" spans="8:11" x14ac:dyDescent="0.3">
      <c r="H353" s="121"/>
      <c r="I353" s="121"/>
      <c r="J353" s="121"/>
      <c r="K353" s="121"/>
    </row>
    <row r="354" spans="8:11" x14ac:dyDescent="0.3">
      <c r="H354" s="121"/>
      <c r="I354" s="121"/>
      <c r="J354" s="121"/>
      <c r="K354" s="121"/>
    </row>
    <row r="355" spans="8:11" x14ac:dyDescent="0.3">
      <c r="H355" s="121"/>
      <c r="I355" s="121"/>
      <c r="J355" s="121"/>
      <c r="K355" s="121"/>
    </row>
    <row r="356" spans="8:11" x14ac:dyDescent="0.3">
      <c r="H356" s="121"/>
      <c r="I356" s="121"/>
      <c r="J356" s="121"/>
      <c r="K356" s="121"/>
    </row>
    <row r="357" spans="8:11" x14ac:dyDescent="0.3">
      <c r="H357" s="121"/>
      <c r="I357" s="121"/>
      <c r="J357" s="121"/>
      <c r="K357" s="121"/>
    </row>
    <row r="358" spans="8:11" x14ac:dyDescent="0.3">
      <c r="H358" s="121"/>
      <c r="I358" s="121"/>
      <c r="J358" s="121"/>
      <c r="K358" s="121"/>
    </row>
    <row r="359" spans="8:11" x14ac:dyDescent="0.3">
      <c r="H359" s="121"/>
      <c r="I359" s="121"/>
      <c r="J359" s="121"/>
      <c r="K359" s="121"/>
    </row>
    <row r="360" spans="8:11" x14ac:dyDescent="0.3">
      <c r="H360" s="121"/>
      <c r="I360" s="121"/>
      <c r="J360" s="121"/>
      <c r="K360" s="121"/>
    </row>
    <row r="361" spans="8:11" x14ac:dyDescent="0.3">
      <c r="H361" s="121"/>
      <c r="I361" s="121"/>
      <c r="J361" s="121"/>
      <c r="K361" s="121"/>
    </row>
    <row r="362" spans="8:11" x14ac:dyDescent="0.3">
      <c r="H362" s="121"/>
      <c r="I362" s="121"/>
      <c r="J362" s="121"/>
      <c r="K362" s="121"/>
    </row>
    <row r="363" spans="8:11" x14ac:dyDescent="0.3">
      <c r="H363" s="121"/>
      <c r="I363" s="121"/>
      <c r="J363" s="121"/>
      <c r="K363" s="121"/>
    </row>
    <row r="364" spans="8:11" x14ac:dyDescent="0.3">
      <c r="H364" s="121"/>
      <c r="I364" s="121"/>
      <c r="J364" s="121"/>
      <c r="K364" s="121"/>
    </row>
    <row r="365" spans="8:11" x14ac:dyDescent="0.3">
      <c r="H365" s="121"/>
      <c r="I365" s="121"/>
      <c r="J365" s="121"/>
      <c r="K365" s="121"/>
    </row>
    <row r="366" spans="8:11" x14ac:dyDescent="0.3">
      <c r="H366" s="121"/>
      <c r="I366" s="121"/>
      <c r="J366" s="121"/>
      <c r="K366" s="121"/>
    </row>
    <row r="367" spans="8:11" x14ac:dyDescent="0.3">
      <c r="H367" s="121"/>
      <c r="I367" s="121"/>
      <c r="J367" s="121"/>
      <c r="K367" s="121"/>
    </row>
    <row r="368" spans="8:11" x14ac:dyDescent="0.3">
      <c r="H368" s="121"/>
      <c r="I368" s="121"/>
      <c r="J368" s="121"/>
      <c r="K368" s="121"/>
    </row>
    <row r="369" spans="8:11" x14ac:dyDescent="0.3">
      <c r="H369" s="121"/>
      <c r="I369" s="121"/>
      <c r="J369" s="121"/>
      <c r="K369" s="121"/>
    </row>
    <row r="370" spans="8:11" x14ac:dyDescent="0.3">
      <c r="H370" s="121"/>
      <c r="I370" s="121"/>
      <c r="J370" s="121"/>
      <c r="K370" s="121"/>
    </row>
    <row r="371" spans="8:11" x14ac:dyDescent="0.3">
      <c r="H371" s="121"/>
      <c r="I371" s="121"/>
      <c r="J371" s="121"/>
      <c r="K371" s="121"/>
    </row>
    <row r="372" spans="8:11" x14ac:dyDescent="0.3">
      <c r="H372" s="121"/>
      <c r="I372" s="121"/>
      <c r="J372" s="121"/>
      <c r="K372" s="121"/>
    </row>
    <row r="373" spans="8:11" x14ac:dyDescent="0.3">
      <c r="H373" s="121"/>
      <c r="I373" s="121"/>
      <c r="J373" s="121"/>
      <c r="K373" s="121"/>
    </row>
    <row r="374" spans="8:11" x14ac:dyDescent="0.3">
      <c r="H374" s="121"/>
      <c r="I374" s="121"/>
      <c r="J374" s="121"/>
      <c r="K374" s="121"/>
    </row>
    <row r="375" spans="8:11" x14ac:dyDescent="0.3">
      <c r="H375" s="121"/>
      <c r="I375" s="121"/>
      <c r="J375" s="121"/>
      <c r="K375" s="121"/>
    </row>
    <row r="376" spans="8:11" x14ac:dyDescent="0.3">
      <c r="H376" s="121"/>
      <c r="I376" s="121"/>
      <c r="J376" s="121"/>
      <c r="K376" s="121"/>
    </row>
    <row r="377" spans="8:11" x14ac:dyDescent="0.3">
      <c r="H377" s="121"/>
      <c r="I377" s="121"/>
      <c r="J377" s="121"/>
      <c r="K377" s="121"/>
    </row>
    <row r="378" spans="8:11" x14ac:dyDescent="0.3">
      <c r="H378" s="121"/>
      <c r="I378" s="121"/>
      <c r="J378" s="121"/>
      <c r="K378" s="121"/>
    </row>
    <row r="379" spans="8:11" x14ac:dyDescent="0.3">
      <c r="H379" s="121"/>
      <c r="I379" s="121"/>
      <c r="J379" s="121"/>
      <c r="K379" s="121"/>
    </row>
    <row r="380" spans="8:11" x14ac:dyDescent="0.3">
      <c r="H380" s="121"/>
      <c r="I380" s="121"/>
      <c r="J380" s="121"/>
      <c r="K380" s="121"/>
    </row>
    <row r="381" spans="8:11" x14ac:dyDescent="0.3">
      <c r="H381" s="121"/>
      <c r="I381" s="121"/>
      <c r="J381" s="121"/>
      <c r="K381" s="121"/>
    </row>
    <row r="382" spans="8:11" x14ac:dyDescent="0.3">
      <c r="H382" s="121"/>
      <c r="I382" s="121"/>
      <c r="J382" s="121"/>
      <c r="K382" s="121"/>
    </row>
    <row r="383" spans="8:11" x14ac:dyDescent="0.3">
      <c r="H383" s="121"/>
      <c r="I383" s="121"/>
      <c r="J383" s="121"/>
      <c r="K383" s="121"/>
    </row>
    <row r="384" spans="8:11" x14ac:dyDescent="0.3">
      <c r="H384" s="121"/>
      <c r="I384" s="121"/>
      <c r="J384" s="121"/>
      <c r="K384" s="121"/>
    </row>
    <row r="385" spans="8:11" x14ac:dyDescent="0.3">
      <c r="H385" s="121"/>
      <c r="I385" s="121"/>
      <c r="J385" s="121"/>
      <c r="K385" s="121"/>
    </row>
    <row r="386" spans="8:11" x14ac:dyDescent="0.3">
      <c r="H386" s="121"/>
      <c r="I386" s="121"/>
      <c r="J386" s="121"/>
      <c r="K386" s="121"/>
    </row>
    <row r="387" spans="8:11" x14ac:dyDescent="0.3">
      <c r="H387" s="121"/>
      <c r="I387" s="121"/>
      <c r="J387" s="121"/>
      <c r="K387" s="121"/>
    </row>
    <row r="388" spans="8:11" x14ac:dyDescent="0.3">
      <c r="H388" s="121"/>
      <c r="I388" s="121"/>
      <c r="J388" s="121"/>
      <c r="K388" s="121"/>
    </row>
    <row r="389" spans="8:11" x14ac:dyDescent="0.3">
      <c r="H389" s="121"/>
      <c r="I389" s="121"/>
      <c r="J389" s="121"/>
      <c r="K389" s="121"/>
    </row>
    <row r="390" spans="8:11" x14ac:dyDescent="0.3">
      <c r="H390" s="121"/>
      <c r="I390" s="121"/>
      <c r="J390" s="121"/>
      <c r="K390" s="121"/>
    </row>
    <row r="391" spans="8:11" x14ac:dyDescent="0.3">
      <c r="H391" s="121"/>
      <c r="I391" s="121"/>
      <c r="J391" s="121"/>
      <c r="K391" s="121"/>
    </row>
    <row r="392" spans="8:11" x14ac:dyDescent="0.3">
      <c r="H392" s="121"/>
      <c r="I392" s="121"/>
      <c r="J392" s="121"/>
      <c r="K392" s="121"/>
    </row>
    <row r="393" spans="8:11" x14ac:dyDescent="0.3">
      <c r="H393" s="121"/>
      <c r="I393" s="121"/>
      <c r="J393" s="121"/>
      <c r="K393" s="121"/>
    </row>
    <row r="394" spans="8:11" x14ac:dyDescent="0.3">
      <c r="H394" s="121"/>
      <c r="I394" s="121"/>
      <c r="J394" s="121"/>
      <c r="K394" s="121"/>
    </row>
    <row r="395" spans="8:11" x14ac:dyDescent="0.3">
      <c r="H395" s="121"/>
      <c r="I395" s="121"/>
      <c r="J395" s="121"/>
      <c r="K395" s="121"/>
    </row>
    <row r="396" spans="8:11" x14ac:dyDescent="0.3">
      <c r="H396" s="121"/>
      <c r="I396" s="121"/>
      <c r="J396" s="121"/>
      <c r="K396" s="121"/>
    </row>
    <row r="397" spans="8:11" x14ac:dyDescent="0.3">
      <c r="H397" s="121"/>
      <c r="I397" s="121"/>
      <c r="J397" s="121"/>
      <c r="K397" s="121"/>
    </row>
    <row r="398" spans="8:11" x14ac:dyDescent="0.3">
      <c r="H398" s="121"/>
      <c r="I398" s="121"/>
      <c r="J398" s="121"/>
      <c r="K398" s="121"/>
    </row>
    <row r="399" spans="8:11" x14ac:dyDescent="0.3">
      <c r="H399" s="121"/>
      <c r="I399" s="121"/>
      <c r="J399" s="121"/>
      <c r="K399" s="121"/>
    </row>
    <row r="400" spans="8:11" x14ac:dyDescent="0.3">
      <c r="H400" s="121"/>
      <c r="I400" s="121"/>
      <c r="J400" s="121"/>
      <c r="K400" s="121"/>
    </row>
    <row r="401" spans="8:11" x14ac:dyDescent="0.3">
      <c r="H401" s="121"/>
      <c r="I401" s="121"/>
      <c r="J401" s="121"/>
      <c r="K401" s="121"/>
    </row>
    <row r="402" spans="8:11" x14ac:dyDescent="0.3">
      <c r="H402" s="121"/>
      <c r="I402" s="121"/>
      <c r="J402" s="121"/>
      <c r="K402" s="121"/>
    </row>
    <row r="403" spans="8:11" x14ac:dyDescent="0.3">
      <c r="H403" s="121"/>
      <c r="I403" s="121"/>
      <c r="J403" s="121"/>
      <c r="K403" s="121"/>
    </row>
    <row r="404" spans="8:11" x14ac:dyDescent="0.3">
      <c r="H404" s="121"/>
      <c r="I404" s="121"/>
      <c r="J404" s="121"/>
      <c r="K404" s="121"/>
    </row>
    <row r="405" spans="8:11" x14ac:dyDescent="0.3">
      <c r="H405" s="121"/>
      <c r="I405" s="121"/>
      <c r="J405" s="121"/>
      <c r="K405" s="121"/>
    </row>
    <row r="406" spans="8:11" x14ac:dyDescent="0.3">
      <c r="H406" s="121"/>
      <c r="I406" s="121"/>
      <c r="J406" s="121"/>
      <c r="K406" s="121"/>
    </row>
    <row r="407" spans="8:11" x14ac:dyDescent="0.3">
      <c r="H407" s="121"/>
      <c r="I407" s="121"/>
      <c r="J407" s="121"/>
      <c r="K407" s="121"/>
    </row>
    <row r="408" spans="8:11" x14ac:dyDescent="0.3">
      <c r="H408" s="121"/>
      <c r="I408" s="121"/>
      <c r="J408" s="121"/>
      <c r="K408" s="121"/>
    </row>
    <row r="409" spans="8:11" x14ac:dyDescent="0.3">
      <c r="H409" s="121"/>
      <c r="I409" s="121"/>
      <c r="J409" s="121"/>
      <c r="K409" s="121"/>
    </row>
    <row r="410" spans="8:11" x14ac:dyDescent="0.3">
      <c r="H410" s="121"/>
      <c r="I410" s="121"/>
      <c r="J410" s="121"/>
      <c r="K410" s="121"/>
    </row>
    <row r="411" spans="8:11" x14ac:dyDescent="0.3">
      <c r="H411" s="121"/>
      <c r="I411" s="121"/>
      <c r="J411" s="121"/>
      <c r="K411" s="121"/>
    </row>
    <row r="412" spans="8:11" x14ac:dyDescent="0.3">
      <c r="H412" s="121"/>
      <c r="I412" s="121"/>
      <c r="J412" s="121"/>
      <c r="K412" s="121"/>
    </row>
    <row r="413" spans="8:11" x14ac:dyDescent="0.3">
      <c r="H413" s="121"/>
      <c r="I413" s="121"/>
      <c r="J413" s="121"/>
      <c r="K413" s="121"/>
    </row>
    <row r="414" spans="8:11" x14ac:dyDescent="0.3">
      <c r="H414" s="121"/>
      <c r="I414" s="121"/>
      <c r="J414" s="121"/>
      <c r="K414" s="121"/>
    </row>
    <row r="415" spans="8:11" x14ac:dyDescent="0.3">
      <c r="H415" s="121"/>
      <c r="I415" s="121"/>
      <c r="J415" s="121"/>
      <c r="K415" s="121"/>
    </row>
    <row r="416" spans="8:11" x14ac:dyDescent="0.3">
      <c r="H416" s="121"/>
      <c r="I416" s="121"/>
      <c r="J416" s="121"/>
      <c r="K416" s="121"/>
    </row>
    <row r="417" spans="8:11" x14ac:dyDescent="0.3">
      <c r="H417" s="121"/>
      <c r="I417" s="121"/>
      <c r="J417" s="121"/>
      <c r="K417" s="121"/>
    </row>
    <row r="418" spans="8:11" x14ac:dyDescent="0.3">
      <c r="H418" s="121"/>
      <c r="I418" s="121"/>
      <c r="J418" s="121"/>
      <c r="K418" s="121"/>
    </row>
    <row r="419" spans="8:11" x14ac:dyDescent="0.3">
      <c r="H419" s="121"/>
      <c r="I419" s="121"/>
      <c r="J419" s="121"/>
      <c r="K419" s="121"/>
    </row>
  </sheetData>
  <phoneticPr fontId="52" type="noConversion"/>
  <conditionalFormatting sqref="E1:E1048576">
    <cfRule type="cellIs" dxfId="25" priority="1" operator="lessThan">
      <formula>0</formula>
    </cfRule>
    <cfRule type="cellIs" dxfId="24" priority="2" operator="lessThan">
      <formula>0</formula>
    </cfRule>
  </conditionalFormatting>
  <conditionalFormatting sqref="G1:G1048576">
    <cfRule type="cellIs" dxfId="23" priority="3" operator="greaterThan">
      <formula>0.2</formula>
    </cfRule>
  </conditionalFormatting>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rgb="FF92D050"/>
  </sheetPr>
  <dimension ref="A1:XFD208"/>
  <sheetViews>
    <sheetView zoomScale="70" zoomScaleNormal="70" workbookViewId="0">
      <pane xSplit="1" topLeftCell="B1" activePane="topRight" state="frozen"/>
      <selection activeCell="I32" sqref="I32"/>
      <selection pane="topRight" activeCell="C21" sqref="C21"/>
    </sheetView>
  </sheetViews>
  <sheetFormatPr defaultColWidth="10.25" defaultRowHeight="15" x14ac:dyDescent="0.3"/>
  <cols>
    <col min="1" max="1" width="15.75" style="76" customWidth="1"/>
    <col min="2" max="2" width="14.58203125" style="76" customWidth="1"/>
    <col min="3" max="3" width="23.1640625" style="76" customWidth="1"/>
    <col min="4" max="4" width="34.83203125" style="76" customWidth="1"/>
    <col min="5" max="5" width="15.83203125" style="76" customWidth="1"/>
    <col min="6" max="6" width="21.58203125" style="76" bestFit="1" customWidth="1"/>
    <col min="7" max="8" width="10.25" style="76" customWidth="1"/>
    <col min="9" max="28" width="21.58203125" style="76" bestFit="1" customWidth="1"/>
    <col min="29" max="32" width="10.25" style="76" customWidth="1"/>
    <col min="33" max="16384" width="10.25" style="76"/>
  </cols>
  <sheetData>
    <row r="1" spans="1:31 16384:16384" x14ac:dyDescent="0.3">
      <c r="A1" s="146"/>
      <c r="B1" s="146"/>
      <c r="C1" s="146"/>
      <c r="D1" s="146"/>
      <c r="E1" s="146"/>
      <c r="F1" s="146"/>
      <c r="G1" s="146"/>
      <c r="H1" s="146"/>
      <c r="I1" s="146"/>
      <c r="J1" s="146"/>
      <c r="K1" s="146"/>
      <c r="L1" s="146"/>
      <c r="M1" s="146"/>
      <c r="N1" s="146"/>
      <c r="O1" s="146"/>
      <c r="P1" s="146"/>
      <c r="Q1" s="146"/>
      <c r="R1" s="146"/>
      <c r="S1" s="146"/>
      <c r="T1" s="146"/>
      <c r="U1" s="146"/>
      <c r="V1" s="146"/>
      <c r="W1" s="146"/>
    </row>
    <row r="2" spans="1:31 16384:16384" x14ac:dyDescent="0.3">
      <c r="A2" s="146"/>
      <c r="B2" s="147" t="s">
        <v>107</v>
      </c>
      <c r="C2" s="147" t="s">
        <v>108</v>
      </c>
      <c r="D2" s="147" t="s">
        <v>109</v>
      </c>
      <c r="E2" s="146" t="s">
        <v>3</v>
      </c>
      <c r="F2" s="146" t="s">
        <v>5</v>
      </c>
      <c r="G2" s="146" t="s">
        <v>6</v>
      </c>
      <c r="H2" s="146" t="s">
        <v>7</v>
      </c>
      <c r="I2" s="146" t="s">
        <v>8</v>
      </c>
      <c r="J2" s="146" t="s">
        <v>10</v>
      </c>
      <c r="K2" s="146" t="s">
        <v>11</v>
      </c>
      <c r="L2" s="146" t="s">
        <v>12</v>
      </c>
      <c r="M2" s="146" t="s">
        <v>13</v>
      </c>
      <c r="N2" s="146" t="s">
        <v>14</v>
      </c>
      <c r="O2" s="146" t="s">
        <v>15</v>
      </c>
      <c r="P2" s="146" t="s">
        <v>16</v>
      </c>
      <c r="Q2" s="146" t="s">
        <v>17</v>
      </c>
      <c r="R2" s="146" t="s">
        <v>18</v>
      </c>
      <c r="S2" s="146" t="s">
        <v>19</v>
      </c>
      <c r="T2" s="146" t="s">
        <v>20</v>
      </c>
      <c r="U2" s="146" t="s">
        <v>21</v>
      </c>
      <c r="V2" s="146" t="s">
        <v>22</v>
      </c>
      <c r="W2" s="146" t="s">
        <v>23</v>
      </c>
      <c r="X2" t="s">
        <v>24</v>
      </c>
      <c r="Y2" t="s">
        <v>25</v>
      </c>
      <c r="Z2" t="s">
        <v>26</v>
      </c>
      <c r="AA2" t="s">
        <v>27</v>
      </c>
      <c r="AB2" t="s">
        <v>28</v>
      </c>
      <c r="AC2" t="s">
        <v>29</v>
      </c>
      <c r="AD2" t="s">
        <v>30</v>
      </c>
      <c r="AE2" t="s">
        <v>31</v>
      </c>
    </row>
    <row r="3" spans="1:31 16384:16384" x14ac:dyDescent="0.3">
      <c r="A3" s="148"/>
      <c r="B3" s="149">
        <v>1</v>
      </c>
      <c r="C3" s="149" t="s">
        <v>110</v>
      </c>
      <c r="D3" s="149" t="s">
        <v>111</v>
      </c>
      <c r="E3" s="186">
        <v>1</v>
      </c>
      <c r="F3" s="148"/>
      <c r="G3" s="148"/>
      <c r="H3" s="148"/>
      <c r="I3" s="148"/>
      <c r="J3" s="148"/>
      <c r="K3" s="148"/>
      <c r="L3" s="148"/>
      <c r="M3" s="148"/>
      <c r="N3" s="148"/>
      <c r="O3" s="148"/>
      <c r="P3" s="148"/>
      <c r="Q3" s="148"/>
      <c r="R3" s="148"/>
      <c r="S3" s="148"/>
      <c r="T3" s="148"/>
      <c r="U3" s="148"/>
      <c r="V3" s="148"/>
      <c r="W3" s="148"/>
      <c r="X3"/>
      <c r="Y3"/>
      <c r="Z3"/>
      <c r="AA3"/>
      <c r="AB3"/>
      <c r="AC3"/>
      <c r="AD3"/>
      <c r="AE3"/>
    </row>
    <row r="4" spans="1:31 16384:16384" x14ac:dyDescent="0.3">
      <c r="A4" s="148"/>
      <c r="B4" s="149">
        <v>2</v>
      </c>
      <c r="C4" s="149" t="s">
        <v>112</v>
      </c>
      <c r="D4" s="149" t="s">
        <v>113</v>
      </c>
      <c r="E4" s="148"/>
      <c r="F4" s="186">
        <v>1</v>
      </c>
      <c r="G4" s="148"/>
      <c r="H4" s="148"/>
      <c r="I4" s="148"/>
      <c r="J4" s="148"/>
      <c r="K4" s="148"/>
      <c r="L4" s="148"/>
      <c r="M4" s="148"/>
      <c r="N4" s="148"/>
      <c r="O4" s="148"/>
      <c r="P4" s="148"/>
      <c r="Q4" s="148"/>
      <c r="R4" s="148"/>
      <c r="S4" s="148"/>
      <c r="T4" s="148"/>
      <c r="U4" s="148"/>
      <c r="V4" s="148"/>
      <c r="W4" s="148"/>
      <c r="X4"/>
      <c r="Y4"/>
      <c r="Z4"/>
      <c r="AA4"/>
      <c r="AB4"/>
      <c r="AC4"/>
      <c r="AD4"/>
      <c r="AE4"/>
    </row>
    <row r="5" spans="1:31 16384:16384" x14ac:dyDescent="0.3">
      <c r="A5" s="148"/>
      <c r="B5" s="149">
        <v>3</v>
      </c>
      <c r="C5" s="149" t="s">
        <v>114</v>
      </c>
      <c r="D5" s="149" t="s">
        <v>115</v>
      </c>
      <c r="E5" s="148"/>
      <c r="F5" s="148"/>
      <c r="G5" s="186">
        <v>1</v>
      </c>
      <c r="H5" s="148"/>
      <c r="I5" s="148"/>
      <c r="J5" s="148"/>
      <c r="K5" s="148"/>
      <c r="L5" s="148"/>
      <c r="M5" s="148"/>
      <c r="N5" s="148"/>
      <c r="O5" s="148"/>
      <c r="P5" s="148"/>
      <c r="Q5" s="148"/>
      <c r="R5" s="148"/>
      <c r="S5" s="148"/>
      <c r="T5" s="148"/>
      <c r="U5" s="148"/>
      <c r="V5" s="148"/>
      <c r="W5" s="148"/>
      <c r="X5"/>
      <c r="Y5"/>
      <c r="Z5"/>
      <c r="AA5"/>
      <c r="AB5"/>
      <c r="AC5"/>
      <c r="AD5"/>
      <c r="AE5"/>
    </row>
    <row r="6" spans="1:31 16384:16384" x14ac:dyDescent="0.3">
      <c r="A6" s="148"/>
      <c r="B6" s="149">
        <v>4</v>
      </c>
      <c r="C6" s="149" t="s">
        <v>116</v>
      </c>
      <c r="D6" s="149" t="s">
        <v>117</v>
      </c>
      <c r="E6" s="148"/>
      <c r="F6" s="148"/>
      <c r="G6" s="148"/>
      <c r="H6" s="186">
        <v>1</v>
      </c>
      <c r="I6" s="148"/>
      <c r="J6" s="148"/>
      <c r="K6" s="148"/>
      <c r="L6" s="148"/>
      <c r="M6" s="148"/>
      <c r="N6" s="148"/>
      <c r="O6" s="148"/>
      <c r="P6" s="148"/>
      <c r="Q6" s="148"/>
      <c r="R6" s="148"/>
      <c r="S6" s="148"/>
      <c r="T6" s="148"/>
      <c r="U6" s="148"/>
      <c r="V6" s="148"/>
      <c r="W6" s="148"/>
      <c r="X6"/>
      <c r="Y6"/>
      <c r="Z6"/>
      <c r="AA6"/>
      <c r="AB6"/>
      <c r="AC6"/>
      <c r="AD6"/>
      <c r="AE6"/>
    </row>
    <row r="7" spans="1:31 16384:16384" x14ac:dyDescent="0.3">
      <c r="A7" s="148"/>
      <c r="B7" s="149">
        <v>5</v>
      </c>
      <c r="C7" s="149" t="s">
        <v>118</v>
      </c>
      <c r="D7" s="149" t="s">
        <v>119</v>
      </c>
      <c r="E7" s="148"/>
      <c r="F7" s="148"/>
      <c r="G7" s="148"/>
      <c r="H7" s="148"/>
      <c r="I7" s="186">
        <v>1</v>
      </c>
      <c r="J7" s="148"/>
      <c r="K7" s="148"/>
      <c r="L7" s="148"/>
      <c r="M7" s="148"/>
      <c r="N7" s="148"/>
      <c r="O7" s="148"/>
      <c r="P7" s="148"/>
      <c r="Q7" s="148"/>
      <c r="R7" s="148"/>
      <c r="S7" s="148"/>
      <c r="T7" s="148"/>
      <c r="U7" s="148"/>
      <c r="V7" s="148"/>
      <c r="W7" s="148"/>
      <c r="X7"/>
      <c r="Y7"/>
      <c r="Z7"/>
      <c r="AA7"/>
      <c r="AB7"/>
      <c r="AC7"/>
      <c r="AD7"/>
      <c r="AE7"/>
    </row>
    <row r="8" spans="1:31 16384:16384" x14ac:dyDescent="0.3">
      <c r="A8" s="148"/>
      <c r="B8" s="149">
        <v>6</v>
      </c>
      <c r="C8" s="149" t="s">
        <v>120</v>
      </c>
      <c r="D8" s="149" t="s">
        <v>121</v>
      </c>
      <c r="E8" s="148"/>
      <c r="F8" s="148"/>
      <c r="G8" s="148"/>
      <c r="H8" s="148"/>
      <c r="I8" s="148"/>
      <c r="J8" s="186">
        <v>1</v>
      </c>
      <c r="K8" s="148"/>
      <c r="L8" s="148"/>
      <c r="M8" s="148"/>
      <c r="N8" s="148"/>
      <c r="O8" s="148"/>
      <c r="P8" s="148"/>
      <c r="Q8" s="148"/>
      <c r="R8" s="148"/>
      <c r="S8" s="148"/>
      <c r="T8" s="148"/>
      <c r="U8" s="148"/>
      <c r="V8" s="148"/>
      <c r="W8" s="148"/>
      <c r="X8"/>
      <c r="Y8"/>
      <c r="Z8"/>
      <c r="AA8"/>
      <c r="AB8"/>
      <c r="AC8"/>
      <c r="AD8"/>
      <c r="AE8"/>
    </row>
    <row r="9" spans="1:31 16384:16384" s="75" customFormat="1" x14ac:dyDescent="0.3">
      <c r="A9" s="148"/>
      <c r="B9" s="149">
        <v>7</v>
      </c>
      <c r="C9" s="149" t="s">
        <v>122</v>
      </c>
      <c r="D9" s="149" t="s">
        <v>123</v>
      </c>
      <c r="E9" s="148"/>
      <c r="F9" s="148"/>
      <c r="G9" s="148"/>
      <c r="H9" s="148"/>
      <c r="I9" s="148"/>
      <c r="J9" s="148"/>
      <c r="K9" s="186">
        <v>1</v>
      </c>
      <c r="L9" s="148"/>
      <c r="M9" s="148"/>
      <c r="N9" s="148"/>
      <c r="O9" s="148"/>
      <c r="P9" s="148"/>
      <c r="Q9" s="148"/>
      <c r="R9" s="148"/>
      <c r="S9" s="148"/>
      <c r="T9" s="148"/>
      <c r="U9" s="148"/>
      <c r="V9" s="148"/>
      <c r="W9" s="148"/>
      <c r="X9"/>
      <c r="Y9"/>
      <c r="Z9"/>
      <c r="AA9"/>
      <c r="AB9"/>
      <c r="AC9"/>
      <c r="AD9"/>
      <c r="AE9"/>
      <c r="XFD9" s="76"/>
    </row>
    <row r="10" spans="1:31 16384:16384" s="75" customFormat="1" ht="30" x14ac:dyDescent="0.3">
      <c r="A10" s="148"/>
      <c r="B10" s="149">
        <v>8</v>
      </c>
      <c r="C10" s="149" t="s">
        <v>124</v>
      </c>
      <c r="D10" s="149" t="s">
        <v>125</v>
      </c>
      <c r="E10" s="148"/>
      <c r="F10" s="148"/>
      <c r="G10" s="148"/>
      <c r="H10" s="148"/>
      <c r="I10" s="148"/>
      <c r="J10" s="148"/>
      <c r="K10" s="148"/>
      <c r="L10" s="186">
        <v>1</v>
      </c>
      <c r="M10" s="148"/>
      <c r="N10" s="148"/>
      <c r="O10" s="148"/>
      <c r="P10" s="148"/>
      <c r="Q10" s="148"/>
      <c r="R10" s="148"/>
      <c r="S10" s="148"/>
      <c r="T10" s="148"/>
      <c r="U10" s="148"/>
      <c r="V10" s="148"/>
      <c r="W10" s="148"/>
      <c r="X10"/>
      <c r="Y10"/>
      <c r="Z10"/>
      <c r="AA10"/>
      <c r="AB10"/>
      <c r="AC10"/>
      <c r="AD10"/>
      <c r="AE10"/>
    </row>
    <row r="11" spans="1:31 16384:16384" s="75" customFormat="1" ht="30" x14ac:dyDescent="0.3">
      <c r="A11" s="148"/>
      <c r="B11" s="149">
        <v>9</v>
      </c>
      <c r="C11" s="149" t="s">
        <v>126</v>
      </c>
      <c r="D11" s="149" t="s">
        <v>127</v>
      </c>
      <c r="E11" s="148"/>
      <c r="F11" s="148"/>
      <c r="G11" s="148"/>
      <c r="H11" s="148"/>
      <c r="I11" s="148"/>
      <c r="J11" s="148"/>
      <c r="K11" s="148"/>
      <c r="L11" s="148"/>
      <c r="M11" s="186">
        <v>1</v>
      </c>
      <c r="N11" s="148"/>
      <c r="O11" s="148"/>
      <c r="P11" s="148"/>
      <c r="Q11" s="148"/>
      <c r="R11" s="148"/>
      <c r="S11" s="148"/>
      <c r="T11" s="148"/>
      <c r="U11" s="148"/>
      <c r="V11" s="148"/>
      <c r="W11" s="148"/>
      <c r="X11"/>
      <c r="Y11"/>
      <c r="Z11"/>
      <c r="AA11"/>
      <c r="AB11"/>
      <c r="AC11"/>
      <c r="AD11"/>
      <c r="AE11"/>
    </row>
    <row r="12" spans="1:31 16384:16384" s="75" customFormat="1" ht="30" x14ac:dyDescent="0.3">
      <c r="A12" s="148"/>
      <c r="B12" s="149">
        <v>10</v>
      </c>
      <c r="C12" s="149" t="s">
        <v>128</v>
      </c>
      <c r="D12" s="149" t="s">
        <v>129</v>
      </c>
      <c r="E12" s="148"/>
      <c r="F12" s="148"/>
      <c r="G12" s="148"/>
      <c r="H12" s="148"/>
      <c r="I12" s="148"/>
      <c r="J12" s="148"/>
      <c r="K12" s="148"/>
      <c r="L12" s="148"/>
      <c r="M12" s="148"/>
      <c r="N12" s="186">
        <v>1</v>
      </c>
      <c r="O12" s="148"/>
      <c r="P12" s="148"/>
      <c r="Q12" s="148"/>
      <c r="R12" s="148"/>
      <c r="S12" s="148"/>
      <c r="T12" s="148"/>
      <c r="U12" s="148"/>
      <c r="V12" s="148"/>
      <c r="W12" s="148"/>
      <c r="X12"/>
      <c r="Y12"/>
      <c r="Z12"/>
      <c r="AA12"/>
      <c r="AB12"/>
      <c r="AC12"/>
      <c r="AD12"/>
      <c r="AE12"/>
    </row>
    <row r="13" spans="1:31 16384:16384" s="75" customFormat="1" ht="30" x14ac:dyDescent="0.3">
      <c r="A13" s="148"/>
      <c r="B13" s="149">
        <v>11</v>
      </c>
      <c r="C13" s="149" t="s">
        <v>130</v>
      </c>
      <c r="D13" s="149" t="s">
        <v>131</v>
      </c>
      <c r="E13" s="148"/>
      <c r="F13" s="148"/>
      <c r="G13" s="148"/>
      <c r="H13" s="148"/>
      <c r="I13" s="148"/>
      <c r="J13" s="148"/>
      <c r="K13" s="148"/>
      <c r="L13" s="148"/>
      <c r="M13" s="148"/>
      <c r="N13" s="148"/>
      <c r="O13" s="186">
        <v>1</v>
      </c>
      <c r="P13" s="148"/>
      <c r="Q13" s="148"/>
      <c r="R13" s="148"/>
      <c r="S13" s="148"/>
      <c r="T13" s="148"/>
      <c r="U13" s="148"/>
      <c r="V13" s="148"/>
      <c r="W13" s="148"/>
      <c r="X13"/>
      <c r="Y13"/>
      <c r="Z13"/>
      <c r="AA13"/>
      <c r="AB13"/>
      <c r="AC13"/>
      <c r="AD13"/>
      <c r="AE13"/>
    </row>
    <row r="14" spans="1:31 16384:16384" s="75" customFormat="1" x14ac:dyDescent="0.3">
      <c r="A14" s="148"/>
      <c r="B14" s="149">
        <v>12</v>
      </c>
      <c r="C14" s="149" t="s">
        <v>132</v>
      </c>
      <c r="D14" s="149" t="s">
        <v>133</v>
      </c>
      <c r="E14" s="148"/>
      <c r="F14" s="148"/>
      <c r="G14" s="148"/>
      <c r="H14" s="148"/>
      <c r="I14" s="148"/>
      <c r="J14" s="148"/>
      <c r="K14" s="148"/>
      <c r="L14" s="148"/>
      <c r="M14" s="148"/>
      <c r="N14" s="148"/>
      <c r="O14" s="148"/>
      <c r="P14" s="186">
        <v>1</v>
      </c>
      <c r="Q14" s="148"/>
      <c r="R14" s="148"/>
      <c r="S14" s="148"/>
      <c r="T14" s="148"/>
      <c r="U14" s="148"/>
      <c r="V14" s="148"/>
      <c r="W14" s="148"/>
      <c r="X14"/>
      <c r="Y14"/>
      <c r="Z14"/>
      <c r="AA14"/>
      <c r="AB14"/>
      <c r="AC14"/>
      <c r="AD14"/>
      <c r="AE14"/>
    </row>
    <row r="15" spans="1:31 16384:16384" s="75" customFormat="1" x14ac:dyDescent="0.3">
      <c r="A15" s="148"/>
      <c r="B15" s="149">
        <v>13</v>
      </c>
      <c r="C15" s="149" t="s">
        <v>134</v>
      </c>
      <c r="D15" s="149" t="s">
        <v>135</v>
      </c>
      <c r="E15" s="148"/>
      <c r="F15" s="148"/>
      <c r="G15" s="148"/>
      <c r="H15" s="148"/>
      <c r="I15" s="148"/>
      <c r="J15" s="148"/>
      <c r="K15" s="148"/>
      <c r="L15" s="148"/>
      <c r="M15" s="148"/>
      <c r="N15" s="148"/>
      <c r="O15" s="148"/>
      <c r="P15" s="148"/>
      <c r="Q15" s="186">
        <v>1</v>
      </c>
      <c r="R15" s="148"/>
      <c r="S15" s="148"/>
      <c r="T15" s="148"/>
      <c r="U15" s="148"/>
      <c r="V15" s="148"/>
      <c r="W15" s="148"/>
      <c r="X15"/>
      <c r="Y15"/>
      <c r="Z15"/>
      <c r="AA15"/>
      <c r="AB15"/>
      <c r="AC15"/>
      <c r="AD15"/>
      <c r="AE15"/>
    </row>
    <row r="16" spans="1:31 16384:16384" s="75" customFormat="1" ht="30" x14ac:dyDescent="0.3">
      <c r="A16" s="148"/>
      <c r="B16" s="149">
        <v>14</v>
      </c>
      <c r="C16" s="149" t="s">
        <v>136</v>
      </c>
      <c r="D16" s="149" t="s">
        <v>137</v>
      </c>
      <c r="E16" s="148"/>
      <c r="F16" s="148"/>
      <c r="G16" s="148"/>
      <c r="H16" s="148"/>
      <c r="I16" s="148"/>
      <c r="J16" s="148"/>
      <c r="K16" s="148"/>
      <c r="L16" s="148"/>
      <c r="M16" s="148"/>
      <c r="N16" s="148"/>
      <c r="O16" s="148"/>
      <c r="P16" s="148"/>
      <c r="Q16" s="148"/>
      <c r="R16" s="186">
        <v>1</v>
      </c>
      <c r="S16" s="148"/>
      <c r="T16" s="148"/>
      <c r="U16" s="148"/>
      <c r="V16" s="148"/>
      <c r="W16" s="148"/>
      <c r="X16"/>
      <c r="Y16"/>
      <c r="Z16"/>
      <c r="AA16"/>
      <c r="AB16"/>
      <c r="AC16"/>
      <c r="AD16"/>
      <c r="AE16"/>
    </row>
    <row r="17" spans="1:31" s="75" customFormat="1" x14ac:dyDescent="0.3">
      <c r="A17" s="148"/>
      <c r="B17" s="149">
        <v>15</v>
      </c>
      <c r="C17" s="149" t="s">
        <v>138</v>
      </c>
      <c r="D17" s="149" t="s">
        <v>139</v>
      </c>
      <c r="E17" s="148"/>
      <c r="F17" s="148"/>
      <c r="G17" s="148"/>
      <c r="H17" s="148"/>
      <c r="I17" s="148"/>
      <c r="J17" s="148"/>
      <c r="K17" s="148"/>
      <c r="L17" s="148"/>
      <c r="M17" s="148"/>
      <c r="N17" s="148"/>
      <c r="O17" s="148"/>
      <c r="P17" s="148"/>
      <c r="Q17" s="148"/>
      <c r="R17" s="148"/>
      <c r="S17" s="186">
        <v>1</v>
      </c>
      <c r="T17" s="148"/>
      <c r="U17" s="148"/>
      <c r="V17" s="148"/>
      <c r="W17" s="148"/>
      <c r="X17"/>
      <c r="Y17"/>
      <c r="Z17"/>
      <c r="AA17"/>
      <c r="AB17"/>
      <c r="AC17"/>
      <c r="AD17"/>
      <c r="AE17"/>
    </row>
    <row r="18" spans="1:31" s="75" customFormat="1" x14ac:dyDescent="0.3">
      <c r="A18" s="148"/>
      <c r="B18" s="149">
        <v>16</v>
      </c>
      <c r="C18" s="149" t="s">
        <v>140</v>
      </c>
      <c r="D18" s="149" t="s">
        <v>141</v>
      </c>
      <c r="E18" s="148"/>
      <c r="F18" s="148"/>
      <c r="G18" s="148"/>
      <c r="H18" s="148"/>
      <c r="I18" s="148"/>
      <c r="J18" s="148"/>
      <c r="K18" s="148"/>
      <c r="L18" s="148"/>
      <c r="M18" s="148"/>
      <c r="N18" s="148"/>
      <c r="O18" s="148"/>
      <c r="P18" s="148"/>
      <c r="Q18" s="148"/>
      <c r="R18" s="148"/>
      <c r="S18" s="148"/>
      <c r="T18" s="186">
        <v>1</v>
      </c>
      <c r="U18" s="148"/>
      <c r="V18" s="148"/>
      <c r="W18" s="148"/>
      <c r="X18"/>
      <c r="Y18"/>
      <c r="Z18"/>
      <c r="AA18"/>
      <c r="AB18"/>
      <c r="AC18"/>
      <c r="AD18"/>
      <c r="AE18"/>
    </row>
    <row r="19" spans="1:31" s="75" customFormat="1" ht="45" x14ac:dyDescent="0.3">
      <c r="A19" s="148"/>
      <c r="B19" s="149">
        <v>17</v>
      </c>
      <c r="C19" s="149" t="s">
        <v>142</v>
      </c>
      <c r="D19" s="149" t="s">
        <v>143</v>
      </c>
      <c r="E19" s="148"/>
      <c r="F19" s="148"/>
      <c r="G19" s="148"/>
      <c r="H19" s="148"/>
      <c r="I19" s="148"/>
      <c r="J19" s="148"/>
      <c r="K19" s="148"/>
      <c r="L19" s="148"/>
      <c r="M19" s="148"/>
      <c r="N19" s="148"/>
      <c r="O19" s="148"/>
      <c r="P19" s="148"/>
      <c r="Q19" s="148"/>
      <c r="R19" s="148"/>
      <c r="S19" s="148"/>
      <c r="T19" s="148"/>
      <c r="U19" s="186">
        <v>1</v>
      </c>
      <c r="V19" s="148"/>
      <c r="W19" s="148"/>
      <c r="X19"/>
      <c r="Y19"/>
      <c r="Z19"/>
      <c r="AA19"/>
      <c r="AB19"/>
      <c r="AC19"/>
      <c r="AD19"/>
      <c r="AE19"/>
    </row>
    <row r="20" spans="1:31" s="75" customFormat="1" ht="30" x14ac:dyDescent="0.3">
      <c r="A20" s="148"/>
      <c r="B20" s="149">
        <v>18</v>
      </c>
      <c r="C20" s="149" t="s">
        <v>144</v>
      </c>
      <c r="D20" s="149" t="s">
        <v>145</v>
      </c>
      <c r="E20" s="148"/>
      <c r="F20" s="148"/>
      <c r="G20" s="148"/>
      <c r="H20" s="148"/>
      <c r="I20" s="148"/>
      <c r="J20" s="148"/>
      <c r="K20" s="148"/>
      <c r="L20" s="148"/>
      <c r="M20" s="148"/>
      <c r="N20" s="148"/>
      <c r="O20" s="148"/>
      <c r="P20" s="148"/>
      <c r="Q20" s="148"/>
      <c r="R20" s="148"/>
      <c r="S20" s="148"/>
      <c r="T20" s="148"/>
      <c r="U20" s="148"/>
      <c r="V20" s="186">
        <v>1</v>
      </c>
      <c r="W20" s="148"/>
      <c r="X20"/>
      <c r="Y20"/>
      <c r="Z20"/>
      <c r="AA20"/>
      <c r="AB20"/>
      <c r="AC20"/>
      <c r="AD20"/>
      <c r="AE20"/>
    </row>
    <row r="21" spans="1:31" s="75" customFormat="1" x14ac:dyDescent="0.3">
      <c r="A21" s="148"/>
      <c r="B21" s="149">
        <v>19</v>
      </c>
      <c r="C21" s="149" t="s">
        <v>146</v>
      </c>
      <c r="D21" s="149" t="s">
        <v>147</v>
      </c>
      <c r="E21" s="148"/>
      <c r="F21" s="148"/>
      <c r="G21" s="148"/>
      <c r="H21" s="148"/>
      <c r="I21" s="148"/>
      <c r="J21" s="148"/>
      <c r="K21" s="148"/>
      <c r="L21" s="148"/>
      <c r="M21" s="148"/>
      <c r="N21" s="148"/>
      <c r="O21" s="148"/>
      <c r="P21" s="148"/>
      <c r="Q21" s="148"/>
      <c r="R21" s="148"/>
      <c r="S21" s="148"/>
      <c r="T21" s="148"/>
      <c r="U21" s="148"/>
      <c r="V21" s="148"/>
      <c r="W21" s="186">
        <v>1</v>
      </c>
      <c r="X21"/>
      <c r="Y21"/>
      <c r="Z21"/>
      <c r="AA21"/>
      <c r="AB21"/>
      <c r="AC21"/>
      <c r="AD21"/>
      <c r="AE21"/>
    </row>
    <row r="22" spans="1:31" s="75" customFormat="1" ht="30" x14ac:dyDescent="0.3">
      <c r="A22" s="148"/>
      <c r="B22" s="149">
        <v>20</v>
      </c>
      <c r="C22" s="149" t="s">
        <v>148</v>
      </c>
      <c r="D22" s="149" t="s">
        <v>149</v>
      </c>
      <c r="E22"/>
      <c r="F22"/>
      <c r="G22"/>
      <c r="H22"/>
      <c r="I22"/>
      <c r="J22"/>
      <c r="K22"/>
      <c r="L22"/>
      <c r="M22"/>
      <c r="N22"/>
      <c r="O22"/>
      <c r="P22"/>
      <c r="Q22"/>
      <c r="R22"/>
      <c r="S22"/>
      <c r="T22"/>
      <c r="U22"/>
      <c r="V22"/>
      <c r="W22"/>
      <c r="X22" s="187">
        <v>1</v>
      </c>
      <c r="Y22"/>
      <c r="Z22"/>
      <c r="AA22"/>
      <c r="AB22"/>
      <c r="AC22"/>
      <c r="AD22"/>
      <c r="AE22"/>
    </row>
    <row r="23" spans="1:31" s="75" customFormat="1" ht="30" x14ac:dyDescent="0.3">
      <c r="A23" s="148"/>
      <c r="B23" s="149">
        <v>21</v>
      </c>
      <c r="C23" s="149" t="s">
        <v>150</v>
      </c>
      <c r="D23" s="149" t="s">
        <v>151</v>
      </c>
      <c r="E23"/>
      <c r="F23"/>
      <c r="G23"/>
      <c r="H23"/>
      <c r="I23"/>
      <c r="J23"/>
      <c r="K23"/>
      <c r="L23"/>
      <c r="M23"/>
      <c r="N23"/>
      <c r="O23"/>
      <c r="P23"/>
      <c r="Q23"/>
      <c r="R23"/>
      <c r="S23"/>
      <c r="T23"/>
      <c r="U23"/>
      <c r="V23"/>
      <c r="W23"/>
      <c r="X23"/>
      <c r="Y23" s="187">
        <v>1</v>
      </c>
      <c r="Z23"/>
      <c r="AA23"/>
      <c r="AB23"/>
      <c r="AC23"/>
      <c r="AD23"/>
      <c r="AE23"/>
    </row>
    <row r="24" spans="1:31" s="75" customFormat="1" ht="30" x14ac:dyDescent="0.3">
      <c r="A24" s="148"/>
      <c r="B24" s="149">
        <v>22</v>
      </c>
      <c r="C24" s="149" t="s">
        <v>152</v>
      </c>
      <c r="D24" s="149" t="s">
        <v>153</v>
      </c>
      <c r="E24"/>
      <c r="F24"/>
      <c r="G24"/>
      <c r="H24"/>
      <c r="I24"/>
      <c r="J24"/>
      <c r="K24"/>
      <c r="L24"/>
      <c r="M24"/>
      <c r="N24"/>
      <c r="O24"/>
      <c r="P24"/>
      <c r="Q24"/>
      <c r="R24"/>
      <c r="S24"/>
      <c r="T24"/>
      <c r="U24"/>
      <c r="V24"/>
      <c r="W24"/>
      <c r="X24"/>
      <c r="Y24"/>
      <c r="Z24" s="187">
        <v>1</v>
      </c>
      <c r="AA24"/>
      <c r="AB24"/>
      <c r="AC24"/>
      <c r="AD24"/>
      <c r="AE24"/>
    </row>
    <row r="25" spans="1:31" s="75" customFormat="1" ht="30" x14ac:dyDescent="0.3">
      <c r="B25" s="149">
        <v>23</v>
      </c>
      <c r="C25" s="149" t="s">
        <v>154</v>
      </c>
      <c r="D25" s="149" t="s">
        <v>155</v>
      </c>
      <c r="E25"/>
      <c r="F25"/>
      <c r="G25"/>
      <c r="H25"/>
      <c r="I25"/>
      <c r="J25"/>
      <c r="K25"/>
      <c r="L25"/>
      <c r="M25"/>
      <c r="N25"/>
      <c r="O25"/>
      <c r="P25"/>
      <c r="Q25"/>
      <c r="R25"/>
      <c r="S25"/>
      <c r="T25"/>
      <c r="U25"/>
      <c r="V25"/>
      <c r="W25"/>
      <c r="X25"/>
      <c r="Y25"/>
      <c r="Z25"/>
      <c r="AA25" s="187">
        <v>1</v>
      </c>
      <c r="AB25"/>
      <c r="AC25"/>
      <c r="AD25"/>
      <c r="AE25"/>
    </row>
    <row r="26" spans="1:31" s="75" customFormat="1" ht="30" x14ac:dyDescent="0.3">
      <c r="B26" s="149">
        <v>24</v>
      </c>
      <c r="C26" s="149" t="s">
        <v>156</v>
      </c>
      <c r="D26" s="149" t="s">
        <v>157</v>
      </c>
      <c r="E26"/>
      <c r="F26"/>
      <c r="G26"/>
      <c r="H26"/>
      <c r="I26"/>
      <c r="J26"/>
      <c r="K26"/>
      <c r="L26"/>
      <c r="M26"/>
      <c r="N26"/>
      <c r="O26"/>
      <c r="P26"/>
      <c r="Q26"/>
      <c r="R26"/>
      <c r="S26"/>
      <c r="T26"/>
      <c r="U26"/>
      <c r="V26"/>
      <c r="W26"/>
      <c r="X26"/>
      <c r="Y26"/>
      <c r="Z26"/>
      <c r="AA26"/>
      <c r="AB26" s="187">
        <v>1</v>
      </c>
      <c r="AC26"/>
      <c r="AD26"/>
      <c r="AE26"/>
    </row>
    <row r="27" spans="1:31" s="75" customFormat="1" ht="45" x14ac:dyDescent="0.3">
      <c r="B27" s="149">
        <v>25</v>
      </c>
      <c r="C27" s="149" t="s">
        <v>158</v>
      </c>
      <c r="D27" s="149" t="s">
        <v>159</v>
      </c>
      <c r="E27"/>
      <c r="F27"/>
      <c r="G27"/>
      <c r="H27"/>
      <c r="I27"/>
      <c r="J27"/>
      <c r="K27"/>
      <c r="L27"/>
      <c r="M27"/>
      <c r="N27"/>
      <c r="O27"/>
      <c r="P27"/>
      <c r="Q27"/>
      <c r="R27"/>
      <c r="S27"/>
      <c r="T27"/>
      <c r="U27"/>
      <c r="V27"/>
      <c r="W27"/>
      <c r="X27"/>
      <c r="Y27"/>
      <c r="Z27"/>
      <c r="AA27"/>
      <c r="AB27"/>
      <c r="AC27" s="187">
        <v>1</v>
      </c>
      <c r="AD27"/>
      <c r="AE27"/>
    </row>
    <row r="28" spans="1:31" s="75" customFormat="1" x14ac:dyDescent="0.3">
      <c r="B28" s="149">
        <v>26</v>
      </c>
      <c r="C28" s="149" t="s">
        <v>160</v>
      </c>
      <c r="D28" s="149" t="s">
        <v>161</v>
      </c>
      <c r="E28"/>
      <c r="F28"/>
      <c r="G28"/>
      <c r="H28"/>
      <c r="I28"/>
      <c r="J28"/>
      <c r="K28"/>
      <c r="L28"/>
      <c r="M28"/>
      <c r="N28"/>
      <c r="O28"/>
      <c r="P28"/>
      <c r="Q28"/>
      <c r="R28"/>
      <c r="S28"/>
      <c r="T28"/>
      <c r="U28"/>
      <c r="V28"/>
      <c r="W28"/>
      <c r="X28"/>
      <c r="Y28"/>
      <c r="Z28"/>
      <c r="AA28"/>
      <c r="AB28"/>
      <c r="AC28"/>
      <c r="AD28" s="187">
        <v>1</v>
      </c>
      <c r="AE28"/>
    </row>
    <row r="29" spans="1:31" s="75" customFormat="1" ht="45" x14ac:dyDescent="0.3">
      <c r="B29" s="149">
        <v>27</v>
      </c>
      <c r="C29" s="149" t="s">
        <v>162</v>
      </c>
      <c r="D29" s="149" t="s">
        <v>163</v>
      </c>
      <c r="E29"/>
      <c r="F29"/>
      <c r="G29"/>
      <c r="H29"/>
      <c r="I29"/>
      <c r="J29"/>
      <c r="K29"/>
      <c r="L29"/>
      <c r="M29"/>
      <c r="N29"/>
      <c r="O29"/>
      <c r="P29"/>
      <c r="Q29"/>
      <c r="R29"/>
      <c r="S29"/>
      <c r="T29"/>
      <c r="U29"/>
      <c r="V29"/>
      <c r="W29"/>
      <c r="X29"/>
      <c r="Y29"/>
      <c r="Z29"/>
      <c r="AA29"/>
      <c r="AB29"/>
      <c r="AC29"/>
      <c r="AD29"/>
      <c r="AE29" s="187">
        <v>1</v>
      </c>
    </row>
    <row r="30" spans="1:31" s="75" customFormat="1" x14ac:dyDescent="0.3">
      <c r="B30" s="149"/>
      <c r="C30" s="149"/>
      <c r="D30" s="149"/>
    </row>
    <row r="31" spans="1:31" s="75" customFormat="1" x14ac:dyDescent="0.3">
      <c r="B31" s="149"/>
      <c r="C31" s="149"/>
      <c r="D31" s="149"/>
    </row>
    <row r="32" spans="1:31" s="75" customFormat="1" x14ac:dyDescent="0.3">
      <c r="B32" s="149"/>
      <c r="C32" s="149"/>
      <c r="D32" s="149"/>
    </row>
    <row r="33" spans="2:4" s="75" customFormat="1" x14ac:dyDescent="0.3">
      <c r="B33" s="149"/>
      <c r="C33" s="149"/>
      <c r="D33" s="149"/>
    </row>
    <row r="34" spans="2:4" s="75" customFormat="1" x14ac:dyDescent="0.3">
      <c r="B34" s="149"/>
      <c r="C34" s="149"/>
      <c r="D34" s="149"/>
    </row>
    <row r="35" spans="2:4" s="75" customFormat="1" x14ac:dyDescent="0.3">
      <c r="B35" s="149"/>
      <c r="C35" s="149"/>
      <c r="D35" s="149"/>
    </row>
    <row r="36" spans="2:4" s="75" customFormat="1" x14ac:dyDescent="0.3">
      <c r="B36" s="149"/>
      <c r="C36" s="149"/>
      <c r="D36" s="149"/>
    </row>
    <row r="37" spans="2:4" s="75" customFormat="1" x14ac:dyDescent="0.3">
      <c r="B37" s="149"/>
      <c r="C37" s="149"/>
      <c r="D37" s="149"/>
    </row>
    <row r="38" spans="2:4" s="75" customFormat="1" x14ac:dyDescent="0.3">
      <c r="B38" s="149"/>
      <c r="C38" s="149"/>
      <c r="D38" s="149"/>
    </row>
    <row r="39" spans="2:4" s="75" customFormat="1" x14ac:dyDescent="0.3">
      <c r="B39" s="149"/>
      <c r="C39" s="149"/>
      <c r="D39" s="149"/>
    </row>
    <row r="40" spans="2:4" s="75" customFormat="1" x14ac:dyDescent="0.3">
      <c r="B40" s="149"/>
      <c r="C40" s="149"/>
      <c r="D40" s="149"/>
    </row>
    <row r="41" spans="2:4" s="75" customFormat="1" x14ac:dyDescent="0.3">
      <c r="B41" s="149"/>
      <c r="C41" s="149"/>
      <c r="D41" s="149"/>
    </row>
    <row r="42" spans="2:4" s="75" customFormat="1" x14ac:dyDescent="0.3">
      <c r="B42" s="149"/>
      <c r="C42" s="149"/>
      <c r="D42" s="149"/>
    </row>
    <row r="43" spans="2:4" s="75" customFormat="1" x14ac:dyDescent="0.3">
      <c r="B43" s="149"/>
      <c r="C43" s="149"/>
      <c r="D43" s="149"/>
    </row>
    <row r="44" spans="2:4" s="75" customFormat="1" x14ac:dyDescent="0.3">
      <c r="B44" s="149"/>
      <c r="C44" s="149"/>
      <c r="D44" s="149"/>
    </row>
    <row r="45" spans="2:4" s="75" customFormat="1" x14ac:dyDescent="0.3">
      <c r="B45" s="149"/>
      <c r="C45" s="149"/>
      <c r="D45" s="149"/>
    </row>
    <row r="46" spans="2:4" s="75" customFormat="1" x14ac:dyDescent="0.3">
      <c r="B46" s="149"/>
      <c r="C46" s="149"/>
      <c r="D46" s="149"/>
    </row>
    <row r="47" spans="2:4" s="75" customFormat="1" x14ac:dyDescent="0.3">
      <c r="B47" s="149"/>
      <c r="C47" s="149"/>
      <c r="D47" s="149"/>
    </row>
    <row r="48" spans="2:4" s="75" customFormat="1" x14ac:dyDescent="0.3">
      <c r="B48" s="149"/>
      <c r="C48" s="149"/>
      <c r="D48" s="149"/>
    </row>
    <row r="49" spans="2:4" s="75" customFormat="1" x14ac:dyDescent="0.3">
      <c r="B49" s="149"/>
      <c r="C49" s="149"/>
      <c r="D49" s="149"/>
    </row>
    <row r="50" spans="2:4" s="75" customFormat="1" x14ac:dyDescent="0.3">
      <c r="B50" s="149"/>
      <c r="C50" s="149"/>
      <c r="D50" s="149"/>
    </row>
    <row r="51" spans="2:4" s="75" customFormat="1" x14ac:dyDescent="0.3">
      <c r="B51" s="149"/>
      <c r="C51" s="149"/>
      <c r="D51" s="149"/>
    </row>
    <row r="52" spans="2:4" s="75" customFormat="1" x14ac:dyDescent="0.3">
      <c r="B52" s="149"/>
      <c r="C52" s="149"/>
      <c r="D52" s="149"/>
    </row>
    <row r="53" spans="2:4" s="75" customFormat="1" x14ac:dyDescent="0.3">
      <c r="B53" s="149"/>
      <c r="C53" s="149"/>
      <c r="D53" s="149"/>
    </row>
    <row r="54" spans="2:4" s="75" customFormat="1" x14ac:dyDescent="0.3">
      <c r="B54" s="149"/>
      <c r="C54" s="149"/>
      <c r="D54" s="149"/>
    </row>
    <row r="55" spans="2:4" s="75" customFormat="1" x14ac:dyDescent="0.3">
      <c r="B55" s="149"/>
      <c r="C55" s="149"/>
      <c r="D55" s="149"/>
    </row>
    <row r="56" spans="2:4" s="75" customFormat="1" x14ac:dyDescent="0.3">
      <c r="B56" s="149"/>
      <c r="C56" s="149"/>
      <c r="D56" s="149"/>
    </row>
    <row r="57" spans="2:4" s="75" customFormat="1" x14ac:dyDescent="0.3">
      <c r="B57" s="149"/>
      <c r="C57" s="149"/>
      <c r="D57" s="149"/>
    </row>
    <row r="58" spans="2:4" s="75" customFormat="1" x14ac:dyDescent="0.3">
      <c r="B58" s="149"/>
      <c r="C58" s="149"/>
      <c r="D58" s="149"/>
    </row>
    <row r="59" spans="2:4" s="75" customFormat="1" x14ac:dyDescent="0.3">
      <c r="B59" s="149"/>
      <c r="C59" s="149"/>
      <c r="D59" s="149"/>
    </row>
    <row r="60" spans="2:4" s="75" customFormat="1" x14ac:dyDescent="0.3">
      <c r="B60" s="149"/>
      <c r="C60" s="149"/>
      <c r="D60" s="149"/>
    </row>
    <row r="61" spans="2:4" s="75" customFormat="1" x14ac:dyDescent="0.3">
      <c r="B61" s="149"/>
      <c r="C61" s="149"/>
      <c r="D61" s="149"/>
    </row>
    <row r="62" spans="2:4" s="75" customFormat="1" x14ac:dyDescent="0.3">
      <c r="B62" s="149"/>
      <c r="C62" s="149"/>
      <c r="D62" s="149"/>
    </row>
    <row r="63" spans="2:4" s="75" customFormat="1" x14ac:dyDescent="0.3">
      <c r="B63" s="149"/>
      <c r="C63" s="149"/>
      <c r="D63" s="149"/>
    </row>
    <row r="64" spans="2:4" s="75" customFormat="1" x14ac:dyDescent="0.3">
      <c r="B64" s="149"/>
      <c r="C64" s="149"/>
      <c r="D64" s="149"/>
    </row>
    <row r="65" spans="2:4" s="75" customFormat="1" x14ac:dyDescent="0.3">
      <c r="B65" s="149"/>
      <c r="C65" s="149"/>
      <c r="D65" s="149"/>
    </row>
    <row r="66" spans="2:4" s="75" customFormat="1" x14ac:dyDescent="0.3">
      <c r="B66" s="149"/>
      <c r="C66" s="149"/>
      <c r="D66" s="149"/>
    </row>
    <row r="67" spans="2:4" s="75" customFormat="1" x14ac:dyDescent="0.3">
      <c r="B67" s="149"/>
      <c r="C67" s="149"/>
      <c r="D67" s="149"/>
    </row>
    <row r="68" spans="2:4" s="75" customFormat="1" x14ac:dyDescent="0.3">
      <c r="B68" s="149"/>
      <c r="C68" s="149"/>
      <c r="D68" s="149"/>
    </row>
    <row r="69" spans="2:4" s="75" customFormat="1" x14ac:dyDescent="0.3">
      <c r="B69" s="149"/>
      <c r="C69" s="149"/>
      <c r="D69" s="149"/>
    </row>
    <row r="70" spans="2:4" s="75" customFormat="1" x14ac:dyDescent="0.3">
      <c r="B70" s="149"/>
      <c r="C70" s="149"/>
      <c r="D70" s="149"/>
    </row>
    <row r="71" spans="2:4" s="75" customFormat="1" x14ac:dyDescent="0.3">
      <c r="B71" s="149"/>
      <c r="C71" s="149"/>
      <c r="D71" s="149"/>
    </row>
    <row r="72" spans="2:4" s="75" customFormat="1" x14ac:dyDescent="0.3">
      <c r="B72" s="149"/>
      <c r="C72" s="149"/>
      <c r="D72" s="149"/>
    </row>
    <row r="73" spans="2:4" s="75" customFormat="1" x14ac:dyDescent="0.3"/>
    <row r="74" spans="2:4" s="75" customFormat="1" x14ac:dyDescent="0.3"/>
    <row r="75" spans="2:4" s="75" customFormat="1" x14ac:dyDescent="0.3"/>
    <row r="76" spans="2:4" s="75" customFormat="1" x14ac:dyDescent="0.3"/>
    <row r="77" spans="2:4" s="75" customFormat="1" x14ac:dyDescent="0.3"/>
    <row r="78" spans="2:4" s="75" customFormat="1" x14ac:dyDescent="0.3"/>
    <row r="79" spans="2:4" s="75" customFormat="1" x14ac:dyDescent="0.3"/>
    <row r="80" spans="2:4" s="75" customFormat="1" x14ac:dyDescent="0.3"/>
    <row r="81" s="75" customFormat="1" x14ac:dyDescent="0.3"/>
    <row r="82" s="75" customFormat="1" x14ac:dyDescent="0.3"/>
    <row r="83" s="75" customFormat="1" x14ac:dyDescent="0.3"/>
    <row r="84" s="75" customFormat="1" x14ac:dyDescent="0.3"/>
    <row r="85" s="75" customFormat="1" x14ac:dyDescent="0.3"/>
    <row r="86" s="75" customFormat="1" x14ac:dyDescent="0.3"/>
    <row r="87" s="75" customFormat="1" x14ac:dyDescent="0.3"/>
    <row r="88" s="75" customFormat="1" x14ac:dyDescent="0.3"/>
    <row r="89" s="75" customFormat="1" x14ac:dyDescent="0.3"/>
    <row r="90" s="75" customFormat="1" x14ac:dyDescent="0.3"/>
    <row r="91" s="75" customFormat="1" x14ac:dyDescent="0.3"/>
    <row r="92" s="75" customFormat="1" x14ac:dyDescent="0.3"/>
    <row r="93" s="75" customFormat="1" x14ac:dyDescent="0.3"/>
    <row r="94" s="75" customFormat="1" x14ac:dyDescent="0.3"/>
    <row r="95" s="75" customFormat="1" x14ac:dyDescent="0.3"/>
    <row r="96" s="75" customFormat="1" x14ac:dyDescent="0.3"/>
    <row r="97" s="75" customFormat="1" x14ac:dyDescent="0.3"/>
    <row r="98" s="75" customFormat="1" x14ac:dyDescent="0.3"/>
    <row r="99" s="75" customFormat="1" x14ac:dyDescent="0.3"/>
    <row r="100" s="75" customFormat="1" x14ac:dyDescent="0.3"/>
    <row r="101" s="75" customFormat="1" x14ac:dyDescent="0.3"/>
    <row r="102" s="75" customFormat="1" x14ac:dyDescent="0.3"/>
    <row r="103" s="75" customFormat="1" x14ac:dyDescent="0.3"/>
    <row r="104" s="75" customFormat="1" x14ac:dyDescent="0.3"/>
    <row r="105" s="75" customFormat="1" x14ac:dyDescent="0.3"/>
    <row r="106" s="75" customFormat="1" x14ac:dyDescent="0.3"/>
    <row r="107" s="75" customFormat="1" x14ac:dyDescent="0.3"/>
    <row r="108" s="75" customFormat="1" x14ac:dyDescent="0.3"/>
    <row r="109" s="75" customFormat="1" x14ac:dyDescent="0.3"/>
    <row r="110" s="75" customFormat="1" x14ac:dyDescent="0.3"/>
    <row r="111" s="75" customFormat="1" x14ac:dyDescent="0.3"/>
    <row r="112" s="75" customFormat="1" x14ac:dyDescent="0.3"/>
    <row r="113" s="75" customFormat="1" x14ac:dyDescent="0.3"/>
    <row r="114" s="75" customFormat="1" x14ac:dyDescent="0.3"/>
    <row r="115" s="75" customFormat="1" x14ac:dyDescent="0.3"/>
    <row r="116" s="75" customFormat="1" x14ac:dyDescent="0.3"/>
    <row r="117" s="75" customFormat="1" x14ac:dyDescent="0.3"/>
    <row r="118" s="75" customFormat="1" x14ac:dyDescent="0.3"/>
    <row r="119" s="75" customFormat="1" x14ac:dyDescent="0.3"/>
    <row r="120" s="75" customFormat="1" x14ac:dyDescent="0.3"/>
    <row r="121" s="75" customFormat="1" x14ac:dyDescent="0.3"/>
    <row r="122" s="75" customFormat="1" x14ac:dyDescent="0.3"/>
    <row r="123" s="75" customFormat="1" x14ac:dyDescent="0.3"/>
    <row r="124" s="75" customFormat="1" x14ac:dyDescent="0.3"/>
    <row r="125" s="75" customFormat="1" x14ac:dyDescent="0.3"/>
    <row r="126" s="75" customFormat="1" x14ac:dyDescent="0.3"/>
    <row r="127" s="75" customFormat="1" x14ac:dyDescent="0.3"/>
    <row r="128" s="75" customFormat="1" x14ac:dyDescent="0.3"/>
    <row r="129" s="75" customFormat="1" x14ac:dyDescent="0.3"/>
    <row r="130" s="75" customFormat="1" x14ac:dyDescent="0.3"/>
    <row r="131" s="75" customFormat="1" x14ac:dyDescent="0.3"/>
    <row r="132" s="75" customFormat="1" x14ac:dyDescent="0.3"/>
    <row r="133" s="75" customFormat="1" x14ac:dyDescent="0.3"/>
    <row r="134" s="75" customFormat="1" x14ac:dyDescent="0.3"/>
    <row r="135" s="75" customFormat="1" x14ac:dyDescent="0.3"/>
    <row r="136" s="75" customFormat="1" x14ac:dyDescent="0.3"/>
    <row r="137" s="75" customFormat="1" x14ac:dyDescent="0.3"/>
    <row r="138" s="75" customFormat="1" x14ac:dyDescent="0.3"/>
    <row r="139" s="75" customFormat="1" x14ac:dyDescent="0.3"/>
    <row r="140" s="75" customFormat="1" x14ac:dyDescent="0.3"/>
    <row r="141" s="75" customFormat="1" x14ac:dyDescent="0.3"/>
    <row r="142" s="75" customFormat="1" x14ac:dyDescent="0.3"/>
    <row r="143" s="75" customFormat="1" x14ac:dyDescent="0.3"/>
    <row r="144" s="75" customFormat="1" x14ac:dyDescent="0.3"/>
    <row r="145" s="75" customFormat="1" x14ac:dyDescent="0.3"/>
    <row r="146" s="75" customFormat="1" x14ac:dyDescent="0.3"/>
    <row r="147" s="75" customFormat="1" x14ac:dyDescent="0.3"/>
    <row r="148" s="75" customFormat="1" x14ac:dyDescent="0.3"/>
    <row r="149" s="75" customFormat="1" x14ac:dyDescent="0.3"/>
    <row r="150" s="75" customFormat="1" x14ac:dyDescent="0.3"/>
    <row r="151" s="75" customFormat="1" x14ac:dyDescent="0.3"/>
    <row r="152" s="75" customFormat="1" x14ac:dyDescent="0.3"/>
    <row r="153" s="75" customFormat="1" x14ac:dyDescent="0.3"/>
    <row r="154" s="75" customFormat="1" x14ac:dyDescent="0.3"/>
    <row r="155" s="75" customFormat="1" x14ac:dyDescent="0.3"/>
    <row r="156" s="75" customFormat="1" x14ac:dyDescent="0.3"/>
    <row r="157" s="75" customFormat="1" x14ac:dyDescent="0.3"/>
    <row r="158" s="75" customFormat="1" x14ac:dyDescent="0.3"/>
    <row r="159" s="75" customFormat="1" x14ac:dyDescent="0.3"/>
    <row r="160" s="75" customFormat="1" x14ac:dyDescent="0.3"/>
    <row r="161" s="75" customFormat="1" x14ac:dyDescent="0.3"/>
    <row r="162" s="75" customFormat="1" x14ac:dyDescent="0.3"/>
    <row r="163" s="75" customFormat="1" x14ac:dyDescent="0.3"/>
    <row r="164" s="75" customFormat="1" x14ac:dyDescent="0.3"/>
    <row r="165" s="75" customFormat="1" x14ac:dyDescent="0.3"/>
    <row r="166" s="75" customFormat="1" x14ac:dyDescent="0.3"/>
    <row r="167" s="75" customFormat="1" x14ac:dyDescent="0.3"/>
    <row r="168" s="75" customFormat="1" x14ac:dyDescent="0.3"/>
    <row r="169" s="75" customFormat="1" x14ac:dyDescent="0.3"/>
    <row r="170" s="75" customFormat="1" x14ac:dyDescent="0.3"/>
    <row r="171" s="75" customFormat="1" x14ac:dyDescent="0.3"/>
    <row r="172" s="75" customFormat="1" x14ac:dyDescent="0.3"/>
    <row r="173" s="75" customFormat="1" x14ac:dyDescent="0.3"/>
    <row r="174" s="75" customFormat="1" x14ac:dyDescent="0.3"/>
    <row r="175" s="75" customFormat="1" x14ac:dyDescent="0.3"/>
    <row r="176" s="75" customFormat="1" x14ac:dyDescent="0.3"/>
    <row r="177" s="75" customFormat="1" x14ac:dyDescent="0.3"/>
    <row r="178" s="75" customFormat="1" x14ac:dyDescent="0.3"/>
    <row r="179" s="75" customFormat="1" x14ac:dyDescent="0.3"/>
    <row r="180" s="75" customFormat="1" x14ac:dyDescent="0.3"/>
    <row r="181" s="75" customFormat="1" x14ac:dyDescent="0.3"/>
    <row r="182" s="75" customFormat="1" x14ac:dyDescent="0.3"/>
    <row r="183" s="75" customFormat="1" x14ac:dyDescent="0.3"/>
    <row r="184" s="75" customFormat="1" x14ac:dyDescent="0.3"/>
    <row r="185" s="75" customFormat="1" x14ac:dyDescent="0.3"/>
    <row r="186" s="75" customFormat="1" x14ac:dyDescent="0.3"/>
    <row r="187" s="75" customFormat="1" x14ac:dyDescent="0.3"/>
    <row r="188" s="75" customFormat="1" x14ac:dyDescent="0.3"/>
    <row r="189" s="75" customFormat="1" x14ac:dyDescent="0.3"/>
    <row r="190" s="75" customFormat="1" x14ac:dyDescent="0.3"/>
    <row r="191" s="75" customFormat="1" x14ac:dyDescent="0.3"/>
    <row r="192" s="75" customFormat="1" x14ac:dyDescent="0.3"/>
    <row r="193" s="75" customFormat="1" x14ac:dyDescent="0.3"/>
    <row r="194" s="75" customFormat="1" x14ac:dyDescent="0.3"/>
    <row r="195" s="75" customFormat="1" x14ac:dyDescent="0.3"/>
    <row r="196" s="75" customFormat="1" x14ac:dyDescent="0.3"/>
    <row r="197" s="75" customFormat="1" x14ac:dyDescent="0.3"/>
    <row r="198" s="75" customFormat="1" x14ac:dyDescent="0.3"/>
    <row r="199" s="75" customFormat="1" x14ac:dyDescent="0.3"/>
    <row r="200" s="75" customFormat="1" x14ac:dyDescent="0.3"/>
    <row r="201" s="75" customFormat="1" x14ac:dyDescent="0.3"/>
    <row r="202" s="75" customFormat="1" x14ac:dyDescent="0.3"/>
    <row r="203" s="75" customFormat="1" x14ac:dyDescent="0.3"/>
    <row r="204" s="75" customFormat="1" x14ac:dyDescent="0.3"/>
    <row r="205" s="75" customFormat="1" x14ac:dyDescent="0.3"/>
    <row r="206" s="75" customFormat="1" x14ac:dyDescent="0.3"/>
    <row r="207" s="75" customFormat="1" x14ac:dyDescent="0.3"/>
    <row r="208" s="75" customFormat="1" x14ac:dyDescent="0.3"/>
  </sheetData>
  <phoneticPr fontId="52" type="noConversion"/>
  <dataValidations count="4">
    <dataValidation type="list" allowBlank="1" showInputMessage="1" showErrorMessage="1" sqref="D7:E7" xr:uid="{00000000-0002-0000-0300-000000000000}">
      <formula1>",Updated by Following"</formula1>
    </dataValidation>
    <dataValidation type="list" allowBlank="1" showInputMessage="1" showErrorMessage="1" sqref="C7" xr:uid="{00000000-0002-0000-0300-000001000000}">
      <formula1>",New"</formula1>
    </dataValidation>
    <dataValidation type="whole" allowBlank="1" showInputMessage="1" showErrorMessage="1" sqref="C2" xr:uid="{00000000-0002-0000-0300-000002000000}">
      <formula1>2</formula1>
      <formula2>100</formula2>
    </dataValidation>
    <dataValidation type="list" allowBlank="1" showInputMessage="1" showErrorMessage="1" sqref="C4" xr:uid="{00000000-0002-0000-0300-000003000000}">
      <formula1>"Varimax Method, Procrustes Method"</formula1>
    </dataValidation>
  </dataValidations>
  <pageMargins left="0.75" right="0.75" top="1" bottom="1" header="0.5" footer="0.5"/>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tabColor rgb="FF92D050"/>
  </sheetPr>
  <dimension ref="A1:AK258"/>
  <sheetViews>
    <sheetView zoomScale="80" zoomScaleNormal="70" workbookViewId="0">
      <selection activeCell="E12" sqref="E12"/>
    </sheetView>
  </sheetViews>
  <sheetFormatPr defaultColWidth="9.1640625" defaultRowHeight="15" x14ac:dyDescent="0.3"/>
  <cols>
    <col min="1" max="4" width="20.83203125" style="123" customWidth="1"/>
    <col min="5" max="6" width="10.4140625" style="123" bestFit="1" customWidth="1"/>
    <col min="7" max="12" width="10.25" style="123" bestFit="1" customWidth="1"/>
    <col min="13" max="23" width="11.75" style="123" bestFit="1" customWidth="1"/>
    <col min="24" max="24" width="9.1640625" style="123" customWidth="1"/>
    <col min="25" max="25" width="29.75" style="123" customWidth="1"/>
    <col min="26" max="37" width="9.1640625" style="123" customWidth="1"/>
    <col min="38" max="41" width="9.1640625" style="77" customWidth="1"/>
    <col min="42" max="16384" width="9.1640625" style="77"/>
  </cols>
  <sheetData>
    <row r="1" spans="1:6" ht="15" customHeight="1" x14ac:dyDescent="0.3">
      <c r="A1" s="122" t="s">
        <v>164</v>
      </c>
    </row>
    <row r="2" spans="1:6" ht="15" customHeight="1" x14ac:dyDescent="0.3">
      <c r="A2" s="122" t="s">
        <v>165</v>
      </c>
    </row>
    <row r="3" spans="1:6" ht="15" customHeight="1" x14ac:dyDescent="0.3">
      <c r="A3" s="122" t="s">
        <v>166</v>
      </c>
    </row>
    <row r="4" spans="1:6" ht="15" customHeight="1" x14ac:dyDescent="0.3">
      <c r="A4" s="122" t="s">
        <v>167</v>
      </c>
    </row>
    <row r="5" spans="1:6" ht="15" customHeight="1" x14ac:dyDescent="0.3">
      <c r="A5" s="122"/>
    </row>
    <row r="6" spans="1:6" ht="15" customHeight="1" x14ac:dyDescent="0.3">
      <c r="A6" s="122"/>
    </row>
    <row r="7" spans="1:6" ht="15" customHeight="1" x14ac:dyDescent="0.3">
      <c r="A7" s="122" t="s">
        <v>168</v>
      </c>
    </row>
    <row r="8" spans="1:6" x14ac:dyDescent="0.3">
      <c r="A8" t="s">
        <v>169</v>
      </c>
    </row>
    <row r="9" spans="1:6" ht="15" customHeight="1" x14ac:dyDescent="0.3">
      <c r="A9" s="122" t="s">
        <v>170</v>
      </c>
      <c r="B9" s="122"/>
      <c r="C9" s="122"/>
      <c r="D9" s="122"/>
    </row>
    <row r="10" spans="1:6" ht="15" customHeight="1" x14ac:dyDescent="0.3">
      <c r="A10" s="122"/>
      <c r="B10" s="122"/>
    </row>
    <row r="11" spans="1:6" ht="15" customHeight="1" x14ac:dyDescent="0.3">
      <c r="A11" s="122" t="s">
        <v>171</v>
      </c>
      <c r="B11" s="122" t="s">
        <v>172</v>
      </c>
      <c r="C11" t="s">
        <v>173</v>
      </c>
      <c r="D11" s="124" t="s">
        <v>174</v>
      </c>
      <c r="E11" s="125"/>
      <c r="F11" s="125"/>
    </row>
    <row r="12" spans="1:6" ht="15" customHeight="1" x14ac:dyDescent="0.3">
      <c r="A12" s="122" t="s">
        <v>3</v>
      </c>
      <c r="B12" s="188">
        <v>7.4007614157875219</v>
      </c>
      <c r="C12" s="189">
        <v>0.27410227465879711</v>
      </c>
      <c r="D12" s="125">
        <v>0.27410227465879711</v>
      </c>
      <c r="E12" s="125"/>
      <c r="F12" s="125"/>
    </row>
    <row r="13" spans="1:6" ht="15" customHeight="1" x14ac:dyDescent="0.3">
      <c r="A13" s="122" t="s">
        <v>5</v>
      </c>
      <c r="B13" s="188">
        <v>2.93012554608161</v>
      </c>
      <c r="C13" s="189">
        <v>0.1085231683733929</v>
      </c>
      <c r="D13" s="125">
        <v>0.38262544303218998</v>
      </c>
      <c r="E13" s="125"/>
      <c r="F13" s="125"/>
    </row>
    <row r="14" spans="1:6" ht="15" customHeight="1" x14ac:dyDescent="0.3">
      <c r="A14" s="122" t="s">
        <v>6</v>
      </c>
      <c r="B14" s="188">
        <v>1.204855233193193</v>
      </c>
      <c r="C14" s="189">
        <v>4.4624267896044192E-2</v>
      </c>
      <c r="D14" s="125">
        <v>0.42724971092823422</v>
      </c>
      <c r="E14" s="125"/>
      <c r="F14" s="125"/>
    </row>
    <row r="15" spans="1:6" ht="15" customHeight="1" x14ac:dyDescent="0.3">
      <c r="A15" s="122" t="s">
        <v>7</v>
      </c>
      <c r="B15" s="188">
        <v>1.0963101207566419</v>
      </c>
      <c r="C15" s="189">
        <v>4.0604078546542299E-2</v>
      </c>
      <c r="D15" s="125">
        <v>0.46785378947477652</v>
      </c>
      <c r="E15" s="125"/>
      <c r="F15" s="125"/>
    </row>
    <row r="16" spans="1:6" ht="15" customHeight="1" x14ac:dyDescent="0.3">
      <c r="A16" s="122" t="s">
        <v>8</v>
      </c>
      <c r="B16" s="188">
        <v>0.96696319837869016</v>
      </c>
      <c r="C16" s="189">
        <v>3.5813451791803341E-2</v>
      </c>
      <c r="D16" s="125">
        <v>0.50366724126657991</v>
      </c>
      <c r="E16" s="125"/>
      <c r="F16" s="125"/>
    </row>
    <row r="17" spans="1:6" ht="15" customHeight="1" x14ac:dyDescent="0.3">
      <c r="A17" s="122" t="s">
        <v>10</v>
      </c>
      <c r="B17" s="188">
        <v>0.92015725036442875</v>
      </c>
      <c r="C17" s="189">
        <v>3.4079898161645507E-2</v>
      </c>
      <c r="D17" s="125">
        <v>0.53774713942822538</v>
      </c>
      <c r="E17" s="125"/>
      <c r="F17" s="125"/>
    </row>
    <row r="18" spans="1:6" ht="15" customHeight="1" x14ac:dyDescent="0.3">
      <c r="A18" s="122" t="s">
        <v>11</v>
      </c>
      <c r="B18" s="188">
        <v>0.9047822532863955</v>
      </c>
      <c r="C18" s="189">
        <v>3.3510453825422053E-2</v>
      </c>
      <c r="D18" s="125">
        <v>0.57125759325364744</v>
      </c>
      <c r="E18" s="125"/>
      <c r="F18" s="125"/>
    </row>
    <row r="19" spans="1:6" ht="15" customHeight="1" x14ac:dyDescent="0.3">
      <c r="A19" s="122" t="s">
        <v>12</v>
      </c>
      <c r="B19" s="188">
        <v>0.88297509712943245</v>
      </c>
      <c r="C19" s="189">
        <v>3.2702781375164157E-2</v>
      </c>
      <c r="D19" s="125">
        <v>0.60396037462881158</v>
      </c>
      <c r="E19" s="125"/>
      <c r="F19" s="125"/>
    </row>
    <row r="20" spans="1:6" ht="15" customHeight="1" x14ac:dyDescent="0.3">
      <c r="A20" s="122" t="s">
        <v>13</v>
      </c>
      <c r="B20" s="188">
        <v>0.84008276884441702</v>
      </c>
      <c r="C20" s="189">
        <v>3.1114176623867298E-2</v>
      </c>
      <c r="D20" s="125">
        <v>0.63507455125267886</v>
      </c>
      <c r="E20" s="125"/>
      <c r="F20" s="125"/>
    </row>
    <row r="21" spans="1:6" ht="15" customHeight="1" x14ac:dyDescent="0.3">
      <c r="A21" s="122" t="s">
        <v>14</v>
      </c>
      <c r="B21" s="188">
        <v>0.83297055391180697</v>
      </c>
      <c r="C21" s="189">
        <v>3.0850761255992849E-2</v>
      </c>
      <c r="D21" s="125">
        <v>0.66592531250867171</v>
      </c>
      <c r="E21" s="125"/>
      <c r="F21" s="125"/>
    </row>
    <row r="22" spans="1:6" ht="15" customHeight="1" x14ac:dyDescent="0.3">
      <c r="A22" s="122" t="s">
        <v>15</v>
      </c>
      <c r="B22" s="188">
        <v>0.78113909688930161</v>
      </c>
      <c r="C22" s="189">
        <v>2.893107766256673E-2</v>
      </c>
      <c r="D22" s="125">
        <v>0.69485639017123846</v>
      </c>
      <c r="E22" s="125"/>
      <c r="F22" s="125"/>
    </row>
    <row r="23" spans="1:6" ht="15" customHeight="1" x14ac:dyDescent="0.3">
      <c r="A23" s="122" t="s">
        <v>16</v>
      </c>
      <c r="B23" s="188">
        <v>0.74615859982671073</v>
      </c>
      <c r="C23" s="189">
        <v>2.7635503697285579E-2</v>
      </c>
      <c r="D23" s="125">
        <v>0.72249189386852408</v>
      </c>
      <c r="E23" s="125"/>
      <c r="F23" s="125"/>
    </row>
    <row r="24" spans="1:6" ht="15" customHeight="1" x14ac:dyDescent="0.3">
      <c r="A24" s="122" t="s">
        <v>17</v>
      </c>
      <c r="B24" s="188">
        <v>0.72816626809461238</v>
      </c>
      <c r="C24" s="189">
        <v>2.6969121040541201E-2</v>
      </c>
      <c r="D24" s="125">
        <v>0.74946101490906525</v>
      </c>
      <c r="E24" s="125"/>
      <c r="F24" s="125"/>
    </row>
    <row r="25" spans="1:6" ht="15" customHeight="1" x14ac:dyDescent="0.3">
      <c r="A25" s="122" t="s">
        <v>18</v>
      </c>
      <c r="B25" s="188">
        <v>0.70543295145969898</v>
      </c>
      <c r="C25" s="189">
        <v>2.6127146350359221E-2</v>
      </c>
      <c r="D25" s="125">
        <v>0.77558816125942442</v>
      </c>
      <c r="E25" s="125"/>
      <c r="F25" s="125"/>
    </row>
    <row r="26" spans="1:6" ht="15" customHeight="1" x14ac:dyDescent="0.3">
      <c r="A26" s="122" t="s">
        <v>19</v>
      </c>
      <c r="B26" s="188">
        <v>0.68247634482998565</v>
      </c>
      <c r="C26" s="189">
        <v>2.527690166036984E-2</v>
      </c>
      <c r="D26" s="125">
        <v>0.80086506291979431</v>
      </c>
      <c r="E26" s="125"/>
      <c r="F26" s="125"/>
    </row>
    <row r="27" spans="1:6" ht="15" customHeight="1" x14ac:dyDescent="0.3">
      <c r="A27" s="122" t="s">
        <v>20</v>
      </c>
      <c r="B27" s="188">
        <v>0.64523583098689385</v>
      </c>
      <c r="C27" s="189">
        <v>2.3897623369884959E-2</v>
      </c>
      <c r="D27" s="125">
        <v>0.8247626862896793</v>
      </c>
      <c r="E27" s="125"/>
      <c r="F27" s="125"/>
    </row>
    <row r="28" spans="1:6" ht="15" customHeight="1" x14ac:dyDescent="0.3">
      <c r="A28" s="122" t="s">
        <v>21</v>
      </c>
      <c r="B28" s="188">
        <v>0.63162676490338976</v>
      </c>
      <c r="C28" s="189">
        <v>2.339358388531073E-2</v>
      </c>
      <c r="D28" s="125">
        <v>0.84815627017499007</v>
      </c>
      <c r="E28" s="125"/>
      <c r="F28" s="125"/>
    </row>
    <row r="29" spans="1:6" ht="15" customHeight="1" x14ac:dyDescent="0.3">
      <c r="A29" s="122" t="s">
        <v>22</v>
      </c>
      <c r="B29" s="188">
        <v>0.60793572315208921</v>
      </c>
      <c r="C29" s="189">
        <v>2.251613789452182E-2</v>
      </c>
      <c r="D29" s="125">
        <v>0.87067240806951185</v>
      </c>
      <c r="E29" s="125"/>
      <c r="F29" s="125"/>
    </row>
    <row r="30" spans="1:6" ht="15" customHeight="1" x14ac:dyDescent="0.3">
      <c r="A30" s="122" t="s">
        <v>23</v>
      </c>
      <c r="B30" s="188">
        <v>0.58074780954278526</v>
      </c>
      <c r="C30" s="189">
        <v>2.1509178131214269E-2</v>
      </c>
      <c r="D30" s="125">
        <v>0.89218158620072607</v>
      </c>
      <c r="E30" s="125"/>
      <c r="F30" s="125"/>
    </row>
    <row r="31" spans="1:6" ht="15" customHeight="1" x14ac:dyDescent="0.3">
      <c r="A31" s="122" t="s">
        <v>24</v>
      </c>
      <c r="B31" s="188">
        <v>0.54243028701507168</v>
      </c>
      <c r="C31" s="189">
        <v>2.0090010630187841E-2</v>
      </c>
      <c r="D31" s="125">
        <v>0.91227159683091397</v>
      </c>
      <c r="E31" s="125"/>
      <c r="F31" s="125"/>
    </row>
    <row r="32" spans="1:6" ht="15" customHeight="1" x14ac:dyDescent="0.3">
      <c r="A32" s="122" t="s">
        <v>25</v>
      </c>
      <c r="B32" s="188">
        <v>0.49444849751169739</v>
      </c>
      <c r="C32" s="189">
        <v>1.831290731524805E-2</v>
      </c>
      <c r="D32" s="125">
        <v>0.93058450414616201</v>
      </c>
      <c r="E32" s="125"/>
      <c r="F32" s="125"/>
    </row>
    <row r="33" spans="1:30" ht="15" customHeight="1" x14ac:dyDescent="0.3">
      <c r="A33" s="122" t="s">
        <v>26</v>
      </c>
      <c r="B33" s="188">
        <v>0.46668713290181152</v>
      </c>
      <c r="C33" s="189">
        <v>1.7284708625993021E-2</v>
      </c>
      <c r="D33" s="125">
        <v>0.94786921277215508</v>
      </c>
      <c r="E33" s="125"/>
      <c r="F33" s="125"/>
    </row>
    <row r="34" spans="1:30" ht="15" customHeight="1" x14ac:dyDescent="0.3">
      <c r="A34" s="122" t="s">
        <v>27</v>
      </c>
      <c r="B34" s="188">
        <v>0.33809752481595651</v>
      </c>
      <c r="C34" s="189">
        <v>1.252213054873913E-2</v>
      </c>
      <c r="D34" s="125">
        <v>0.96039134332089415</v>
      </c>
      <c r="E34" s="125"/>
      <c r="F34" s="125"/>
    </row>
    <row r="35" spans="1:30" ht="15" customHeight="1" x14ac:dyDescent="0.3">
      <c r="A35" s="122" t="s">
        <v>28</v>
      </c>
      <c r="B35" s="188">
        <v>0.29306326282536338</v>
      </c>
      <c r="C35" s="189">
        <v>1.08541949194579E-2</v>
      </c>
      <c r="D35" s="125">
        <v>0.97124553824035209</v>
      </c>
      <c r="E35" s="125"/>
      <c r="F35" s="125"/>
    </row>
    <row r="36" spans="1:30" ht="15" customHeight="1" x14ac:dyDescent="0.3">
      <c r="A36" s="122" t="s">
        <v>29</v>
      </c>
      <c r="B36" s="188">
        <v>0.28511384285353403</v>
      </c>
      <c r="C36" s="189">
        <v>1.0559771957538299E-2</v>
      </c>
      <c r="D36" s="125">
        <v>0.98180531019789041</v>
      </c>
      <c r="E36" s="125"/>
      <c r="F36" s="125"/>
    </row>
    <row r="37" spans="1:30" ht="15" customHeight="1" x14ac:dyDescent="0.3">
      <c r="A37" t="s">
        <v>30</v>
      </c>
      <c r="B37" s="183">
        <v>0.26512863915237772</v>
      </c>
      <c r="C37" s="189">
        <v>9.8195792278658392E-3</v>
      </c>
      <c r="D37" s="125">
        <v>0.99162488942575622</v>
      </c>
      <c r="E37" s="125"/>
      <c r="F37" s="125"/>
    </row>
    <row r="38" spans="1:30" ht="15" customHeight="1" x14ac:dyDescent="0.3">
      <c r="A38" s="122" t="s">
        <v>31</v>
      </c>
      <c r="B38" s="183">
        <v>0.22612798550458671</v>
      </c>
      <c r="C38" s="189">
        <v>8.3751105742439508E-3</v>
      </c>
      <c r="D38" s="125">
        <v>1</v>
      </c>
      <c r="E38" s="125"/>
      <c r="F38" s="125"/>
    </row>
    <row r="39" spans="1:30" ht="15" customHeight="1" x14ac:dyDescent="0.3">
      <c r="A39" s="122"/>
      <c r="D39" s="124"/>
      <c r="E39" s="125"/>
      <c r="F39" s="125"/>
    </row>
    <row r="40" spans="1:30" ht="15" customHeight="1" x14ac:dyDescent="0.3">
      <c r="A40" t="s">
        <v>175</v>
      </c>
      <c r="D40" s="124"/>
      <c r="E40" s="125"/>
      <c r="F40" s="125"/>
    </row>
    <row r="41" spans="1:30" ht="15" customHeight="1" x14ac:dyDescent="0.3">
      <c r="A41" s="122" t="s">
        <v>170</v>
      </c>
      <c r="B41" s="122"/>
      <c r="D41" s="124"/>
      <c r="E41" s="125"/>
      <c r="F41" s="125"/>
      <c r="G41" s="122"/>
      <c r="H41" s="122"/>
      <c r="I41" s="122"/>
      <c r="J41" s="122"/>
      <c r="K41" s="122"/>
      <c r="L41" s="122"/>
      <c r="M41" s="122"/>
      <c r="N41" s="122"/>
      <c r="O41" s="122"/>
      <c r="P41" s="122"/>
      <c r="Q41" s="122"/>
      <c r="R41" s="122"/>
      <c r="S41" s="122"/>
      <c r="T41" s="122"/>
      <c r="U41" s="122"/>
      <c r="V41" s="122"/>
      <c r="W41" s="122"/>
      <c r="X41" s="122"/>
      <c r="Y41" s="122"/>
      <c r="Z41" s="122"/>
      <c r="AA41" s="122"/>
      <c r="AB41" s="122"/>
      <c r="AC41" s="122"/>
      <c r="AD41" s="122"/>
    </row>
    <row r="42" spans="1:30" ht="15" customHeight="1" x14ac:dyDescent="0.3">
      <c r="A42" s="122"/>
      <c r="B42" s="122"/>
      <c r="D42" s="124"/>
      <c r="E42" s="125"/>
      <c r="F42" s="125"/>
      <c r="G42" s="122"/>
      <c r="H42" s="122"/>
      <c r="I42" s="122"/>
      <c r="J42" s="122"/>
      <c r="K42" s="122"/>
      <c r="L42" s="122"/>
      <c r="M42" s="122"/>
      <c r="N42" s="122"/>
      <c r="O42" s="122"/>
      <c r="P42" s="122"/>
      <c r="Q42" s="122"/>
      <c r="R42" s="122"/>
      <c r="S42" s="122"/>
      <c r="T42" s="122"/>
      <c r="U42" s="122"/>
      <c r="V42" s="122"/>
      <c r="W42" s="122"/>
      <c r="X42" s="122"/>
      <c r="Y42" s="122"/>
      <c r="Z42" s="122"/>
      <c r="AA42" s="122"/>
      <c r="AB42" s="122"/>
      <c r="AC42" s="122"/>
      <c r="AD42" s="122"/>
    </row>
    <row r="43" spans="1:30" ht="15" customHeight="1" x14ac:dyDescent="0.3">
      <c r="A43" s="122" t="s">
        <v>107</v>
      </c>
      <c r="B43" s="122" t="s">
        <v>176</v>
      </c>
      <c r="C43" t="s">
        <v>109</v>
      </c>
      <c r="D43" s="124" t="s">
        <v>3</v>
      </c>
      <c r="E43" s="125" t="s">
        <v>5</v>
      </c>
      <c r="F43" s="125" t="s">
        <v>6</v>
      </c>
      <c r="G43" s="122" t="s">
        <v>7</v>
      </c>
      <c r="H43" s="122" t="s">
        <v>8</v>
      </c>
      <c r="I43" s="122" t="s">
        <v>10</v>
      </c>
      <c r="J43" s="122" t="s">
        <v>11</v>
      </c>
      <c r="K43" s="122" t="s">
        <v>12</v>
      </c>
      <c r="L43" s="122" t="s">
        <v>13</v>
      </c>
      <c r="M43" s="122" t="s">
        <v>14</v>
      </c>
      <c r="N43" s="122" t="s">
        <v>15</v>
      </c>
      <c r="O43" s="122" t="s">
        <v>16</v>
      </c>
      <c r="P43" s="122" t="s">
        <v>17</v>
      </c>
      <c r="Q43" s="122" t="s">
        <v>18</v>
      </c>
      <c r="R43" s="122" t="s">
        <v>19</v>
      </c>
      <c r="S43" s="122" t="s">
        <v>20</v>
      </c>
      <c r="T43" s="122" t="s">
        <v>21</v>
      </c>
      <c r="U43" s="122" t="s">
        <v>22</v>
      </c>
      <c r="V43" s="122" t="s">
        <v>23</v>
      </c>
      <c r="W43" s="122" t="s">
        <v>24</v>
      </c>
      <c r="X43" s="122" t="s">
        <v>25</v>
      </c>
      <c r="Y43" s="122" t="s">
        <v>26</v>
      </c>
      <c r="Z43" s="122" t="s">
        <v>27</v>
      </c>
      <c r="AA43" s="122" t="s">
        <v>28</v>
      </c>
      <c r="AB43" s="122" t="s">
        <v>29</v>
      </c>
      <c r="AC43" s="122" t="s">
        <v>30</v>
      </c>
      <c r="AD43" s="122" t="s">
        <v>31</v>
      </c>
    </row>
    <row r="44" spans="1:30" ht="15" customHeight="1" x14ac:dyDescent="0.3">
      <c r="A44" s="122">
        <v>1</v>
      </c>
      <c r="B44" s="122" t="s">
        <v>110</v>
      </c>
      <c r="C44" t="s">
        <v>111</v>
      </c>
      <c r="D44" s="190">
        <v>-0.66689099923883244</v>
      </c>
      <c r="E44" s="190">
        <v>-0.56058162735712014</v>
      </c>
      <c r="F44" s="191">
        <v>0.1020363043090088</v>
      </c>
      <c r="G44" s="188">
        <v>-4.9793957056245647E-2</v>
      </c>
      <c r="H44" s="188">
        <v>3.7856085480813199E-2</v>
      </c>
      <c r="I44" s="188">
        <v>-1.9017311763523691E-2</v>
      </c>
      <c r="J44" s="188">
        <v>-6.8058285926558951E-2</v>
      </c>
      <c r="K44" s="188">
        <v>-4.2687713993699389E-2</v>
      </c>
      <c r="L44" s="188">
        <v>1.318844841009946E-2</v>
      </c>
      <c r="M44" s="188">
        <v>6.7976740458759843E-2</v>
      </c>
      <c r="N44" s="188">
        <v>2.3419026276903499E-2</v>
      </c>
      <c r="O44" s="188">
        <v>3.2736456875858792E-2</v>
      </c>
      <c r="P44" s="188">
        <v>-1.2920863851058201E-2</v>
      </c>
      <c r="Q44" s="188">
        <v>-6.19314187516578E-2</v>
      </c>
      <c r="R44" s="188">
        <v>-2.4221540645116502E-2</v>
      </c>
      <c r="S44" s="188">
        <v>-9.7090898880417501E-3</v>
      </c>
      <c r="T44" s="188">
        <v>-5.6034739730915779E-2</v>
      </c>
      <c r="U44" s="188">
        <v>2.4550181301092829E-2</v>
      </c>
      <c r="V44" s="188">
        <v>6.5427527252338732E-2</v>
      </c>
      <c r="W44" s="188">
        <v>0.13355133245835049</v>
      </c>
      <c r="X44" s="188">
        <v>-6.2890693815751242E-2</v>
      </c>
      <c r="Y44" s="188">
        <v>-1.3637225730923439E-2</v>
      </c>
      <c r="Z44" s="188">
        <v>0.1408632501628552</v>
      </c>
      <c r="AA44" s="188">
        <v>-6.3741099120160336E-2</v>
      </c>
      <c r="AB44" s="188">
        <v>-0.1220180811697379</v>
      </c>
      <c r="AC44" s="188">
        <v>1.9562135849486271E-2</v>
      </c>
      <c r="AD44" s="192">
        <v>-0.37361687559288997</v>
      </c>
    </row>
    <row r="45" spans="1:30" ht="15" customHeight="1" x14ac:dyDescent="0.3">
      <c r="A45" s="122">
        <v>2</v>
      </c>
      <c r="B45" s="122" t="s">
        <v>112</v>
      </c>
      <c r="C45" t="s">
        <v>113</v>
      </c>
      <c r="D45" s="190">
        <v>-0.51896613708918171</v>
      </c>
      <c r="E45" s="191">
        <v>0.26436210984547942</v>
      </c>
      <c r="F45" s="191">
        <v>-0.26579552695563202</v>
      </c>
      <c r="G45" s="188">
        <v>0.1600909957491666</v>
      </c>
      <c r="H45" s="188">
        <v>-0.25814369498566081</v>
      </c>
      <c r="I45" s="188">
        <v>0.1016921505969214</v>
      </c>
      <c r="J45" s="188">
        <v>-0.1251975036283221</v>
      </c>
      <c r="K45" s="188">
        <v>0.13002519338739349</v>
      </c>
      <c r="L45" s="188">
        <v>-3.224283251527859E-2</v>
      </c>
      <c r="M45" s="188">
        <v>1.223257782106503E-2</v>
      </c>
      <c r="N45" s="188">
        <v>-0.25496409654280672</v>
      </c>
      <c r="O45" s="188">
        <v>-5.4568447132072782E-2</v>
      </c>
      <c r="P45" s="188">
        <v>-0.10712406435072409</v>
      </c>
      <c r="Q45" s="192">
        <v>-0.32961820791142338</v>
      </c>
      <c r="R45" s="188">
        <v>6.3637941442553123E-2</v>
      </c>
      <c r="S45" s="188">
        <v>-0.233158555575216</v>
      </c>
      <c r="T45" s="188">
        <v>-0.2562876245873828</v>
      </c>
      <c r="U45" s="188">
        <v>-2.3280227454082699E-2</v>
      </c>
      <c r="V45" s="188">
        <v>-6.160440507712113E-2</v>
      </c>
      <c r="W45" s="188">
        <v>-0.24835493978445231</v>
      </c>
      <c r="X45" s="188">
        <v>0.25442186111629977</v>
      </c>
      <c r="Y45" s="188">
        <v>6.0052088003685909E-2</v>
      </c>
      <c r="Z45" s="188">
        <v>2.2880664997856529E-2</v>
      </c>
      <c r="AA45" s="188">
        <v>-1.6499312861433711E-2</v>
      </c>
      <c r="AB45" s="188">
        <v>4.5449503673945152E-2</v>
      </c>
      <c r="AC45" s="188">
        <v>1.576515215013943E-2</v>
      </c>
      <c r="AD45" s="188">
        <v>-6.3973879407910675E-2</v>
      </c>
    </row>
    <row r="46" spans="1:30" ht="15" customHeight="1" x14ac:dyDescent="0.3">
      <c r="A46" s="122">
        <v>3</v>
      </c>
      <c r="B46" s="122" t="s">
        <v>114</v>
      </c>
      <c r="C46" s="122" t="s">
        <v>115</v>
      </c>
      <c r="D46" s="192">
        <v>-0.48041173401195397</v>
      </c>
      <c r="E46" s="192">
        <v>0.36011672856033178</v>
      </c>
      <c r="F46" s="188">
        <v>-0.14740117368036351</v>
      </c>
      <c r="G46" s="188">
        <v>0.1430980847361685</v>
      </c>
      <c r="H46" s="192">
        <v>-0.33848410493092501</v>
      </c>
      <c r="I46" s="188">
        <v>-0.1168317835899788</v>
      </c>
      <c r="J46" s="188">
        <v>-4.1998133756363652E-2</v>
      </c>
      <c r="K46" s="188">
        <v>2.5960214105869229E-2</v>
      </c>
      <c r="L46" s="188">
        <v>-0.20422640307627729</v>
      </c>
      <c r="M46" s="192">
        <v>-0.40160018671384901</v>
      </c>
      <c r="N46" s="188">
        <v>0.11749070448367289</v>
      </c>
      <c r="O46" s="188">
        <v>-7.0755192759836244E-2</v>
      </c>
      <c r="P46" s="188">
        <v>2.728871067608205E-3</v>
      </c>
      <c r="Q46" s="188">
        <v>5.132942027933414E-2</v>
      </c>
      <c r="R46" s="188">
        <v>-8.4147271384713007E-2</v>
      </c>
      <c r="S46" s="188">
        <v>-7.662990196726048E-2</v>
      </c>
      <c r="T46" s="188">
        <v>0.1135960602810813</v>
      </c>
      <c r="U46" s="188">
        <v>-9.0390992538005671E-2</v>
      </c>
      <c r="V46" s="188">
        <v>-0.2201308813779827</v>
      </c>
      <c r="W46" s="188">
        <v>-5.7082376313729047E-2</v>
      </c>
      <c r="X46" s="192">
        <v>-0.3100898095623808</v>
      </c>
      <c r="Y46" s="188">
        <v>-0.22075533258619559</v>
      </c>
      <c r="Z46" s="188">
        <v>7.6680216385987154E-2</v>
      </c>
      <c r="AA46" s="188">
        <v>4.5995201101003802E-2</v>
      </c>
      <c r="AB46" s="188">
        <v>-2.9590008848230719E-2</v>
      </c>
      <c r="AC46" s="188">
        <v>3.8015573170616213E-2</v>
      </c>
      <c r="AD46" s="188">
        <v>-3.5573564727845279E-2</v>
      </c>
    </row>
    <row r="47" spans="1:30" ht="15" customHeight="1" x14ac:dyDescent="0.3">
      <c r="A47" s="122">
        <v>4</v>
      </c>
      <c r="B47" s="122" t="s">
        <v>116</v>
      </c>
      <c r="C47" s="122" t="s">
        <v>117</v>
      </c>
      <c r="D47" s="192">
        <v>-0.74756683624543641</v>
      </c>
      <c r="E47" s="192">
        <v>-0.41673522589850343</v>
      </c>
      <c r="F47" s="188">
        <v>-5.2644053120094368E-2</v>
      </c>
      <c r="G47" s="188">
        <v>5.4773100418310947E-2</v>
      </c>
      <c r="H47" s="188">
        <v>2.2589144159474201E-3</v>
      </c>
      <c r="I47" s="188">
        <v>-1.5907526598066719E-2</v>
      </c>
      <c r="J47" s="188">
        <v>-0.1047020856403973</v>
      </c>
      <c r="K47" s="188">
        <v>8.3259889161904507E-2</v>
      </c>
      <c r="L47" s="188">
        <v>-4.4591945652737733E-2</v>
      </c>
      <c r="M47" s="188">
        <v>-0.11728623895963509</v>
      </c>
      <c r="N47" s="188">
        <v>4.4787814922495693E-2</v>
      </c>
      <c r="O47" s="188">
        <v>1.4945004922102059E-2</v>
      </c>
      <c r="P47" s="188">
        <v>1.569914732499934E-2</v>
      </c>
      <c r="Q47" s="188">
        <v>-1.1542238792616861E-2</v>
      </c>
      <c r="R47" s="188">
        <v>1.8071041522138231E-2</v>
      </c>
      <c r="S47" s="188">
        <v>5.8048365854065616E-4</v>
      </c>
      <c r="T47" s="188">
        <v>-5.9573591221558329E-2</v>
      </c>
      <c r="U47" s="188">
        <v>5.3943784074561872E-2</v>
      </c>
      <c r="V47" s="188">
        <v>3.2777848557528029E-2</v>
      </c>
      <c r="W47" s="188">
        <v>-1.979942649164565E-2</v>
      </c>
      <c r="X47" s="188">
        <v>5.7404068923389388E-2</v>
      </c>
      <c r="Y47" s="188">
        <v>-4.5050351753243102E-2</v>
      </c>
      <c r="Z47" s="188">
        <v>1.336288284735386E-2</v>
      </c>
      <c r="AA47" s="188">
        <v>-1.169760863816794E-2</v>
      </c>
      <c r="AB47" s="188">
        <v>-0.25420873679993089</v>
      </c>
      <c r="AC47" s="192">
        <v>-0.35749015584874622</v>
      </c>
      <c r="AD47" s="188">
        <v>0.13741908286884549</v>
      </c>
    </row>
    <row r="48" spans="1:30" ht="15" customHeight="1" x14ac:dyDescent="0.3">
      <c r="A48" s="122">
        <v>5</v>
      </c>
      <c r="B48" s="122" t="s">
        <v>118</v>
      </c>
      <c r="C48" s="122" t="s">
        <v>119</v>
      </c>
      <c r="D48" s="192">
        <v>-0.55824189296791371</v>
      </c>
      <c r="E48" s="188">
        <v>7.3427332192331676E-2</v>
      </c>
      <c r="F48" s="188">
        <v>-0.1090972908047277</v>
      </c>
      <c r="G48" s="192">
        <v>0.4659809780807519</v>
      </c>
      <c r="H48" s="188">
        <v>-8.8063120718081034E-2</v>
      </c>
      <c r="I48" s="188">
        <v>8.526403362641026E-2</v>
      </c>
      <c r="J48" s="188">
        <v>-3.4827925611594722E-2</v>
      </c>
      <c r="K48" s="188">
        <v>-4.4702087490710238E-2</v>
      </c>
      <c r="L48" s="188">
        <v>-7.1683150633450512E-3</v>
      </c>
      <c r="M48" s="188">
        <v>9.5458308387129528E-2</v>
      </c>
      <c r="N48" s="188">
        <v>5.8728346523197687E-2</v>
      </c>
      <c r="O48" s="188">
        <v>-0.11472721659329781</v>
      </c>
      <c r="P48" s="188">
        <v>0.11338297858386739</v>
      </c>
      <c r="Q48" s="192">
        <v>0.30857392336015949</v>
      </c>
      <c r="R48" s="188">
        <v>0.18076842412971331</v>
      </c>
      <c r="S48" s="188">
        <v>9.9937510939474894E-2</v>
      </c>
      <c r="T48" s="192">
        <v>0.35970481148149869</v>
      </c>
      <c r="U48" s="188">
        <v>-0.1001302924381243</v>
      </c>
      <c r="V48" s="188">
        <v>-0.1046225846996986</v>
      </c>
      <c r="W48" s="188">
        <v>6.159517301273635E-2</v>
      </c>
      <c r="X48" s="188">
        <v>0.29480573416436712</v>
      </c>
      <c r="Y48" s="188">
        <v>6.9268269771778551E-2</v>
      </c>
      <c r="Z48" s="188">
        <v>3.5890853529234101E-2</v>
      </c>
      <c r="AA48" s="188">
        <v>-0.101780179154772</v>
      </c>
      <c r="AB48" s="188">
        <v>-4.0445263689911264E-3</v>
      </c>
      <c r="AC48" s="188">
        <v>1.955074441665601E-2</v>
      </c>
      <c r="AD48" s="188">
        <v>-3.5725820016976703E-2</v>
      </c>
    </row>
    <row r="49" spans="1:30" ht="15" customHeight="1" x14ac:dyDescent="0.3">
      <c r="A49" s="122">
        <v>6</v>
      </c>
      <c r="B49" s="122" t="s">
        <v>120</v>
      </c>
      <c r="C49" s="122" t="s">
        <v>121</v>
      </c>
      <c r="D49" s="192">
        <v>-0.52010264519314009</v>
      </c>
      <c r="E49" s="188">
        <v>0.21340792414974111</v>
      </c>
      <c r="F49" s="192">
        <v>-0.32035950889584991</v>
      </c>
      <c r="G49" s="192">
        <v>0.31768001229847992</v>
      </c>
      <c r="H49" s="188">
        <v>-9.4324750076158731E-2</v>
      </c>
      <c r="I49" s="188">
        <v>0.22238681294555609</v>
      </c>
      <c r="J49" s="188">
        <v>0.17391980699041559</v>
      </c>
      <c r="K49" s="188">
        <v>-0.13008711212958621</v>
      </c>
      <c r="L49" s="188">
        <v>0.14285749763688521</v>
      </c>
      <c r="M49" s="188">
        <v>2.886483027486746E-2</v>
      </c>
      <c r="N49" s="188">
        <v>-7.4908293746119098E-2</v>
      </c>
      <c r="O49" s="188">
        <v>-8.2057117697315968E-2</v>
      </c>
      <c r="P49" s="188">
        <v>-0.19531745421935501</v>
      </c>
      <c r="Q49" s="188">
        <v>-0.1057015951781576</v>
      </c>
      <c r="R49" s="188">
        <v>7.3268566904841056E-2</v>
      </c>
      <c r="S49" s="188">
        <v>5.8476445374601539E-2</v>
      </c>
      <c r="T49" s="188">
        <v>-3.4559577966189137E-2</v>
      </c>
      <c r="U49" s="192">
        <v>0.3038925411732834</v>
      </c>
      <c r="V49" s="188">
        <v>0.1114219509450584</v>
      </c>
      <c r="W49" s="192">
        <v>0.34308145514364391</v>
      </c>
      <c r="X49" s="188">
        <v>-0.19418124648572491</v>
      </c>
      <c r="Y49" s="188">
        <v>8.3326185890481019E-2</v>
      </c>
      <c r="Z49" s="188">
        <v>-7.1571580675142396E-2</v>
      </c>
      <c r="AA49" s="188">
        <v>9.2458610352382592E-2</v>
      </c>
      <c r="AB49" s="188">
        <v>2.2671883330959271E-2</v>
      </c>
      <c r="AC49" s="188">
        <v>-1.8080886038611878E-2</v>
      </c>
      <c r="AD49" s="188">
        <v>1.8806862416525079E-2</v>
      </c>
    </row>
    <row r="50" spans="1:30" ht="15" customHeight="1" x14ac:dyDescent="0.3">
      <c r="A50" s="122">
        <v>7</v>
      </c>
      <c r="B50" s="122" t="s">
        <v>122</v>
      </c>
      <c r="C50" t="s">
        <v>123</v>
      </c>
      <c r="D50" s="192">
        <v>-0.69828638163515111</v>
      </c>
      <c r="E50" s="192">
        <v>-0.51844816508982394</v>
      </c>
      <c r="F50" s="188">
        <v>3.8378904255857653E-2</v>
      </c>
      <c r="G50" s="188">
        <v>3.6906034887976107E-2</v>
      </c>
      <c r="H50" s="188">
        <v>-2.1679654705061249E-2</v>
      </c>
      <c r="I50" s="188">
        <v>1.356118695534541E-2</v>
      </c>
      <c r="J50" s="188">
        <v>-2.4218654837639849E-2</v>
      </c>
      <c r="K50" s="188">
        <v>3.9615628210970012E-2</v>
      </c>
      <c r="L50" s="188">
        <v>-4.1969966860611198E-2</v>
      </c>
      <c r="M50" s="188">
        <v>-7.0954948707415699E-3</v>
      </c>
      <c r="N50" s="188">
        <v>5.2765974698437464E-3</v>
      </c>
      <c r="O50" s="188">
        <v>-2.4620032724815681E-3</v>
      </c>
      <c r="P50" s="188">
        <v>-1.7460825538776429E-2</v>
      </c>
      <c r="Q50" s="188">
        <v>-3.035320390825676E-2</v>
      </c>
      <c r="R50" s="188">
        <v>-7.5299653247185546E-3</v>
      </c>
      <c r="S50" s="188">
        <v>-7.3412173901836311E-2</v>
      </c>
      <c r="T50" s="188">
        <v>-3.3306605767710801E-2</v>
      </c>
      <c r="U50" s="188">
        <v>1.5121408818703131E-2</v>
      </c>
      <c r="V50" s="188">
        <v>0.1373520152490027</v>
      </c>
      <c r="W50" s="188">
        <v>3.0832260809913841E-2</v>
      </c>
      <c r="X50" s="188">
        <v>4.8036886044088123E-2</v>
      </c>
      <c r="Y50" s="188">
        <v>-4.0294121700336659E-2</v>
      </c>
      <c r="Z50" s="188">
        <v>8.1382541200969438E-2</v>
      </c>
      <c r="AA50" s="188">
        <v>3.1951444560838142E-2</v>
      </c>
      <c r="AB50" s="188">
        <v>-0.1942468792463487</v>
      </c>
      <c r="AC50" s="192">
        <v>0.34749833557574927</v>
      </c>
      <c r="AD50" s="188">
        <v>0.19552109807826029</v>
      </c>
    </row>
    <row r="51" spans="1:30" ht="15" customHeight="1" x14ac:dyDescent="0.3">
      <c r="A51" s="122">
        <v>8</v>
      </c>
      <c r="B51" s="122" t="s">
        <v>124</v>
      </c>
      <c r="C51" t="s">
        <v>125</v>
      </c>
      <c r="D51" s="192">
        <v>-0.71280385030990834</v>
      </c>
      <c r="E51" s="192">
        <v>-0.39224074853527158</v>
      </c>
      <c r="F51" s="188">
        <v>-8.9062442195563724E-2</v>
      </c>
      <c r="G51" s="188">
        <v>-9.2598550833667831E-2</v>
      </c>
      <c r="H51" s="188">
        <v>-3.5543414334661953E-2</v>
      </c>
      <c r="I51" s="188">
        <v>6.7029381295944492E-3</v>
      </c>
      <c r="J51" s="188">
        <v>-5.5349250955790831E-2</v>
      </c>
      <c r="K51" s="188">
        <v>-4.591836553819495E-4</v>
      </c>
      <c r="L51" s="188">
        <v>3.2103458842063032E-2</v>
      </c>
      <c r="M51" s="188">
        <v>-1.116100841582247E-2</v>
      </c>
      <c r="N51" s="188">
        <v>5.4063190874278987E-2</v>
      </c>
      <c r="O51" s="188">
        <v>-7.6970911351436312E-3</v>
      </c>
      <c r="P51" s="188">
        <v>0.1320939611769284</v>
      </c>
      <c r="Q51" s="188">
        <v>5.6859256177836617E-2</v>
      </c>
      <c r="R51" s="188">
        <v>3.3064767839275193E-2</v>
      </c>
      <c r="S51" s="188">
        <v>7.9311028756703927E-2</v>
      </c>
      <c r="T51" s="188">
        <v>-6.748206262879744E-2</v>
      </c>
      <c r="U51" s="188">
        <v>-0.1077361685176247</v>
      </c>
      <c r="V51" s="188">
        <v>-3.5318690720650157E-2</v>
      </c>
      <c r="W51" s="188">
        <v>-8.1706084824269415E-3</v>
      </c>
      <c r="X51" s="188">
        <v>8.6163318444076459E-2</v>
      </c>
      <c r="Y51" s="188">
        <v>-0.17547530503904021</v>
      </c>
      <c r="Z51" s="192">
        <v>-0.42815134835523322</v>
      </c>
      <c r="AA51" s="188">
        <v>0.19228417283913291</v>
      </c>
      <c r="AB51" s="188">
        <v>5.019636549532891E-2</v>
      </c>
      <c r="AC51" s="188">
        <v>3.5331862811349403E-2</v>
      </c>
      <c r="AD51" s="188">
        <v>-7.2326237018244199E-2</v>
      </c>
    </row>
    <row r="52" spans="1:30" ht="15" customHeight="1" x14ac:dyDescent="0.3">
      <c r="A52" s="122">
        <v>9</v>
      </c>
      <c r="B52" s="122" t="s">
        <v>126</v>
      </c>
      <c r="C52" s="122" t="s">
        <v>127</v>
      </c>
      <c r="D52" s="192">
        <v>-0.39911671633977458</v>
      </c>
      <c r="E52" s="192">
        <v>0.31616392706975238</v>
      </c>
      <c r="F52" s="188">
        <v>-0.18669194256517921</v>
      </c>
      <c r="G52" s="188">
        <v>7.8552924610907245E-3</v>
      </c>
      <c r="H52" s="188">
        <v>0.2420558007979027</v>
      </c>
      <c r="I52" s="188">
        <v>-0.26755078759186879</v>
      </c>
      <c r="J52" s="192">
        <v>0.38880389340634069</v>
      </c>
      <c r="K52" s="188">
        <v>9.5284186356257433E-2</v>
      </c>
      <c r="L52" s="188">
        <v>8.6763969447070627E-2</v>
      </c>
      <c r="M52" s="188">
        <v>-2.367094868565707E-2</v>
      </c>
      <c r="N52" s="192">
        <v>0.36953397693362838</v>
      </c>
      <c r="O52" s="188">
        <v>0.1349947530052846</v>
      </c>
      <c r="P52" s="188">
        <v>-0.13425118995737151</v>
      </c>
      <c r="Q52" s="192">
        <v>-0.33965628755971861</v>
      </c>
      <c r="R52" s="188">
        <v>0.10071809567417089</v>
      </c>
      <c r="S52" s="188">
        <v>-9.0624236407343978E-3</v>
      </c>
      <c r="T52" s="188">
        <v>0.2230852480805994</v>
      </c>
      <c r="U52" s="188">
        <v>-0.11484946484191561</v>
      </c>
      <c r="V52" s="188">
        <v>0.1636218602341791</v>
      </c>
      <c r="W52" s="188">
        <v>-9.1896415569390072E-2</v>
      </c>
      <c r="X52" s="188">
        <v>8.306335312347421E-2</v>
      </c>
      <c r="Y52" s="188">
        <v>-4.553101856425288E-2</v>
      </c>
      <c r="Z52" s="188">
        <v>-1.13470432575551E-2</v>
      </c>
      <c r="AA52" s="188">
        <v>1.053041995636388E-2</v>
      </c>
      <c r="AB52" s="188">
        <v>-2.6459918769661351E-2</v>
      </c>
      <c r="AC52" s="188">
        <v>1.155970525817566E-3</v>
      </c>
      <c r="AD52" s="188">
        <v>-2.8933995766894548E-2</v>
      </c>
    </row>
    <row r="53" spans="1:30" ht="15" customHeight="1" x14ac:dyDescent="0.3">
      <c r="A53">
        <v>10</v>
      </c>
      <c r="B53" t="s">
        <v>128</v>
      </c>
      <c r="C53" t="s">
        <v>129</v>
      </c>
      <c r="D53" s="193">
        <v>-0.47436458486978739</v>
      </c>
      <c r="E53" s="193">
        <v>0.39406157460601082</v>
      </c>
      <c r="F53" s="183">
        <v>5.6399080050209029E-4</v>
      </c>
      <c r="G53" s="183">
        <v>-4.294191627942185E-2</v>
      </c>
      <c r="H53" s="183">
        <v>0.22555971168142319</v>
      </c>
      <c r="I53" s="183">
        <v>-0.1813632463012875</v>
      </c>
      <c r="J53" s="183">
        <v>-9.3176456188692774E-2</v>
      </c>
      <c r="K53" s="183">
        <v>9.3129905639189381E-2</v>
      </c>
      <c r="L53" s="183">
        <v>-7.4134801059829447E-3</v>
      </c>
      <c r="M53" s="183">
        <v>-0.21275962153482031</v>
      </c>
      <c r="N53" s="183">
        <v>0.12073704564926779</v>
      </c>
      <c r="O53" s="183">
        <v>0.2698801978979834</v>
      </c>
      <c r="P53" s="183">
        <v>0.1973463818996733</v>
      </c>
      <c r="Q53" s="183">
        <v>4.8737407457909269E-2</v>
      </c>
      <c r="R53" s="183">
        <v>0.26147565509459941</v>
      </c>
      <c r="S53" s="183">
        <v>0.17249091672254219</v>
      </c>
      <c r="T53" s="183">
        <v>-0.26822032857853678</v>
      </c>
      <c r="U53" s="183">
        <v>0.27840572704148348</v>
      </c>
      <c r="V53" s="183">
        <v>-0.2574178774972255</v>
      </c>
      <c r="W53" s="183">
        <v>4.5231769030893917E-2</v>
      </c>
      <c r="X53" s="188">
        <v>3.1240804524775109E-2</v>
      </c>
      <c r="Y53" s="188">
        <v>0.1196377437859492</v>
      </c>
      <c r="Z53" s="188">
        <v>-7.5341879550296677E-3</v>
      </c>
      <c r="AA53" s="188">
        <v>-7.2206963698619397E-2</v>
      </c>
      <c r="AB53" s="188">
        <v>-1.3013855908182451E-2</v>
      </c>
      <c r="AC53" s="188">
        <v>7.7786847224059985E-2</v>
      </c>
      <c r="AD53" s="188">
        <v>-2.2138057520250682E-3</v>
      </c>
    </row>
    <row r="54" spans="1:30" ht="15" customHeight="1" x14ac:dyDescent="0.3">
      <c r="A54">
        <v>11</v>
      </c>
      <c r="B54" t="s">
        <v>130</v>
      </c>
      <c r="C54" t="s">
        <v>131</v>
      </c>
      <c r="D54" s="190">
        <v>-0.57013471092297896</v>
      </c>
      <c r="E54" s="191">
        <v>2.6951927079375861E-2</v>
      </c>
      <c r="F54" s="191">
        <v>0.26702119744539049</v>
      </c>
      <c r="G54" s="191">
        <v>0.28140897781821511</v>
      </c>
      <c r="H54" s="191">
        <v>0.29875477556466468</v>
      </c>
      <c r="I54" s="191">
        <v>-0.19856766600599729</v>
      </c>
      <c r="J54" s="191">
        <v>-0.1445359524611084</v>
      </c>
      <c r="K54" s="191">
        <v>-1.6705461913873381E-2</v>
      </c>
      <c r="L54" s="191">
        <v>-8.0703413976520047E-2</v>
      </c>
      <c r="M54" s="191">
        <v>-0.1310309005549409</v>
      </c>
      <c r="N54" s="191">
        <v>-0.2421115945568976</v>
      </c>
      <c r="O54" s="191">
        <v>3.8684878072400217E-2</v>
      </c>
      <c r="P54" s="191">
        <v>-0.11494335581126459</v>
      </c>
      <c r="Q54" s="191">
        <v>1.1676240815694581E-2</v>
      </c>
      <c r="R54" s="191">
        <v>-0.2343431457476926</v>
      </c>
      <c r="S54" s="191">
        <v>-1.918142769470646E-2</v>
      </c>
      <c r="T54" s="191">
        <v>0.20433802543176499</v>
      </c>
      <c r="U54" s="191">
        <v>6.4790010327697226E-2</v>
      </c>
      <c r="V54" s="191">
        <v>3.2205244078576702E-2</v>
      </c>
      <c r="W54" s="191">
        <v>-0.2060925208266646</v>
      </c>
      <c r="X54" s="188">
        <v>-0.10434326933857289</v>
      </c>
      <c r="Y54" s="192">
        <v>0.31119817251979021</v>
      </c>
      <c r="Z54" s="188">
        <v>-0.10643683656477319</v>
      </c>
      <c r="AA54" s="188">
        <v>0.1094257560030361</v>
      </c>
      <c r="AB54" s="188">
        <v>-8.6813739757803845E-3</v>
      </c>
      <c r="AC54" s="188">
        <v>8.7918306645238305E-3</v>
      </c>
      <c r="AD54" s="188">
        <v>-2.8203501989012399E-2</v>
      </c>
    </row>
    <row r="55" spans="1:30" ht="15" customHeight="1" x14ac:dyDescent="0.3">
      <c r="A55">
        <v>12</v>
      </c>
      <c r="B55" t="s">
        <v>132</v>
      </c>
      <c r="C55" t="s">
        <v>133</v>
      </c>
      <c r="D55" s="190">
        <v>-0.40503877882722528</v>
      </c>
      <c r="E55" s="190">
        <v>0.36411590571920732</v>
      </c>
      <c r="F55" s="191">
        <v>0.23055600913857749</v>
      </c>
      <c r="G55" s="191">
        <v>-0.1393764906802118</v>
      </c>
      <c r="H55" s="191">
        <v>-0.1041924307703985</v>
      </c>
      <c r="I55" s="190">
        <v>-0.30130974567846119</v>
      </c>
      <c r="J55" s="191">
        <v>-0.1872696432286898</v>
      </c>
      <c r="K55" s="191">
        <v>2.240598008210587E-2</v>
      </c>
      <c r="L55" s="191">
        <v>-5.8703462427009004E-3</v>
      </c>
      <c r="M55" s="190">
        <v>0.37949092472765239</v>
      </c>
      <c r="N55" s="191">
        <v>-4.9136872089988022E-2</v>
      </c>
      <c r="O55" s="194">
        <v>-0.154398584044459</v>
      </c>
      <c r="P55" s="191">
        <v>-8.7340831454236795E-2</v>
      </c>
      <c r="Q55" s="191">
        <v>8.5432425736353929E-2</v>
      </c>
      <c r="R55" s="190">
        <v>0.474125357591693</v>
      </c>
      <c r="S55" s="194">
        <v>-0.14929849282876931</v>
      </c>
      <c r="T55" s="191">
        <v>-7.1497722376725938E-5</v>
      </c>
      <c r="U55" s="191">
        <v>-9.8439510919908296E-2</v>
      </c>
      <c r="V55" s="191">
        <v>7.1497367739374665E-2</v>
      </c>
      <c r="W55" s="191">
        <v>-4.459497944405184E-3</v>
      </c>
      <c r="X55" s="188">
        <v>-0.1969104926399903</v>
      </c>
      <c r="Y55" s="188">
        <v>2.996094144572977E-2</v>
      </c>
      <c r="Z55" s="188">
        <v>-1.9156762545210839E-2</v>
      </c>
      <c r="AA55" s="188">
        <v>5.9193886637000447E-2</v>
      </c>
      <c r="AB55" s="188">
        <v>-4.4268259484811168E-2</v>
      </c>
      <c r="AC55" s="188">
        <v>-2.2738739391269251E-2</v>
      </c>
      <c r="AD55" s="188">
        <v>2.0283486189185611E-2</v>
      </c>
    </row>
    <row r="56" spans="1:30" ht="15" customHeight="1" x14ac:dyDescent="0.3">
      <c r="A56">
        <v>13</v>
      </c>
      <c r="B56" t="s">
        <v>134</v>
      </c>
      <c r="C56" t="s">
        <v>135</v>
      </c>
      <c r="D56" s="190">
        <v>-0.33006505876075121</v>
      </c>
      <c r="E56" s="190">
        <v>0.30608380033663352</v>
      </c>
      <c r="F56" s="190">
        <v>0.48971498137050062</v>
      </c>
      <c r="G56" s="191">
        <v>-7.2747071892516803E-3</v>
      </c>
      <c r="H56" s="191">
        <v>-1.5311594732909641E-2</v>
      </c>
      <c r="I56" s="191">
        <v>0.17793838729495989</v>
      </c>
      <c r="J56" s="191">
        <v>0.20783606376524849</v>
      </c>
      <c r="K56" s="191">
        <v>5.3802482472010471E-2</v>
      </c>
      <c r="L56" s="190">
        <v>-0.46487522376636348</v>
      </c>
      <c r="M56" s="191">
        <v>-1.315181033826302E-2</v>
      </c>
      <c r="N56" s="191">
        <v>-0.12648653049574249</v>
      </c>
      <c r="O56" s="191">
        <v>7.8593916734453428E-2</v>
      </c>
      <c r="P56" s="191">
        <v>0.28181321682661148</v>
      </c>
      <c r="Q56" s="191">
        <v>-0.22804192793894931</v>
      </c>
      <c r="R56" s="191">
        <v>2.1254564433374729E-2</v>
      </c>
      <c r="S56" s="191">
        <v>-0.15950749777030671</v>
      </c>
      <c r="T56" s="194">
        <v>9.4633648298195691E-2</v>
      </c>
      <c r="U56" s="191">
        <v>1.31350748181369E-2</v>
      </c>
      <c r="V56" s="191">
        <v>3.4508345355866728E-2</v>
      </c>
      <c r="W56" s="191">
        <v>0.24603481377293121</v>
      </c>
      <c r="X56" s="188">
        <v>8.1945285610490984E-2</v>
      </c>
      <c r="Y56" s="188">
        <v>-5.0591090660786528E-2</v>
      </c>
      <c r="Z56" s="188">
        <v>-3.6488945631022E-2</v>
      </c>
      <c r="AA56" s="188">
        <v>1.4285956187954561E-2</v>
      </c>
      <c r="AB56" s="188">
        <v>2.882970024310318E-2</v>
      </c>
      <c r="AC56" s="188">
        <v>-3.4364552846309668E-2</v>
      </c>
      <c r="AD56" s="188">
        <v>7.8053290297827082E-3</v>
      </c>
    </row>
    <row r="57" spans="1:30" ht="15" customHeight="1" x14ac:dyDescent="0.3">
      <c r="A57">
        <v>14</v>
      </c>
      <c r="B57" t="s">
        <v>136</v>
      </c>
      <c r="C57" t="s">
        <v>137</v>
      </c>
      <c r="D57" s="190">
        <v>-0.45334155508119739</v>
      </c>
      <c r="E57" s="190">
        <v>0.30685703474096898</v>
      </c>
      <c r="F57" s="194">
        <v>-0.27034363470580441</v>
      </c>
      <c r="G57" s="191">
        <v>0.21922371816671429</v>
      </c>
      <c r="H57" s="191">
        <v>0.14943993906980049</v>
      </c>
      <c r="I57" s="191">
        <v>-1.1309158788192259E-2</v>
      </c>
      <c r="J57" s="191">
        <v>2.741777312338306E-2</v>
      </c>
      <c r="K57" s="191">
        <v>0.21768018437967401</v>
      </c>
      <c r="L57" s="191">
        <v>-1.025778978781958E-2</v>
      </c>
      <c r="M57" s="191">
        <v>0.24901791625513831</v>
      </c>
      <c r="N57" s="191">
        <v>8.4946037535047647E-2</v>
      </c>
      <c r="O57" s="191">
        <v>-9.4832898000087491E-3</v>
      </c>
      <c r="P57" s="190">
        <v>0.43562657686461848</v>
      </c>
      <c r="Q57" s="191">
        <v>0.16158625607064109</v>
      </c>
      <c r="R57" s="191">
        <v>-0.24021046597820589</v>
      </c>
      <c r="S57" s="191">
        <v>-5.5972139171329691E-2</v>
      </c>
      <c r="T57" s="191">
        <v>-0.22962733788608641</v>
      </c>
      <c r="U57" s="191">
        <v>-0.1393177309991335</v>
      </c>
      <c r="V57" s="191">
        <v>0.24605154573647289</v>
      </c>
      <c r="W57" s="191">
        <v>-3.3524091714669149E-2</v>
      </c>
      <c r="X57" s="188">
        <v>-0.1456924149454587</v>
      </c>
      <c r="Y57" s="188">
        <v>3.6125583361867719E-2</v>
      </c>
      <c r="Z57" s="188">
        <v>6.0840191525032658E-2</v>
      </c>
      <c r="AA57" s="188">
        <v>6.0087111059267317E-3</v>
      </c>
      <c r="AB57" s="188">
        <v>4.6363487251218062E-2</v>
      </c>
      <c r="AC57" s="188">
        <v>-1.4197553196405539E-2</v>
      </c>
      <c r="AD57" s="188">
        <v>4.4621782192023141E-3</v>
      </c>
    </row>
    <row r="58" spans="1:30" ht="15" customHeight="1" x14ac:dyDescent="0.3">
      <c r="A58">
        <v>15</v>
      </c>
      <c r="B58" t="s">
        <v>138</v>
      </c>
      <c r="C58" t="s">
        <v>139</v>
      </c>
      <c r="D58" s="190">
        <v>-0.38740471831220341</v>
      </c>
      <c r="E58" s="190">
        <v>0.34473794443214412</v>
      </c>
      <c r="F58" s="191">
        <v>0.1101208977324797</v>
      </c>
      <c r="G58" s="191">
        <v>-4.9064969813163641E-2</v>
      </c>
      <c r="H58" s="191">
        <v>-7.6314702897398501E-2</v>
      </c>
      <c r="I58" s="191">
        <v>0.2360660704577984</v>
      </c>
      <c r="J58" s="190">
        <v>-0.34073630250803949</v>
      </c>
      <c r="K58" s="191">
        <v>-8.6867608974584329E-2</v>
      </c>
      <c r="L58" s="190">
        <v>0.41033675849831391</v>
      </c>
      <c r="M58" s="191">
        <v>-0.13025253761766409</v>
      </c>
      <c r="N58" s="191">
        <v>-8.7472069796901974E-2</v>
      </c>
      <c r="O58" s="190">
        <v>0.49293710399926632</v>
      </c>
      <c r="P58" s="191">
        <v>3.6352272606371971E-2</v>
      </c>
      <c r="Q58" s="191">
        <v>7.6756227326014222E-3</v>
      </c>
      <c r="R58" s="191">
        <v>1.7071653292394452E-2</v>
      </c>
      <c r="S58" s="191">
        <v>-0.1119747485527457</v>
      </c>
      <c r="T58" s="191">
        <v>0.14680297909355461</v>
      </c>
      <c r="U58" s="191">
        <v>-0.1123049075704593</v>
      </c>
      <c r="V58" s="191">
        <v>0.17783969680528969</v>
      </c>
      <c r="W58" s="191">
        <v>3.9214900431327672E-2</v>
      </c>
      <c r="X58" s="188">
        <v>-2.3840069763105438E-2</v>
      </c>
      <c r="Y58" s="188">
        <v>-0.1030406531771412</v>
      </c>
      <c r="Z58" s="188">
        <v>1.798428272868342E-2</v>
      </c>
      <c r="AA58" s="188">
        <v>-2.4859355796819121E-2</v>
      </c>
      <c r="AB58" s="188">
        <v>3.4823892985554349E-2</v>
      </c>
      <c r="AC58" s="188">
        <v>-9.7691455718258904E-3</v>
      </c>
      <c r="AD58" s="188">
        <v>1.96707580525739E-2</v>
      </c>
    </row>
    <row r="59" spans="1:30" ht="15" customHeight="1" x14ac:dyDescent="0.3">
      <c r="A59">
        <v>16</v>
      </c>
      <c r="B59" t="s">
        <v>140</v>
      </c>
      <c r="C59" t="s">
        <v>141</v>
      </c>
      <c r="D59" s="190">
        <v>-0.41255172109539739</v>
      </c>
      <c r="E59" s="194">
        <v>0.25842173142035918</v>
      </c>
      <c r="F59" s="190">
        <v>0.31705024711642898</v>
      </c>
      <c r="G59" s="191">
        <v>-5.6881024702795401E-2</v>
      </c>
      <c r="H59" s="191">
        <v>5.4180688126595992E-3</v>
      </c>
      <c r="I59" s="190">
        <v>0.49840602931711181</v>
      </c>
      <c r="J59" s="191">
        <v>-3.5630677203451852E-2</v>
      </c>
      <c r="K59" s="190">
        <v>0.33380993632376232</v>
      </c>
      <c r="L59" s="191">
        <v>7.875316400458475E-2</v>
      </c>
      <c r="M59" s="191">
        <v>0.12479914380862971</v>
      </c>
      <c r="N59" s="191">
        <v>0.13522964533150469</v>
      </c>
      <c r="O59" s="191">
        <v>-0.1733999187210486</v>
      </c>
      <c r="P59" s="191">
        <v>-5.2786618915406633E-2</v>
      </c>
      <c r="Q59" s="191">
        <v>-0.10286590805906019</v>
      </c>
      <c r="R59" s="191">
        <v>6.2148831372126571E-3</v>
      </c>
      <c r="S59" s="190">
        <v>0.36139470210548857</v>
      </c>
      <c r="T59" s="191">
        <v>5.4509095486939461E-2</v>
      </c>
      <c r="U59" s="191">
        <v>7.7250305924941767E-2</v>
      </c>
      <c r="V59" s="191">
        <v>-2.4036273319276671E-2</v>
      </c>
      <c r="W59" s="191">
        <v>-0.24079702603278649</v>
      </c>
      <c r="X59" s="188">
        <v>-0.10838944158314801</v>
      </c>
      <c r="Y59" s="188">
        <v>-5.2712424943563423E-2</v>
      </c>
      <c r="Z59" s="188">
        <v>1.043066362521E-2</v>
      </c>
      <c r="AA59" s="188">
        <v>-7.132931528333347E-3</v>
      </c>
      <c r="AB59" s="188">
        <v>-3.5851797791153349E-2</v>
      </c>
      <c r="AC59" s="188">
        <v>1.9107663578924929E-2</v>
      </c>
      <c r="AD59" s="188">
        <v>-1.206541448631375E-2</v>
      </c>
    </row>
    <row r="60" spans="1:30" ht="15" customHeight="1" x14ac:dyDescent="0.3">
      <c r="A60">
        <v>17</v>
      </c>
      <c r="B60" t="s">
        <v>142</v>
      </c>
      <c r="C60" t="s">
        <v>143</v>
      </c>
      <c r="D60" s="190">
        <v>-0.49257781817553742</v>
      </c>
      <c r="E60" s="194">
        <v>0.1046775348089795</v>
      </c>
      <c r="F60" s="191">
        <v>6.2149785114458608E-2</v>
      </c>
      <c r="G60" s="191">
        <v>-0.20944151189110011</v>
      </c>
      <c r="H60" s="191">
        <v>-0.20453400771321231</v>
      </c>
      <c r="I60" s="191">
        <v>-0.1128557361251597</v>
      </c>
      <c r="J60" s="190">
        <v>0.51728751413436991</v>
      </c>
      <c r="K60" s="191">
        <v>-5.7549613780227951E-2</v>
      </c>
      <c r="L60" s="191">
        <v>0.1968801076599235</v>
      </c>
      <c r="M60" s="191">
        <v>9.9366956843594447E-3</v>
      </c>
      <c r="N60" s="190">
        <v>-0.31176874721892428</v>
      </c>
      <c r="O60" s="191">
        <v>3.39065579956217E-2</v>
      </c>
      <c r="P60" s="194">
        <v>0.12685163575373309</v>
      </c>
      <c r="Q60" s="191">
        <v>0.25830333766937918</v>
      </c>
      <c r="R60" s="191">
        <v>-1.709847858339688E-2</v>
      </c>
      <c r="S60" s="191">
        <v>-3.785396669369917E-2</v>
      </c>
      <c r="T60" s="191">
        <v>5.8548709507150389E-2</v>
      </c>
      <c r="U60" s="191">
        <v>0.27581216124892322</v>
      </c>
      <c r="V60" s="191">
        <v>5.9937387212005838E-2</v>
      </c>
      <c r="W60" s="191">
        <v>-0.22992584921927139</v>
      </c>
      <c r="X60" s="188">
        <v>3.6190858384655959E-2</v>
      </c>
      <c r="Y60" s="188">
        <v>-0.1051319097687308</v>
      </c>
      <c r="Z60" s="188">
        <v>1.911642641842675E-2</v>
      </c>
      <c r="AA60" s="188">
        <v>-2.0048253305684081E-2</v>
      </c>
      <c r="AB60" s="188">
        <v>-3.8800526528293203E-2</v>
      </c>
      <c r="AC60" s="188">
        <v>-6.9394973524951314E-3</v>
      </c>
      <c r="AD60" s="188">
        <v>-2.8689928805512289E-2</v>
      </c>
    </row>
    <row r="61" spans="1:30" ht="15" customHeight="1" x14ac:dyDescent="0.3">
      <c r="A61">
        <v>18</v>
      </c>
      <c r="B61" t="s">
        <v>144</v>
      </c>
      <c r="C61" t="s">
        <v>145</v>
      </c>
      <c r="D61" s="190">
        <v>-0.71159327372373993</v>
      </c>
      <c r="E61" s="190">
        <v>-0.45777159753848828</v>
      </c>
      <c r="F61" s="191">
        <v>-5.5780879821177892E-5</v>
      </c>
      <c r="G61" s="191">
        <v>-3.5801803680917531E-2</v>
      </c>
      <c r="H61" s="191">
        <v>-1.6420328932514421E-3</v>
      </c>
      <c r="I61" s="191">
        <v>-4.9401574548892442E-2</v>
      </c>
      <c r="J61" s="191">
        <v>-1.408867759299939E-2</v>
      </c>
      <c r="K61" s="194">
        <v>4.0276832910461939E-3</v>
      </c>
      <c r="L61" s="191">
        <v>-5.1031074096441337E-2</v>
      </c>
      <c r="M61" s="191">
        <v>-4.2047165994452462E-2</v>
      </c>
      <c r="N61" s="191">
        <v>1.7775752080914101E-2</v>
      </c>
      <c r="O61" s="191">
        <v>-8.2649898245152689E-2</v>
      </c>
      <c r="P61" s="191">
        <v>-3.6092544294050642E-2</v>
      </c>
      <c r="Q61" s="194">
        <v>-7.1196376601273467E-2</v>
      </c>
      <c r="R61" s="191">
        <v>2.2319244010747891E-2</v>
      </c>
      <c r="S61" s="191">
        <v>-6.5737587173833767E-2</v>
      </c>
      <c r="T61" s="191">
        <v>4.0820179651410347E-2</v>
      </c>
      <c r="U61" s="191">
        <v>3.7094653417188657E-2</v>
      </c>
      <c r="V61" s="191">
        <v>6.8113346095945396E-2</v>
      </c>
      <c r="W61" s="191">
        <v>-3.9502515581856773E-2</v>
      </c>
      <c r="X61" s="188">
        <v>-0.16648618526582229</v>
      </c>
      <c r="Y61" s="188">
        <v>-8.4050964650547455E-3</v>
      </c>
      <c r="Z61" s="188">
        <v>-0.1332146912401144</v>
      </c>
      <c r="AA61" s="192">
        <v>-0.39313163209643642</v>
      </c>
      <c r="AB61" s="188">
        <v>0.20839548519618301</v>
      </c>
      <c r="AC61" s="188">
        <v>-4.8876885485605443E-4</v>
      </c>
      <c r="AD61" s="188">
        <v>6.8353227694368329E-2</v>
      </c>
    </row>
    <row r="62" spans="1:30" ht="15" customHeight="1" x14ac:dyDescent="0.3">
      <c r="A62">
        <v>19</v>
      </c>
      <c r="B62" t="s">
        <v>146</v>
      </c>
      <c r="C62" t="s">
        <v>147</v>
      </c>
      <c r="D62" s="190">
        <v>-0.40919651757179198</v>
      </c>
      <c r="E62" s="190">
        <v>0.32770392912382712</v>
      </c>
      <c r="F62" s="191">
        <v>3.9426790184154688E-2</v>
      </c>
      <c r="G62" s="191">
        <v>-0.2354488793975002</v>
      </c>
      <c r="H62" s="191">
        <v>0.29279305012810941</v>
      </c>
      <c r="I62" s="191">
        <v>1.241423667709643E-3</v>
      </c>
      <c r="J62" s="194">
        <v>1.2604346996048199E-2</v>
      </c>
      <c r="K62" s="190">
        <v>0.4209571320361179</v>
      </c>
      <c r="L62" s="191">
        <v>0.2051523296470816</v>
      </c>
      <c r="M62" s="191">
        <v>-0.1761978882746412</v>
      </c>
      <c r="N62" s="191">
        <v>-9.2335362505993418E-2</v>
      </c>
      <c r="O62" s="191">
        <v>-0.26871794822822909</v>
      </c>
      <c r="P62" s="191">
        <v>-0.22419726853518379</v>
      </c>
      <c r="Q62" s="191">
        <v>0.1998286548911565</v>
      </c>
      <c r="R62" s="191">
        <v>-0.14170446137422721</v>
      </c>
      <c r="S62" s="191">
        <v>-0.21697349957042181</v>
      </c>
      <c r="T62" s="191">
        <v>-1.461016493151121E-2</v>
      </c>
      <c r="U62" s="191">
        <v>-6.3505619384371603E-2</v>
      </c>
      <c r="V62" s="191">
        <v>-8.1792251857492726E-2</v>
      </c>
      <c r="W62" s="191">
        <v>0.25532248972340149</v>
      </c>
      <c r="X62" s="188">
        <v>0.1185030481646106</v>
      </c>
      <c r="Y62" s="188">
        <v>-5.2064988335873738E-2</v>
      </c>
      <c r="Z62" s="188">
        <v>-9.1502845172878548E-3</v>
      </c>
      <c r="AA62" s="188">
        <v>-2.8467063222320552E-2</v>
      </c>
      <c r="AB62" s="188">
        <v>4.1751057439213613E-3</v>
      </c>
      <c r="AC62" s="188">
        <v>3.112510229348768E-3</v>
      </c>
      <c r="AD62" s="188">
        <v>-7.8611679265052515E-3</v>
      </c>
    </row>
    <row r="63" spans="1:30" ht="15" customHeight="1" x14ac:dyDescent="0.3">
      <c r="A63">
        <v>20</v>
      </c>
      <c r="B63" t="s">
        <v>148</v>
      </c>
      <c r="C63" t="s">
        <v>149</v>
      </c>
      <c r="D63" s="190">
        <v>-0.56968260496697343</v>
      </c>
      <c r="E63" s="191">
        <v>-0.1828262226160223</v>
      </c>
      <c r="F63" s="191">
        <v>-1.022175107664024E-2</v>
      </c>
      <c r="G63" s="190">
        <v>-0.35438682478131511</v>
      </c>
      <c r="H63" s="191">
        <v>-0.29908229669797398</v>
      </c>
      <c r="I63" s="191">
        <v>0.15191819586637159</v>
      </c>
      <c r="J63" s="191">
        <v>0.18680516317892959</v>
      </c>
      <c r="K63" s="191">
        <v>-1.9153016016898498E-2</v>
      </c>
      <c r="L63" s="191">
        <v>0.13729435867353049</v>
      </c>
      <c r="M63" s="191">
        <v>3.7734984416506148E-2</v>
      </c>
      <c r="N63" s="191">
        <v>0.2208791636951831</v>
      </c>
      <c r="O63" s="191">
        <v>5.7586047500630087E-2</v>
      </c>
      <c r="P63" s="191">
        <v>8.5811807484743763E-2</v>
      </c>
      <c r="Q63" s="191">
        <v>-1.7961810765215191E-2</v>
      </c>
      <c r="R63" s="191">
        <v>-9.0917861500153158E-2</v>
      </c>
      <c r="S63" s="191">
        <v>-0.12717106917308929</v>
      </c>
      <c r="T63" s="191">
        <v>4.3136503064546687E-2</v>
      </c>
      <c r="U63" s="191">
        <v>-0.16321592866328391</v>
      </c>
      <c r="V63" s="191">
        <v>-0.22643667964011821</v>
      </c>
      <c r="W63" s="191">
        <v>4.2122928379645597E-2</v>
      </c>
      <c r="X63" s="188">
        <v>-5.7153955184328219E-2</v>
      </c>
      <c r="Y63" s="192">
        <v>0.41907619691699199</v>
      </c>
      <c r="Z63" s="188">
        <v>9.4878848902300635E-3</v>
      </c>
      <c r="AA63" s="188">
        <v>4.6397495109338723E-2</v>
      </c>
      <c r="AB63" s="188">
        <v>1.1071936729566739E-3</v>
      </c>
      <c r="AC63" s="188">
        <v>-1.6232194917965261E-2</v>
      </c>
      <c r="AD63" s="188">
        <v>3.3168846510019112E-2</v>
      </c>
    </row>
    <row r="64" spans="1:30" ht="15" customHeight="1" x14ac:dyDescent="0.3">
      <c r="A64">
        <v>21</v>
      </c>
      <c r="B64" t="s">
        <v>150</v>
      </c>
      <c r="C64" t="s">
        <v>151</v>
      </c>
      <c r="D64" s="190">
        <v>-0.34545513675875178</v>
      </c>
      <c r="E64" s="191">
        <v>5.2449998950203212E-2</v>
      </c>
      <c r="F64" s="190">
        <v>-0.415290008508029</v>
      </c>
      <c r="G64" s="190">
        <v>-0.31776488117178753</v>
      </c>
      <c r="H64" s="191">
        <v>0.25285166700838169</v>
      </c>
      <c r="I64" s="190">
        <v>0.32203487144265258</v>
      </c>
      <c r="J64" s="191">
        <v>-2.2869563686653579E-3</v>
      </c>
      <c r="K64" s="191">
        <v>-6.2258921624618428E-2</v>
      </c>
      <c r="L64" s="190">
        <v>-0.46389330346180901</v>
      </c>
      <c r="M64" s="191">
        <v>0.1171584821456229</v>
      </c>
      <c r="N64" s="191">
        <v>-3.011878836030905E-2</v>
      </c>
      <c r="O64" s="191">
        <v>0.23329935545307109</v>
      </c>
      <c r="P64" s="191">
        <v>-0.24143356955644779</v>
      </c>
      <c r="Q64" s="191">
        <v>0.24889463040841539</v>
      </c>
      <c r="R64" s="191">
        <v>7.2692175461140082E-2</v>
      </c>
      <c r="S64" s="191">
        <v>-7.0447526116373754E-2</v>
      </c>
      <c r="T64" s="191">
        <v>7.2478731589856502E-2</v>
      </c>
      <c r="U64" s="191">
        <v>2.2168033602141281E-2</v>
      </c>
      <c r="V64" s="191">
        <v>1.550683430190789E-2</v>
      </c>
      <c r="W64" s="191">
        <v>-9.8925259562476983E-2</v>
      </c>
      <c r="X64" s="188">
        <v>-3.1476254812372158E-2</v>
      </c>
      <c r="Y64" s="188">
        <v>-5.2895203447043048E-3</v>
      </c>
      <c r="Z64" s="188">
        <v>2.4348111812028859E-2</v>
      </c>
      <c r="AA64" s="188">
        <v>2.1991037968334751E-2</v>
      </c>
      <c r="AB64" s="188">
        <v>1.115339110799341E-2</v>
      </c>
      <c r="AC64" s="188">
        <v>4.0262568747895591E-4</v>
      </c>
      <c r="AD64" s="188">
        <v>-1.456265818473138E-2</v>
      </c>
    </row>
    <row r="65" spans="1:30" ht="15" customHeight="1" x14ac:dyDescent="0.3">
      <c r="A65">
        <v>22</v>
      </c>
      <c r="B65" t="s">
        <v>152</v>
      </c>
      <c r="C65" t="s">
        <v>153</v>
      </c>
      <c r="D65" s="190">
        <v>-0.40501368972599278</v>
      </c>
      <c r="E65" s="190">
        <v>0.34217449079142698</v>
      </c>
      <c r="F65" s="191">
        <v>0.20365521965113481</v>
      </c>
      <c r="G65" s="191">
        <v>-3.9318110644578602E-2</v>
      </c>
      <c r="H65" s="190">
        <v>-0.39602485124107251</v>
      </c>
      <c r="I65" s="191">
        <v>-0.23956498705670309</v>
      </c>
      <c r="J65" s="194">
        <v>-9.3184605692245584E-2</v>
      </c>
      <c r="K65" s="191">
        <v>1.0547693843627481E-2</v>
      </c>
      <c r="L65" s="191">
        <v>-0.1805138782449226</v>
      </c>
      <c r="M65" s="191">
        <v>0.13984373837276001</v>
      </c>
      <c r="N65" s="191">
        <v>0.2309896023208062</v>
      </c>
      <c r="O65" s="191">
        <v>0.14467862865501049</v>
      </c>
      <c r="P65" s="190">
        <v>-0.30459235535924101</v>
      </c>
      <c r="Q65" s="191">
        <v>0.14672236900557989</v>
      </c>
      <c r="R65" s="191">
        <v>-0.29928439346842561</v>
      </c>
      <c r="S65" s="191">
        <v>0.17653884013323209</v>
      </c>
      <c r="T65" s="191">
        <v>-0.12908731750687699</v>
      </c>
      <c r="U65" s="191">
        <v>8.9399613692239491E-2</v>
      </c>
      <c r="V65" s="191">
        <v>0.15758102496967549</v>
      </c>
      <c r="W65" s="191">
        <v>8.5087147160040524E-2</v>
      </c>
      <c r="X65" s="188">
        <v>0.1744373373271563</v>
      </c>
      <c r="Y65" s="188">
        <v>7.985439811498499E-3</v>
      </c>
      <c r="Z65" s="188">
        <v>-2.0129808580437721E-2</v>
      </c>
      <c r="AA65" s="188">
        <v>-2.356399431212278E-2</v>
      </c>
      <c r="AB65" s="188">
        <v>5.5076240228510258E-2</v>
      </c>
      <c r="AC65" s="188">
        <v>-9.9724428206479053E-3</v>
      </c>
      <c r="AD65" s="188">
        <v>7.3404933945488502E-3</v>
      </c>
    </row>
    <row r="66" spans="1:30" ht="15" customHeight="1" x14ac:dyDescent="0.3">
      <c r="A66">
        <v>23</v>
      </c>
      <c r="B66" t="s">
        <v>154</v>
      </c>
      <c r="C66" t="s">
        <v>155</v>
      </c>
      <c r="D66" s="190">
        <v>-0.65741045919607277</v>
      </c>
      <c r="E66" s="190">
        <v>-0.52674376782056298</v>
      </c>
      <c r="F66" s="194">
        <v>7.8803521059729126E-2</v>
      </c>
      <c r="G66" s="191">
        <v>-2.6086101793946721E-2</v>
      </c>
      <c r="H66" s="191">
        <v>6.323153271713948E-2</v>
      </c>
      <c r="I66" s="191">
        <v>-7.8955826930775963E-2</v>
      </c>
      <c r="J66" s="191">
        <v>-4.5777120175788187E-2</v>
      </c>
      <c r="K66" s="191">
        <v>6.5875841676896738E-2</v>
      </c>
      <c r="L66" s="191">
        <v>2.5830620853130301E-2</v>
      </c>
      <c r="M66" s="191">
        <v>-6.442934690442588E-2</v>
      </c>
      <c r="N66" s="191">
        <v>4.0701139239347033E-2</v>
      </c>
      <c r="O66" s="191">
        <v>-3.6112667950832907E-2</v>
      </c>
      <c r="P66" s="191">
        <v>1.2583025562986161E-2</v>
      </c>
      <c r="Q66" s="191">
        <v>-5.156171381254745E-3</v>
      </c>
      <c r="R66" s="191">
        <v>0.10374943136645549</v>
      </c>
      <c r="S66" s="191">
        <v>4.8528900302470909E-2</v>
      </c>
      <c r="T66" s="191">
        <v>2.7048424867540541E-2</v>
      </c>
      <c r="U66" s="191">
        <v>8.854967374183477E-2</v>
      </c>
      <c r="V66" s="191">
        <v>9.0528323431396558E-3</v>
      </c>
      <c r="W66" s="191">
        <v>-9.5474543875195238E-3</v>
      </c>
      <c r="X66" s="188">
        <v>5.9334816006625192E-2</v>
      </c>
      <c r="Y66" s="188">
        <v>-6.3081732032069376E-2</v>
      </c>
      <c r="Z66" s="188">
        <v>0.26839597927575443</v>
      </c>
      <c r="AA66" s="188">
        <v>0.2174875821471817</v>
      </c>
      <c r="AB66" s="192">
        <v>0.32349356840258309</v>
      </c>
      <c r="AC66" s="188">
        <v>-5.6578534397174092E-2</v>
      </c>
      <c r="AD66" s="188">
        <v>4.7743481514387183E-2</v>
      </c>
    </row>
    <row r="67" spans="1:30" ht="15" customHeight="1" x14ac:dyDescent="0.3">
      <c r="A67">
        <v>24</v>
      </c>
      <c r="B67" t="s">
        <v>156</v>
      </c>
      <c r="C67" t="s">
        <v>157</v>
      </c>
      <c r="D67" s="190">
        <v>-0.41427038408126959</v>
      </c>
      <c r="E67" s="190">
        <v>0.33808549106299451</v>
      </c>
      <c r="F67" s="191">
        <v>0.102448891857956</v>
      </c>
      <c r="G67" s="191">
        <v>-0.15727766375433139</v>
      </c>
      <c r="H67" s="191">
        <v>9.0812555535827746E-2</v>
      </c>
      <c r="I67" s="191">
        <v>0.1152509440071563</v>
      </c>
      <c r="J67" s="191">
        <v>4.8964516955973432E-2</v>
      </c>
      <c r="K67" s="190">
        <v>-0.46294052921460632</v>
      </c>
      <c r="L67" s="191">
        <v>-3.6272856327861452E-2</v>
      </c>
      <c r="M67" s="190">
        <v>-0.38613840337047611</v>
      </c>
      <c r="N67" s="191">
        <v>2.255692358622197E-2</v>
      </c>
      <c r="O67" s="191">
        <v>-0.29409405299526192</v>
      </c>
      <c r="P67" s="191">
        <v>1.2780103235228581E-2</v>
      </c>
      <c r="Q67" s="191">
        <v>6.1830716833770762E-2</v>
      </c>
      <c r="R67" s="191">
        <v>9.8621501748222221E-2</v>
      </c>
      <c r="S67" s="191">
        <v>0.14395080860894671</v>
      </c>
      <c r="T67" s="191">
        <v>-0.19956849480095781</v>
      </c>
      <c r="U67" s="191">
        <v>-0.21170913816405021</v>
      </c>
      <c r="V67" s="191">
        <v>0.25926935444508281</v>
      </c>
      <c r="W67" s="194">
        <v>-4.8889527669773628E-2</v>
      </c>
      <c r="X67" s="188">
        <v>6.8116329717728449E-2</v>
      </c>
      <c r="Y67" s="188">
        <v>8.9833159567156054E-2</v>
      </c>
      <c r="Z67" s="188">
        <v>3.9799467310371407E-2</v>
      </c>
      <c r="AA67" s="188">
        <v>-1.0928837635116311E-2</v>
      </c>
      <c r="AB67" s="188">
        <v>7.4799963587860634E-4</v>
      </c>
      <c r="AC67" s="188">
        <v>-2.982608678920497E-3</v>
      </c>
      <c r="AD67" s="188">
        <v>-8.3716179938022536E-3</v>
      </c>
    </row>
    <row r="68" spans="1:30" ht="15" customHeight="1" x14ac:dyDescent="0.3">
      <c r="A68">
        <v>25</v>
      </c>
      <c r="B68" t="s">
        <v>158</v>
      </c>
      <c r="C68" t="s">
        <v>159</v>
      </c>
      <c r="D68" s="190">
        <v>-0.42451392232145702</v>
      </c>
      <c r="E68" s="190">
        <v>0.3278860798657815</v>
      </c>
      <c r="F68" s="194">
        <v>-2.2784746080799181E-2</v>
      </c>
      <c r="G68" s="191">
        <v>-0.1502387359277069</v>
      </c>
      <c r="H68" s="194">
        <v>0.18984806633440299</v>
      </c>
      <c r="I68" s="191">
        <v>3.006592170766749E-3</v>
      </c>
      <c r="J68" s="191">
        <v>-0.2409437691267633</v>
      </c>
      <c r="K68" s="190">
        <v>-0.43039605089266059</v>
      </c>
      <c r="L68" s="191">
        <v>8.3595566913372429E-2</v>
      </c>
      <c r="M68" s="191">
        <v>0.2388943002538173</v>
      </c>
      <c r="N68" s="191">
        <v>0.21641782609908561</v>
      </c>
      <c r="O68" s="191">
        <v>-0.21709095392314001</v>
      </c>
      <c r="P68" s="191">
        <v>0.12904650892512301</v>
      </c>
      <c r="Q68" s="191">
        <v>-0.1295267526316424</v>
      </c>
      <c r="R68" s="191">
        <v>-0.22466560044831629</v>
      </c>
      <c r="S68" s="194">
        <v>-0.19815487818430069</v>
      </c>
      <c r="T68" s="191">
        <v>9.9029352851459043E-2</v>
      </c>
      <c r="U68" s="191">
        <v>0.26478850704801637</v>
      </c>
      <c r="V68" s="191">
        <v>-0.15973814137084821</v>
      </c>
      <c r="W68" s="191">
        <v>-4.5928692917029147E-2</v>
      </c>
      <c r="X68" s="188">
        <v>7.2150239616728618E-2</v>
      </c>
      <c r="Y68" s="188">
        <v>-0.1216862238175716</v>
      </c>
      <c r="Z68" s="188">
        <v>1.323148534977148E-2</v>
      </c>
      <c r="AA68" s="188">
        <v>2.9007168538770262E-3</v>
      </c>
      <c r="AB68" s="188">
        <v>-1.501162283990373E-2</v>
      </c>
      <c r="AC68" s="188">
        <v>2.0175377418240551E-3</v>
      </c>
      <c r="AD68" s="188">
        <v>2.600424642008493E-2</v>
      </c>
    </row>
    <row r="69" spans="1:30" x14ac:dyDescent="0.3">
      <c r="A69">
        <v>26</v>
      </c>
      <c r="B69" t="s">
        <v>160</v>
      </c>
      <c r="C69" t="s">
        <v>161</v>
      </c>
      <c r="D69" s="190">
        <v>-0.49306407984783213</v>
      </c>
      <c r="E69" s="191">
        <v>0.16011363518424521</v>
      </c>
      <c r="F69" s="191">
        <v>-0.28583437918584781</v>
      </c>
      <c r="G69" s="191">
        <v>-0.29698240740814608</v>
      </c>
      <c r="H69" s="191">
        <v>5.6770798820108383E-3</v>
      </c>
      <c r="I69" s="191">
        <v>-0.21543883700909591</v>
      </c>
      <c r="J69" s="191">
        <v>-8.3739735478847249E-2</v>
      </c>
      <c r="K69" s="191">
        <v>-2.987296070623106E-2</v>
      </c>
      <c r="L69" s="191">
        <v>-2.3006534598421571E-2</v>
      </c>
      <c r="M69" s="191">
        <v>0.13473831888826929</v>
      </c>
      <c r="N69" s="190">
        <v>-0.40507128501252659</v>
      </c>
      <c r="O69" s="191">
        <v>-1.1355064913142469E-2</v>
      </c>
      <c r="P69" s="191">
        <v>8.1413103839054465E-2</v>
      </c>
      <c r="Q69" s="191">
        <v>-0.21923021739581891</v>
      </c>
      <c r="R69" s="191">
        <v>-0.12699895742657591</v>
      </c>
      <c r="S69" s="190">
        <v>0.40974175450067352</v>
      </c>
      <c r="T69" s="191">
        <v>0.13340457477846451</v>
      </c>
      <c r="U69" s="191">
        <v>-0.17602723253241259</v>
      </c>
      <c r="V69" s="191">
        <v>-9.7440213635863346E-2</v>
      </c>
      <c r="W69" s="191">
        <v>0.13969286727396091</v>
      </c>
      <c r="X69" s="183">
        <v>-6.8224450534334962E-3</v>
      </c>
      <c r="Y69" s="183">
        <v>-2.2242461812824989E-2</v>
      </c>
      <c r="Z69" s="183">
        <v>6.1052825654869768E-2</v>
      </c>
      <c r="AA69" s="183">
        <v>-3.0223670511511432E-2</v>
      </c>
      <c r="AB69" s="183">
        <v>-1.7699867947770051E-2</v>
      </c>
      <c r="AC69" s="183">
        <v>4.5858020950955928E-3</v>
      </c>
      <c r="AD69" s="183">
        <v>4.5724714521073587E-2</v>
      </c>
    </row>
    <row r="70" spans="1:30" x14ac:dyDescent="0.3">
      <c r="A70">
        <v>27</v>
      </c>
      <c r="B70" t="s">
        <v>162</v>
      </c>
      <c r="C70" t="s">
        <v>163</v>
      </c>
      <c r="D70" s="190">
        <v>-0.50946207191608484</v>
      </c>
      <c r="E70" s="191">
        <v>-3.1055656057573999E-2</v>
      </c>
      <c r="F70" s="191">
        <v>0.26852757561064472</v>
      </c>
      <c r="G70" s="190">
        <v>0.31236285773639982</v>
      </c>
      <c r="H70" s="194">
        <v>0.20451621020354091</v>
      </c>
      <c r="I70" s="191">
        <v>5.1800114298443653E-2</v>
      </c>
      <c r="J70" s="191">
        <v>0.2800381048722756</v>
      </c>
      <c r="K70" s="191">
        <v>-0.24225559530230431</v>
      </c>
      <c r="L70" s="191">
        <v>8.6091602174635087E-2</v>
      </c>
      <c r="M70" s="191">
        <v>0.2126274658280739</v>
      </c>
      <c r="N70" s="191">
        <v>-6.5324933894301537E-2</v>
      </c>
      <c r="O70" s="191">
        <v>0.1651763983595089</v>
      </c>
      <c r="P70" s="191">
        <v>-0.2161331300367014</v>
      </c>
      <c r="Q70" s="191">
        <v>3.8700382346460047E-2</v>
      </c>
      <c r="R70" s="191">
        <v>-5.8680690157924889E-2</v>
      </c>
      <c r="S70" s="191">
        <v>1.5578126255999769E-2</v>
      </c>
      <c r="T70" s="191">
        <v>-0.25137147775113511</v>
      </c>
      <c r="U70" s="191">
        <v>-0.26150157456215062</v>
      </c>
      <c r="V70" s="190">
        <v>-0.30489849205363712</v>
      </c>
      <c r="W70" s="191">
        <v>-7.9649347961874683E-3</v>
      </c>
      <c r="X70" s="183">
        <v>-5.4771802129686263E-2</v>
      </c>
      <c r="Y70" s="183">
        <v>-0.14030286973602621</v>
      </c>
      <c r="Z70" s="183">
        <v>3.4248772213970498E-2</v>
      </c>
      <c r="AA70" s="183">
        <v>-2.3739354836098691E-2</v>
      </c>
      <c r="AB70" s="183">
        <v>1.410757064414842E-2</v>
      </c>
      <c r="AC70" s="183">
        <v>-1.986526430237465E-2</v>
      </c>
      <c r="AD70" s="183">
        <v>5.0046810095550377E-2</v>
      </c>
    </row>
    <row r="71" spans="1:30" x14ac:dyDescent="0.3">
      <c r="D71" s="126"/>
      <c r="E71" s="124"/>
      <c r="F71" s="124"/>
      <c r="G71" s="124"/>
      <c r="H71" s="124"/>
      <c r="I71" s="124"/>
      <c r="J71" s="124"/>
      <c r="K71" s="124"/>
      <c r="L71" s="124"/>
      <c r="M71" s="124"/>
      <c r="N71" s="124"/>
      <c r="O71" s="124"/>
      <c r="P71" s="124"/>
      <c r="Q71" s="124"/>
      <c r="R71" s="124"/>
      <c r="S71" s="124"/>
      <c r="T71" s="124"/>
      <c r="U71" s="124"/>
      <c r="V71" s="124"/>
      <c r="W71" s="124"/>
    </row>
    <row r="72" spans="1:30" x14ac:dyDescent="0.3">
      <c r="A72" t="s">
        <v>177</v>
      </c>
      <c r="D72" s="126"/>
      <c r="E72" s="124"/>
      <c r="F72" s="126"/>
      <c r="G72" s="124"/>
      <c r="H72" s="124"/>
      <c r="I72" s="124"/>
      <c r="J72" s="124"/>
      <c r="K72" s="124"/>
      <c r="L72" s="124"/>
      <c r="M72" s="124"/>
      <c r="N72" s="124"/>
      <c r="O72" s="124"/>
      <c r="P72" s="124"/>
      <c r="Q72" s="124"/>
      <c r="R72" s="124"/>
      <c r="S72" s="124"/>
      <c r="T72" s="124"/>
      <c r="U72" s="124"/>
      <c r="V72" s="124"/>
      <c r="W72" s="124"/>
    </row>
    <row r="73" spans="1:30" ht="15" customHeight="1" x14ac:dyDescent="0.3">
      <c r="A73" t="s">
        <v>178</v>
      </c>
      <c r="D73" s="126"/>
      <c r="E73" s="124"/>
      <c r="F73" s="124"/>
      <c r="G73" s="124"/>
      <c r="H73" s="124"/>
      <c r="I73" s="124"/>
      <c r="J73" s="124"/>
      <c r="K73" s="124"/>
      <c r="L73" s="124"/>
      <c r="M73" s="124"/>
      <c r="N73" s="126"/>
      <c r="O73" s="124"/>
      <c r="P73" s="124"/>
      <c r="Q73" s="124"/>
      <c r="R73" s="124"/>
      <c r="S73" s="124"/>
      <c r="T73" s="124"/>
      <c r="U73" s="124"/>
      <c r="V73" s="124"/>
      <c r="W73" s="124"/>
      <c r="X73" s="122"/>
      <c r="Y73" s="122"/>
      <c r="Z73" s="122"/>
      <c r="AA73" s="122"/>
      <c r="AB73" s="122"/>
      <c r="AC73" s="122"/>
      <c r="AD73" s="122"/>
    </row>
    <row r="74" spans="1:30" ht="15" customHeight="1" x14ac:dyDescent="0.3">
      <c r="D74" s="143"/>
      <c r="E74" s="143"/>
      <c r="F74" s="143"/>
      <c r="G74" s="143"/>
      <c r="H74" s="143"/>
      <c r="I74" s="143"/>
      <c r="J74" s="143"/>
      <c r="K74" s="143"/>
      <c r="L74" s="143"/>
      <c r="M74" s="143"/>
      <c r="N74" s="143"/>
      <c r="O74" s="143"/>
      <c r="P74" s="143"/>
      <c r="Q74" s="143"/>
      <c r="R74" s="143"/>
      <c r="S74" s="143"/>
      <c r="T74" s="143"/>
      <c r="U74" s="143"/>
      <c r="V74" s="143"/>
      <c r="W74" s="143"/>
      <c r="X74" s="143"/>
      <c r="Y74" s="143"/>
      <c r="Z74" s="143"/>
      <c r="AA74" s="143"/>
      <c r="AB74" s="143"/>
      <c r="AC74" s="143"/>
      <c r="AD74" s="143"/>
    </row>
    <row r="75" spans="1:30" ht="15" customHeight="1" x14ac:dyDescent="0.3">
      <c r="A75" t="s">
        <v>107</v>
      </c>
      <c r="B75" t="s">
        <v>176</v>
      </c>
      <c r="C75" t="s">
        <v>109</v>
      </c>
      <c r="D75" s="143" t="s">
        <v>3</v>
      </c>
      <c r="E75" s="143" t="s">
        <v>5</v>
      </c>
      <c r="F75" s="143" t="s">
        <v>6</v>
      </c>
      <c r="G75" s="143" t="s">
        <v>7</v>
      </c>
      <c r="H75" s="143" t="s">
        <v>8</v>
      </c>
      <c r="I75" s="143" t="s">
        <v>10</v>
      </c>
      <c r="J75" s="143" t="s">
        <v>11</v>
      </c>
      <c r="K75" s="143" t="s">
        <v>12</v>
      </c>
      <c r="L75" s="143" t="s">
        <v>13</v>
      </c>
      <c r="M75" s="143" t="s">
        <v>14</v>
      </c>
      <c r="N75" s="143" t="s">
        <v>15</v>
      </c>
      <c r="O75" s="143" t="s">
        <v>16</v>
      </c>
      <c r="P75" s="143" t="s">
        <v>17</v>
      </c>
      <c r="Q75" s="143" t="s">
        <v>18</v>
      </c>
      <c r="R75" s="143" t="s">
        <v>19</v>
      </c>
      <c r="S75" s="143" t="s">
        <v>20</v>
      </c>
      <c r="T75" s="143" t="s">
        <v>21</v>
      </c>
      <c r="U75" s="143" t="s">
        <v>22</v>
      </c>
      <c r="V75" s="143" t="s">
        <v>23</v>
      </c>
      <c r="W75" s="143" t="s">
        <v>24</v>
      </c>
      <c r="X75" s="143" t="s">
        <v>25</v>
      </c>
      <c r="Y75" s="143" t="s">
        <v>26</v>
      </c>
      <c r="Z75" s="143" t="s">
        <v>27</v>
      </c>
      <c r="AA75" s="143" t="s">
        <v>28</v>
      </c>
      <c r="AB75" s="143" t="s">
        <v>29</v>
      </c>
      <c r="AC75" s="143" t="s">
        <v>30</v>
      </c>
      <c r="AD75" s="143" t="s">
        <v>31</v>
      </c>
    </row>
    <row r="76" spans="1:30" ht="15" customHeight="1" x14ac:dyDescent="0.3">
      <c r="A76">
        <v>1</v>
      </c>
      <c r="B76" t="s">
        <v>110</v>
      </c>
      <c r="C76" t="s">
        <v>111</v>
      </c>
      <c r="D76" s="195">
        <v>0.78452415444410839</v>
      </c>
      <c r="E76" s="196">
        <v>8.9441063928750557E-3</v>
      </c>
      <c r="F76" s="196">
        <v>-2.1061111479009749E-2</v>
      </c>
      <c r="G76" s="196">
        <v>0.25084379521830291</v>
      </c>
      <c r="H76" s="196">
        <v>4.9516657584851097E-2</v>
      </c>
      <c r="I76" s="196">
        <v>5.5773177999319717E-2</v>
      </c>
      <c r="J76" s="196">
        <v>0.28077280146346362</v>
      </c>
      <c r="K76" s="196">
        <v>0.20742981272905339</v>
      </c>
      <c r="L76" s="196">
        <v>-5.9718489361088077E-3</v>
      </c>
      <c r="M76" s="196">
        <v>8.1276023930432779E-3</v>
      </c>
      <c r="N76" s="196">
        <v>0.1029811200398292</v>
      </c>
      <c r="O76" s="196">
        <v>2.735911116037194E-2</v>
      </c>
      <c r="P76" s="196">
        <v>2.137285886085509E-2</v>
      </c>
      <c r="Q76" s="196">
        <v>1.7260727085635391E-2</v>
      </c>
      <c r="R76" s="196">
        <v>2.3834121453226269E-2</v>
      </c>
      <c r="S76" s="196">
        <v>2.3039861428474809E-2</v>
      </c>
      <c r="T76" s="196">
        <v>4.3769525848867383E-2</v>
      </c>
      <c r="U76" s="196">
        <v>0.25190885300977028</v>
      </c>
      <c r="V76" s="196">
        <v>6.9340213507275879E-3</v>
      </c>
      <c r="W76" s="196">
        <v>0.15212552703205409</v>
      </c>
      <c r="X76" s="196">
        <v>3.8594339283692908E-2</v>
      </c>
      <c r="Y76" s="196">
        <v>2.785639049834442E-2</v>
      </c>
      <c r="Z76" s="196">
        <v>0.26006151745832801</v>
      </c>
      <c r="AA76" s="196">
        <v>7.4987013872653066E-3</v>
      </c>
      <c r="AB76" s="196">
        <v>4.0065169523851918E-2</v>
      </c>
      <c r="AC76" s="196">
        <v>6.97842450135054E-2</v>
      </c>
      <c r="AD76" s="196">
        <v>0.1238982119083922</v>
      </c>
    </row>
    <row r="77" spans="1:30" ht="15" customHeight="1" x14ac:dyDescent="0.3">
      <c r="A77">
        <v>2</v>
      </c>
      <c r="B77" t="s">
        <v>112</v>
      </c>
      <c r="C77" t="s">
        <v>113</v>
      </c>
      <c r="D77" s="196">
        <v>8.9441063928738986E-3</v>
      </c>
      <c r="E77" s="195">
        <v>0.91913415829983169</v>
      </c>
      <c r="F77" s="196">
        <v>0.1346328850943487</v>
      </c>
      <c r="G77" s="196">
        <v>0.100558803864568</v>
      </c>
      <c r="H77" s="196">
        <v>8.4486236460831171E-2</v>
      </c>
      <c r="I77" s="196">
        <v>0.15024673560872939</v>
      </c>
      <c r="J77" s="196">
        <v>7.2794115621992311E-2</v>
      </c>
      <c r="K77" s="196">
        <v>6.3027937577943033E-2</v>
      </c>
      <c r="L77" s="196">
        <v>5.9727743232006893E-2</v>
      </c>
      <c r="M77" s="196">
        <v>7.2097622403881664E-2</v>
      </c>
      <c r="N77" s="196">
        <v>5.8840702678266181E-2</v>
      </c>
      <c r="O77" s="196">
        <v>8.6360551505296021E-2</v>
      </c>
      <c r="P77" s="196">
        <v>5.0285978954520617E-2</v>
      </c>
      <c r="Q77" s="196">
        <v>0.1035776688949598</v>
      </c>
      <c r="R77" s="196">
        <v>8.7232428771405107E-2</v>
      </c>
      <c r="S77" s="196">
        <v>6.8048126459498842E-2</v>
      </c>
      <c r="T77" s="196">
        <v>5.325377764925273E-2</v>
      </c>
      <c r="U77" s="196">
        <v>5.962604973065546E-2</v>
      </c>
      <c r="V77" s="196">
        <v>6.624135238378602E-2</v>
      </c>
      <c r="W77" s="196">
        <v>5.5934652914817959E-2</v>
      </c>
      <c r="X77" s="196">
        <v>5.5368983180033519E-2</v>
      </c>
      <c r="Y77" s="196">
        <v>7.0546226597548792E-2</v>
      </c>
      <c r="Z77" s="196">
        <v>2.4637124833463898E-2</v>
      </c>
      <c r="AA77" s="196">
        <v>5.0122231793152269E-2</v>
      </c>
      <c r="AB77" s="196">
        <v>6.2878264883836382E-2</v>
      </c>
      <c r="AC77" s="196">
        <v>0.106829524991055</v>
      </c>
      <c r="AD77" s="196">
        <v>4.7666839217828938E-2</v>
      </c>
    </row>
    <row r="78" spans="1:30" ht="15" customHeight="1" x14ac:dyDescent="0.3">
      <c r="A78">
        <v>3</v>
      </c>
      <c r="B78" t="s">
        <v>114</v>
      </c>
      <c r="C78" t="s">
        <v>115</v>
      </c>
      <c r="D78" s="196">
        <v>-2.1061111479010259E-2</v>
      </c>
      <c r="E78" s="196">
        <v>0.13463288509434959</v>
      </c>
      <c r="F78" s="195">
        <v>0.91986086384713051</v>
      </c>
      <c r="G78" s="196">
        <v>7.5428259891503688E-2</v>
      </c>
      <c r="H78" s="196">
        <v>0.1171723794612097</v>
      </c>
      <c r="I78" s="196">
        <v>0.10357273128934889</v>
      </c>
      <c r="J78" s="196">
        <v>1.9843230511287328E-2</v>
      </c>
      <c r="K78" s="196">
        <v>5.2549632274024288E-2</v>
      </c>
      <c r="L78" s="196">
        <v>8.2696785472046772E-2</v>
      </c>
      <c r="M78" s="196">
        <v>0.108901077090529</v>
      </c>
      <c r="N78" s="196">
        <v>7.4872336290444472E-2</v>
      </c>
      <c r="O78" s="196">
        <v>6.0906804112443723E-2</v>
      </c>
      <c r="P78" s="196">
        <v>7.2827723100367461E-2</v>
      </c>
      <c r="Q78" s="196">
        <v>8.3484939260126678E-2</v>
      </c>
      <c r="R78" s="196">
        <v>7.2554109645457193E-2</v>
      </c>
      <c r="S78" s="196">
        <v>3.759404417672655E-2</v>
      </c>
      <c r="T78" s="196">
        <v>6.0354606012537372E-2</v>
      </c>
      <c r="U78" s="196">
        <v>6.3712376387557015E-2</v>
      </c>
      <c r="V78" s="196">
        <v>7.2691193178261962E-2</v>
      </c>
      <c r="W78" s="196">
        <v>6.7232156238166252E-2</v>
      </c>
      <c r="X78" s="196">
        <v>3.110219818329428E-2</v>
      </c>
      <c r="Y78" s="196">
        <v>0.13044001968413901</v>
      </c>
      <c r="Z78" s="196">
        <v>1.2457427165572771E-2</v>
      </c>
      <c r="AA78" s="196">
        <v>0.1044383481837531</v>
      </c>
      <c r="AB78" s="196">
        <v>5.8286548108508272E-2</v>
      </c>
      <c r="AC78" s="196">
        <v>6.9711926716646277E-2</v>
      </c>
      <c r="AD78" s="196">
        <v>1.4583014028505901E-2</v>
      </c>
    </row>
    <row r="79" spans="1:30" ht="15" customHeight="1" x14ac:dyDescent="0.3">
      <c r="A79">
        <v>4</v>
      </c>
      <c r="B79" t="s">
        <v>116</v>
      </c>
      <c r="C79" t="s">
        <v>117</v>
      </c>
      <c r="D79" s="196">
        <v>0.2508437952183028</v>
      </c>
      <c r="E79" s="196">
        <v>0.1005588038645685</v>
      </c>
      <c r="F79" s="196">
        <v>7.5428259891503299E-2</v>
      </c>
      <c r="G79" s="195">
        <v>0.77935069715315075</v>
      </c>
      <c r="H79" s="196">
        <v>0.1148408847010365</v>
      </c>
      <c r="I79" s="196">
        <v>7.3393664329702513E-2</v>
      </c>
      <c r="J79" s="196">
        <v>0.25125106174021872</v>
      </c>
      <c r="K79" s="196">
        <v>0.2331514689819589</v>
      </c>
      <c r="L79" s="196">
        <v>3.4553253140184613E-2</v>
      </c>
      <c r="M79" s="196">
        <v>7.615040905664533E-2</v>
      </c>
      <c r="N79" s="196">
        <v>0.1243019885399034</v>
      </c>
      <c r="O79" s="196">
        <v>4.8480799710162049E-3</v>
      </c>
      <c r="P79" s="196">
        <v>9.0980588031824329E-3</v>
      </c>
      <c r="Q79" s="196">
        <v>5.9367548403683711E-2</v>
      </c>
      <c r="R79" s="196">
        <v>3.1635728242515308E-2</v>
      </c>
      <c r="S79" s="196">
        <v>4.4377774092290788E-2</v>
      </c>
      <c r="T79" s="196">
        <v>5.6827122512164707E-2</v>
      </c>
      <c r="U79" s="196">
        <v>0.23272849406470361</v>
      </c>
      <c r="V79" s="196">
        <v>4.163917105043085E-2</v>
      </c>
      <c r="W79" s="196">
        <v>0.11979195454941741</v>
      </c>
      <c r="X79" s="196">
        <v>6.6624327204333034E-2</v>
      </c>
      <c r="Y79" s="196">
        <v>3.8340142420877882E-2</v>
      </c>
      <c r="Z79" s="196">
        <v>0.24143276934182631</v>
      </c>
      <c r="AA79" s="196">
        <v>3.222900843876348E-2</v>
      </c>
      <c r="AB79" s="196">
        <v>2.305345075404076E-2</v>
      </c>
      <c r="AC79" s="196">
        <v>6.1248375942162349E-2</v>
      </c>
      <c r="AD79" s="196">
        <v>7.606540681119027E-2</v>
      </c>
    </row>
    <row r="80" spans="1:30" ht="15" customHeight="1" x14ac:dyDescent="0.3">
      <c r="A80">
        <v>5</v>
      </c>
      <c r="B80" t="s">
        <v>118</v>
      </c>
      <c r="C80" t="s">
        <v>119</v>
      </c>
      <c r="D80" s="196">
        <v>4.951665758485075E-2</v>
      </c>
      <c r="E80" s="196">
        <v>8.4486236460831407E-2</v>
      </c>
      <c r="F80" s="196">
        <v>0.1171723794612094</v>
      </c>
      <c r="G80" s="196">
        <v>0.1148408847010364</v>
      </c>
      <c r="H80" s="195">
        <v>0.91500293204777372</v>
      </c>
      <c r="I80" s="196">
        <v>0.14517576528530779</v>
      </c>
      <c r="J80" s="196">
        <v>9.3573449379755994E-2</v>
      </c>
      <c r="K80" s="196">
        <v>0.1112593794034743</v>
      </c>
      <c r="L80" s="196">
        <v>5.0557173735975992E-2</v>
      </c>
      <c r="M80" s="196">
        <v>5.4055113748385737E-2</v>
      </c>
      <c r="N80" s="196">
        <v>0.1052736402127491</v>
      </c>
      <c r="O80" s="196">
        <v>7.2602939447318271E-2</v>
      </c>
      <c r="P80" s="196">
        <v>3.7015757874993678E-2</v>
      </c>
      <c r="Q80" s="196">
        <v>0.11698747225192591</v>
      </c>
      <c r="R80" s="196">
        <v>5.8227312962248097E-2</v>
      </c>
      <c r="S80" s="196">
        <v>6.5138944353484413E-2</v>
      </c>
      <c r="T80" s="196">
        <v>5.1116472223417482E-2</v>
      </c>
      <c r="U80" s="196">
        <v>6.9811915256596732E-2</v>
      </c>
      <c r="V80" s="196">
        <v>2.186292398195749E-2</v>
      </c>
      <c r="W80" s="196">
        <v>4.807492985676419E-2</v>
      </c>
      <c r="X80" s="196">
        <v>3.5635502158519239E-2</v>
      </c>
      <c r="Y80" s="196">
        <v>5.057028180675599E-2</v>
      </c>
      <c r="Z80" s="196">
        <v>9.2605221852868194E-2</v>
      </c>
      <c r="AA80" s="196">
        <v>4.5903639508056537E-2</v>
      </c>
      <c r="AB80" s="196">
        <v>5.7757092458850683E-2</v>
      </c>
      <c r="AC80" s="196">
        <v>4.0694831958506962E-2</v>
      </c>
      <c r="AD80" s="196">
        <v>9.8752610742930971E-2</v>
      </c>
    </row>
    <row r="81" spans="1:30" ht="15" customHeight="1" x14ac:dyDescent="0.3">
      <c r="A81">
        <v>6</v>
      </c>
      <c r="B81" t="s">
        <v>120</v>
      </c>
      <c r="C81" t="s">
        <v>121</v>
      </c>
      <c r="D81" s="196">
        <v>5.5773177999319849E-2</v>
      </c>
      <c r="E81" s="196">
        <v>0.15024673560872989</v>
      </c>
      <c r="F81" s="196">
        <v>0.1035727312893486</v>
      </c>
      <c r="G81" s="196">
        <v>7.339366432970254E-2</v>
      </c>
      <c r="H81" s="196">
        <v>0.1451757652853079</v>
      </c>
      <c r="I81" s="195">
        <v>0.91921007021724599</v>
      </c>
      <c r="J81" s="196">
        <v>6.5326491013581345E-2</v>
      </c>
      <c r="K81" s="196">
        <v>4.2643606124007229E-2</v>
      </c>
      <c r="L81" s="196">
        <v>9.4669420824191039E-2</v>
      </c>
      <c r="M81" s="196">
        <v>6.8497689824530694E-2</v>
      </c>
      <c r="N81" s="196">
        <v>4.5626914763627242E-2</v>
      </c>
      <c r="O81" s="196">
        <v>2.662486099347882E-2</v>
      </c>
      <c r="P81" s="196">
        <v>1.578316597377085E-2</v>
      </c>
      <c r="Q81" s="196">
        <v>9.9682391092520528E-2</v>
      </c>
      <c r="R81" s="196">
        <v>7.0561075502662746E-2</v>
      </c>
      <c r="S81" s="196">
        <v>6.7104698471611518E-2</v>
      </c>
      <c r="T81" s="196">
        <v>8.5409927645604136E-2</v>
      </c>
      <c r="U81" s="196">
        <v>7.5187910291351037E-2</v>
      </c>
      <c r="V81" s="196">
        <v>4.9741383355313508E-2</v>
      </c>
      <c r="W81" s="196">
        <v>4.2606243289083197E-2</v>
      </c>
      <c r="X81" s="196">
        <v>6.3395553540287516E-2</v>
      </c>
      <c r="Y81" s="196">
        <v>5.0569554848120923E-2</v>
      </c>
      <c r="Z81" s="196">
        <v>2.7566463973811201E-2</v>
      </c>
      <c r="AA81" s="196">
        <v>7.7945740169920563E-2</v>
      </c>
      <c r="AB81" s="196">
        <v>7.4963938771290969E-2</v>
      </c>
      <c r="AC81" s="196">
        <v>7.329196714798189E-2</v>
      </c>
      <c r="AD81" s="196">
        <v>9.1318225899425759E-2</v>
      </c>
    </row>
    <row r="82" spans="1:30" ht="15" customHeight="1" x14ac:dyDescent="0.3">
      <c r="A82">
        <v>7</v>
      </c>
      <c r="B82" t="s">
        <v>122</v>
      </c>
      <c r="C82" t="s">
        <v>123</v>
      </c>
      <c r="D82" s="196">
        <v>0.28077280146346367</v>
      </c>
      <c r="E82" s="196">
        <v>7.2794115621993172E-2</v>
      </c>
      <c r="F82" s="196">
        <v>1.9843230511287439E-2</v>
      </c>
      <c r="G82" s="196">
        <v>0.25125106174021872</v>
      </c>
      <c r="H82" s="196">
        <v>9.357344937975634E-2</v>
      </c>
      <c r="I82" s="196">
        <v>6.5326491013581289E-2</v>
      </c>
      <c r="J82" s="195">
        <v>0.78435328658831427</v>
      </c>
      <c r="K82" s="196">
        <v>0.22184487409789511</v>
      </c>
      <c r="L82" s="196">
        <v>1.8370321166480689E-2</v>
      </c>
      <c r="M82" s="196">
        <v>-4.1047436964477728E-3</v>
      </c>
      <c r="N82" s="196">
        <v>0.1134377453411803</v>
      </c>
      <c r="O82" s="196">
        <v>1.1556712592196461E-2</v>
      </c>
      <c r="P82" s="196">
        <v>3.2637593528483909E-2</v>
      </c>
      <c r="Q82" s="196">
        <v>4.0382515034339803E-2</v>
      </c>
      <c r="R82" s="196">
        <v>1.6224131705385079E-2</v>
      </c>
      <c r="S82" s="196">
        <v>2.9571634814345719E-2</v>
      </c>
      <c r="T82" s="196">
        <v>6.9347647930343273E-2</v>
      </c>
      <c r="U82" s="196">
        <v>0.24089310322341639</v>
      </c>
      <c r="V82" s="196">
        <v>2.1408587308248479E-2</v>
      </c>
      <c r="W82" s="196">
        <v>0.13155049705326799</v>
      </c>
      <c r="X82" s="196">
        <v>5.3824793258753383E-2</v>
      </c>
      <c r="Y82" s="196">
        <v>3.2486411394682842E-2</v>
      </c>
      <c r="Z82" s="196">
        <v>0.24951932259704521</v>
      </c>
      <c r="AA82" s="196">
        <v>1.741866539859345E-2</v>
      </c>
      <c r="AB82" s="196">
        <v>7.7507349459598274E-3</v>
      </c>
      <c r="AC82" s="196">
        <v>3.8115986060074457E-2</v>
      </c>
      <c r="AD82" s="196">
        <v>9.5274593303511415E-2</v>
      </c>
    </row>
    <row r="83" spans="1:30" ht="15" customHeight="1" x14ac:dyDescent="0.3">
      <c r="A83">
        <v>8</v>
      </c>
      <c r="B83" t="s">
        <v>124</v>
      </c>
      <c r="C83" t="s">
        <v>125</v>
      </c>
      <c r="D83" s="196">
        <v>0.2074298127290532</v>
      </c>
      <c r="E83" s="196">
        <v>6.3027937577943755E-2</v>
      </c>
      <c r="F83" s="196">
        <v>5.2549632274024281E-2</v>
      </c>
      <c r="G83" s="196">
        <v>0.2331514689819589</v>
      </c>
      <c r="H83" s="196">
        <v>0.11125937940347461</v>
      </c>
      <c r="I83" s="196">
        <v>4.2643606124007118E-2</v>
      </c>
      <c r="J83" s="196">
        <v>0.22184487409789511</v>
      </c>
      <c r="K83" s="195">
        <v>0.81438401596677246</v>
      </c>
      <c r="L83" s="196">
        <v>2.370820738802586E-2</v>
      </c>
      <c r="M83" s="196">
        <v>5.555346958541979E-2</v>
      </c>
      <c r="N83" s="196">
        <v>5.1321478298064542E-2</v>
      </c>
      <c r="O83" s="196">
        <v>2.372428177331003E-2</v>
      </c>
      <c r="P83" s="196">
        <v>-4.3756611206277746E-3</v>
      </c>
      <c r="Q83" s="196">
        <v>6.956903857439585E-2</v>
      </c>
      <c r="R83" s="196">
        <v>3.9651533365762513E-2</v>
      </c>
      <c r="S83" s="196">
        <v>4.3531350448591848E-2</v>
      </c>
      <c r="T83" s="196">
        <v>8.2365643231166102E-2</v>
      </c>
      <c r="U83" s="196">
        <v>0.21765853010565431</v>
      </c>
      <c r="V83" s="196">
        <v>3.3346186175011082E-2</v>
      </c>
      <c r="W83" s="196">
        <v>0.15526783189500401</v>
      </c>
      <c r="X83" s="196">
        <v>6.923409547852076E-2</v>
      </c>
      <c r="Y83" s="196">
        <v>2.5279834279424179E-2</v>
      </c>
      <c r="Z83" s="196">
        <v>0.21122357659618571</v>
      </c>
      <c r="AA83" s="196">
        <v>5.1296922696711621E-2</v>
      </c>
      <c r="AB83" s="196">
        <v>4.5525988445984572E-2</v>
      </c>
      <c r="AC83" s="196">
        <v>0.1079843964435854</v>
      </c>
      <c r="AD83" s="196">
        <v>9.100882176911608E-2</v>
      </c>
    </row>
    <row r="84" spans="1:30" ht="15" customHeight="1" x14ac:dyDescent="0.3">
      <c r="A84">
        <v>9</v>
      </c>
      <c r="B84" t="s">
        <v>126</v>
      </c>
      <c r="C84" t="s">
        <v>127</v>
      </c>
      <c r="D84" s="196">
        <v>-5.9718489361086907E-3</v>
      </c>
      <c r="E84" s="196">
        <v>5.9727743232007267E-2</v>
      </c>
      <c r="F84" s="196">
        <v>8.2696785472046869E-2</v>
      </c>
      <c r="G84" s="196">
        <v>3.4553253140184891E-2</v>
      </c>
      <c r="H84" s="196">
        <v>5.0557173735976207E-2</v>
      </c>
      <c r="I84" s="196">
        <v>9.4669420824191081E-2</v>
      </c>
      <c r="J84" s="196">
        <v>1.837032116648047E-2</v>
      </c>
      <c r="K84" s="196">
        <v>2.3708207388025759E-2</v>
      </c>
      <c r="L84" s="195">
        <v>0.94932745570576571</v>
      </c>
      <c r="M84" s="196">
        <v>0.1142767787213817</v>
      </c>
      <c r="N84" s="196">
        <v>5.2801380600977998E-2</v>
      </c>
      <c r="O84" s="196">
        <v>6.1707522222793271E-2</v>
      </c>
      <c r="P84" s="196">
        <v>4.0028158950350182E-2</v>
      </c>
      <c r="Q84" s="196">
        <v>9.7889983197291738E-2</v>
      </c>
      <c r="R84" s="196">
        <v>3.7218041257917202E-2</v>
      </c>
      <c r="S84" s="196">
        <v>3.7481530990023153E-2</v>
      </c>
      <c r="T84" s="196">
        <v>6.4984321517033788E-2</v>
      </c>
      <c r="U84" s="196">
        <v>4.322794313495832E-2</v>
      </c>
      <c r="V84" s="196">
        <v>8.7880683968238726E-2</v>
      </c>
      <c r="W84" s="196">
        <v>5.0995744081493342E-2</v>
      </c>
      <c r="X84" s="196">
        <v>4.7367224544849477E-2</v>
      </c>
      <c r="Y84" s="196">
        <v>5.9206384306979339E-2</v>
      </c>
      <c r="Z84" s="196">
        <v>2.764068602658222E-2</v>
      </c>
      <c r="AA84" s="196">
        <v>5.9802543465102193E-2</v>
      </c>
      <c r="AB84" s="196">
        <v>7.0380301710549945E-2</v>
      </c>
      <c r="AC84" s="196">
        <v>7.3484739355504619E-2</v>
      </c>
      <c r="AD84" s="196">
        <v>6.5084757683744318E-2</v>
      </c>
    </row>
    <row r="85" spans="1:30" ht="15" customHeight="1" x14ac:dyDescent="0.3">
      <c r="A85">
        <v>10</v>
      </c>
      <c r="B85" t="s">
        <v>128</v>
      </c>
      <c r="C85" t="s">
        <v>129</v>
      </c>
      <c r="D85" s="196">
        <v>8.1276023930434097E-3</v>
      </c>
      <c r="E85" s="196">
        <v>7.20976224038819E-2</v>
      </c>
      <c r="F85" s="196">
        <v>0.10890107709052881</v>
      </c>
      <c r="G85" s="196">
        <v>7.6150409056645538E-2</v>
      </c>
      <c r="H85" s="196">
        <v>5.4055113748385952E-2</v>
      </c>
      <c r="I85" s="196">
        <v>6.8497689824530542E-2</v>
      </c>
      <c r="J85" s="196">
        <v>-4.1047436964482256E-3</v>
      </c>
      <c r="K85" s="196">
        <v>5.5553469585419617E-2</v>
      </c>
      <c r="L85" s="196">
        <v>0.11427677872138151</v>
      </c>
      <c r="M85" s="195">
        <v>0.92212711696919714</v>
      </c>
      <c r="N85" s="196">
        <v>8.7758665687015777E-2</v>
      </c>
      <c r="O85" s="196">
        <v>0.1001618569629789</v>
      </c>
      <c r="P85" s="196">
        <v>7.8527605294381131E-2</v>
      </c>
      <c r="Q85" s="196">
        <v>0.10616171243816221</v>
      </c>
      <c r="R85" s="196">
        <v>0.1051819913661792</v>
      </c>
      <c r="S85" s="196">
        <v>6.6574427618515217E-2</v>
      </c>
      <c r="T85" s="196">
        <v>6.154605146679587E-2</v>
      </c>
      <c r="U85" s="196">
        <v>1.205763236426298E-2</v>
      </c>
      <c r="V85" s="196">
        <v>0.1010612903327852</v>
      </c>
      <c r="W85" s="196">
        <v>2.3375271624210221E-2</v>
      </c>
      <c r="X85" s="196">
        <v>5.4424769822232821E-2</v>
      </c>
      <c r="Y85" s="196">
        <v>7.976349301106081E-2</v>
      </c>
      <c r="Z85" s="196">
        <v>5.1179044880102581E-2</v>
      </c>
      <c r="AA85" s="196">
        <v>9.5555901611970348E-2</v>
      </c>
      <c r="AB85" s="196">
        <v>8.7768233812914931E-2</v>
      </c>
      <c r="AC85" s="196">
        <v>7.9505518043954476E-2</v>
      </c>
      <c r="AD85" s="196">
        <v>5.0246997888821761E-2</v>
      </c>
    </row>
    <row r="86" spans="1:30" ht="15" customHeight="1" x14ac:dyDescent="0.3">
      <c r="A86">
        <v>11</v>
      </c>
      <c r="B86" t="s">
        <v>130</v>
      </c>
      <c r="C86" t="s">
        <v>131</v>
      </c>
      <c r="D86" s="196">
        <v>0.1029811200398295</v>
      </c>
      <c r="E86" s="196">
        <v>5.8840702678266771E-2</v>
      </c>
      <c r="F86" s="196">
        <v>7.4872336290444541E-2</v>
      </c>
      <c r="G86" s="196">
        <v>0.12430198853990369</v>
      </c>
      <c r="H86" s="196">
        <v>0.1052736402127494</v>
      </c>
      <c r="I86" s="196">
        <v>4.5626914763627263E-2</v>
      </c>
      <c r="J86" s="196">
        <v>0.1134377453411803</v>
      </c>
      <c r="K86" s="196">
        <v>5.1321478298064577E-2</v>
      </c>
      <c r="L86" s="196">
        <v>5.2801380600977887E-2</v>
      </c>
      <c r="M86" s="196">
        <v>8.7758665687015985E-2</v>
      </c>
      <c r="N86" s="195">
        <v>0.90894625561943931</v>
      </c>
      <c r="O86" s="196">
        <v>5.6162993008127292E-2</v>
      </c>
      <c r="P86" s="196">
        <v>8.5659775699550272E-2</v>
      </c>
      <c r="Q86" s="196">
        <v>6.325893185540242E-2</v>
      </c>
      <c r="R86" s="196">
        <v>7.4472944539993105E-2</v>
      </c>
      <c r="S86" s="196">
        <v>5.3093623754695431E-2</v>
      </c>
      <c r="T86" s="196">
        <v>5.4015227511622618E-2</v>
      </c>
      <c r="U86" s="196">
        <v>0.13101011353699521</v>
      </c>
      <c r="V86" s="196">
        <v>8.6508849493588211E-2</v>
      </c>
      <c r="W86" s="196">
        <v>-9.0574312068564707E-3</v>
      </c>
      <c r="X86" s="196">
        <v>9.928531541833369E-3</v>
      </c>
      <c r="Y86" s="196">
        <v>6.7519278624116469E-2</v>
      </c>
      <c r="Z86" s="196">
        <v>0.1104351081861789</v>
      </c>
      <c r="AA86" s="196">
        <v>6.381234625639802E-2</v>
      </c>
      <c r="AB86" s="196">
        <v>7.2468752896940603E-2</v>
      </c>
      <c r="AC86" s="196">
        <v>6.915838780864865E-2</v>
      </c>
      <c r="AD86" s="196">
        <v>0.1344275909100105</v>
      </c>
    </row>
    <row r="87" spans="1:30" ht="15" customHeight="1" x14ac:dyDescent="0.3">
      <c r="A87">
        <v>12</v>
      </c>
      <c r="B87" t="s">
        <v>132</v>
      </c>
      <c r="C87" t="s">
        <v>133</v>
      </c>
      <c r="D87" s="196">
        <v>2.735911116037229E-2</v>
      </c>
      <c r="E87" s="196">
        <v>8.6360551505296659E-2</v>
      </c>
      <c r="F87" s="196">
        <v>6.090680411244373E-2</v>
      </c>
      <c r="G87" s="196">
        <v>4.8480799710166498E-3</v>
      </c>
      <c r="H87" s="196">
        <v>7.2602939447318576E-2</v>
      </c>
      <c r="I87" s="196">
        <v>2.6624860993478921E-2</v>
      </c>
      <c r="J87" s="196">
        <v>1.1556712592196519E-2</v>
      </c>
      <c r="K87" s="196">
        <v>2.37242817733102E-2</v>
      </c>
      <c r="L87" s="196">
        <v>6.1707522222793257E-2</v>
      </c>
      <c r="M87" s="196">
        <v>0.10016185696297911</v>
      </c>
      <c r="N87" s="196">
        <v>5.6162993008127098E-2</v>
      </c>
      <c r="O87" s="195">
        <v>0.9417346658306911</v>
      </c>
      <c r="P87" s="196">
        <v>8.1612731580604309E-2</v>
      </c>
      <c r="Q87" s="196">
        <v>5.8192179647562667E-2</v>
      </c>
      <c r="R87" s="196">
        <v>7.5098357943505167E-2</v>
      </c>
      <c r="S87" s="196">
        <v>7.2580710219953909E-2</v>
      </c>
      <c r="T87" s="196">
        <v>7.2021908505414428E-2</v>
      </c>
      <c r="U87" s="196">
        <v>4.5254181927782723E-2</v>
      </c>
      <c r="V87" s="196">
        <v>8.6959691333953135E-2</v>
      </c>
      <c r="W87" s="196">
        <v>3.1065427519336049E-2</v>
      </c>
      <c r="X87" s="196">
        <v>1.3051520439566569E-2</v>
      </c>
      <c r="Y87" s="196">
        <v>0.12780053667616989</v>
      </c>
      <c r="Z87" s="196">
        <v>2.348828129903513E-2</v>
      </c>
      <c r="AA87" s="196">
        <v>6.8801062593241341E-2</v>
      </c>
      <c r="AB87" s="196">
        <v>9.9810077475939576E-2</v>
      </c>
      <c r="AC87" s="196">
        <v>8.1912845372620002E-2</v>
      </c>
      <c r="AD87" s="196">
        <v>4.8454489022710497E-2</v>
      </c>
    </row>
    <row r="88" spans="1:30" ht="15" customHeight="1" x14ac:dyDescent="0.3">
      <c r="A88">
        <v>13</v>
      </c>
      <c r="B88" t="s">
        <v>134</v>
      </c>
      <c r="C88" t="s">
        <v>135</v>
      </c>
      <c r="D88" s="196">
        <v>2.1372858860855309E-2</v>
      </c>
      <c r="E88" s="196">
        <v>5.0285978954520839E-2</v>
      </c>
      <c r="F88" s="196">
        <v>7.2827723100367198E-2</v>
      </c>
      <c r="G88" s="196">
        <v>9.0980588031825248E-3</v>
      </c>
      <c r="H88" s="196">
        <v>3.701575787499381E-2</v>
      </c>
      <c r="I88" s="196">
        <v>1.5783165973770909E-2</v>
      </c>
      <c r="J88" s="196">
        <v>3.2637593528483833E-2</v>
      </c>
      <c r="K88" s="196">
        <v>-4.3756611206277156E-3</v>
      </c>
      <c r="L88" s="196">
        <v>4.0028158950350008E-2</v>
      </c>
      <c r="M88" s="196">
        <v>7.8527605294381062E-2</v>
      </c>
      <c r="N88" s="196">
        <v>8.5659775699550134E-2</v>
      </c>
      <c r="O88" s="196">
        <v>8.16127315806041E-2</v>
      </c>
      <c r="P88" s="195">
        <v>0.95866516568724069</v>
      </c>
      <c r="Q88" s="196">
        <v>4.5754363724325411E-2</v>
      </c>
      <c r="R88" s="196">
        <v>5.0056204143391438E-2</v>
      </c>
      <c r="S88" s="196">
        <v>0.1171094819781013</v>
      </c>
      <c r="T88" s="196">
        <v>7.1882129668268152E-2</v>
      </c>
      <c r="U88" s="196">
        <v>1.716838148325435E-2</v>
      </c>
      <c r="V88" s="196">
        <v>4.4549307749475811E-2</v>
      </c>
      <c r="W88" s="196">
        <v>3.7291913317723108E-2</v>
      </c>
      <c r="X88" s="196">
        <v>2.040803034389526E-2</v>
      </c>
      <c r="Y88" s="196">
        <v>7.5723118796277133E-2</v>
      </c>
      <c r="Z88" s="196">
        <v>7.9852075979306564E-4</v>
      </c>
      <c r="AA88" s="196">
        <v>8.3713698304374251E-2</v>
      </c>
      <c r="AB88" s="196">
        <v>4.5938119356122603E-2</v>
      </c>
      <c r="AC88" s="196">
        <v>2.226239626665865E-2</v>
      </c>
      <c r="AD88" s="196">
        <v>7.2127666638178461E-2</v>
      </c>
    </row>
    <row r="89" spans="1:30" ht="15" customHeight="1" x14ac:dyDescent="0.3">
      <c r="A89" s="122">
        <v>14</v>
      </c>
      <c r="B89" s="122" t="s">
        <v>136</v>
      </c>
      <c r="C89" s="122" t="s">
        <v>137</v>
      </c>
      <c r="D89" s="196">
        <v>1.7260727085635572E-2</v>
      </c>
      <c r="E89" s="196">
        <v>0.1035776688949601</v>
      </c>
      <c r="F89" s="196">
        <v>8.3484939260126553E-2</v>
      </c>
      <c r="G89" s="196">
        <v>5.9367548403684189E-2</v>
      </c>
      <c r="H89" s="196">
        <v>0.11698747225192629</v>
      </c>
      <c r="I89" s="196">
        <v>9.9682391092520709E-2</v>
      </c>
      <c r="J89" s="196">
        <v>4.0382515034339789E-2</v>
      </c>
      <c r="K89" s="196">
        <v>6.9569038574395767E-2</v>
      </c>
      <c r="L89" s="196">
        <v>9.7889983197291641E-2</v>
      </c>
      <c r="M89" s="196">
        <v>0.1061617124381623</v>
      </c>
      <c r="N89" s="196">
        <v>6.3258931855402406E-2</v>
      </c>
      <c r="O89" s="196">
        <v>5.8192179647562757E-2</v>
      </c>
      <c r="P89" s="196">
        <v>4.5754363724325467E-2</v>
      </c>
      <c r="Q89" s="195">
        <v>0.93584513565213601</v>
      </c>
      <c r="R89" s="196">
        <v>5.1419995164505537E-2</v>
      </c>
      <c r="S89" s="196">
        <v>6.1248083881737553E-2</v>
      </c>
      <c r="T89" s="196">
        <v>5.464184868665848E-2</v>
      </c>
      <c r="U89" s="196">
        <v>2.7446335175683949E-2</v>
      </c>
      <c r="V89" s="196">
        <v>8.3469811797476062E-2</v>
      </c>
      <c r="W89" s="196">
        <v>2.7226211832526541E-2</v>
      </c>
      <c r="X89" s="196">
        <v>5.7428897257547233E-2</v>
      </c>
      <c r="Y89" s="196">
        <v>5.6448005148802778E-2</v>
      </c>
      <c r="Z89" s="196">
        <v>-2.2546108302360711E-3</v>
      </c>
      <c r="AA89" s="196">
        <v>3.4425220054874348E-2</v>
      </c>
      <c r="AB89" s="196">
        <v>8.6872948277037593E-2</v>
      </c>
      <c r="AC89" s="196">
        <v>7.9273051138827516E-2</v>
      </c>
      <c r="AD89" s="196">
        <v>5.3826327136671022E-2</v>
      </c>
    </row>
    <row r="90" spans="1:30" ht="15" customHeight="1" x14ac:dyDescent="0.3">
      <c r="A90" s="122">
        <v>15</v>
      </c>
      <c r="B90" s="122" t="s">
        <v>138</v>
      </c>
      <c r="C90" s="122" t="s">
        <v>139</v>
      </c>
      <c r="D90" s="196">
        <v>2.383412145322655E-2</v>
      </c>
      <c r="E90" s="196">
        <v>8.7232428771405496E-2</v>
      </c>
      <c r="F90" s="196">
        <v>7.2554109645457041E-2</v>
      </c>
      <c r="G90" s="196">
        <v>3.163572824251551E-2</v>
      </c>
      <c r="H90" s="196">
        <v>5.8227312962248291E-2</v>
      </c>
      <c r="I90" s="196">
        <v>7.056107550266276E-2</v>
      </c>
      <c r="J90" s="196">
        <v>1.622413170538485E-2</v>
      </c>
      <c r="K90" s="196">
        <v>3.9651533365762617E-2</v>
      </c>
      <c r="L90" s="196">
        <v>3.7218041257917042E-2</v>
      </c>
      <c r="M90" s="196">
        <v>0.10518199136617951</v>
      </c>
      <c r="N90" s="196">
        <v>7.4472944539992952E-2</v>
      </c>
      <c r="O90" s="196">
        <v>7.509835794350507E-2</v>
      </c>
      <c r="P90" s="196">
        <v>5.0056204143391382E-2</v>
      </c>
      <c r="Q90" s="196">
        <v>5.1419995164505433E-2</v>
      </c>
      <c r="R90" s="195">
        <v>0.95007925393593828</v>
      </c>
      <c r="S90" s="196">
        <v>9.0665682305127282E-2</v>
      </c>
      <c r="T90" s="196">
        <v>5.0401835434062361E-2</v>
      </c>
      <c r="U90" s="196">
        <v>-1.611805203676679E-3</v>
      </c>
      <c r="V90" s="196">
        <v>7.1489908360836601E-2</v>
      </c>
      <c r="W90" s="196">
        <v>6.1279906768589708E-2</v>
      </c>
      <c r="X90" s="196">
        <v>2.4485010763684041E-2</v>
      </c>
      <c r="Y90" s="196">
        <v>7.1553979023372585E-2</v>
      </c>
      <c r="Z90" s="196">
        <v>-1.564846585178173E-3</v>
      </c>
      <c r="AA90" s="196">
        <v>8.0356507886411868E-2</v>
      </c>
      <c r="AB90" s="196">
        <v>8.5340561227257528E-2</v>
      </c>
      <c r="AC90" s="196">
        <v>5.5012585159511983E-2</v>
      </c>
      <c r="AD90" s="196">
        <v>4.2430878954071792E-2</v>
      </c>
    </row>
    <row r="91" spans="1:30" ht="15" customHeight="1" x14ac:dyDescent="0.3">
      <c r="A91" s="122">
        <v>16</v>
      </c>
      <c r="B91" s="122" t="s">
        <v>140</v>
      </c>
      <c r="C91" s="122" t="s">
        <v>141</v>
      </c>
      <c r="D91" s="196">
        <v>2.3039861428474639E-2</v>
      </c>
      <c r="E91" s="196">
        <v>6.8048126459499217E-2</v>
      </c>
      <c r="F91" s="196">
        <v>3.7594044176726522E-2</v>
      </c>
      <c r="G91" s="196">
        <v>4.4377774092290642E-2</v>
      </c>
      <c r="H91" s="196">
        <v>6.5138944353484607E-2</v>
      </c>
      <c r="I91" s="196">
        <v>6.7104698471611587E-2</v>
      </c>
      <c r="J91" s="196">
        <v>2.9571634814345459E-2</v>
      </c>
      <c r="K91" s="196">
        <v>4.3531350448591737E-2</v>
      </c>
      <c r="L91" s="196">
        <v>3.748153099002309E-2</v>
      </c>
      <c r="M91" s="196">
        <v>6.65744276185153E-2</v>
      </c>
      <c r="N91" s="196">
        <v>5.3093623754695153E-2</v>
      </c>
      <c r="O91" s="196">
        <v>7.2580710219953715E-2</v>
      </c>
      <c r="P91" s="196">
        <v>0.11710948197810141</v>
      </c>
      <c r="Q91" s="196">
        <v>6.1248083881737518E-2</v>
      </c>
      <c r="R91" s="196">
        <v>9.0665682305127351E-2</v>
      </c>
      <c r="S91" s="195">
        <v>0.94834636213288181</v>
      </c>
      <c r="T91" s="196">
        <v>3.8212355547730233E-2</v>
      </c>
      <c r="U91" s="196">
        <v>3.8333677288258337E-2</v>
      </c>
      <c r="V91" s="196">
        <v>0.1088986683566138</v>
      </c>
      <c r="W91" s="196">
        <v>7.1431564185310562E-2</v>
      </c>
      <c r="X91" s="196">
        <v>2.6389205165040369E-2</v>
      </c>
      <c r="Y91" s="196">
        <v>7.7983927022427429E-2</v>
      </c>
      <c r="Z91" s="196">
        <v>4.4250880197069679E-2</v>
      </c>
      <c r="AA91" s="196">
        <v>6.6426968286887877E-2</v>
      </c>
      <c r="AB91" s="196">
        <v>5.974857149233935E-2</v>
      </c>
      <c r="AC91" s="196">
        <v>2.865856906872127E-2</v>
      </c>
      <c r="AD91" s="196">
        <v>5.9485816739340378E-2</v>
      </c>
    </row>
    <row r="92" spans="1:30" ht="15" customHeight="1" x14ac:dyDescent="0.3">
      <c r="A92" s="122">
        <v>17</v>
      </c>
      <c r="B92" s="122" t="s">
        <v>142</v>
      </c>
      <c r="C92" s="122" t="s">
        <v>143</v>
      </c>
      <c r="D92" s="196">
        <v>4.3769525848867431E-2</v>
      </c>
      <c r="E92" s="196">
        <v>5.325377764925314E-2</v>
      </c>
      <c r="F92" s="196">
        <v>6.0354606012537268E-2</v>
      </c>
      <c r="G92" s="196">
        <v>5.6827122512164929E-2</v>
      </c>
      <c r="H92" s="196">
        <v>5.1116472223417933E-2</v>
      </c>
      <c r="I92" s="196">
        <v>8.54099276456044E-2</v>
      </c>
      <c r="J92" s="196">
        <v>6.9347647930343245E-2</v>
      </c>
      <c r="K92" s="196">
        <v>8.2365643231166435E-2</v>
      </c>
      <c r="L92" s="196">
        <v>6.4984321517033816E-2</v>
      </c>
      <c r="M92" s="196">
        <v>6.1546051466796058E-2</v>
      </c>
      <c r="N92" s="196">
        <v>5.4015227511622632E-2</v>
      </c>
      <c r="O92" s="196">
        <v>7.2021908505414206E-2</v>
      </c>
      <c r="P92" s="196">
        <v>7.1882129668268416E-2</v>
      </c>
      <c r="Q92" s="196">
        <v>5.4641848686658542E-2</v>
      </c>
      <c r="R92" s="196">
        <v>5.0401835434062348E-2</v>
      </c>
      <c r="S92" s="196">
        <v>3.8212355547730392E-2</v>
      </c>
      <c r="T92" s="195">
        <v>0.93823321236480572</v>
      </c>
      <c r="U92" s="196">
        <v>7.8158023696142359E-2</v>
      </c>
      <c r="V92" s="196">
        <v>7.4256308086597334E-2</v>
      </c>
      <c r="W92" s="196">
        <v>0.1225095407784883</v>
      </c>
      <c r="X92" s="196">
        <v>2.630413296572132E-2</v>
      </c>
      <c r="Y92" s="196">
        <v>6.914791468549196E-2</v>
      </c>
      <c r="Z92" s="196">
        <v>7.3548905499012995E-2</v>
      </c>
      <c r="AA92" s="196">
        <v>7.4019817899662013E-2</v>
      </c>
      <c r="AB92" s="196">
        <v>3.5194701393723098E-2</v>
      </c>
      <c r="AC92" s="196">
        <v>9.06633812109673E-2</v>
      </c>
      <c r="AD92" s="196">
        <v>7.6637341501409981E-2</v>
      </c>
    </row>
    <row r="93" spans="1:30" ht="15" customHeight="1" x14ac:dyDescent="0.3">
      <c r="A93" s="122">
        <v>18</v>
      </c>
      <c r="B93" s="122" t="s">
        <v>144</v>
      </c>
      <c r="C93" t="s">
        <v>145</v>
      </c>
      <c r="D93" s="196">
        <v>0.2519088530097699</v>
      </c>
      <c r="E93" s="196">
        <v>5.962604973065562E-2</v>
      </c>
      <c r="F93" s="196">
        <v>6.3712376387556877E-2</v>
      </c>
      <c r="G93" s="196">
        <v>0.23272849406470339</v>
      </c>
      <c r="H93" s="196">
        <v>6.981191525659701E-2</v>
      </c>
      <c r="I93" s="196">
        <v>7.5187910291350843E-2</v>
      </c>
      <c r="J93" s="196">
        <v>0.24089310322341589</v>
      </c>
      <c r="K93" s="196">
        <v>0.2176585301056542</v>
      </c>
      <c r="L93" s="196">
        <v>4.3227943134958362E-2</v>
      </c>
      <c r="M93" s="196">
        <v>1.205763236426329E-2</v>
      </c>
      <c r="N93" s="196">
        <v>0.1310101135369951</v>
      </c>
      <c r="O93" s="196">
        <v>4.5254181927782577E-2</v>
      </c>
      <c r="P93" s="196">
        <v>1.7168381483254311E-2</v>
      </c>
      <c r="Q93" s="196">
        <v>2.7446335175683938E-2</v>
      </c>
      <c r="R93" s="196">
        <v>-1.611805203676882E-3</v>
      </c>
      <c r="S93" s="196">
        <v>3.8333677288258469E-2</v>
      </c>
      <c r="T93" s="196">
        <v>7.815802369614204E-2</v>
      </c>
      <c r="U93" s="195">
        <v>0.79790124581555955</v>
      </c>
      <c r="V93" s="196">
        <v>2.6605197320856651E-2</v>
      </c>
      <c r="W93" s="196">
        <v>0.14492136027062069</v>
      </c>
      <c r="X93" s="196">
        <v>6.4024777441734293E-2</v>
      </c>
      <c r="Y93" s="196">
        <v>1.2544285569433881E-2</v>
      </c>
      <c r="Z93" s="196">
        <v>0.23056722626582771</v>
      </c>
      <c r="AA93" s="196">
        <v>3.4178980359099859E-2</v>
      </c>
      <c r="AB93" s="196">
        <v>3.7902165281911052E-2</v>
      </c>
      <c r="AC93" s="196">
        <v>6.64965704351103E-2</v>
      </c>
      <c r="AD93" s="196">
        <v>7.8600136006895249E-2</v>
      </c>
    </row>
    <row r="94" spans="1:30" ht="15" customHeight="1" x14ac:dyDescent="0.3">
      <c r="A94" s="122">
        <v>19</v>
      </c>
      <c r="B94" s="122" t="s">
        <v>146</v>
      </c>
      <c r="C94" t="s">
        <v>147</v>
      </c>
      <c r="D94" s="196">
        <v>6.9340213507277024E-3</v>
      </c>
      <c r="E94" s="196">
        <v>6.6241352383786437E-2</v>
      </c>
      <c r="F94" s="196">
        <v>7.2691193178261865E-2</v>
      </c>
      <c r="G94" s="196">
        <v>4.1639171050430988E-2</v>
      </c>
      <c r="H94" s="196">
        <v>2.186292398195765E-2</v>
      </c>
      <c r="I94" s="196">
        <v>4.9741383355313383E-2</v>
      </c>
      <c r="J94" s="196">
        <v>2.1408587308248191E-2</v>
      </c>
      <c r="K94" s="196">
        <v>3.3346186175011013E-2</v>
      </c>
      <c r="L94" s="196">
        <v>8.7880683968238602E-2</v>
      </c>
      <c r="M94" s="196">
        <v>0.1010612903327852</v>
      </c>
      <c r="N94" s="196">
        <v>8.6508849493587961E-2</v>
      </c>
      <c r="O94" s="196">
        <v>8.6959691333952968E-2</v>
      </c>
      <c r="P94" s="196">
        <v>4.4549307749475811E-2</v>
      </c>
      <c r="Q94" s="196">
        <v>8.3469811797475965E-2</v>
      </c>
      <c r="R94" s="196">
        <v>7.1489908360836685E-2</v>
      </c>
      <c r="S94" s="196">
        <v>0.1088986683566141</v>
      </c>
      <c r="T94" s="196">
        <v>7.4256308086597264E-2</v>
      </c>
      <c r="U94" s="196">
        <v>2.6605197320856401E-2</v>
      </c>
      <c r="V94" s="195">
        <v>0.94561016899401928</v>
      </c>
      <c r="W94" s="196">
        <v>4.7241800551686683E-2</v>
      </c>
      <c r="X94" s="196">
        <v>5.4446084418752781E-2</v>
      </c>
      <c r="Y94" s="196">
        <v>4.815958004662562E-2</v>
      </c>
      <c r="Z94" s="196">
        <v>3.2689421833303589E-2</v>
      </c>
      <c r="AA94" s="196">
        <v>7.8487862214435919E-2</v>
      </c>
      <c r="AB94" s="196">
        <v>6.3346075071781527E-2</v>
      </c>
      <c r="AC94" s="196">
        <v>7.1577227726419723E-2</v>
      </c>
      <c r="AD94" s="196">
        <v>2.8966096215168081E-2</v>
      </c>
    </row>
    <row r="95" spans="1:30" ht="15" customHeight="1" x14ac:dyDescent="0.3">
      <c r="A95" s="122">
        <v>20</v>
      </c>
      <c r="B95" s="122" t="s">
        <v>148</v>
      </c>
      <c r="C95" s="122" t="s">
        <v>149</v>
      </c>
      <c r="D95" s="196">
        <v>0.15212552703205409</v>
      </c>
      <c r="E95" s="196">
        <v>5.5934652914818479E-2</v>
      </c>
      <c r="F95" s="196">
        <v>6.7232156238166058E-2</v>
      </c>
      <c r="G95" s="196">
        <v>0.1197919545494175</v>
      </c>
      <c r="H95" s="196">
        <v>4.8074929856764377E-2</v>
      </c>
      <c r="I95" s="196">
        <v>4.2606243289083121E-2</v>
      </c>
      <c r="J95" s="196">
        <v>0.13155049705326791</v>
      </c>
      <c r="K95" s="196">
        <v>0.1552678318950042</v>
      </c>
      <c r="L95" s="196">
        <v>5.0995744081493287E-2</v>
      </c>
      <c r="M95" s="196">
        <v>2.3375271624210409E-2</v>
      </c>
      <c r="N95" s="196">
        <v>-9.0574312068565799E-3</v>
      </c>
      <c r="O95" s="196">
        <v>3.1065427519336011E-2</v>
      </c>
      <c r="P95" s="196">
        <v>3.7291913317723198E-2</v>
      </c>
      <c r="Q95" s="196">
        <v>2.7226211832526531E-2</v>
      </c>
      <c r="R95" s="196">
        <v>6.1279906768589763E-2</v>
      </c>
      <c r="S95" s="196">
        <v>7.143156418531077E-2</v>
      </c>
      <c r="T95" s="196">
        <v>0.1225095407784882</v>
      </c>
      <c r="U95" s="196">
        <v>0.144921360270621</v>
      </c>
      <c r="V95" s="196">
        <v>4.7241800551686773E-2</v>
      </c>
      <c r="W95" s="195">
        <v>0.90617179608283538</v>
      </c>
      <c r="X95" s="196">
        <v>5.962648935690703E-2</v>
      </c>
      <c r="Y95" s="196">
        <v>6.2643904644144183E-2</v>
      </c>
      <c r="Z95" s="196">
        <v>0.1161772497218734</v>
      </c>
      <c r="AA95" s="196">
        <v>4.6004546553487929E-2</v>
      </c>
      <c r="AB95" s="196">
        <v>5.9437786159414432E-2</v>
      </c>
      <c r="AC95" s="196">
        <v>6.9119643005663992E-2</v>
      </c>
      <c r="AD95" s="196">
        <v>5.7806571561711567E-2</v>
      </c>
    </row>
    <row r="96" spans="1:30" ht="15" customHeight="1" x14ac:dyDescent="0.3">
      <c r="A96">
        <v>21</v>
      </c>
      <c r="B96" t="s">
        <v>150</v>
      </c>
      <c r="C96" t="s">
        <v>151</v>
      </c>
      <c r="D96" s="196">
        <v>3.8594339283692873E-2</v>
      </c>
      <c r="E96" s="196">
        <v>5.5368983180033839E-2</v>
      </c>
      <c r="F96" s="196">
        <v>3.1102198183294311E-2</v>
      </c>
      <c r="G96" s="196">
        <v>6.6624327204332937E-2</v>
      </c>
      <c r="H96" s="196">
        <v>3.5635502158519357E-2</v>
      </c>
      <c r="I96" s="196">
        <v>6.339555354028753E-2</v>
      </c>
      <c r="J96" s="196">
        <v>5.3824793258753348E-2</v>
      </c>
      <c r="K96" s="196">
        <v>6.9234095478520774E-2</v>
      </c>
      <c r="L96" s="196">
        <v>4.7367224544849547E-2</v>
      </c>
      <c r="M96" s="196">
        <v>5.4424769822232918E-2</v>
      </c>
      <c r="N96" s="196">
        <v>9.9285315418334175E-3</v>
      </c>
      <c r="O96" s="196">
        <v>1.305152043956649E-2</v>
      </c>
      <c r="P96" s="196">
        <v>2.0408030343895201E-2</v>
      </c>
      <c r="Q96" s="196">
        <v>5.7428897257547011E-2</v>
      </c>
      <c r="R96" s="196">
        <v>2.4485010763684058E-2</v>
      </c>
      <c r="S96" s="196">
        <v>2.6389205165040359E-2</v>
      </c>
      <c r="T96" s="196">
        <v>2.6304132965721271E-2</v>
      </c>
      <c r="U96" s="196">
        <v>6.4024777441734376E-2</v>
      </c>
      <c r="V96" s="196">
        <v>5.444608441875283E-2</v>
      </c>
      <c r="W96" s="196">
        <v>5.9626489356906939E-2</v>
      </c>
      <c r="X96" s="195">
        <v>0.96968330900337163</v>
      </c>
      <c r="Y96" s="196">
        <v>1.6217572701866519E-2</v>
      </c>
      <c r="Z96" s="196">
        <v>2.7849462821678439E-2</v>
      </c>
      <c r="AA96" s="196">
        <v>4.9256960796225019E-2</v>
      </c>
      <c r="AB96" s="196">
        <v>5.8909032157251462E-2</v>
      </c>
      <c r="AC96" s="196">
        <v>8.812751605406019E-2</v>
      </c>
      <c r="AD96" s="196">
        <v>1.6615501074582699E-2</v>
      </c>
    </row>
    <row r="97" spans="1:30" ht="15" customHeight="1" x14ac:dyDescent="0.3">
      <c r="A97">
        <v>22</v>
      </c>
      <c r="B97" t="s">
        <v>152</v>
      </c>
      <c r="C97" t="s">
        <v>153</v>
      </c>
      <c r="D97" s="196">
        <v>2.785639049834434E-2</v>
      </c>
      <c r="E97" s="196">
        <v>7.0546226597548972E-2</v>
      </c>
      <c r="F97" s="196">
        <v>0.13044001968413849</v>
      </c>
      <c r="G97" s="196">
        <v>3.8340142420877889E-2</v>
      </c>
      <c r="H97" s="196">
        <v>5.0570281806756191E-2</v>
      </c>
      <c r="I97" s="196">
        <v>5.0569554848120722E-2</v>
      </c>
      <c r="J97" s="196">
        <v>3.2486411394682592E-2</v>
      </c>
      <c r="K97" s="196">
        <v>2.527983427942412E-2</v>
      </c>
      <c r="L97" s="196">
        <v>5.9206384306979158E-2</v>
      </c>
      <c r="M97" s="196">
        <v>7.9763493011060907E-2</v>
      </c>
      <c r="N97" s="196">
        <v>6.7519278624116247E-2</v>
      </c>
      <c r="O97" s="196">
        <v>0.12780053667616981</v>
      </c>
      <c r="P97" s="196">
        <v>7.5723118796277231E-2</v>
      </c>
      <c r="Q97" s="196">
        <v>5.6448005148802681E-2</v>
      </c>
      <c r="R97" s="196">
        <v>7.1553979023372433E-2</v>
      </c>
      <c r="S97" s="196">
        <v>7.7983927022427332E-2</v>
      </c>
      <c r="T97" s="196">
        <v>6.9147914685491682E-2</v>
      </c>
      <c r="U97" s="196">
        <v>1.254428556943382E-2</v>
      </c>
      <c r="V97" s="196">
        <v>4.815958004662562E-2</v>
      </c>
      <c r="W97" s="196">
        <v>6.2643904644143877E-2</v>
      </c>
      <c r="X97" s="196">
        <v>1.6217572701866471E-2</v>
      </c>
      <c r="Y97" s="195">
        <v>0.94439519390159488</v>
      </c>
      <c r="Z97" s="196">
        <v>1.9266495736660061E-3</v>
      </c>
      <c r="AA97" s="196">
        <v>5.8741736218668433E-2</v>
      </c>
      <c r="AB97" s="196">
        <v>7.1859649565033559E-2</v>
      </c>
      <c r="AC97" s="196">
        <v>5.9208153139678692E-2</v>
      </c>
      <c r="AD97" s="196">
        <v>5.119506777766792E-2</v>
      </c>
    </row>
    <row r="98" spans="1:30" ht="15" customHeight="1" x14ac:dyDescent="0.3">
      <c r="A98">
        <v>23</v>
      </c>
      <c r="B98" t="s">
        <v>154</v>
      </c>
      <c r="C98" t="s">
        <v>155</v>
      </c>
      <c r="D98" s="196">
        <v>0.26006151745832778</v>
      </c>
      <c r="E98" s="196">
        <v>2.4637124833464311E-2</v>
      </c>
      <c r="F98" s="196">
        <v>1.245742716557253E-2</v>
      </c>
      <c r="G98" s="196">
        <v>0.24143276934182609</v>
      </c>
      <c r="H98" s="196">
        <v>9.2605221852868208E-2</v>
      </c>
      <c r="I98" s="196">
        <v>2.7566463973810889E-2</v>
      </c>
      <c r="J98" s="196">
        <v>0.24951932259704521</v>
      </c>
      <c r="K98" s="196">
        <v>0.21122357659618551</v>
      </c>
      <c r="L98" s="196">
        <v>2.764068602658213E-2</v>
      </c>
      <c r="M98" s="196">
        <v>5.117904488010256E-2</v>
      </c>
      <c r="N98" s="196">
        <v>0.1104351081861789</v>
      </c>
      <c r="O98" s="196">
        <v>2.3488281299034821E-2</v>
      </c>
      <c r="P98" s="196">
        <v>7.9852075979287471E-4</v>
      </c>
      <c r="Q98" s="196">
        <v>-2.254610830236356E-3</v>
      </c>
      <c r="R98" s="196">
        <v>-1.5648465851783369E-3</v>
      </c>
      <c r="S98" s="196">
        <v>4.4250880197069693E-2</v>
      </c>
      <c r="T98" s="196">
        <v>7.3548905499012676E-2</v>
      </c>
      <c r="U98" s="196">
        <v>0.23056722626582779</v>
      </c>
      <c r="V98" s="196">
        <v>3.2689421833303693E-2</v>
      </c>
      <c r="W98" s="196">
        <v>0.11617724972187329</v>
      </c>
      <c r="X98" s="196">
        <v>2.784946282167846E-2</v>
      </c>
      <c r="Y98" s="196">
        <v>1.926649573666008E-3</v>
      </c>
      <c r="Z98" s="195">
        <v>0.8097886432752206</v>
      </c>
      <c r="AA98" s="196">
        <v>1.3604014784256329E-2</v>
      </c>
      <c r="AB98" s="196">
        <v>1.425643435389904E-2</v>
      </c>
      <c r="AC98" s="196">
        <v>5.2267227826651441E-2</v>
      </c>
      <c r="AD98" s="196">
        <v>7.8831006959406563E-2</v>
      </c>
    </row>
    <row r="99" spans="1:30" ht="15" customHeight="1" x14ac:dyDescent="0.3">
      <c r="A99">
        <v>24</v>
      </c>
      <c r="B99" t="s">
        <v>156</v>
      </c>
      <c r="C99" t="s">
        <v>157</v>
      </c>
      <c r="D99" s="196">
        <v>7.4987013872654306E-3</v>
      </c>
      <c r="E99" s="196">
        <v>5.0122231793152588E-2</v>
      </c>
      <c r="F99" s="196">
        <v>0.1044383481837529</v>
      </c>
      <c r="G99" s="196">
        <v>3.2229008438763529E-2</v>
      </c>
      <c r="H99" s="196">
        <v>4.5903639508056857E-2</v>
      </c>
      <c r="I99" s="196">
        <v>7.7945740169920563E-2</v>
      </c>
      <c r="J99" s="196">
        <v>1.7418665398593509E-2</v>
      </c>
      <c r="K99" s="196">
        <v>5.1296922696711732E-2</v>
      </c>
      <c r="L99" s="196">
        <v>5.9802543465102109E-2</v>
      </c>
      <c r="M99" s="196">
        <v>9.5555901611970515E-2</v>
      </c>
      <c r="N99" s="196">
        <v>6.3812346256397978E-2</v>
      </c>
      <c r="O99" s="196">
        <v>6.8801062593241077E-2</v>
      </c>
      <c r="P99" s="196">
        <v>8.3713698304374376E-2</v>
      </c>
      <c r="Q99" s="196">
        <v>3.442522005487441E-2</v>
      </c>
      <c r="R99" s="196">
        <v>8.0356507886411868E-2</v>
      </c>
      <c r="S99" s="196">
        <v>6.6426968286887891E-2</v>
      </c>
      <c r="T99" s="196">
        <v>7.401981789966193E-2</v>
      </c>
      <c r="U99" s="196">
        <v>3.4178980359100039E-2</v>
      </c>
      <c r="V99" s="196">
        <v>7.8487862214435863E-2</v>
      </c>
      <c r="W99" s="196">
        <v>4.6004546553487943E-2</v>
      </c>
      <c r="X99" s="196">
        <v>4.9256960796225061E-2</v>
      </c>
      <c r="Y99" s="196">
        <v>5.8741736218668648E-2</v>
      </c>
      <c r="Z99" s="196">
        <v>1.360401478425643E-2</v>
      </c>
      <c r="AA99" s="195">
        <v>0.9442708750254043</v>
      </c>
      <c r="AB99" s="196">
        <v>0.11578120835885421</v>
      </c>
      <c r="AC99" s="196">
        <v>6.2686547743233678E-2</v>
      </c>
      <c r="AD99" s="196">
        <v>6.1839602443121151E-2</v>
      </c>
    </row>
    <row r="100" spans="1:30" ht="15" customHeight="1" x14ac:dyDescent="0.3">
      <c r="A100">
        <v>25</v>
      </c>
      <c r="B100" t="s">
        <v>158</v>
      </c>
      <c r="C100" t="s">
        <v>159</v>
      </c>
      <c r="D100" s="196">
        <v>4.0065169523852077E-2</v>
      </c>
      <c r="E100" s="196">
        <v>6.2878264883836701E-2</v>
      </c>
      <c r="F100" s="196">
        <v>5.8286548108508203E-2</v>
      </c>
      <c r="G100" s="196">
        <v>2.305345075404075E-2</v>
      </c>
      <c r="H100" s="196">
        <v>5.7757092458850863E-2</v>
      </c>
      <c r="I100" s="196">
        <v>7.4963938771291039E-2</v>
      </c>
      <c r="J100" s="196">
        <v>7.750734945959817E-3</v>
      </c>
      <c r="K100" s="196">
        <v>4.552598844598444E-2</v>
      </c>
      <c r="L100" s="196">
        <v>7.0380301710549958E-2</v>
      </c>
      <c r="M100" s="196">
        <v>8.7768233812915056E-2</v>
      </c>
      <c r="N100" s="196">
        <v>7.2468752896940589E-2</v>
      </c>
      <c r="O100" s="196">
        <v>9.9810077475939327E-2</v>
      </c>
      <c r="P100" s="196">
        <v>4.5938119356122582E-2</v>
      </c>
      <c r="Q100" s="196">
        <v>8.6872948277037607E-2</v>
      </c>
      <c r="R100" s="196">
        <v>8.5340561227257486E-2</v>
      </c>
      <c r="S100" s="196">
        <v>5.9748571492339413E-2</v>
      </c>
      <c r="T100" s="196">
        <v>3.5194701393723091E-2</v>
      </c>
      <c r="U100" s="196">
        <v>3.7902165281910913E-2</v>
      </c>
      <c r="V100" s="196">
        <v>6.3346075071781541E-2</v>
      </c>
      <c r="W100" s="196">
        <v>5.9437786159414432E-2</v>
      </c>
      <c r="X100" s="196">
        <v>5.890903215725151E-2</v>
      </c>
      <c r="Y100" s="196">
        <v>7.1859649565033587E-2</v>
      </c>
      <c r="Z100" s="196">
        <v>1.425643435389903E-2</v>
      </c>
      <c r="AA100" s="196">
        <v>0.1157812083588541</v>
      </c>
      <c r="AB100" s="195">
        <v>0.94294519647967012</v>
      </c>
      <c r="AC100" s="196">
        <v>8.3950400906901784E-2</v>
      </c>
      <c r="AD100" s="196">
        <v>4.8855574558542371E-2</v>
      </c>
    </row>
    <row r="101" spans="1:30" x14ac:dyDescent="0.3">
      <c r="A101">
        <v>26</v>
      </c>
      <c r="B101" t="s">
        <v>160</v>
      </c>
      <c r="C101" t="s">
        <v>161</v>
      </c>
      <c r="D101" s="197">
        <v>6.9784245013505497E-2</v>
      </c>
      <c r="E101" s="197">
        <v>0.1068295249910555</v>
      </c>
      <c r="F101" s="198">
        <v>6.9711926716646194E-2</v>
      </c>
      <c r="G101" s="197">
        <v>6.1248375942162467E-2</v>
      </c>
      <c r="H101" s="199">
        <v>4.0694831958507122E-2</v>
      </c>
      <c r="I101" s="197">
        <v>7.329196714798171E-2</v>
      </c>
      <c r="J101" s="197">
        <v>3.8115986060074172E-2</v>
      </c>
      <c r="K101" s="197">
        <v>0.1079843964435854</v>
      </c>
      <c r="L101" s="197">
        <v>7.3484739355504508E-2</v>
      </c>
      <c r="M101" s="197">
        <v>7.9505518043954532E-2</v>
      </c>
      <c r="N101" s="197">
        <v>6.9158387808648553E-2</v>
      </c>
      <c r="O101" s="197">
        <v>8.1912845372619836E-2</v>
      </c>
      <c r="P101" s="197">
        <v>2.2262396266658779E-2</v>
      </c>
      <c r="Q101" s="198">
        <v>7.9273051138827572E-2</v>
      </c>
      <c r="R101" s="197">
        <v>5.5012585159511927E-2</v>
      </c>
      <c r="S101" s="197">
        <v>2.865856906872136E-2</v>
      </c>
      <c r="T101" s="197">
        <v>9.0663381210967231E-2</v>
      </c>
      <c r="U101" s="197">
        <v>6.6496570435110286E-2</v>
      </c>
      <c r="V101" s="197">
        <v>7.1577227726419654E-2</v>
      </c>
      <c r="W101" s="198">
        <v>6.9119643005663964E-2</v>
      </c>
      <c r="X101" s="191">
        <v>8.812751605406019E-2</v>
      </c>
      <c r="Y101" s="197">
        <v>5.9208153139678782E-2</v>
      </c>
      <c r="Z101" s="183">
        <v>5.2267227826651552E-2</v>
      </c>
      <c r="AA101" s="183">
        <v>6.2686547743233678E-2</v>
      </c>
      <c r="AB101" s="183">
        <v>8.3950400906901743E-2</v>
      </c>
      <c r="AC101" s="200">
        <v>0.93454143204421336</v>
      </c>
      <c r="AD101" s="183">
        <v>1.5252513682792099E-2</v>
      </c>
    </row>
    <row r="102" spans="1:30" x14ac:dyDescent="0.3">
      <c r="A102">
        <v>27</v>
      </c>
      <c r="B102" t="s">
        <v>162</v>
      </c>
      <c r="C102" t="s">
        <v>163</v>
      </c>
      <c r="D102" s="197">
        <v>0.1238982119083923</v>
      </c>
      <c r="E102" s="197">
        <v>4.7666839217829118E-2</v>
      </c>
      <c r="F102" s="197">
        <v>1.458301402850583E-2</v>
      </c>
      <c r="G102" s="197">
        <v>7.6065406811190284E-2</v>
      </c>
      <c r="H102" s="197">
        <v>9.8752610742931263E-2</v>
      </c>
      <c r="I102" s="199">
        <v>9.1318225899425801E-2</v>
      </c>
      <c r="J102" s="197">
        <v>9.5274593303511318E-2</v>
      </c>
      <c r="K102" s="197">
        <v>9.1008821769115886E-2</v>
      </c>
      <c r="L102" s="197">
        <v>6.5084757683744304E-2</v>
      </c>
      <c r="M102" s="197">
        <v>5.0246997888821698E-2</v>
      </c>
      <c r="N102" s="197">
        <v>0.1344275909100105</v>
      </c>
      <c r="O102" s="198">
        <v>4.8454489022710413E-2</v>
      </c>
      <c r="P102" s="197">
        <v>7.21276666381786E-2</v>
      </c>
      <c r="Q102" s="197">
        <v>5.3826327136671008E-2</v>
      </c>
      <c r="R102" s="197">
        <v>4.2430878954071792E-2</v>
      </c>
      <c r="S102" s="197">
        <v>5.9485816739340523E-2</v>
      </c>
      <c r="T102" s="197">
        <v>7.6637341501409689E-2</v>
      </c>
      <c r="U102" s="197">
        <v>7.8600136006895194E-2</v>
      </c>
      <c r="V102" s="197">
        <v>2.8966096215168241E-2</v>
      </c>
      <c r="W102" s="197">
        <v>5.7806571561711532E-2</v>
      </c>
      <c r="X102" s="191">
        <v>1.661550107458273E-2</v>
      </c>
      <c r="Y102" s="197">
        <v>5.1195067777668059E-2</v>
      </c>
      <c r="Z102" s="183">
        <v>7.8831006959406591E-2</v>
      </c>
      <c r="AA102" s="183">
        <v>6.1839602443121137E-2</v>
      </c>
      <c r="AB102" s="183">
        <v>4.8855574558542468E-2</v>
      </c>
      <c r="AC102" s="183">
        <v>1.5252513682792131E-2</v>
      </c>
      <c r="AD102" s="200">
        <v>0.93194562597511976</v>
      </c>
    </row>
    <row r="103" spans="1:30" x14ac:dyDescent="0.3">
      <c r="D103" s="128"/>
      <c r="E103" s="128"/>
      <c r="F103" s="128"/>
      <c r="G103" s="128"/>
      <c r="H103" s="128"/>
      <c r="I103" s="128"/>
      <c r="J103" s="127"/>
      <c r="K103" s="128"/>
      <c r="L103" s="128"/>
      <c r="M103" s="128"/>
      <c r="N103" s="128"/>
      <c r="O103" s="128"/>
      <c r="P103" s="128"/>
      <c r="Q103" s="128"/>
      <c r="R103" s="128"/>
      <c r="S103" s="128"/>
      <c r="T103" s="128"/>
      <c r="U103" s="128"/>
      <c r="V103" s="128"/>
      <c r="W103" s="128"/>
      <c r="X103" s="125"/>
      <c r="Y103" s="129"/>
    </row>
    <row r="104" spans="1:30" x14ac:dyDescent="0.3">
      <c r="A104" t="s">
        <v>179</v>
      </c>
      <c r="D104" s="128"/>
      <c r="E104" s="128"/>
      <c r="F104" s="128"/>
      <c r="G104" s="128"/>
      <c r="H104" s="128"/>
      <c r="I104" s="128"/>
      <c r="J104" s="128"/>
      <c r="K104" s="127"/>
      <c r="L104" s="128"/>
      <c r="M104" s="128"/>
      <c r="N104" s="128"/>
      <c r="O104" s="128"/>
      <c r="P104" s="128"/>
      <c r="Q104" s="128"/>
      <c r="R104" s="128"/>
      <c r="S104" s="128"/>
      <c r="T104" s="128"/>
      <c r="U104" s="128"/>
      <c r="V104" s="128"/>
      <c r="W104" s="128"/>
      <c r="X104" s="125"/>
      <c r="Y104" s="129"/>
    </row>
    <row r="105" spans="1:30" ht="15" customHeight="1" x14ac:dyDescent="0.3">
      <c r="A105" t="s">
        <v>180</v>
      </c>
      <c r="D105" s="128"/>
      <c r="E105" s="128"/>
      <c r="F105" s="128"/>
      <c r="G105" s="128"/>
      <c r="H105" s="128"/>
      <c r="I105" s="128"/>
      <c r="J105" s="128"/>
      <c r="K105" s="128"/>
      <c r="L105" s="127"/>
      <c r="M105" s="128"/>
      <c r="N105" s="128"/>
      <c r="O105" s="128"/>
      <c r="P105" s="128"/>
      <c r="Q105" s="128"/>
      <c r="R105" s="128"/>
      <c r="S105" s="128"/>
      <c r="T105" s="128"/>
      <c r="U105" s="128"/>
      <c r="V105" s="128"/>
      <c r="W105" s="128"/>
      <c r="X105" s="125"/>
      <c r="Y105" s="129"/>
      <c r="Z105" s="122"/>
      <c r="AA105" s="122"/>
      <c r="AB105" s="122"/>
      <c r="AC105" s="122"/>
      <c r="AD105" s="122"/>
    </row>
    <row r="106" spans="1:30" x14ac:dyDescent="0.3">
      <c r="D106" s="130"/>
      <c r="E106" s="128"/>
      <c r="F106" s="128"/>
      <c r="G106" s="128"/>
      <c r="H106" s="128"/>
      <c r="I106" s="128"/>
      <c r="J106" s="128"/>
      <c r="K106" s="128"/>
      <c r="L106" s="128"/>
      <c r="M106" s="128"/>
      <c r="N106" s="128"/>
      <c r="O106" s="128"/>
      <c r="P106" s="128"/>
      <c r="Q106" s="128"/>
      <c r="R106" s="128"/>
      <c r="S106" s="127"/>
      <c r="T106" s="128"/>
      <c r="U106" s="128"/>
      <c r="V106" s="128"/>
      <c r="W106" s="128"/>
      <c r="X106" s="125"/>
      <c r="Y106" s="129"/>
    </row>
    <row r="107" spans="1:30" x14ac:dyDescent="0.3">
      <c r="A107" t="s">
        <v>107</v>
      </c>
      <c r="B107" t="s">
        <v>176</v>
      </c>
      <c r="C107" t="s">
        <v>109</v>
      </c>
      <c r="D107" s="128" t="s">
        <v>3</v>
      </c>
      <c r="E107" s="128" t="s">
        <v>5</v>
      </c>
      <c r="F107" s="128" t="s">
        <v>6</v>
      </c>
      <c r="G107" s="128" t="s">
        <v>7</v>
      </c>
      <c r="H107" s="128" t="s">
        <v>8</v>
      </c>
      <c r="I107" s="128" t="s">
        <v>10</v>
      </c>
      <c r="J107" s="128" t="s">
        <v>11</v>
      </c>
      <c r="K107" s="128" t="s">
        <v>12</v>
      </c>
      <c r="L107" s="128" t="s">
        <v>13</v>
      </c>
      <c r="M107" s="128" t="s">
        <v>14</v>
      </c>
      <c r="N107" s="128" t="s">
        <v>15</v>
      </c>
      <c r="O107" s="128" t="s">
        <v>16</v>
      </c>
      <c r="P107" s="128" t="s">
        <v>17</v>
      </c>
      <c r="Q107" s="128" t="s">
        <v>18</v>
      </c>
      <c r="R107" s="128" t="s">
        <v>19</v>
      </c>
      <c r="S107" s="128" t="s">
        <v>20</v>
      </c>
      <c r="T107" s="127" t="s">
        <v>21</v>
      </c>
      <c r="U107" s="128" t="s">
        <v>22</v>
      </c>
      <c r="V107" s="128" t="s">
        <v>23</v>
      </c>
      <c r="W107" s="128" t="s">
        <v>24</v>
      </c>
      <c r="X107" s="125" t="s">
        <v>25</v>
      </c>
      <c r="Y107" s="129" t="s">
        <v>26</v>
      </c>
      <c r="Z107" t="s">
        <v>27</v>
      </c>
      <c r="AA107" t="s">
        <v>28</v>
      </c>
      <c r="AB107" t="s">
        <v>29</v>
      </c>
      <c r="AC107" t="s">
        <v>30</v>
      </c>
      <c r="AD107" t="s">
        <v>31</v>
      </c>
    </row>
    <row r="108" spans="1:30" x14ac:dyDescent="0.3">
      <c r="A108">
        <v>1</v>
      </c>
      <c r="B108" t="s">
        <v>110</v>
      </c>
      <c r="C108" t="s">
        <v>111</v>
      </c>
      <c r="D108" s="128">
        <v>1</v>
      </c>
      <c r="E108" s="128"/>
      <c r="F108" s="130"/>
      <c r="G108" s="128"/>
      <c r="H108" s="128"/>
      <c r="I108" s="128"/>
      <c r="J108" s="128"/>
      <c r="K108" s="128"/>
      <c r="L108" s="128"/>
      <c r="M108" s="128"/>
      <c r="N108" s="128"/>
      <c r="O108" s="128"/>
      <c r="P108" s="128"/>
      <c r="Q108" s="128"/>
      <c r="R108" s="128"/>
      <c r="S108" s="128"/>
      <c r="T108" s="128"/>
      <c r="U108" s="127"/>
      <c r="V108" s="128"/>
      <c r="W108" s="128"/>
      <c r="X108" s="125"/>
      <c r="Y108" s="129"/>
      <c r="Z108"/>
      <c r="AA108"/>
      <c r="AB108"/>
      <c r="AC108"/>
      <c r="AD108"/>
    </row>
    <row r="109" spans="1:30" x14ac:dyDescent="0.3">
      <c r="A109">
        <v>2</v>
      </c>
      <c r="B109" t="s">
        <v>112</v>
      </c>
      <c r="C109" t="s">
        <v>113</v>
      </c>
      <c r="D109" s="128"/>
      <c r="E109" s="128">
        <v>1</v>
      </c>
      <c r="F109" s="128"/>
      <c r="G109" s="130"/>
      <c r="H109" s="128"/>
      <c r="I109" s="128"/>
      <c r="J109" s="128"/>
      <c r="K109" s="128"/>
      <c r="L109" s="128"/>
      <c r="M109" s="128"/>
      <c r="N109" s="128"/>
      <c r="O109" s="128"/>
      <c r="P109" s="128"/>
      <c r="Q109" s="128"/>
      <c r="R109" s="128"/>
      <c r="S109" s="128"/>
      <c r="T109" s="128"/>
      <c r="U109" s="128"/>
      <c r="V109" s="127"/>
      <c r="W109" s="128"/>
      <c r="X109" s="125"/>
      <c r="Y109" s="129"/>
      <c r="Z109"/>
      <c r="AA109"/>
      <c r="AB109"/>
      <c r="AC109"/>
      <c r="AD109"/>
    </row>
    <row r="110" spans="1:30" x14ac:dyDescent="0.3">
      <c r="A110">
        <v>3</v>
      </c>
      <c r="B110" t="s">
        <v>114</v>
      </c>
      <c r="C110" t="s">
        <v>115</v>
      </c>
      <c r="D110" s="128"/>
      <c r="E110" s="128"/>
      <c r="F110" s="128">
        <v>1</v>
      </c>
      <c r="G110" s="128"/>
      <c r="H110" s="128"/>
      <c r="I110" s="128"/>
      <c r="J110" s="128"/>
      <c r="K110" s="128"/>
      <c r="L110" s="128"/>
      <c r="M110" s="128"/>
      <c r="N110" s="128"/>
      <c r="O110" s="128"/>
      <c r="P110" s="128"/>
      <c r="Q110" s="128"/>
      <c r="R110" s="128"/>
      <c r="S110" s="128"/>
      <c r="T110" s="128"/>
      <c r="U110" s="128"/>
      <c r="V110" s="128"/>
      <c r="W110" s="127"/>
      <c r="X110" s="125"/>
      <c r="Y110" s="129"/>
      <c r="Z110"/>
      <c r="AA110"/>
      <c r="AB110"/>
      <c r="AC110"/>
      <c r="AD110"/>
    </row>
    <row r="111" spans="1:30" x14ac:dyDescent="0.3">
      <c r="A111">
        <v>4</v>
      </c>
      <c r="B111" t="s">
        <v>116</v>
      </c>
      <c r="C111" t="s">
        <v>117</v>
      </c>
      <c r="D111" s="128"/>
      <c r="E111" s="128"/>
      <c r="F111" s="128"/>
      <c r="G111" s="128">
        <v>1</v>
      </c>
      <c r="H111" s="128"/>
      <c r="I111" s="128"/>
      <c r="J111" s="128"/>
      <c r="K111" s="128"/>
      <c r="L111" s="128"/>
      <c r="M111" s="127"/>
      <c r="N111" s="128"/>
      <c r="O111" s="128"/>
      <c r="P111" s="128"/>
      <c r="Q111" s="128"/>
      <c r="R111" s="128"/>
      <c r="S111" s="128"/>
      <c r="T111" s="128"/>
      <c r="U111" s="128"/>
      <c r="V111" s="128"/>
      <c r="W111" s="128"/>
      <c r="X111" s="125"/>
      <c r="Y111" s="129"/>
      <c r="Z111"/>
      <c r="AA111"/>
      <c r="AB111"/>
      <c r="AC111"/>
      <c r="AD111"/>
    </row>
    <row r="112" spans="1:30" x14ac:dyDescent="0.3">
      <c r="A112">
        <v>5</v>
      </c>
      <c r="B112" t="s">
        <v>118</v>
      </c>
      <c r="C112" t="s">
        <v>119</v>
      </c>
      <c r="D112" s="127"/>
      <c r="E112" s="128"/>
      <c r="F112" s="128"/>
      <c r="G112" s="128"/>
      <c r="H112" s="128">
        <v>1</v>
      </c>
      <c r="I112" s="128"/>
      <c r="J112" s="128"/>
      <c r="K112" s="128"/>
      <c r="L112" s="128"/>
      <c r="M112" s="128"/>
      <c r="N112" s="128"/>
      <c r="O112" s="128"/>
      <c r="P112" s="128"/>
      <c r="Q112" s="128"/>
      <c r="R112" s="128"/>
      <c r="S112" s="128"/>
      <c r="T112" s="128"/>
      <c r="U112" s="128"/>
      <c r="V112" s="128"/>
      <c r="W112" s="128"/>
      <c r="X112" s="125"/>
      <c r="Y112" s="129"/>
      <c r="Z112"/>
      <c r="AA112"/>
      <c r="AB112"/>
      <c r="AC112"/>
      <c r="AD112"/>
    </row>
    <row r="113" spans="1:30" x14ac:dyDescent="0.3">
      <c r="A113">
        <v>6</v>
      </c>
      <c r="B113" t="s">
        <v>120</v>
      </c>
      <c r="C113" t="s">
        <v>121</v>
      </c>
      <c r="D113" s="128"/>
      <c r="E113" s="127"/>
      <c r="F113" s="128"/>
      <c r="G113" s="128"/>
      <c r="H113" s="128"/>
      <c r="I113" s="128">
        <v>1</v>
      </c>
      <c r="J113" s="128"/>
      <c r="K113" s="128"/>
      <c r="L113" s="128"/>
      <c r="M113" s="128"/>
      <c r="N113" s="128"/>
      <c r="O113" s="128"/>
      <c r="P113" s="128"/>
      <c r="Q113" s="128"/>
      <c r="R113" s="128"/>
      <c r="S113" s="128"/>
      <c r="T113" s="128"/>
      <c r="U113" s="128"/>
      <c r="V113" s="128"/>
      <c r="W113" s="128"/>
      <c r="X113" s="125"/>
      <c r="Y113" s="129"/>
      <c r="Z113"/>
      <c r="AA113"/>
      <c r="AB113"/>
      <c r="AC113"/>
      <c r="AD113"/>
    </row>
    <row r="114" spans="1:30" x14ac:dyDescent="0.3">
      <c r="A114">
        <v>7</v>
      </c>
      <c r="B114" t="s">
        <v>122</v>
      </c>
      <c r="C114" t="s">
        <v>123</v>
      </c>
      <c r="D114" s="128"/>
      <c r="E114" s="128"/>
      <c r="F114" s="127"/>
      <c r="G114" s="128"/>
      <c r="H114" s="128"/>
      <c r="I114" s="128"/>
      <c r="J114" s="128">
        <v>1</v>
      </c>
      <c r="K114" s="128"/>
      <c r="L114" s="128"/>
      <c r="M114" s="128"/>
      <c r="N114" s="128"/>
      <c r="O114" s="128"/>
      <c r="P114" s="128"/>
      <c r="Q114" s="130"/>
      <c r="R114" s="128"/>
      <c r="S114" s="128"/>
      <c r="T114" s="128"/>
      <c r="U114" s="130"/>
      <c r="V114" s="128"/>
      <c r="W114" s="128"/>
      <c r="X114" s="125"/>
      <c r="Y114" s="129"/>
      <c r="Z114"/>
      <c r="AA114"/>
      <c r="AB114"/>
      <c r="AC114"/>
      <c r="AD114"/>
    </row>
    <row r="115" spans="1:30" x14ac:dyDescent="0.3">
      <c r="A115">
        <v>8</v>
      </c>
      <c r="B115" t="s">
        <v>124</v>
      </c>
      <c r="C115" t="s">
        <v>125</v>
      </c>
      <c r="D115" s="128"/>
      <c r="E115" s="128"/>
      <c r="F115" s="128"/>
      <c r="G115" s="127"/>
      <c r="H115" s="128"/>
      <c r="I115" s="128"/>
      <c r="J115" s="128"/>
      <c r="K115" s="128">
        <v>1</v>
      </c>
      <c r="L115" s="128"/>
      <c r="M115" s="128"/>
      <c r="N115" s="128"/>
      <c r="O115" s="128"/>
      <c r="P115" s="128"/>
      <c r="Q115" s="128"/>
      <c r="R115" s="128"/>
      <c r="S115" s="128"/>
      <c r="T115" s="128"/>
      <c r="U115" s="128"/>
      <c r="V115" s="130"/>
      <c r="W115" s="128"/>
      <c r="X115" s="125"/>
      <c r="Y115" s="129"/>
      <c r="Z115"/>
      <c r="AA115"/>
      <c r="AB115"/>
      <c r="AC115"/>
      <c r="AD115"/>
    </row>
    <row r="116" spans="1:30" x14ac:dyDescent="0.3">
      <c r="A116">
        <v>9</v>
      </c>
      <c r="B116" t="s">
        <v>126</v>
      </c>
      <c r="C116" t="s">
        <v>127</v>
      </c>
      <c r="D116" s="128"/>
      <c r="E116" s="128"/>
      <c r="F116" s="128"/>
      <c r="G116" s="128"/>
      <c r="H116" s="128"/>
      <c r="I116" s="128"/>
      <c r="J116" s="128"/>
      <c r="K116" s="128"/>
      <c r="L116" s="128">
        <v>1</v>
      </c>
      <c r="M116" s="128"/>
      <c r="N116" s="127"/>
      <c r="O116" s="128"/>
      <c r="P116" s="128"/>
      <c r="Q116" s="128"/>
      <c r="R116" s="128"/>
      <c r="S116" s="128"/>
      <c r="T116" s="128"/>
      <c r="U116" s="128"/>
      <c r="V116" s="128"/>
      <c r="W116" s="128"/>
      <c r="X116" s="125"/>
      <c r="Y116" s="129"/>
      <c r="Z116"/>
      <c r="AA116"/>
      <c r="AB116"/>
      <c r="AC116"/>
      <c r="AD116"/>
    </row>
    <row r="117" spans="1:30" x14ac:dyDescent="0.3">
      <c r="A117">
        <v>10</v>
      </c>
      <c r="B117" t="s">
        <v>128</v>
      </c>
      <c r="C117" t="s">
        <v>129</v>
      </c>
      <c r="D117" s="128"/>
      <c r="E117" s="128"/>
      <c r="F117" s="128"/>
      <c r="G117" s="128"/>
      <c r="H117" s="127"/>
      <c r="I117" s="128"/>
      <c r="J117" s="128"/>
      <c r="K117" s="128"/>
      <c r="L117" s="128"/>
      <c r="M117" s="128">
        <v>1</v>
      </c>
      <c r="N117" s="128"/>
      <c r="O117" s="128"/>
      <c r="P117" s="128"/>
      <c r="Q117" s="128"/>
      <c r="R117" s="128"/>
      <c r="S117" s="128"/>
      <c r="T117" s="128"/>
      <c r="U117" s="128"/>
      <c r="V117" s="128"/>
      <c r="W117" s="128"/>
      <c r="X117" s="125"/>
      <c r="Y117" s="129"/>
      <c r="Z117"/>
      <c r="AA117"/>
      <c r="AB117"/>
      <c r="AC117"/>
      <c r="AD117"/>
    </row>
    <row r="118" spans="1:30" x14ac:dyDescent="0.3">
      <c r="A118">
        <v>11</v>
      </c>
      <c r="B118" t="s">
        <v>130</v>
      </c>
      <c r="C118" t="s">
        <v>131</v>
      </c>
      <c r="D118" s="127"/>
      <c r="E118" s="128"/>
      <c r="F118" s="128"/>
      <c r="G118" s="128"/>
      <c r="H118" s="128"/>
      <c r="I118" s="128"/>
      <c r="J118" s="128"/>
      <c r="K118" s="128"/>
      <c r="L118" s="128"/>
      <c r="M118" s="128"/>
      <c r="N118" s="128">
        <v>1</v>
      </c>
      <c r="O118" s="128"/>
      <c r="P118" s="128"/>
      <c r="Q118" s="128"/>
      <c r="R118" s="128"/>
      <c r="S118" s="130"/>
      <c r="T118" s="128"/>
      <c r="U118" s="128"/>
      <c r="V118" s="128"/>
      <c r="W118" s="128"/>
      <c r="X118" s="125"/>
      <c r="Y118" s="129"/>
      <c r="Z118"/>
      <c r="AA118"/>
      <c r="AB118"/>
      <c r="AC118"/>
      <c r="AD118"/>
    </row>
    <row r="119" spans="1:30" x14ac:dyDescent="0.3">
      <c r="A119">
        <v>12</v>
      </c>
      <c r="B119" t="s">
        <v>132</v>
      </c>
      <c r="C119" t="s">
        <v>133</v>
      </c>
      <c r="D119" s="128"/>
      <c r="E119" s="127"/>
      <c r="F119" s="128"/>
      <c r="G119" s="128"/>
      <c r="H119" s="128"/>
      <c r="I119" s="128"/>
      <c r="J119" s="128"/>
      <c r="K119" s="128"/>
      <c r="L119" s="128"/>
      <c r="M119" s="128"/>
      <c r="N119" s="128"/>
      <c r="O119" s="128">
        <v>1</v>
      </c>
      <c r="P119" s="128"/>
      <c r="Q119" s="128"/>
      <c r="R119" s="128"/>
      <c r="S119" s="128"/>
      <c r="T119" s="128"/>
      <c r="U119" s="128"/>
      <c r="V119" s="128"/>
      <c r="W119" s="128"/>
      <c r="X119" s="125"/>
      <c r="Y119" s="129"/>
      <c r="Z119"/>
      <c r="AA119"/>
      <c r="AB119"/>
      <c r="AC119"/>
      <c r="AD119"/>
    </row>
    <row r="120" spans="1:30" x14ac:dyDescent="0.3">
      <c r="A120">
        <v>13</v>
      </c>
      <c r="B120" t="s">
        <v>134</v>
      </c>
      <c r="C120" t="s">
        <v>135</v>
      </c>
      <c r="D120" s="128"/>
      <c r="E120" s="128"/>
      <c r="F120" s="127"/>
      <c r="G120" s="128"/>
      <c r="H120" s="128"/>
      <c r="I120" s="128"/>
      <c r="J120" s="128"/>
      <c r="K120" s="128"/>
      <c r="L120" s="128"/>
      <c r="M120" s="128"/>
      <c r="N120" s="128"/>
      <c r="O120" s="128"/>
      <c r="P120" s="128">
        <v>1</v>
      </c>
      <c r="Q120" s="128"/>
      <c r="R120" s="128"/>
      <c r="S120" s="128"/>
      <c r="T120" s="128"/>
      <c r="U120" s="130"/>
      <c r="V120" s="128"/>
      <c r="W120" s="128"/>
      <c r="X120" s="125"/>
      <c r="Y120" s="129"/>
      <c r="Z120"/>
      <c r="AA120"/>
      <c r="AB120"/>
      <c r="AC120"/>
      <c r="AD120"/>
    </row>
    <row r="121" spans="1:30" x14ac:dyDescent="0.3">
      <c r="A121">
        <v>14</v>
      </c>
      <c r="B121" t="s">
        <v>136</v>
      </c>
      <c r="C121" t="s">
        <v>137</v>
      </c>
      <c r="D121" s="128"/>
      <c r="E121" s="128"/>
      <c r="F121" s="128"/>
      <c r="G121" s="127"/>
      <c r="H121" s="128"/>
      <c r="I121" s="128"/>
      <c r="J121" s="128"/>
      <c r="K121" s="128"/>
      <c r="L121" s="128"/>
      <c r="M121" s="128"/>
      <c r="N121" s="128"/>
      <c r="O121" s="128"/>
      <c r="P121" s="128"/>
      <c r="Q121" s="128">
        <v>1</v>
      </c>
      <c r="R121" s="128"/>
      <c r="S121" s="128"/>
      <c r="T121" s="128"/>
      <c r="U121" s="128"/>
      <c r="V121" s="128"/>
      <c r="W121" s="128"/>
      <c r="X121" s="125"/>
      <c r="Y121" s="129"/>
      <c r="Z121"/>
      <c r="AA121"/>
      <c r="AB121"/>
      <c r="AC121"/>
      <c r="AD121"/>
    </row>
    <row r="122" spans="1:30" x14ac:dyDescent="0.3">
      <c r="A122">
        <v>15</v>
      </c>
      <c r="B122" t="s">
        <v>138</v>
      </c>
      <c r="C122" t="s">
        <v>139</v>
      </c>
      <c r="D122" s="128"/>
      <c r="E122" s="128"/>
      <c r="F122" s="128"/>
      <c r="G122" s="128"/>
      <c r="H122" s="127"/>
      <c r="I122" s="128"/>
      <c r="J122" s="128"/>
      <c r="K122" s="128"/>
      <c r="L122" s="128"/>
      <c r="M122" s="128"/>
      <c r="N122" s="128"/>
      <c r="O122" s="128"/>
      <c r="P122" s="128"/>
      <c r="Q122" s="128"/>
      <c r="R122" s="128">
        <v>1</v>
      </c>
      <c r="S122" s="128"/>
      <c r="T122" s="128"/>
      <c r="U122" s="128"/>
      <c r="V122" s="128"/>
      <c r="W122" s="128"/>
      <c r="X122" s="125"/>
      <c r="Y122" s="129"/>
      <c r="Z122"/>
      <c r="AA122"/>
      <c r="AB122"/>
      <c r="AC122"/>
      <c r="AD122"/>
    </row>
    <row r="123" spans="1:30" x14ac:dyDescent="0.3">
      <c r="A123">
        <v>16</v>
      </c>
      <c r="B123" t="s">
        <v>140</v>
      </c>
      <c r="C123" t="s">
        <v>141</v>
      </c>
      <c r="D123" s="128"/>
      <c r="E123" s="128"/>
      <c r="F123" s="128"/>
      <c r="G123" s="128"/>
      <c r="H123" s="128"/>
      <c r="I123" s="130"/>
      <c r="J123" s="128"/>
      <c r="K123" s="128"/>
      <c r="L123" s="128"/>
      <c r="M123" s="128"/>
      <c r="N123" s="128"/>
      <c r="O123" s="127"/>
      <c r="P123" s="128"/>
      <c r="Q123" s="128"/>
      <c r="R123" s="128"/>
      <c r="S123" s="128">
        <v>1</v>
      </c>
      <c r="T123" s="128"/>
      <c r="U123" s="128"/>
      <c r="V123" s="128"/>
      <c r="W123" s="128"/>
      <c r="X123" s="125"/>
      <c r="Y123" s="129"/>
      <c r="Z123"/>
      <c r="AA123"/>
      <c r="AB123"/>
      <c r="AC123"/>
      <c r="AD123"/>
    </row>
    <row r="124" spans="1:30" x14ac:dyDescent="0.3">
      <c r="A124">
        <v>17</v>
      </c>
      <c r="B124" t="s">
        <v>142</v>
      </c>
      <c r="C124" t="s">
        <v>143</v>
      </c>
      <c r="D124" s="128"/>
      <c r="E124" s="128"/>
      <c r="F124" s="128"/>
      <c r="G124" s="128"/>
      <c r="H124" s="128"/>
      <c r="I124" s="128"/>
      <c r="J124" s="128"/>
      <c r="K124" s="128"/>
      <c r="L124" s="128"/>
      <c r="M124" s="128"/>
      <c r="N124" s="128"/>
      <c r="O124" s="128"/>
      <c r="P124" s="127"/>
      <c r="Q124" s="128"/>
      <c r="R124" s="128"/>
      <c r="S124" s="128"/>
      <c r="T124" s="128">
        <v>1</v>
      </c>
      <c r="U124" s="128"/>
      <c r="V124" s="128"/>
      <c r="W124" s="128"/>
      <c r="X124" s="125"/>
      <c r="Y124" s="129"/>
      <c r="Z124"/>
      <c r="AA124"/>
      <c r="AB124"/>
      <c r="AC124"/>
      <c r="AD124"/>
    </row>
    <row r="125" spans="1:30" x14ac:dyDescent="0.3">
      <c r="A125">
        <v>18</v>
      </c>
      <c r="B125" t="s">
        <v>144</v>
      </c>
      <c r="C125" t="s">
        <v>145</v>
      </c>
      <c r="D125" s="128"/>
      <c r="E125" s="128"/>
      <c r="F125" s="128"/>
      <c r="G125" s="128"/>
      <c r="H125" s="128"/>
      <c r="I125" s="128"/>
      <c r="J125" s="128"/>
      <c r="K125" s="128"/>
      <c r="L125" s="128"/>
      <c r="M125" s="128"/>
      <c r="N125" s="128"/>
      <c r="O125" s="128"/>
      <c r="P125" s="128"/>
      <c r="Q125" s="128"/>
      <c r="R125" s="128"/>
      <c r="S125" s="127"/>
      <c r="T125" s="128"/>
      <c r="U125" s="128">
        <v>1</v>
      </c>
      <c r="V125" s="128"/>
      <c r="W125" s="128"/>
      <c r="X125" s="125"/>
      <c r="Y125" s="129"/>
      <c r="Z125"/>
      <c r="AA125"/>
      <c r="AB125"/>
      <c r="AC125"/>
      <c r="AD125"/>
    </row>
    <row r="126" spans="1:30" x14ac:dyDescent="0.3">
      <c r="A126">
        <v>19</v>
      </c>
      <c r="B126" t="s">
        <v>146</v>
      </c>
      <c r="C126" t="s">
        <v>147</v>
      </c>
      <c r="D126" s="128"/>
      <c r="E126" s="130"/>
      <c r="F126" s="128"/>
      <c r="G126" s="128"/>
      <c r="H126" s="128"/>
      <c r="I126" s="128"/>
      <c r="J126" s="128"/>
      <c r="K126" s="128"/>
      <c r="L126" s="128"/>
      <c r="M126" s="128"/>
      <c r="N126" s="128"/>
      <c r="O126" s="128"/>
      <c r="P126" s="128"/>
      <c r="Q126" s="128"/>
      <c r="R126" s="128"/>
      <c r="S126" s="128"/>
      <c r="T126" s="127"/>
      <c r="U126" s="128"/>
      <c r="V126" s="128">
        <v>1</v>
      </c>
      <c r="W126" s="128"/>
      <c r="X126" s="125"/>
      <c r="Y126" s="129"/>
      <c r="Z126"/>
      <c r="AA126"/>
      <c r="AB126"/>
      <c r="AC126"/>
      <c r="AD126"/>
    </row>
    <row r="127" spans="1:30" x14ac:dyDescent="0.3">
      <c r="A127">
        <v>20</v>
      </c>
      <c r="B127" t="s">
        <v>148</v>
      </c>
      <c r="C127" t="s">
        <v>149</v>
      </c>
      <c r="D127" s="128"/>
      <c r="E127" s="128"/>
      <c r="F127" s="130"/>
      <c r="G127" s="128"/>
      <c r="H127" s="128"/>
      <c r="I127" s="128"/>
      <c r="J127" s="128"/>
      <c r="K127" s="128"/>
      <c r="L127" s="128"/>
      <c r="M127" s="128"/>
      <c r="N127" s="128"/>
      <c r="O127" s="128"/>
      <c r="P127" s="128"/>
      <c r="Q127" s="128"/>
      <c r="R127" s="128"/>
      <c r="S127" s="128"/>
      <c r="T127" s="128"/>
      <c r="U127" s="127"/>
      <c r="V127" s="128"/>
      <c r="W127" s="128">
        <v>1</v>
      </c>
      <c r="X127" s="125"/>
      <c r="Y127" s="129"/>
      <c r="Z127"/>
      <c r="AA127"/>
      <c r="AB127"/>
      <c r="AC127"/>
      <c r="AD127"/>
    </row>
    <row r="128" spans="1:30" ht="15" customHeight="1" x14ac:dyDescent="0.3">
      <c r="A128">
        <v>21</v>
      </c>
      <c r="B128" t="s">
        <v>150</v>
      </c>
      <c r="C128" t="s">
        <v>151</v>
      </c>
      <c r="D128" s="128"/>
      <c r="E128" s="128"/>
      <c r="F128" s="128"/>
      <c r="G128" s="130"/>
      <c r="H128" s="128"/>
      <c r="I128" s="128"/>
      <c r="J128" s="128"/>
      <c r="K128" s="128"/>
      <c r="L128" s="128"/>
      <c r="M128" s="128"/>
      <c r="N128" s="128"/>
      <c r="O128" s="128"/>
      <c r="P128" s="128"/>
      <c r="Q128" s="128"/>
      <c r="R128" s="128"/>
      <c r="S128" s="128"/>
      <c r="T128" s="128"/>
      <c r="U128" s="128"/>
      <c r="V128" s="127"/>
      <c r="W128" s="128"/>
      <c r="X128" s="125">
        <v>1</v>
      </c>
      <c r="Y128" s="129"/>
      <c r="Z128" s="122"/>
      <c r="AA128"/>
      <c r="AB128"/>
      <c r="AC128"/>
      <c r="AD128"/>
    </row>
    <row r="129" spans="1:30" ht="15" customHeight="1" x14ac:dyDescent="0.3">
      <c r="A129">
        <v>22</v>
      </c>
      <c r="B129" t="s">
        <v>152</v>
      </c>
      <c r="C129" t="s">
        <v>153</v>
      </c>
      <c r="D129" s="128"/>
      <c r="E129" s="128"/>
      <c r="F129" s="128"/>
      <c r="G129" s="128"/>
      <c r="H129" s="130"/>
      <c r="I129" s="128"/>
      <c r="J129" s="128"/>
      <c r="K129" s="128"/>
      <c r="L129" s="128"/>
      <c r="M129" s="128"/>
      <c r="N129" s="128"/>
      <c r="O129" s="128"/>
      <c r="P129" s="128"/>
      <c r="Q129" s="128"/>
      <c r="R129" s="128"/>
      <c r="S129" s="128"/>
      <c r="T129" s="128"/>
      <c r="U129" s="128"/>
      <c r="V129" s="128"/>
      <c r="W129" s="127"/>
      <c r="X129" s="125"/>
      <c r="Y129" s="129">
        <v>1</v>
      </c>
      <c r="Z129"/>
      <c r="AA129" s="122"/>
      <c r="AB129"/>
      <c r="AC129"/>
      <c r="AD129"/>
    </row>
    <row r="130" spans="1:30" ht="15" customHeight="1" x14ac:dyDescent="0.3">
      <c r="A130">
        <v>23</v>
      </c>
      <c r="B130" t="s">
        <v>154</v>
      </c>
      <c r="C130" t="s">
        <v>155</v>
      </c>
      <c r="D130" s="128"/>
      <c r="E130" s="128"/>
      <c r="F130" s="128"/>
      <c r="G130" s="128"/>
      <c r="H130" s="128"/>
      <c r="I130" s="130"/>
      <c r="J130" s="128"/>
      <c r="K130" s="128"/>
      <c r="L130" s="128"/>
      <c r="M130" s="128"/>
      <c r="N130" s="128"/>
      <c r="O130" s="128"/>
      <c r="P130" s="128"/>
      <c r="Q130" s="127"/>
      <c r="R130" s="128"/>
      <c r="S130" s="128"/>
      <c r="T130" s="128"/>
      <c r="U130" s="128"/>
      <c r="V130" s="128"/>
      <c r="W130" s="128"/>
      <c r="X130" s="125"/>
      <c r="Y130" s="129"/>
      <c r="Z130">
        <v>1</v>
      </c>
      <c r="AA130"/>
      <c r="AB130" s="122"/>
      <c r="AC130"/>
      <c r="AD130"/>
    </row>
    <row r="131" spans="1:30" ht="15" customHeight="1" x14ac:dyDescent="0.3">
      <c r="A131">
        <v>24</v>
      </c>
      <c r="B131" t="s">
        <v>156</v>
      </c>
      <c r="C131" t="s">
        <v>157</v>
      </c>
      <c r="D131" s="128"/>
      <c r="E131" s="128"/>
      <c r="F131" s="128"/>
      <c r="G131" s="128"/>
      <c r="H131" s="128"/>
      <c r="I131" s="128"/>
      <c r="J131" s="128"/>
      <c r="K131" s="128"/>
      <c r="L131" s="128"/>
      <c r="M131" s="128"/>
      <c r="N131" s="128"/>
      <c r="O131" s="128"/>
      <c r="P131" s="128"/>
      <c r="Q131" s="128"/>
      <c r="R131" s="127"/>
      <c r="S131" s="128"/>
      <c r="T131" s="128"/>
      <c r="U131" s="128"/>
      <c r="V131" s="128"/>
      <c r="W131" s="128"/>
      <c r="X131" s="125"/>
      <c r="Y131" s="129"/>
      <c r="Z131"/>
      <c r="AA131">
        <v>1</v>
      </c>
      <c r="AB131"/>
      <c r="AC131" s="122"/>
      <c r="AD131"/>
    </row>
    <row r="132" spans="1:30" ht="15" customHeight="1" x14ac:dyDescent="0.3">
      <c r="A132" s="122">
        <v>25</v>
      </c>
      <c r="B132" s="122" t="s">
        <v>158</v>
      </c>
      <c r="C132" s="122" t="s">
        <v>159</v>
      </c>
      <c r="D132"/>
      <c r="E132"/>
      <c r="F132"/>
      <c r="G132"/>
      <c r="H132"/>
      <c r="I132"/>
      <c r="J132"/>
      <c r="K132"/>
      <c r="L132"/>
      <c r="M132"/>
      <c r="N132"/>
      <c r="O132"/>
      <c r="P132"/>
      <c r="Q132"/>
      <c r="R132"/>
      <c r="S132"/>
      <c r="T132"/>
      <c r="U132"/>
      <c r="V132"/>
      <c r="W132"/>
      <c r="X132"/>
      <c r="Y132"/>
      <c r="Z132"/>
      <c r="AA132"/>
      <c r="AB132">
        <v>1</v>
      </c>
      <c r="AC132"/>
      <c r="AD132" s="122"/>
    </row>
    <row r="133" spans="1:30" x14ac:dyDescent="0.3">
      <c r="A133">
        <v>26</v>
      </c>
      <c r="B133" t="s">
        <v>160</v>
      </c>
      <c r="C133" t="s">
        <v>161</v>
      </c>
      <c r="D133"/>
      <c r="E133"/>
      <c r="F133"/>
      <c r="G133"/>
      <c r="H133"/>
      <c r="I133"/>
      <c r="J133"/>
      <c r="K133"/>
      <c r="L133"/>
      <c r="M133"/>
      <c r="N133"/>
      <c r="O133"/>
      <c r="P133"/>
      <c r="Q133"/>
      <c r="R133"/>
      <c r="S133"/>
      <c r="T133"/>
      <c r="U133"/>
      <c r="V133"/>
      <c r="W133"/>
      <c r="X133"/>
      <c r="Y133"/>
      <c r="Z133"/>
      <c r="AA133"/>
      <c r="AB133"/>
      <c r="AC133">
        <v>1</v>
      </c>
      <c r="AD133"/>
    </row>
    <row r="134" spans="1:30" ht="15" customHeight="1" x14ac:dyDescent="0.3">
      <c r="A134" s="122">
        <v>27</v>
      </c>
      <c r="B134" t="s">
        <v>162</v>
      </c>
      <c r="C134" t="s">
        <v>163</v>
      </c>
      <c r="D134"/>
      <c r="E134"/>
      <c r="F134"/>
      <c r="G134"/>
      <c r="H134"/>
      <c r="I134"/>
      <c r="J134"/>
      <c r="K134"/>
      <c r="L134"/>
      <c r="M134"/>
      <c r="N134"/>
      <c r="O134"/>
      <c r="P134"/>
      <c r="Q134"/>
      <c r="R134"/>
      <c r="S134"/>
      <c r="T134"/>
      <c r="U134"/>
      <c r="V134"/>
      <c r="W134"/>
      <c r="X134"/>
      <c r="Y134"/>
      <c r="Z134"/>
      <c r="AA134"/>
      <c r="AB134"/>
      <c r="AC134"/>
      <c r="AD134">
        <v>1</v>
      </c>
    </row>
    <row r="136" spans="1:30" ht="15" customHeight="1" x14ac:dyDescent="0.3">
      <c r="A136" s="122" t="s">
        <v>181</v>
      </c>
      <c r="B136" s="122"/>
      <c r="D136" s="122"/>
      <c r="E136" s="122"/>
      <c r="F136" s="122"/>
      <c r="G136" s="122"/>
      <c r="H136" s="122"/>
      <c r="I136" s="122"/>
      <c r="J136" s="122"/>
      <c r="K136" s="122"/>
      <c r="L136" s="122"/>
      <c r="M136" s="122"/>
      <c r="N136" s="122"/>
      <c r="O136" s="122"/>
      <c r="P136" s="122"/>
      <c r="Q136" s="122"/>
      <c r="R136" s="122"/>
      <c r="S136" s="122"/>
      <c r="T136" s="122"/>
      <c r="U136" s="122"/>
      <c r="V136" s="122"/>
      <c r="W136" s="122"/>
      <c r="X136" s="122"/>
      <c r="Y136" s="122"/>
      <c r="Z136" s="122"/>
      <c r="AA136" s="122"/>
      <c r="AB136" s="122"/>
      <c r="AC136" s="122"/>
      <c r="AD136" s="122"/>
    </row>
    <row r="137" spans="1:30" ht="15" customHeight="1" x14ac:dyDescent="0.3">
      <c r="A137" s="122"/>
      <c r="B137" s="122"/>
      <c r="D137" s="122"/>
      <c r="E137" s="122"/>
      <c r="F137" s="122"/>
      <c r="G137" s="122"/>
      <c r="H137" s="122"/>
      <c r="I137" s="122"/>
      <c r="J137" s="122"/>
      <c r="K137" s="122"/>
      <c r="L137" s="122"/>
      <c r="M137" s="122"/>
      <c r="N137" s="122"/>
      <c r="O137" s="122"/>
      <c r="P137" s="122"/>
      <c r="Q137" s="122"/>
      <c r="R137" s="122"/>
      <c r="S137" s="122"/>
      <c r="T137" s="122"/>
      <c r="U137" s="122"/>
      <c r="V137" s="122"/>
      <c r="W137" s="122"/>
      <c r="X137" s="122"/>
      <c r="Y137" s="122"/>
      <c r="Z137" s="122"/>
      <c r="AA137" s="122"/>
      <c r="AB137" s="122"/>
      <c r="AC137" s="122"/>
      <c r="AD137" s="122"/>
    </row>
    <row r="138" spans="1:30" ht="15" customHeight="1" x14ac:dyDescent="0.3">
      <c r="A138" s="122" t="s">
        <v>107</v>
      </c>
      <c r="B138" s="122" t="s">
        <v>176</v>
      </c>
      <c r="C138" s="122" t="s">
        <v>109</v>
      </c>
      <c r="D138" s="122" t="s">
        <v>3</v>
      </c>
      <c r="E138" s="122" t="s">
        <v>5</v>
      </c>
      <c r="F138" s="122" t="s">
        <v>6</v>
      </c>
      <c r="G138" s="122" t="s">
        <v>7</v>
      </c>
      <c r="H138" s="122" t="s">
        <v>8</v>
      </c>
      <c r="I138" s="122" t="s">
        <v>10</v>
      </c>
      <c r="J138" s="122" t="s">
        <v>11</v>
      </c>
      <c r="K138" s="122" t="s">
        <v>12</v>
      </c>
      <c r="L138" s="122" t="s">
        <v>13</v>
      </c>
      <c r="M138" s="122" t="s">
        <v>14</v>
      </c>
      <c r="N138" s="122" t="s">
        <v>15</v>
      </c>
      <c r="O138" s="122" t="s">
        <v>16</v>
      </c>
      <c r="P138" s="122" t="s">
        <v>17</v>
      </c>
      <c r="Q138" s="122" t="s">
        <v>18</v>
      </c>
      <c r="R138" s="122" t="s">
        <v>19</v>
      </c>
      <c r="S138" s="122" t="s">
        <v>20</v>
      </c>
      <c r="T138" s="122" t="s">
        <v>21</v>
      </c>
      <c r="U138" s="122" t="s">
        <v>22</v>
      </c>
      <c r="V138" s="122" t="s">
        <v>23</v>
      </c>
      <c r="W138" s="122" t="s">
        <v>24</v>
      </c>
      <c r="X138" s="122" t="s">
        <v>25</v>
      </c>
      <c r="Y138" s="122" t="s">
        <v>26</v>
      </c>
      <c r="Z138" s="122" t="s">
        <v>27</v>
      </c>
      <c r="AA138" s="122" t="s">
        <v>28</v>
      </c>
      <c r="AB138" s="122" t="s">
        <v>29</v>
      </c>
      <c r="AC138" s="122" t="s">
        <v>30</v>
      </c>
      <c r="AD138" s="122" t="s">
        <v>31</v>
      </c>
    </row>
    <row r="139" spans="1:30" ht="15" customHeight="1" x14ac:dyDescent="0.3">
      <c r="A139">
        <v>1</v>
      </c>
      <c r="B139" t="s">
        <v>110</v>
      </c>
      <c r="C139" t="s">
        <v>111</v>
      </c>
      <c r="D139" s="183">
        <v>1.7200825847502199</v>
      </c>
      <c r="E139" s="183">
        <v>7.6186069078964608E-2</v>
      </c>
      <c r="F139" s="183">
        <v>9.5498818788850165E-2</v>
      </c>
      <c r="G139" s="183">
        <v>-0.25100789577397431</v>
      </c>
      <c r="H139" s="183">
        <v>4.1971286265564067E-2</v>
      </c>
      <c r="I139" s="183">
        <v>-4.3758911983999012E-2</v>
      </c>
      <c r="J139" s="183">
        <v>-0.31514529210419362</v>
      </c>
      <c r="K139" s="183">
        <v>-0.12515210318597331</v>
      </c>
      <c r="L139" s="183">
        <v>5.4874727266556907E-2</v>
      </c>
      <c r="M139" s="183">
        <v>2.7567983376191471E-2</v>
      </c>
      <c r="N139" s="183">
        <v>-4.7064950314537057E-2</v>
      </c>
      <c r="O139" s="183">
        <v>-2.52443116530921E-2</v>
      </c>
      <c r="P139" s="183">
        <v>-2.0438873950194551E-2</v>
      </c>
      <c r="Q139" s="183">
        <v>7.9631977427203834E-3</v>
      </c>
      <c r="R139" s="183">
        <v>-2.3392441526174541E-2</v>
      </c>
      <c r="S139" s="183">
        <v>1.9393166107037191E-2</v>
      </c>
      <c r="T139" s="183">
        <v>3.1290101587256189E-2</v>
      </c>
      <c r="U139" s="183">
        <v>-0.23896690361310169</v>
      </c>
      <c r="V139" s="183">
        <v>2.575319573118183E-2</v>
      </c>
      <c r="W139" s="183">
        <v>-0.12310707175743971</v>
      </c>
      <c r="X139" s="188">
        <v>2.922493213520283E-3</v>
      </c>
      <c r="Y139" s="188">
        <v>-2.3192064444731399E-2</v>
      </c>
      <c r="Z139" s="188">
        <v>-0.25520852661753168</v>
      </c>
      <c r="AA139" s="188">
        <v>2.686096933332642E-2</v>
      </c>
      <c r="AB139" s="188">
        <v>-3.9678713403231057E-2</v>
      </c>
      <c r="AC139" s="188">
        <v>-5.9035459423545281E-2</v>
      </c>
      <c r="AD139" s="188">
        <v>-0.11707952290829821</v>
      </c>
    </row>
    <row r="140" spans="1:30" ht="15" customHeight="1" x14ac:dyDescent="0.3">
      <c r="A140">
        <v>2</v>
      </c>
      <c r="B140" t="s">
        <v>112</v>
      </c>
      <c r="C140" t="s">
        <v>113</v>
      </c>
      <c r="D140" s="194">
        <v>7.6186069078963151E-2</v>
      </c>
      <c r="E140" s="183">
        <v>1.187961551341737</v>
      </c>
      <c r="F140" s="183">
        <v>-0.1048674427778786</v>
      </c>
      <c r="G140" s="183">
        <v>-9.8101632502875402E-2</v>
      </c>
      <c r="H140" s="183">
        <v>-2.5555211267645119E-2</v>
      </c>
      <c r="I140" s="183">
        <v>-0.13450442844209851</v>
      </c>
      <c r="J140" s="183">
        <v>-6.5235455868593667E-2</v>
      </c>
      <c r="K140" s="183">
        <v>-1.409795635052064E-2</v>
      </c>
      <c r="L140" s="183">
        <v>-1.162736756201193E-2</v>
      </c>
      <c r="M140" s="183">
        <v>-1.743519680244145E-2</v>
      </c>
      <c r="N140" s="183">
        <v>-1.114167507817717E-2</v>
      </c>
      <c r="O140" s="183">
        <v>-6.3090606745917766E-2</v>
      </c>
      <c r="P140" s="183">
        <v>-2.2210318442847241E-2</v>
      </c>
      <c r="Q140" s="183">
        <v>-6.5180985780341011E-2</v>
      </c>
      <c r="R140" s="183">
        <v>-5.7072531778969357E-2</v>
      </c>
      <c r="S140" s="183">
        <v>-3.3238157525053741E-2</v>
      </c>
      <c r="T140" s="183">
        <v>-4.6877049034222303E-3</v>
      </c>
      <c r="U140" s="183">
        <v>-1.7643524534265431E-2</v>
      </c>
      <c r="V140" s="183">
        <v>-2.5305150156919781E-2</v>
      </c>
      <c r="W140" s="183">
        <v>-1.9802370788856931E-2</v>
      </c>
      <c r="X140" s="188">
        <v>-2.4612337251608721E-2</v>
      </c>
      <c r="Y140" s="188">
        <v>-2.6004783971497279E-2</v>
      </c>
      <c r="Z140" s="188">
        <v>2.5224000451316279E-2</v>
      </c>
      <c r="AA140" s="188">
        <v>5.5795456507647806E-4</v>
      </c>
      <c r="AB140" s="188">
        <v>-2.0731081754860721E-2</v>
      </c>
      <c r="AC140" s="188">
        <v>-8.2364157855156994E-2</v>
      </c>
      <c r="AD140" s="188">
        <v>-1.4445666212722291E-2</v>
      </c>
    </row>
    <row r="141" spans="1:30" ht="15" customHeight="1" x14ac:dyDescent="0.3">
      <c r="A141">
        <v>3</v>
      </c>
      <c r="B141" t="s">
        <v>114</v>
      </c>
      <c r="C141" t="s">
        <v>115</v>
      </c>
      <c r="D141" s="183">
        <v>9.5498818788849166E-2</v>
      </c>
      <c r="E141" s="194">
        <v>-0.1048674427778778</v>
      </c>
      <c r="F141" s="183">
        <v>1.1941923689578211</v>
      </c>
      <c r="G141" s="183">
        <v>-6.5345612247209972E-2</v>
      </c>
      <c r="H141" s="183">
        <v>-9.5878087167403453E-2</v>
      </c>
      <c r="I141" s="183">
        <v>-6.3348082608530018E-2</v>
      </c>
      <c r="J141" s="183">
        <v>2.6184843087659979E-2</v>
      </c>
      <c r="K141" s="183">
        <v>-2.0626997891915421E-2</v>
      </c>
      <c r="L141" s="183">
        <v>-4.3642839300700523E-2</v>
      </c>
      <c r="M141" s="183">
        <v>-7.0655418712559023E-2</v>
      </c>
      <c r="N141" s="183">
        <v>-4.0615646442797533E-2</v>
      </c>
      <c r="O141" s="183">
        <v>-8.4924399194427971E-3</v>
      </c>
      <c r="P141" s="183">
        <v>-4.9518458133391521E-2</v>
      </c>
      <c r="Q141" s="183">
        <v>-3.6241838069369897E-2</v>
      </c>
      <c r="R141" s="183">
        <v>-3.1760918915267229E-2</v>
      </c>
      <c r="S141" s="183">
        <v>1.7402052323854521E-2</v>
      </c>
      <c r="T141" s="194">
        <v>-1.5271439432291079E-2</v>
      </c>
      <c r="U141" s="194">
        <v>-6.5454937879896299E-2</v>
      </c>
      <c r="V141" s="183">
        <v>-3.6083278072079623E-2</v>
      </c>
      <c r="W141" s="194">
        <v>-5.0083531531281117E-2</v>
      </c>
      <c r="X141" s="188">
        <v>3.658100996805652E-3</v>
      </c>
      <c r="Y141" s="188">
        <v>-0.11693008938543691</v>
      </c>
      <c r="Z141" s="188">
        <v>2.3265112938916699E-2</v>
      </c>
      <c r="AA141" s="188">
        <v>-7.7752909597103348E-2</v>
      </c>
      <c r="AB141" s="188">
        <v>-9.0235322468998052E-3</v>
      </c>
      <c r="AC141" s="188">
        <v>-2.6891358268502519E-2</v>
      </c>
      <c r="AD141" s="188">
        <v>3.5904258944977702E-2</v>
      </c>
    </row>
    <row r="142" spans="1:30" ht="15" customHeight="1" x14ac:dyDescent="0.3">
      <c r="A142">
        <v>4</v>
      </c>
      <c r="B142" t="s">
        <v>116</v>
      </c>
      <c r="C142" t="s">
        <v>117</v>
      </c>
      <c r="D142" s="183">
        <v>-0.25100789577397481</v>
      </c>
      <c r="E142" s="183">
        <v>-9.8101632502875305E-2</v>
      </c>
      <c r="F142" s="194">
        <v>-6.5345612247210555E-2</v>
      </c>
      <c r="G142" s="183">
        <v>1.6840766054699969</v>
      </c>
      <c r="H142" s="183">
        <v>-7.7346675323100467E-2</v>
      </c>
      <c r="I142" s="183">
        <v>-2.0962026622815329E-2</v>
      </c>
      <c r="J142" s="183">
        <v>-0.22514107817678961</v>
      </c>
      <c r="K142" s="183">
        <v>-0.20825514725191291</v>
      </c>
      <c r="L142" s="183">
        <v>-3.9053150344037979E-3</v>
      </c>
      <c r="M142" s="183">
        <v>-8.2282788438248072E-2</v>
      </c>
      <c r="N142" s="183">
        <v>-8.4011592450938935E-2</v>
      </c>
      <c r="O142" s="183">
        <v>5.665197239699489E-2</v>
      </c>
      <c r="P142" s="183">
        <v>2.808291444586148E-2</v>
      </c>
      <c r="Q142" s="183">
        <v>-2.9532113499976659E-2</v>
      </c>
      <c r="R142" s="183">
        <v>-2.129199893676291E-3</v>
      </c>
      <c r="S142" s="183">
        <v>-1.2739349407664399E-2</v>
      </c>
      <c r="T142" s="183">
        <v>5.3539577726930809E-3</v>
      </c>
      <c r="U142" s="183">
        <v>-0.18378349931961949</v>
      </c>
      <c r="V142" s="183">
        <v>-1.5690237619445341E-2</v>
      </c>
      <c r="W142" s="183">
        <v>-3.7839491527804199E-2</v>
      </c>
      <c r="X142" s="188">
        <v>-4.0518472631551193E-2</v>
      </c>
      <c r="Y142" s="188">
        <v>-1.5814415715647259E-2</v>
      </c>
      <c r="Z142" s="188">
        <v>-0.2104725380410826</v>
      </c>
      <c r="AA142" s="188">
        <v>-6.64586036592615E-4</v>
      </c>
      <c r="AB142" s="188">
        <v>2.6082282817393269E-2</v>
      </c>
      <c r="AC142" s="188">
        <v>4.3885365657154087E-3</v>
      </c>
      <c r="AD142" s="188">
        <v>5.7782469215023101E-3</v>
      </c>
    </row>
    <row r="143" spans="1:30" ht="15" customHeight="1" x14ac:dyDescent="0.3">
      <c r="A143">
        <v>5</v>
      </c>
      <c r="B143" t="s">
        <v>118</v>
      </c>
      <c r="C143" t="s">
        <v>119</v>
      </c>
      <c r="D143" s="183">
        <v>4.1971286265563762E-2</v>
      </c>
      <c r="E143" s="183">
        <v>-2.5555211267644939E-2</v>
      </c>
      <c r="F143" s="183">
        <v>-9.5878087167403564E-2</v>
      </c>
      <c r="G143" s="194">
        <v>-7.7346675323100175E-2</v>
      </c>
      <c r="H143" s="183">
        <v>1.1957999615722139</v>
      </c>
      <c r="I143" s="183">
        <v>-0.13304340593560929</v>
      </c>
      <c r="J143" s="183">
        <v>-4.789932105917627E-2</v>
      </c>
      <c r="K143" s="183">
        <v>-8.3478539676962393E-2</v>
      </c>
      <c r="L143" s="183">
        <v>-8.6079432534601468E-3</v>
      </c>
      <c r="M143" s="183">
        <v>2.33095009821635E-3</v>
      </c>
      <c r="N143" s="183">
        <v>-7.4885941321054347E-2</v>
      </c>
      <c r="O143" s="183">
        <v>-5.6923519229545659E-2</v>
      </c>
      <c r="P143" s="183">
        <v>-6.5802609480671284E-3</v>
      </c>
      <c r="Q143" s="183">
        <v>-9.4929091740151378E-2</v>
      </c>
      <c r="R143" s="183">
        <v>-2.5025518464727149E-2</v>
      </c>
      <c r="S143" s="183">
        <v>-3.5028320494453882E-2</v>
      </c>
      <c r="T143" s="183">
        <v>-5.1624419115864134E-3</v>
      </c>
      <c r="U143" s="183">
        <v>1.2267994415075249E-2</v>
      </c>
      <c r="V143" s="194">
        <v>2.931391016038128E-2</v>
      </c>
      <c r="W143" s="183">
        <v>-2.8267137818855379E-3</v>
      </c>
      <c r="X143" s="188">
        <v>-7.5869625041541872E-3</v>
      </c>
      <c r="Y143" s="188">
        <v>-7.4912808825619761E-3</v>
      </c>
      <c r="Z143" s="188">
        <v>-6.7376472394873058E-2</v>
      </c>
      <c r="AA143" s="188">
        <v>-3.3723002762917598E-3</v>
      </c>
      <c r="AB143" s="188">
        <v>-2.1723253146669379E-2</v>
      </c>
      <c r="AC143" s="188">
        <v>9.5638833671572651E-3</v>
      </c>
      <c r="AD143" s="188">
        <v>-6.7375357696112581E-2</v>
      </c>
    </row>
    <row r="144" spans="1:30" ht="15" customHeight="1" x14ac:dyDescent="0.3">
      <c r="A144">
        <v>6</v>
      </c>
      <c r="B144" t="s">
        <v>120</v>
      </c>
      <c r="C144" t="s">
        <v>121</v>
      </c>
      <c r="D144" s="183">
        <v>-4.3758911983998783E-2</v>
      </c>
      <c r="E144" s="183">
        <v>-0.1345044284420979</v>
      </c>
      <c r="F144" s="194">
        <v>-6.3348082608530268E-2</v>
      </c>
      <c r="G144" s="183">
        <v>-2.0962026622815759E-2</v>
      </c>
      <c r="H144" s="194">
        <v>-0.13304340593560929</v>
      </c>
      <c r="I144" s="183">
        <v>1.190633809100917</v>
      </c>
      <c r="J144" s="183">
        <v>-3.139215214439664E-2</v>
      </c>
      <c r="K144" s="183">
        <v>3.7760499460036907E-2</v>
      </c>
      <c r="L144" s="183">
        <v>-6.7743604636173099E-2</v>
      </c>
      <c r="M144" s="183">
        <v>-2.5855164383152621E-2</v>
      </c>
      <c r="N144" s="183">
        <v>1.8977676578197818E-2</v>
      </c>
      <c r="O144" s="183">
        <v>3.0197092951708471E-2</v>
      </c>
      <c r="P144" s="183">
        <v>2.9373970265203071E-2</v>
      </c>
      <c r="Q144" s="194">
        <v>-5.7711625979392299E-2</v>
      </c>
      <c r="R144" s="183">
        <v>-3.7447633181284232E-2</v>
      </c>
      <c r="S144" s="183">
        <v>-4.0356882487858528E-2</v>
      </c>
      <c r="T144" s="183">
        <v>-6.2238441544484033E-2</v>
      </c>
      <c r="U144" s="183">
        <v>-5.2266721901819253E-2</v>
      </c>
      <c r="V144" s="183">
        <v>-1.010351846077589E-2</v>
      </c>
      <c r="W144" s="194">
        <v>1.0420045046924949E-2</v>
      </c>
      <c r="X144" s="188">
        <v>-3.8520442905473171E-2</v>
      </c>
      <c r="Y144" s="188">
        <v>-9.807431152527149E-3</v>
      </c>
      <c r="Z144" s="188">
        <v>3.338332202623661E-2</v>
      </c>
      <c r="AA144" s="188">
        <v>-4.8218217534407352E-2</v>
      </c>
      <c r="AB144" s="188">
        <v>-4.0598976452463742E-2</v>
      </c>
      <c r="AC144" s="188">
        <v>-3.4688579977927118E-2</v>
      </c>
      <c r="AD144" s="188">
        <v>-6.6997615881736722E-2</v>
      </c>
    </row>
    <row r="145" spans="1:30" ht="15" customHeight="1" x14ac:dyDescent="0.3">
      <c r="A145">
        <v>7</v>
      </c>
      <c r="B145" t="s">
        <v>122</v>
      </c>
      <c r="C145" t="s">
        <v>123</v>
      </c>
      <c r="D145" s="183">
        <v>-0.31514529210419329</v>
      </c>
      <c r="E145" s="183">
        <v>-6.5235455868593029E-2</v>
      </c>
      <c r="F145" s="183">
        <v>2.6184843087660122E-2</v>
      </c>
      <c r="G145" s="183">
        <v>-0.22514107817679019</v>
      </c>
      <c r="H145" s="183">
        <v>-4.7899321059175867E-2</v>
      </c>
      <c r="I145" s="194">
        <v>-3.1392152144396737E-2</v>
      </c>
      <c r="J145" s="183">
        <v>1.685790778451117</v>
      </c>
      <c r="K145" s="183">
        <v>-0.1779554082808549</v>
      </c>
      <c r="L145" s="183">
        <v>2.857561988470687E-3</v>
      </c>
      <c r="M145" s="183">
        <v>7.2207309670917069E-2</v>
      </c>
      <c r="N145" s="183">
        <v>-7.1705120263259522E-2</v>
      </c>
      <c r="O145" s="194">
        <v>1.978271963443622E-2</v>
      </c>
      <c r="P145" s="183">
        <v>-3.6883345061056089E-2</v>
      </c>
      <c r="Q145" s="183">
        <v>-2.2129080915507519E-2</v>
      </c>
      <c r="R145" s="183">
        <v>4.2747515338211247E-3</v>
      </c>
      <c r="S145" s="183">
        <v>1.0979724785334649E-2</v>
      </c>
      <c r="T145" s="183">
        <v>-2.9974969111049569E-2</v>
      </c>
      <c r="U145" s="183">
        <v>-0.19453961137924181</v>
      </c>
      <c r="V145" s="183">
        <v>1.4501330288341199E-3</v>
      </c>
      <c r="W145" s="183">
        <v>-6.3788366995227247E-2</v>
      </c>
      <c r="X145" s="188">
        <v>-2.9102962469886771E-2</v>
      </c>
      <c r="Y145" s="188">
        <v>-2.3828682494829251E-2</v>
      </c>
      <c r="Z145" s="188">
        <v>-0.22401154963562661</v>
      </c>
      <c r="AA145" s="188">
        <v>6.9428602075306987E-3</v>
      </c>
      <c r="AB145" s="188">
        <v>3.8800636531292669E-2</v>
      </c>
      <c r="AC145" s="188">
        <v>3.4271939244583098E-2</v>
      </c>
      <c r="AD145" s="188">
        <v>-3.4647938856433511E-2</v>
      </c>
    </row>
    <row r="146" spans="1:30" ht="15" customHeight="1" x14ac:dyDescent="0.3">
      <c r="A146">
        <v>8</v>
      </c>
      <c r="B146" t="s">
        <v>124</v>
      </c>
      <c r="C146" t="s">
        <v>125</v>
      </c>
      <c r="D146" s="183">
        <v>-0.1251521031859732</v>
      </c>
      <c r="E146" s="183">
        <v>-1.409795635051996E-2</v>
      </c>
      <c r="F146" s="183">
        <v>-2.0626997891915241E-2</v>
      </c>
      <c r="G146" s="183">
        <v>-0.20825514725191319</v>
      </c>
      <c r="H146" s="183">
        <v>-8.3478539676962241E-2</v>
      </c>
      <c r="I146" s="183">
        <v>3.7760499460036741E-2</v>
      </c>
      <c r="J146" s="194">
        <v>-0.17795540828085429</v>
      </c>
      <c r="K146" s="183">
        <v>1.522091318322885</v>
      </c>
      <c r="L146" s="183">
        <v>1.8974362905195729E-2</v>
      </c>
      <c r="M146" s="183">
        <v>-3.654344470409869E-2</v>
      </c>
      <c r="N146" s="183">
        <v>5.8289651900375238E-2</v>
      </c>
      <c r="O146" s="183">
        <v>1.280999227220142E-2</v>
      </c>
      <c r="P146" s="183">
        <v>4.5520713623357807E-2</v>
      </c>
      <c r="Q146" s="183">
        <v>-5.5851062995597632E-2</v>
      </c>
      <c r="R146" s="183">
        <v>-2.34517317510082E-2</v>
      </c>
      <c r="S146" s="183">
        <v>-1.4005841147121169E-2</v>
      </c>
      <c r="T146" s="183">
        <v>-4.1311221248965108E-2</v>
      </c>
      <c r="U146" s="183">
        <v>-0.1768298695732039</v>
      </c>
      <c r="V146" s="183">
        <v>-1.03535768582922E-3</v>
      </c>
      <c r="W146" s="183">
        <v>-0.1093123011302936</v>
      </c>
      <c r="X146" s="188">
        <v>-3.6941422087174818E-2</v>
      </c>
      <c r="Y146" s="188">
        <v>9.0553704768912592E-3</v>
      </c>
      <c r="Z146" s="188">
        <v>-0.15335727968912771</v>
      </c>
      <c r="AA146" s="188">
        <v>-3.7625265752786602E-2</v>
      </c>
      <c r="AB146" s="188">
        <v>-1.944567740268768E-2</v>
      </c>
      <c r="AC146" s="188">
        <v>-9.8761908134851084E-2</v>
      </c>
      <c r="AD146" s="188">
        <v>-5.3995879532009121E-2</v>
      </c>
    </row>
    <row r="147" spans="1:30" ht="15" customHeight="1" x14ac:dyDescent="0.3">
      <c r="A147">
        <v>9</v>
      </c>
      <c r="B147" t="s">
        <v>126</v>
      </c>
      <c r="C147" t="s">
        <v>127</v>
      </c>
      <c r="D147" s="183">
        <v>5.4874727266557052E-2</v>
      </c>
      <c r="E147" s="183">
        <v>-1.162736756201178E-2</v>
      </c>
      <c r="F147" s="183">
        <v>-4.3642839300700398E-2</v>
      </c>
      <c r="G147" s="183">
        <v>-3.905315034403401E-3</v>
      </c>
      <c r="H147" s="183">
        <v>-8.6079432534601555E-3</v>
      </c>
      <c r="I147" s="183">
        <v>-6.7743604636173169E-2</v>
      </c>
      <c r="J147" s="183">
        <v>2.85756198847036E-3</v>
      </c>
      <c r="K147" s="194">
        <v>1.8974362905195441E-2</v>
      </c>
      <c r="L147" s="183">
        <v>1.1107068342226909</v>
      </c>
      <c r="M147" s="183">
        <v>-8.7772037961104749E-2</v>
      </c>
      <c r="N147" s="183">
        <v>-1.599735031097951E-2</v>
      </c>
      <c r="O147" s="183">
        <v>-2.661719605367251E-2</v>
      </c>
      <c r="P147" s="183">
        <v>-1.040302274346231E-2</v>
      </c>
      <c r="Q147" s="183">
        <v>-6.9335770118637924E-2</v>
      </c>
      <c r="R147" s="183">
        <v>2.1897431000822108E-3</v>
      </c>
      <c r="S147" s="183">
        <v>2.907481704324344E-4</v>
      </c>
      <c r="T147" s="183">
        <v>-3.0521453651651501E-2</v>
      </c>
      <c r="U147" s="183">
        <v>-3.2994195656735302E-2</v>
      </c>
      <c r="V147" s="183">
        <v>-5.9223936523413331E-2</v>
      </c>
      <c r="W147" s="183">
        <v>-3.379948890799047E-2</v>
      </c>
      <c r="X147" s="188">
        <v>-2.3705884597307918E-2</v>
      </c>
      <c r="Y147" s="188">
        <v>-2.595197293928557E-2</v>
      </c>
      <c r="Z147" s="188">
        <v>-1.8811815353150151E-2</v>
      </c>
      <c r="AA147" s="188">
        <v>-2.134353469548848E-2</v>
      </c>
      <c r="AB147" s="188">
        <v>-3.6499650819026813E-2</v>
      </c>
      <c r="AC147" s="188">
        <v>-4.3469057767816573E-2</v>
      </c>
      <c r="AD147" s="188">
        <v>-4.8037146132410342E-2</v>
      </c>
    </row>
    <row r="148" spans="1:30" ht="15" customHeight="1" x14ac:dyDescent="0.3">
      <c r="A148">
        <v>10</v>
      </c>
      <c r="B148" t="s">
        <v>128</v>
      </c>
      <c r="C148" t="s">
        <v>129</v>
      </c>
      <c r="D148" s="183">
        <v>2.7567983376191828E-2</v>
      </c>
      <c r="E148" s="183">
        <v>-1.7435196802441301E-2</v>
      </c>
      <c r="F148" s="183">
        <v>-7.0655418712559176E-2</v>
      </c>
      <c r="G148" s="183">
        <v>-8.2282788438247753E-2</v>
      </c>
      <c r="H148" s="183">
        <v>2.3309500982166042E-3</v>
      </c>
      <c r="I148" s="183">
        <v>-2.585516438315277E-2</v>
      </c>
      <c r="J148" s="183">
        <v>7.2207309670916486E-2</v>
      </c>
      <c r="K148" s="183">
        <v>-3.6543444704098857E-2</v>
      </c>
      <c r="L148" s="194">
        <v>-8.7772037961105026E-2</v>
      </c>
      <c r="M148" s="183">
        <v>1.18216362947049</v>
      </c>
      <c r="N148" s="183">
        <v>-5.3906760480375869E-2</v>
      </c>
      <c r="O148" s="183">
        <v>-6.857745249696201E-2</v>
      </c>
      <c r="P148" s="183">
        <v>-5.1883211759389827E-2</v>
      </c>
      <c r="Q148" s="183">
        <v>-7.4165973319075332E-2</v>
      </c>
      <c r="R148" s="183">
        <v>-7.7470751470371427E-2</v>
      </c>
      <c r="S148" s="183">
        <v>-2.373231925047127E-2</v>
      </c>
      <c r="T148" s="183">
        <v>-2.2133201259592051E-2</v>
      </c>
      <c r="U148" s="183">
        <v>4.8096908005371662E-2</v>
      </c>
      <c r="V148" s="183">
        <v>-6.1742097241994212E-2</v>
      </c>
      <c r="W148" s="183">
        <v>1.810240051262094E-2</v>
      </c>
      <c r="X148" s="188">
        <v>-3.2905960855678838E-2</v>
      </c>
      <c r="Y148" s="188">
        <v>-3.7516875660598553E-2</v>
      </c>
      <c r="Z148" s="188">
        <v>-6.097043069921125E-2</v>
      </c>
      <c r="AA148" s="188">
        <v>-5.7507620290324947E-2</v>
      </c>
      <c r="AB148" s="188">
        <v>-4.574791098404607E-2</v>
      </c>
      <c r="AC148" s="188">
        <v>-3.7817039701735777E-2</v>
      </c>
      <c r="AD148" s="188">
        <v>-1.6206345512452629E-2</v>
      </c>
    </row>
    <row r="149" spans="1:30" ht="15" customHeight="1" x14ac:dyDescent="0.3">
      <c r="A149">
        <v>11</v>
      </c>
      <c r="B149" t="s">
        <v>130</v>
      </c>
      <c r="C149" t="s">
        <v>131</v>
      </c>
      <c r="D149" s="194">
        <v>-4.7064950314536703E-2</v>
      </c>
      <c r="E149" s="183">
        <v>-1.1141675078176851E-2</v>
      </c>
      <c r="F149" s="183">
        <v>-4.0615646442797443E-2</v>
      </c>
      <c r="G149" s="183">
        <v>-8.4011592450938574E-2</v>
      </c>
      <c r="H149" s="183">
        <v>-7.4885941321054375E-2</v>
      </c>
      <c r="I149" s="183">
        <v>1.8977676578197721E-2</v>
      </c>
      <c r="J149" s="183">
        <v>-7.1705120263259634E-2</v>
      </c>
      <c r="K149" s="183">
        <v>5.8289651900375272E-2</v>
      </c>
      <c r="L149" s="183">
        <v>-1.5997350310979649E-2</v>
      </c>
      <c r="M149" s="183">
        <v>-5.3906760480375647E-2</v>
      </c>
      <c r="N149" s="183">
        <v>1.217548112263469</v>
      </c>
      <c r="O149" s="183">
        <v>-9.3759119043117321E-3</v>
      </c>
      <c r="P149" s="183">
        <v>-6.6602242551445909E-2</v>
      </c>
      <c r="Q149" s="183">
        <v>-2.5386789521285029E-2</v>
      </c>
      <c r="R149" s="183">
        <v>-5.5867939973753659E-2</v>
      </c>
      <c r="S149" s="194">
        <v>-1.1665878976475801E-2</v>
      </c>
      <c r="T149" s="183">
        <v>-1.3584085670206291E-2</v>
      </c>
      <c r="U149" s="183">
        <v>-0.1184743385788988</v>
      </c>
      <c r="V149" s="183">
        <v>-6.9166503558699827E-2</v>
      </c>
      <c r="W149" s="183">
        <v>9.8759072933279693E-2</v>
      </c>
      <c r="X149" s="188">
        <v>2.607678811639097E-2</v>
      </c>
      <c r="Y149" s="188">
        <v>-3.9089694712930577E-2</v>
      </c>
      <c r="Z149" s="188">
        <v>-6.6701876941071617E-2</v>
      </c>
      <c r="AA149" s="188">
        <v>-2.9258587290025308E-2</v>
      </c>
      <c r="AB149" s="188">
        <v>-4.6973971999249589E-2</v>
      </c>
      <c r="AC149" s="188">
        <v>-4.5140887223666729E-2</v>
      </c>
      <c r="AD149" s="188">
        <v>-0.11956973929924709</v>
      </c>
    </row>
    <row r="150" spans="1:30" ht="15" customHeight="1" x14ac:dyDescent="0.3">
      <c r="A150">
        <v>12</v>
      </c>
      <c r="B150" t="s">
        <v>132</v>
      </c>
      <c r="C150" t="s">
        <v>133</v>
      </c>
      <c r="D150" s="183">
        <v>-2.5244311653091722E-2</v>
      </c>
      <c r="E150" s="183">
        <v>-6.3090606745917169E-2</v>
      </c>
      <c r="F150" s="183">
        <v>-8.4924399194428023E-3</v>
      </c>
      <c r="G150" s="183">
        <v>5.6651972396995258E-2</v>
      </c>
      <c r="H150" s="183">
        <v>-5.6923519229545513E-2</v>
      </c>
      <c r="I150" s="183">
        <v>3.0197092951708481E-2</v>
      </c>
      <c r="J150" s="183">
        <v>1.9782719634436161E-2</v>
      </c>
      <c r="K150" s="183">
        <v>1.2809992272201431E-2</v>
      </c>
      <c r="L150" s="183">
        <v>-2.6617196053672559E-2</v>
      </c>
      <c r="M150" s="183">
        <v>-6.8577452496961802E-2</v>
      </c>
      <c r="N150" s="183">
        <v>-9.3759119043120859E-3</v>
      </c>
      <c r="O150" s="183">
        <v>1.1344167299392161</v>
      </c>
      <c r="P150" s="183">
        <v>-5.2616713314162032E-2</v>
      </c>
      <c r="Q150" s="183">
        <v>-1.711978520670487E-2</v>
      </c>
      <c r="R150" s="183">
        <v>-4.0250777674335929E-2</v>
      </c>
      <c r="S150" s="183">
        <v>-3.6929238332640543E-2</v>
      </c>
      <c r="T150" s="194">
        <v>-4.3667655636601403E-2</v>
      </c>
      <c r="U150" s="183">
        <v>-4.8001224569238832E-2</v>
      </c>
      <c r="V150" s="183">
        <v>-5.9135370996874589E-2</v>
      </c>
      <c r="W150" s="183">
        <v>6.5987461788578816E-3</v>
      </c>
      <c r="X150" s="188">
        <v>1.374436439373829E-2</v>
      </c>
      <c r="Y150" s="188">
        <v>-0.11135622945824709</v>
      </c>
      <c r="Z150" s="188">
        <v>-9.1940712647149789E-3</v>
      </c>
      <c r="AA150" s="188">
        <v>-3.0624945929731251E-2</v>
      </c>
      <c r="AB150" s="188">
        <v>-7.1728350770533827E-2</v>
      </c>
      <c r="AC150" s="188">
        <v>-5.3996008743035728E-2</v>
      </c>
      <c r="AD150" s="188">
        <v>-1.853642792835522E-2</v>
      </c>
    </row>
    <row r="151" spans="1:30" ht="15" customHeight="1" x14ac:dyDescent="0.3">
      <c r="A151">
        <v>13</v>
      </c>
      <c r="B151" t="s">
        <v>134</v>
      </c>
      <c r="C151" t="s">
        <v>135</v>
      </c>
      <c r="D151" s="183">
        <v>-2.043887395019418E-2</v>
      </c>
      <c r="E151" s="183">
        <v>-2.221031844284712E-2</v>
      </c>
      <c r="F151" s="194">
        <v>-4.9518458133391771E-2</v>
      </c>
      <c r="G151" s="183">
        <v>2.8082914445861348E-2</v>
      </c>
      <c r="H151" s="183">
        <v>-6.5802609480671084E-3</v>
      </c>
      <c r="I151" s="183">
        <v>2.937397026520314E-2</v>
      </c>
      <c r="J151" s="183">
        <v>-3.6883345061056241E-2</v>
      </c>
      <c r="K151" s="183">
        <v>4.5520713623357897E-2</v>
      </c>
      <c r="L151" s="183">
        <v>-1.0403022743462401E-2</v>
      </c>
      <c r="M151" s="183">
        <v>-5.1883211759389813E-2</v>
      </c>
      <c r="N151" s="183">
        <v>-6.6602242551446006E-2</v>
      </c>
      <c r="O151" s="183">
        <v>-5.2616713314162213E-2</v>
      </c>
      <c r="P151" s="183">
        <v>1.0968892755525119</v>
      </c>
      <c r="Q151" s="183">
        <v>-1.7323372907674821E-2</v>
      </c>
      <c r="R151" s="183">
        <v>-1.3120042029060121E-2</v>
      </c>
      <c r="S151" s="183">
        <v>-0.1072263212471691</v>
      </c>
      <c r="T151" s="183">
        <v>-5.4198579355259471E-2</v>
      </c>
      <c r="U151" s="194">
        <v>6.8453204256071834E-3</v>
      </c>
      <c r="V151" s="183">
        <v>-4.0339293303695836E-3</v>
      </c>
      <c r="W151" s="183">
        <v>-1.8447910164328118E-2</v>
      </c>
      <c r="X151" s="188">
        <v>-9.104033523401717E-3</v>
      </c>
      <c r="Y151" s="188">
        <v>-4.1133295923354372E-2</v>
      </c>
      <c r="Z151" s="188">
        <v>2.9695672017040979E-2</v>
      </c>
      <c r="AA151" s="188">
        <v>-5.9736494891503823E-2</v>
      </c>
      <c r="AB151" s="188">
        <v>-1.097079770577488E-2</v>
      </c>
      <c r="AC151" s="188">
        <v>8.4018816700551953E-3</v>
      </c>
      <c r="AD151" s="188">
        <v>-5.1643658675099388E-2</v>
      </c>
    </row>
    <row r="152" spans="1:30" ht="15" customHeight="1" x14ac:dyDescent="0.3">
      <c r="A152">
        <v>14</v>
      </c>
      <c r="B152" t="s">
        <v>136</v>
      </c>
      <c r="C152" t="s">
        <v>137</v>
      </c>
      <c r="D152" s="183">
        <v>7.9631977427205829E-3</v>
      </c>
      <c r="E152" s="183">
        <v>-6.5180985780341122E-2</v>
      </c>
      <c r="F152" s="183">
        <v>-3.6241838069370043E-2</v>
      </c>
      <c r="G152" s="194">
        <v>-2.9532113499976021E-2</v>
      </c>
      <c r="H152" s="183">
        <v>-9.4929091740151211E-2</v>
      </c>
      <c r="I152" s="183">
        <v>-5.7711625979392112E-2</v>
      </c>
      <c r="J152" s="183">
        <v>-2.2129080915507578E-2</v>
      </c>
      <c r="K152" s="183">
        <v>-5.5851062995597882E-2</v>
      </c>
      <c r="L152" s="183">
        <v>-6.9335770118637993E-2</v>
      </c>
      <c r="M152" s="183">
        <v>-7.4165973319075415E-2</v>
      </c>
      <c r="N152" s="183">
        <v>-2.5386789521285071E-2</v>
      </c>
      <c r="O152" s="183">
        <v>-1.7119785206704621E-2</v>
      </c>
      <c r="P152" s="183">
        <v>-1.7323372907674831E-2</v>
      </c>
      <c r="Q152" s="183">
        <v>1.143464061702786</v>
      </c>
      <c r="R152" s="183">
        <v>-7.6676418061148712E-3</v>
      </c>
      <c r="S152" s="183">
        <v>-2.9180582226888779E-2</v>
      </c>
      <c r="T152" s="183">
        <v>-2.1439246921467019E-2</v>
      </c>
      <c r="U152" s="183">
        <v>1.600935700786825E-2</v>
      </c>
      <c r="V152" s="194">
        <v>-5.4047789473939227E-2</v>
      </c>
      <c r="W152" s="183">
        <v>1.096453665129858E-2</v>
      </c>
      <c r="X152" s="188">
        <v>-3.1970687509399992E-2</v>
      </c>
      <c r="Y152" s="188">
        <v>-1.6994454677230372E-2</v>
      </c>
      <c r="Z152" s="188">
        <v>6.3429668423229335E-2</v>
      </c>
      <c r="AA152" s="188">
        <v>1.6785227091218571E-2</v>
      </c>
      <c r="AB152" s="188">
        <v>-5.7585452297547197E-2</v>
      </c>
      <c r="AC152" s="188">
        <v>-4.3393283136000438E-2</v>
      </c>
      <c r="AD152" s="188">
        <v>-2.0248437762393559E-2</v>
      </c>
    </row>
    <row r="153" spans="1:30" ht="15" customHeight="1" x14ac:dyDescent="0.3">
      <c r="A153">
        <v>15</v>
      </c>
      <c r="B153" t="s">
        <v>138</v>
      </c>
      <c r="C153" t="s">
        <v>139</v>
      </c>
      <c r="D153" s="183">
        <v>-2.339244152617417E-2</v>
      </c>
      <c r="E153" s="183">
        <v>-5.7072531778969121E-2</v>
      </c>
      <c r="F153" s="183">
        <v>-3.1760918915267361E-2</v>
      </c>
      <c r="G153" s="183">
        <v>-2.1291998936761808E-3</v>
      </c>
      <c r="H153" s="183">
        <v>-2.5025518464727059E-2</v>
      </c>
      <c r="I153" s="183">
        <v>-3.7447633181284218E-2</v>
      </c>
      <c r="J153" s="183">
        <v>4.2747515338206147E-3</v>
      </c>
      <c r="K153" s="183">
        <v>-2.3451731751008079E-2</v>
      </c>
      <c r="L153" s="183">
        <v>2.1897431000820851E-3</v>
      </c>
      <c r="M153" s="183">
        <v>-7.7470751470371149E-2</v>
      </c>
      <c r="N153" s="183">
        <v>-5.5867939973753833E-2</v>
      </c>
      <c r="O153" s="183">
        <v>-4.0250777674335943E-2</v>
      </c>
      <c r="P153" s="183">
        <v>-1.312004202906027E-2</v>
      </c>
      <c r="Q153" s="183">
        <v>-7.667641806114945E-3</v>
      </c>
      <c r="R153" s="183">
        <v>1.1092696112699569</v>
      </c>
      <c r="S153" s="183">
        <v>-6.5812124928773752E-2</v>
      </c>
      <c r="T153" s="183">
        <v>-1.8614992895857881E-2</v>
      </c>
      <c r="U153" s="183">
        <v>5.2617096862032073E-2</v>
      </c>
      <c r="V153" s="183">
        <v>-3.6138205752977562E-2</v>
      </c>
      <c r="W153" s="194">
        <v>-4.8376595896332267E-2</v>
      </c>
      <c r="X153" s="188">
        <v>-1.04042485364183E-3</v>
      </c>
      <c r="Y153" s="188">
        <v>-3.3739313157988997E-2</v>
      </c>
      <c r="Z153" s="188">
        <v>3.7717617056873827E-2</v>
      </c>
      <c r="AA153" s="188">
        <v>-4.6753698990512682E-2</v>
      </c>
      <c r="AB153" s="188">
        <v>-5.2856029325469157E-2</v>
      </c>
      <c r="AC153" s="188">
        <v>-1.8317447806950701E-2</v>
      </c>
      <c r="AD153" s="188">
        <v>-9.7242065909610466E-3</v>
      </c>
    </row>
    <row r="154" spans="1:30" ht="15" customHeight="1" x14ac:dyDescent="0.3">
      <c r="A154">
        <v>16</v>
      </c>
      <c r="B154" t="s">
        <v>140</v>
      </c>
      <c r="C154" t="s">
        <v>141</v>
      </c>
      <c r="D154" s="183">
        <v>1.9393166107036921E-2</v>
      </c>
      <c r="E154" s="183">
        <v>-3.3238157525053463E-2</v>
      </c>
      <c r="F154" s="183">
        <v>1.7402052323854649E-2</v>
      </c>
      <c r="G154" s="183">
        <v>-1.2739349407664569E-2</v>
      </c>
      <c r="H154" s="183">
        <v>-3.5028320494453799E-2</v>
      </c>
      <c r="I154" s="183">
        <v>-4.0356882487858389E-2</v>
      </c>
      <c r="J154" s="183">
        <v>1.097972478533449E-2</v>
      </c>
      <c r="K154" s="183">
        <v>-1.400584114712115E-2</v>
      </c>
      <c r="L154" s="183">
        <v>2.9074817043241912E-4</v>
      </c>
      <c r="M154" s="194">
        <v>-2.3732319250471211E-2</v>
      </c>
      <c r="N154" s="183">
        <v>-1.166587897647603E-2</v>
      </c>
      <c r="O154" s="183">
        <v>-3.6929238332640647E-2</v>
      </c>
      <c r="P154" s="183">
        <v>-0.1072263212471691</v>
      </c>
      <c r="Q154" s="183">
        <v>-2.918058222688873E-2</v>
      </c>
      <c r="R154" s="183">
        <v>-6.581212492877371E-2</v>
      </c>
      <c r="S154" s="183">
        <v>1.1147199778967409</v>
      </c>
      <c r="T154" s="183">
        <v>6.7169494648306157E-3</v>
      </c>
      <c r="U154" s="183">
        <v>-1.1840319270105889E-2</v>
      </c>
      <c r="V154" s="183">
        <v>-9.3231871958216986E-2</v>
      </c>
      <c r="W154" s="183">
        <v>-5.4150705747256757E-2</v>
      </c>
      <c r="X154" s="188">
        <v>-3.2797387772536351E-3</v>
      </c>
      <c r="Y154" s="188">
        <v>-5.1904188472402933E-2</v>
      </c>
      <c r="Z154" s="188">
        <v>-3.5179428028502553E-2</v>
      </c>
      <c r="AA154" s="188">
        <v>-3.2267679501461609E-2</v>
      </c>
      <c r="AB154" s="188">
        <v>-2.4023941868735719E-2</v>
      </c>
      <c r="AC154" s="188">
        <v>1.027399341692496E-2</v>
      </c>
      <c r="AD154" s="188">
        <v>-2.9688202193053251E-2</v>
      </c>
    </row>
    <row r="155" spans="1:30" ht="15" customHeight="1" x14ac:dyDescent="0.3">
      <c r="A155">
        <v>17</v>
      </c>
      <c r="B155" t="s">
        <v>142</v>
      </c>
      <c r="C155" t="s">
        <v>143</v>
      </c>
      <c r="D155" s="194">
        <v>3.1290101587255939E-2</v>
      </c>
      <c r="E155" s="183">
        <v>-4.6877049034221409E-3</v>
      </c>
      <c r="F155" s="183">
        <v>-1.527143943229124E-2</v>
      </c>
      <c r="G155" s="183">
        <v>5.3539577726930358E-3</v>
      </c>
      <c r="H155" s="183">
        <v>-5.1624419115861679E-3</v>
      </c>
      <c r="I155" s="183">
        <v>-6.2238441544483707E-2</v>
      </c>
      <c r="J155" s="183">
        <v>-2.997496911104959E-2</v>
      </c>
      <c r="K155" s="183">
        <v>-4.1311221248964809E-2</v>
      </c>
      <c r="L155" s="183">
        <v>-3.0521453651651528E-2</v>
      </c>
      <c r="M155" s="183">
        <v>-2.2133201259591961E-2</v>
      </c>
      <c r="N155" s="183">
        <v>-1.3584085670206339E-2</v>
      </c>
      <c r="O155" s="183">
        <v>-4.3667655636601702E-2</v>
      </c>
      <c r="P155" s="183">
        <v>-5.4198579355259277E-2</v>
      </c>
      <c r="Q155" s="183">
        <v>-2.143924692146704E-2</v>
      </c>
      <c r="R155" s="183">
        <v>-1.861499289585801E-2</v>
      </c>
      <c r="S155" s="183">
        <v>6.7169494648306243E-3</v>
      </c>
      <c r="T155" s="183">
        <v>1.1320302002242271</v>
      </c>
      <c r="U155" s="183">
        <v>-3.8800919388596318E-2</v>
      </c>
      <c r="V155" s="183">
        <v>-4.7487626823127793E-2</v>
      </c>
      <c r="W155" s="183">
        <v>-0.1088028336524408</v>
      </c>
      <c r="X155" s="188">
        <v>5.8060223668182989E-3</v>
      </c>
      <c r="Y155" s="188">
        <v>-3.9802937618002403E-2</v>
      </c>
      <c r="Z155" s="188">
        <v>-4.8239160903329088E-2</v>
      </c>
      <c r="AA155" s="188">
        <v>-4.4246442622981358E-2</v>
      </c>
      <c r="AB155" s="188">
        <v>9.6547180847019465E-3</v>
      </c>
      <c r="AC155" s="188">
        <v>-6.4601638409077344E-2</v>
      </c>
      <c r="AD155" s="188">
        <v>-4.8910707618929641E-2</v>
      </c>
    </row>
    <row r="156" spans="1:30" ht="15" customHeight="1" x14ac:dyDescent="0.3">
      <c r="A156">
        <v>18</v>
      </c>
      <c r="B156" t="s">
        <v>144</v>
      </c>
      <c r="C156" t="s">
        <v>145</v>
      </c>
      <c r="D156" s="183">
        <v>-0.23896690361310191</v>
      </c>
      <c r="E156" s="194">
        <v>-1.7643524534266271E-2</v>
      </c>
      <c r="F156" s="183">
        <v>-6.5454937879896535E-2</v>
      </c>
      <c r="G156" s="183">
        <v>-0.18378349931961949</v>
      </c>
      <c r="H156" s="183">
        <v>1.2267994415075581E-2</v>
      </c>
      <c r="I156" s="183">
        <v>-5.2266721901819489E-2</v>
      </c>
      <c r="J156" s="183">
        <v>-0.19453961137924239</v>
      </c>
      <c r="K156" s="183">
        <v>-0.17682986957320379</v>
      </c>
      <c r="L156" s="183">
        <v>-3.2994195656735163E-2</v>
      </c>
      <c r="M156" s="183">
        <v>4.8096908005372127E-2</v>
      </c>
      <c r="N156" s="183">
        <v>-0.1184743385788988</v>
      </c>
      <c r="O156" s="183">
        <v>-4.8001224569238818E-2</v>
      </c>
      <c r="P156" s="183">
        <v>6.8453204256072138E-3</v>
      </c>
      <c r="Q156" s="183">
        <v>1.6009357007868388E-2</v>
      </c>
      <c r="R156" s="183">
        <v>5.2617096862031719E-2</v>
      </c>
      <c r="S156" s="183">
        <v>-1.1840319270105801E-2</v>
      </c>
      <c r="T156" s="183">
        <v>-3.8800919388596519E-2</v>
      </c>
      <c r="U156" s="183">
        <v>1.6014107237347699</v>
      </c>
      <c r="V156" s="183">
        <v>1.0391044582786399E-2</v>
      </c>
      <c r="W156" s="183">
        <v>-9.7144738821265744E-2</v>
      </c>
      <c r="X156" s="188">
        <v>-4.1847040077420967E-2</v>
      </c>
      <c r="Y156" s="188">
        <v>3.8142648668171512E-2</v>
      </c>
      <c r="Z156" s="188">
        <v>-0.17984050744495961</v>
      </c>
      <c r="AA156" s="188">
        <v>-8.6614019976627866E-3</v>
      </c>
      <c r="AB156" s="188">
        <v>-1.270053297149757E-2</v>
      </c>
      <c r="AC156" s="188">
        <v>-1.446120670218091E-2</v>
      </c>
      <c r="AD156" s="188">
        <v>-4.95274274394373E-3</v>
      </c>
    </row>
    <row r="157" spans="1:30" ht="15" customHeight="1" x14ac:dyDescent="0.3">
      <c r="A157">
        <v>19</v>
      </c>
      <c r="B157" t="s">
        <v>146</v>
      </c>
      <c r="C157" t="s">
        <v>147</v>
      </c>
      <c r="D157" s="183">
        <v>2.575319573118235E-2</v>
      </c>
      <c r="E157" s="183">
        <v>-2.5305150156919538E-2</v>
      </c>
      <c r="F157" s="194">
        <v>-3.6083278072079623E-2</v>
      </c>
      <c r="G157" s="183">
        <v>-1.569023761944504E-2</v>
      </c>
      <c r="H157" s="183">
        <v>2.9313910160381439E-2</v>
      </c>
      <c r="I157" s="183">
        <v>-1.0103518460776111E-2</v>
      </c>
      <c r="J157" s="183">
        <v>1.450133028833851E-3</v>
      </c>
      <c r="K157" s="183">
        <v>-1.0353576858292239E-3</v>
      </c>
      <c r="L157" s="183">
        <v>-5.9223936523413269E-2</v>
      </c>
      <c r="M157" s="183">
        <v>-6.1742097241994351E-2</v>
      </c>
      <c r="N157" s="183">
        <v>-6.9166503558700049E-2</v>
      </c>
      <c r="O157" s="183">
        <v>-5.9135370996874777E-2</v>
      </c>
      <c r="P157" s="183">
        <v>-4.0339293303696643E-3</v>
      </c>
      <c r="Q157" s="194">
        <v>-5.4047789473939387E-2</v>
      </c>
      <c r="R157" s="183">
        <v>-3.6138205752977472E-2</v>
      </c>
      <c r="S157" s="183">
        <v>-9.3231871958216667E-2</v>
      </c>
      <c r="T157" s="183">
        <v>-4.74876268231278E-2</v>
      </c>
      <c r="U157" s="194">
        <v>1.0391044582785889E-2</v>
      </c>
      <c r="V157" s="183">
        <v>1.120148581956719</v>
      </c>
      <c r="W157" s="183">
        <v>-2.3561274595804829E-2</v>
      </c>
      <c r="X157" s="188">
        <v>-3.6507999599621949E-2</v>
      </c>
      <c r="Y157" s="188">
        <v>-3.490729111806395E-3</v>
      </c>
      <c r="Z157" s="188">
        <v>-1.9810982619369859E-2</v>
      </c>
      <c r="AA157" s="188">
        <v>-4.5361418845537259E-2</v>
      </c>
      <c r="AB157" s="188">
        <v>-2.273014328108738E-2</v>
      </c>
      <c r="AC157" s="188">
        <v>-3.6281390308964108E-2</v>
      </c>
      <c r="AD157" s="188">
        <v>6.0872500611237048E-3</v>
      </c>
    </row>
    <row r="158" spans="1:30" ht="15" customHeight="1" x14ac:dyDescent="0.3">
      <c r="A158">
        <v>20</v>
      </c>
      <c r="B158" t="s">
        <v>148</v>
      </c>
      <c r="C158" t="s">
        <v>149</v>
      </c>
      <c r="D158" s="183">
        <v>-0.12310707175744</v>
      </c>
      <c r="E158" s="183">
        <v>-1.9802370788856691E-2</v>
      </c>
      <c r="F158" s="183">
        <v>-5.0083531531281492E-2</v>
      </c>
      <c r="G158" s="194">
        <v>-3.7839491527804137E-2</v>
      </c>
      <c r="H158" s="183">
        <v>-2.8267137818855548E-3</v>
      </c>
      <c r="I158" s="183">
        <v>1.0420045046924819E-2</v>
      </c>
      <c r="J158" s="183">
        <v>-6.3788366995227871E-2</v>
      </c>
      <c r="K158" s="183">
        <v>-0.10931230113029369</v>
      </c>
      <c r="L158" s="183">
        <v>-3.3799488907990553E-2</v>
      </c>
      <c r="M158" s="183">
        <v>1.8102400512621079E-2</v>
      </c>
      <c r="N158" s="183">
        <v>9.8759072933279582E-2</v>
      </c>
      <c r="O158" s="183">
        <v>6.5987461788579536E-3</v>
      </c>
      <c r="P158" s="183">
        <v>-1.8447910164328021E-2</v>
      </c>
      <c r="Q158" s="183">
        <v>1.0964536651298601E-2</v>
      </c>
      <c r="R158" s="183">
        <v>-4.837659589633219E-2</v>
      </c>
      <c r="S158" s="183">
        <v>-5.4150705747256653E-2</v>
      </c>
      <c r="T158" s="183">
        <v>-0.10880283365244089</v>
      </c>
      <c r="U158" s="183">
        <v>-9.714473882126537E-2</v>
      </c>
      <c r="V158" s="194">
        <v>-2.3561274595804749E-2</v>
      </c>
      <c r="W158" s="183">
        <v>1.220569535477747</v>
      </c>
      <c r="X158" s="188">
        <v>-3.3405940959128362E-2</v>
      </c>
      <c r="Y158" s="188">
        <v>-4.3289522985677668E-2</v>
      </c>
      <c r="Z158" s="188">
        <v>-4.134243821255968E-2</v>
      </c>
      <c r="AA158" s="188">
        <v>-1.49468390493368E-2</v>
      </c>
      <c r="AB158" s="188">
        <v>-4.0171468215290412E-2</v>
      </c>
      <c r="AC158" s="188">
        <v>-2.8452328165493309E-2</v>
      </c>
      <c r="AD158" s="188">
        <v>-1.68268986942719E-2</v>
      </c>
    </row>
    <row r="159" spans="1:30" ht="15" customHeight="1" x14ac:dyDescent="0.3">
      <c r="A159">
        <v>21</v>
      </c>
      <c r="B159" t="s">
        <v>150</v>
      </c>
      <c r="C159" t="s">
        <v>151</v>
      </c>
      <c r="D159" s="183">
        <v>2.9224932135203238E-3</v>
      </c>
      <c r="E159" s="183">
        <v>-2.4612337251608531E-2</v>
      </c>
      <c r="F159" s="183">
        <v>3.658100996805779E-3</v>
      </c>
      <c r="G159" s="183">
        <v>-4.051847263155154E-2</v>
      </c>
      <c r="H159" s="183">
        <v>-7.5869625041541742E-3</v>
      </c>
      <c r="I159" s="183">
        <v>-3.852044290547315E-2</v>
      </c>
      <c r="J159" s="183">
        <v>-2.9102962469886581E-2</v>
      </c>
      <c r="K159" s="183">
        <v>-3.6941422087174637E-2</v>
      </c>
      <c r="L159" s="183">
        <v>-2.3705884597307769E-2</v>
      </c>
      <c r="M159" s="183">
        <v>-3.2905960855678727E-2</v>
      </c>
      <c r="N159" s="194">
        <v>2.607678811639114E-2</v>
      </c>
      <c r="O159" s="183">
        <v>1.374436439373827E-2</v>
      </c>
      <c r="P159" s="183">
        <v>-9.1040335234018211E-3</v>
      </c>
      <c r="Q159" s="183">
        <v>-3.197068750940027E-2</v>
      </c>
      <c r="R159" s="183">
        <v>-1.040424853641796E-3</v>
      </c>
      <c r="S159" s="183">
        <v>-3.2797387772536841E-3</v>
      </c>
      <c r="T159" s="183">
        <v>5.8060223668183197E-3</v>
      </c>
      <c r="U159" s="183">
        <v>-4.1847040077420919E-2</v>
      </c>
      <c r="V159" s="183">
        <v>-3.6507999599621907E-2</v>
      </c>
      <c r="W159" s="183">
        <v>-3.3405940959128411E-2</v>
      </c>
      <c r="X159" s="188">
        <v>1.063200510076955</v>
      </c>
      <c r="Y159" s="188">
        <v>5.5244216183655114E-3</v>
      </c>
      <c r="Z159" s="188">
        <v>1.7678584056212549E-2</v>
      </c>
      <c r="AA159" s="188">
        <v>-2.8703585645423271E-2</v>
      </c>
      <c r="AB159" s="188">
        <v>-3.8809768103614903E-2</v>
      </c>
      <c r="AC159" s="188">
        <v>-7.0226111904770516E-2</v>
      </c>
      <c r="AD159" s="188">
        <v>7.6356991096681792E-3</v>
      </c>
    </row>
    <row r="160" spans="1:30" ht="15" customHeight="1" x14ac:dyDescent="0.3">
      <c r="A160">
        <v>22</v>
      </c>
      <c r="B160" t="s">
        <v>152</v>
      </c>
      <c r="C160" t="s">
        <v>153</v>
      </c>
      <c r="D160" s="183">
        <v>-2.319206444473134E-2</v>
      </c>
      <c r="E160" s="183">
        <v>-2.6004783971497331E-2</v>
      </c>
      <c r="F160" s="183">
        <v>-0.11693008938543729</v>
      </c>
      <c r="G160" s="183">
        <v>-1.5814415715647241E-2</v>
      </c>
      <c r="H160" s="194">
        <v>-7.4912808825617809E-3</v>
      </c>
      <c r="I160" s="183">
        <v>-9.8074311525273451E-3</v>
      </c>
      <c r="J160" s="183">
        <v>-2.3828682494829379E-2</v>
      </c>
      <c r="K160" s="183">
        <v>9.0553704768912748E-3</v>
      </c>
      <c r="L160" s="183">
        <v>-2.5951972939285639E-2</v>
      </c>
      <c r="M160" s="183">
        <v>-3.7516875660598401E-2</v>
      </c>
      <c r="N160" s="183">
        <v>-3.9089694712930702E-2</v>
      </c>
      <c r="O160" s="183">
        <v>-0.11135622945824709</v>
      </c>
      <c r="P160" s="183">
        <v>-4.113329592335422E-2</v>
      </c>
      <c r="Q160" s="183">
        <v>-1.6994454677230379E-2</v>
      </c>
      <c r="R160" s="183">
        <v>-3.3739313157989163E-2</v>
      </c>
      <c r="S160" s="183">
        <v>-5.1904188472403107E-2</v>
      </c>
      <c r="T160" s="183">
        <v>-3.9802937618002639E-2</v>
      </c>
      <c r="U160" s="183">
        <v>3.8142648668171561E-2</v>
      </c>
      <c r="V160" s="183">
        <v>-3.4907291118062502E-3</v>
      </c>
      <c r="W160" s="183">
        <v>-4.3289522985677932E-2</v>
      </c>
      <c r="X160" s="188">
        <v>5.5244216183654941E-3</v>
      </c>
      <c r="Y160" s="188">
        <v>1.1255537917141669</v>
      </c>
      <c r="Z160" s="188">
        <v>3.6584966699481303E-2</v>
      </c>
      <c r="AA160" s="188">
        <v>-1.58120764482996E-2</v>
      </c>
      <c r="AB160" s="188">
        <v>-3.689017339294285E-2</v>
      </c>
      <c r="AC160" s="188">
        <v>-2.5130760538106599E-2</v>
      </c>
      <c r="AD160" s="188">
        <v>-2.366152261795194E-2</v>
      </c>
    </row>
    <row r="161" spans="1:30" ht="15" customHeight="1" x14ac:dyDescent="0.3">
      <c r="A161">
        <v>23</v>
      </c>
      <c r="B161" t="s">
        <v>154</v>
      </c>
      <c r="C161" t="s">
        <v>155</v>
      </c>
      <c r="D161" s="194">
        <v>-0.25520852661753191</v>
      </c>
      <c r="E161" s="183">
        <v>2.5224000451316349E-2</v>
      </c>
      <c r="F161" s="183">
        <v>2.3265112938916199E-2</v>
      </c>
      <c r="G161" s="183">
        <v>-0.21047253804108271</v>
      </c>
      <c r="H161" s="183">
        <v>-6.7376472394873155E-2</v>
      </c>
      <c r="I161" s="183">
        <v>3.3383322026236298E-2</v>
      </c>
      <c r="J161" s="183">
        <v>-0.22401154963562689</v>
      </c>
      <c r="K161" s="183">
        <v>-0.15335727968912821</v>
      </c>
      <c r="L161" s="183">
        <v>-1.8811815353150151E-2</v>
      </c>
      <c r="M161" s="183">
        <v>-6.0970430699211257E-2</v>
      </c>
      <c r="N161" s="183">
        <v>-6.6701876941071409E-2</v>
      </c>
      <c r="O161" s="183">
        <v>-9.1940712647151715E-3</v>
      </c>
      <c r="P161" s="183">
        <v>2.9695672017040702E-2</v>
      </c>
      <c r="Q161" s="183">
        <v>6.3429668423229141E-2</v>
      </c>
      <c r="R161" s="183">
        <v>3.771761705687391E-2</v>
      </c>
      <c r="S161" s="194">
        <v>-3.5179428028502789E-2</v>
      </c>
      <c r="T161" s="183">
        <v>-4.8239160903329213E-2</v>
      </c>
      <c r="U161" s="183">
        <v>-0.17984050744495861</v>
      </c>
      <c r="V161" s="183">
        <v>-1.9810982619369599E-2</v>
      </c>
      <c r="W161" s="183">
        <v>-4.1342438212559757E-2</v>
      </c>
      <c r="X161" s="188">
        <v>1.7678584056212591E-2</v>
      </c>
      <c r="Y161" s="188">
        <v>3.6584966699481448E-2</v>
      </c>
      <c r="Z161" s="188">
        <v>1.573321765747244</v>
      </c>
      <c r="AA161" s="188">
        <v>1.3214242842601E-2</v>
      </c>
      <c r="AB161" s="188">
        <v>1.3682477381289981E-2</v>
      </c>
      <c r="AC161" s="188">
        <v>-1.1229602160253481E-2</v>
      </c>
      <c r="AD161" s="188">
        <v>-1.403809248992992E-2</v>
      </c>
    </row>
    <row r="162" spans="1:30" ht="15" customHeight="1" x14ac:dyDescent="0.3">
      <c r="A162">
        <v>24</v>
      </c>
      <c r="B162" t="s">
        <v>156</v>
      </c>
      <c r="C162" t="s">
        <v>157</v>
      </c>
      <c r="D162" s="183">
        <v>2.6860969333326511E-2</v>
      </c>
      <c r="E162" s="194">
        <v>5.5795456507661532E-4</v>
      </c>
      <c r="F162" s="183">
        <v>-7.7752909597103612E-2</v>
      </c>
      <c r="G162" s="183">
        <v>-6.6458603659285537E-4</v>
      </c>
      <c r="H162" s="183">
        <v>-3.3723002762915482E-3</v>
      </c>
      <c r="I162" s="183">
        <v>-4.8218217534407332E-2</v>
      </c>
      <c r="J162" s="183">
        <v>6.942860207530919E-3</v>
      </c>
      <c r="K162" s="183">
        <v>-3.7625265752786533E-2</v>
      </c>
      <c r="L162" s="183">
        <v>-2.1343534695488529E-2</v>
      </c>
      <c r="M162" s="183">
        <v>-5.7507620290324711E-2</v>
      </c>
      <c r="N162" s="183">
        <v>-2.9258587290025301E-2</v>
      </c>
      <c r="O162" s="183">
        <v>-3.0624945929731539E-2</v>
      </c>
      <c r="P162" s="183">
        <v>-5.9736494891503719E-2</v>
      </c>
      <c r="Q162" s="183">
        <v>1.6785227091218689E-2</v>
      </c>
      <c r="R162" s="183">
        <v>-4.6753698990512592E-2</v>
      </c>
      <c r="S162" s="183">
        <v>-3.2267679501461623E-2</v>
      </c>
      <c r="T162" s="183">
        <v>-4.4246442622981413E-2</v>
      </c>
      <c r="U162" s="183">
        <v>-8.6614019976625021E-3</v>
      </c>
      <c r="V162" s="183">
        <v>-4.5361418845537398E-2</v>
      </c>
      <c r="W162" s="183">
        <v>-1.49468390493368E-2</v>
      </c>
      <c r="X162" s="188">
        <v>-2.8703585645423219E-2</v>
      </c>
      <c r="Y162" s="188">
        <v>-1.5812076448299382E-2</v>
      </c>
      <c r="Z162" s="188">
        <v>1.3214242842600961E-2</v>
      </c>
      <c r="AA162" s="188">
        <v>1.1222768120278279</v>
      </c>
      <c r="AB162" s="188">
        <v>-9.5140098319516864E-2</v>
      </c>
      <c r="AC162" s="188">
        <v>-2.6724948676579149E-2</v>
      </c>
      <c r="AD162" s="188">
        <v>-3.811163123156161E-2</v>
      </c>
    </row>
    <row r="163" spans="1:30" ht="15" customHeight="1" x14ac:dyDescent="0.3">
      <c r="A163">
        <v>25</v>
      </c>
      <c r="B163" t="s">
        <v>158</v>
      </c>
      <c r="C163" t="s">
        <v>159</v>
      </c>
      <c r="D163" s="183">
        <v>-3.9678713403230849E-2</v>
      </c>
      <c r="E163" s="183">
        <v>-2.0731081754860641E-2</v>
      </c>
      <c r="F163" s="194">
        <v>-9.0235322468998208E-3</v>
      </c>
      <c r="G163" s="183">
        <v>2.608228281739302E-2</v>
      </c>
      <c r="H163" s="183">
        <v>-2.1723253146669261E-2</v>
      </c>
      <c r="I163" s="183">
        <v>-4.0598976452463603E-2</v>
      </c>
      <c r="J163" s="183">
        <v>3.8800636531292829E-2</v>
      </c>
      <c r="K163" s="183">
        <v>-1.944567740268793E-2</v>
      </c>
      <c r="L163" s="183">
        <v>-3.6499650819026758E-2</v>
      </c>
      <c r="M163" s="183">
        <v>-4.5747910984046021E-2</v>
      </c>
      <c r="N163" s="183">
        <v>-4.6973971999249499E-2</v>
      </c>
      <c r="O163" s="183">
        <v>-7.1728350770534063E-2</v>
      </c>
      <c r="P163" s="183">
        <v>-1.0970797705774931E-2</v>
      </c>
      <c r="Q163" s="183">
        <v>-5.7585452297547211E-2</v>
      </c>
      <c r="R163" s="183">
        <v>-5.285602932546915E-2</v>
      </c>
      <c r="S163" s="183">
        <v>-2.4023941868735639E-2</v>
      </c>
      <c r="T163" s="183">
        <v>9.654718084701976E-3</v>
      </c>
      <c r="U163" s="194">
        <v>-1.270053297149782E-2</v>
      </c>
      <c r="V163" s="183">
        <v>-2.2730143281087328E-2</v>
      </c>
      <c r="W163" s="183">
        <v>-4.0171468215290378E-2</v>
      </c>
      <c r="X163" s="188">
        <v>-3.8809768103614833E-2</v>
      </c>
      <c r="Y163" s="188">
        <v>-3.6890173392942947E-2</v>
      </c>
      <c r="Z163" s="188">
        <v>1.368247738128983E-2</v>
      </c>
      <c r="AA163" s="188">
        <v>-9.5140098319516961E-2</v>
      </c>
      <c r="AB163" s="188">
        <v>1.125127275442156</v>
      </c>
      <c r="AC163" s="188">
        <v>-4.9929481052400429E-2</v>
      </c>
      <c r="AD163" s="188">
        <v>-1.462021482298634E-2</v>
      </c>
    </row>
    <row r="164" spans="1:30" x14ac:dyDescent="0.3">
      <c r="A164">
        <v>26</v>
      </c>
      <c r="B164" t="s">
        <v>160</v>
      </c>
      <c r="C164" t="s">
        <v>161</v>
      </c>
      <c r="D164" s="183">
        <v>-5.9035459423544753E-2</v>
      </c>
      <c r="E164" s="183">
        <v>-8.2364157855156606E-2</v>
      </c>
      <c r="F164" s="183">
        <v>-2.6891358268502471E-2</v>
      </c>
      <c r="G164" s="194">
        <v>4.3885365657154243E-3</v>
      </c>
      <c r="H164" s="183">
        <v>9.5638833671573466E-3</v>
      </c>
      <c r="I164" s="183">
        <v>-3.4688579977927431E-2</v>
      </c>
      <c r="J164" s="183">
        <v>3.427193924458255E-2</v>
      </c>
      <c r="K164" s="183">
        <v>-9.8761908134850862E-2</v>
      </c>
      <c r="L164" s="183">
        <v>-4.3469057767816587E-2</v>
      </c>
      <c r="M164" s="183">
        <v>-3.7817039701735861E-2</v>
      </c>
      <c r="N164" s="183">
        <v>-4.5140887223666777E-2</v>
      </c>
      <c r="O164" s="183">
        <v>-5.3996008743035777E-2</v>
      </c>
      <c r="P164" s="183">
        <v>8.4018816700553133E-3</v>
      </c>
      <c r="Q164" s="183">
        <v>-4.3393283136000431E-2</v>
      </c>
      <c r="R164" s="183">
        <v>-1.8317447806950691E-2</v>
      </c>
      <c r="S164" s="183">
        <v>1.027399341692505E-2</v>
      </c>
      <c r="T164" s="183">
        <v>-6.4601638409077206E-2</v>
      </c>
      <c r="U164" s="183">
        <v>-1.4461206702181239E-2</v>
      </c>
      <c r="V164" s="183">
        <v>-3.6281390308964163E-2</v>
      </c>
      <c r="W164" s="183">
        <v>-2.8452328165493271E-2</v>
      </c>
      <c r="X164" s="183">
        <v>-7.0226111904770433E-2</v>
      </c>
      <c r="Y164" s="183">
        <v>-2.5130760538106631E-2</v>
      </c>
      <c r="Z164" s="183">
        <v>-1.122960216025343E-2</v>
      </c>
      <c r="AA164" s="183">
        <v>-2.67249486765791E-2</v>
      </c>
      <c r="AB164" s="183">
        <v>-4.9929481052400547E-2</v>
      </c>
      <c r="AC164" s="183">
        <v>1.14357205005409</v>
      </c>
      <c r="AD164" s="183">
        <v>3.5759744804733637E-2</v>
      </c>
    </row>
    <row r="165" spans="1:30" x14ac:dyDescent="0.3">
      <c r="A165">
        <v>27</v>
      </c>
      <c r="B165" t="s">
        <v>162</v>
      </c>
      <c r="C165" t="s">
        <v>163</v>
      </c>
      <c r="D165" s="183">
        <v>-0.117079522908298</v>
      </c>
      <c r="E165" s="183">
        <v>-1.444566621272252E-2</v>
      </c>
      <c r="F165" s="183">
        <v>3.5904258944977653E-2</v>
      </c>
      <c r="G165" s="183">
        <v>5.7782469215024862E-3</v>
      </c>
      <c r="H165" s="194">
        <v>-6.7375357696112442E-2</v>
      </c>
      <c r="I165" s="183">
        <v>-6.6997615881736652E-2</v>
      </c>
      <c r="J165" s="183">
        <v>-3.4647938856433941E-2</v>
      </c>
      <c r="K165" s="183">
        <v>-5.3995879532009239E-2</v>
      </c>
      <c r="L165" s="183">
        <v>-4.8037146132410287E-2</v>
      </c>
      <c r="M165" s="183">
        <v>-1.6206345512452969E-2</v>
      </c>
      <c r="N165" s="183">
        <v>-0.1195697392992472</v>
      </c>
      <c r="O165" s="183">
        <v>-1.853642792835521E-2</v>
      </c>
      <c r="P165" s="183">
        <v>-5.1643658675099229E-2</v>
      </c>
      <c r="Q165" s="183">
        <v>-2.0248437762393441E-2</v>
      </c>
      <c r="R165" s="183">
        <v>-9.7242065909610396E-3</v>
      </c>
      <c r="S165" s="183">
        <v>-2.968820219305322E-2</v>
      </c>
      <c r="T165" s="183">
        <v>-4.8910707618929822E-2</v>
      </c>
      <c r="U165" s="183">
        <v>-4.952742743944194E-3</v>
      </c>
      <c r="V165" s="183">
        <v>6.0872500611239616E-3</v>
      </c>
      <c r="W165" s="183">
        <v>-1.6826898694271761E-2</v>
      </c>
      <c r="X165" s="183">
        <v>7.6356991096682737E-3</v>
      </c>
      <c r="Y165" s="183">
        <v>-2.366152261795185E-2</v>
      </c>
      <c r="Z165" s="183">
        <v>-1.4038092489929771E-2</v>
      </c>
      <c r="AA165" s="183">
        <v>-3.8111631231561617E-2</v>
      </c>
      <c r="AB165" s="183">
        <v>-1.462021482298622E-2</v>
      </c>
      <c r="AC165" s="183">
        <v>3.5759744804733727E-2</v>
      </c>
      <c r="AD165" s="183">
        <v>1.151113215943008</v>
      </c>
    </row>
    <row r="166" spans="1:30" x14ac:dyDescent="0.3">
      <c r="I166" s="131"/>
      <c r="O166" s="131"/>
    </row>
    <row r="167" spans="1:30" ht="15" customHeight="1" x14ac:dyDescent="0.3">
      <c r="A167" t="s">
        <v>182</v>
      </c>
      <c r="P167" s="131"/>
      <c r="X167" s="122"/>
      <c r="Y167" s="122"/>
      <c r="Z167" s="122"/>
      <c r="AA167" s="122"/>
      <c r="AB167" s="122"/>
      <c r="AC167" s="122"/>
      <c r="AD167" s="122"/>
    </row>
    <row r="168" spans="1:30" ht="15" customHeight="1" x14ac:dyDescent="0.3">
      <c r="S168" s="131"/>
      <c r="X168" s="122"/>
      <c r="Y168" s="122"/>
      <c r="Z168" s="122"/>
      <c r="AA168" s="122"/>
      <c r="AB168" s="122"/>
      <c r="AC168" s="122"/>
      <c r="AD168" s="122"/>
    </row>
    <row r="169" spans="1:30" ht="15" customHeight="1" x14ac:dyDescent="0.3">
      <c r="A169" t="s">
        <v>107</v>
      </c>
      <c r="B169" t="s">
        <v>176</v>
      </c>
      <c r="C169" t="s">
        <v>109</v>
      </c>
      <c r="D169" t="s">
        <v>3</v>
      </c>
      <c r="E169" s="131" t="s">
        <v>5</v>
      </c>
      <c r="F169" t="s">
        <v>6</v>
      </c>
      <c r="G169" t="s">
        <v>7</v>
      </c>
      <c r="H169" t="s">
        <v>8</v>
      </c>
      <c r="I169" t="s">
        <v>10</v>
      </c>
      <c r="J169" t="s">
        <v>11</v>
      </c>
      <c r="K169" t="s">
        <v>12</v>
      </c>
      <c r="L169" t="s">
        <v>13</v>
      </c>
      <c r="M169" t="s">
        <v>14</v>
      </c>
      <c r="N169" t="s">
        <v>15</v>
      </c>
      <c r="O169" t="s">
        <v>16</v>
      </c>
      <c r="P169" t="s">
        <v>17</v>
      </c>
      <c r="Q169" t="s">
        <v>18</v>
      </c>
      <c r="R169" t="s">
        <v>19</v>
      </c>
      <c r="S169" t="s">
        <v>20</v>
      </c>
      <c r="T169" s="131" t="s">
        <v>21</v>
      </c>
      <c r="U169" t="s">
        <v>22</v>
      </c>
      <c r="V169" t="s">
        <v>23</v>
      </c>
      <c r="W169" t="s">
        <v>24</v>
      </c>
      <c r="X169" s="122" t="s">
        <v>25</v>
      </c>
      <c r="Y169" s="122" t="s">
        <v>26</v>
      </c>
      <c r="Z169" s="122" t="s">
        <v>27</v>
      </c>
      <c r="AA169" s="122" t="s">
        <v>28</v>
      </c>
      <c r="AB169" s="122" t="s">
        <v>29</v>
      </c>
      <c r="AC169" s="122" t="s">
        <v>30</v>
      </c>
      <c r="AD169" s="122" t="s">
        <v>31</v>
      </c>
    </row>
    <row r="170" spans="1:30" ht="15" customHeight="1" x14ac:dyDescent="0.3">
      <c r="A170">
        <v>1</v>
      </c>
      <c r="B170" t="s">
        <v>110</v>
      </c>
      <c r="C170" t="s">
        <v>111</v>
      </c>
      <c r="D170" s="183">
        <v>7.1102987039725747</v>
      </c>
      <c r="E170" s="183">
        <v>0.43313003672456218</v>
      </c>
      <c r="F170" s="194">
        <v>0.61846262029199606</v>
      </c>
      <c r="G170" s="183">
        <v>-0.95070898133090553</v>
      </c>
      <c r="H170" s="183">
        <v>0.23088214379481911</v>
      </c>
      <c r="I170" s="183">
        <v>-0.24877644146480171</v>
      </c>
      <c r="J170" s="183">
        <v>-1.222079992579979</v>
      </c>
      <c r="K170" s="183">
        <v>-0.49885821205787362</v>
      </c>
      <c r="L170" s="183">
        <v>0.39821182774315361</v>
      </c>
      <c r="M170" s="183">
        <v>0.18874618008120439</v>
      </c>
      <c r="N170" s="183">
        <v>-0.25168544596256592</v>
      </c>
      <c r="O170" s="183">
        <v>-0.19902120469453571</v>
      </c>
      <c r="P170" s="183">
        <v>-0.19042398131111871</v>
      </c>
      <c r="Q170" s="183">
        <v>5.1765205449724377E-2</v>
      </c>
      <c r="R170" s="183">
        <v>-0.18039161502972201</v>
      </c>
      <c r="S170" s="183">
        <v>0.14073123468472071</v>
      </c>
      <c r="T170" s="183">
        <v>0.20113647521799119</v>
      </c>
      <c r="U170" s="194">
        <v>-0.96510368206962827</v>
      </c>
      <c r="V170" s="183">
        <v>0.2053686432818071</v>
      </c>
      <c r="W170" s="183">
        <v>-0.65669490478075099</v>
      </c>
      <c r="X170" s="188">
        <v>1.119841440622607E-2</v>
      </c>
      <c r="Y170" s="188">
        <v>-0.1860247623872486</v>
      </c>
      <c r="Z170" s="188">
        <v>-1.073262611032604</v>
      </c>
      <c r="AA170" s="188">
        <v>0.2017693949538992</v>
      </c>
      <c r="AB170" s="188">
        <v>-0.29653947395527369</v>
      </c>
      <c r="AC170" s="188">
        <v>-0.35776953421404167</v>
      </c>
      <c r="AD170" s="188">
        <v>-0.71657576380528687</v>
      </c>
    </row>
    <row r="171" spans="1:30" ht="15" customHeight="1" x14ac:dyDescent="0.3">
      <c r="A171">
        <v>2</v>
      </c>
      <c r="B171" t="s">
        <v>112</v>
      </c>
      <c r="C171" t="s">
        <v>113</v>
      </c>
      <c r="D171" s="183">
        <v>0.31493005803066132</v>
      </c>
      <c r="E171" s="183">
        <v>6.7537521830494596</v>
      </c>
      <c r="F171" s="183">
        <v>-0.67913503293822919</v>
      </c>
      <c r="G171" s="194">
        <v>-0.37156641155101788</v>
      </c>
      <c r="H171" s="183">
        <v>-0.14057805913478419</v>
      </c>
      <c r="I171" s="183">
        <v>-0.76467927450568129</v>
      </c>
      <c r="J171" s="183">
        <v>-0.25297203360247073</v>
      </c>
      <c r="K171" s="183">
        <v>-5.6194671281232567E-2</v>
      </c>
      <c r="L171" s="183">
        <v>-8.4376825532435001E-2</v>
      </c>
      <c r="M171" s="183">
        <v>-0.1193713283455803</v>
      </c>
      <c r="N171" s="183">
        <v>-5.9581438885634767E-2</v>
      </c>
      <c r="O171" s="183">
        <v>-0.49739397659289181</v>
      </c>
      <c r="P171" s="183">
        <v>-0.20692809566617429</v>
      </c>
      <c r="Q171" s="183">
        <v>-0.42371258749908358</v>
      </c>
      <c r="R171" s="183">
        <v>-0.44011678601071008</v>
      </c>
      <c r="S171" s="183">
        <v>-0.24120078801618039</v>
      </c>
      <c r="T171" s="183">
        <v>-3.0133121763991081E-2</v>
      </c>
      <c r="U171" s="183">
        <v>-7.1256020123498867E-2</v>
      </c>
      <c r="V171" s="194">
        <v>-0.2017957076090818</v>
      </c>
      <c r="W171" s="183">
        <v>-0.1056325669515054</v>
      </c>
      <c r="X171" s="188">
        <v>-9.4309595236771501E-2</v>
      </c>
      <c r="Y171" s="188">
        <v>-0.20858573288107901</v>
      </c>
      <c r="Z171" s="188">
        <v>0.10607786872904409</v>
      </c>
      <c r="AA171" s="188">
        <v>4.1911426803042133E-3</v>
      </c>
      <c r="AB171" s="188">
        <v>-0.15493405785706671</v>
      </c>
      <c r="AC171" s="188">
        <v>-0.49914723590714971</v>
      </c>
      <c r="AD171" s="188">
        <v>-8.8413533322691987E-2</v>
      </c>
    </row>
    <row r="172" spans="1:30" ht="15" customHeight="1" x14ac:dyDescent="0.3">
      <c r="A172">
        <v>3</v>
      </c>
      <c r="B172" t="s">
        <v>114</v>
      </c>
      <c r="C172" t="s">
        <v>115</v>
      </c>
      <c r="D172" s="183">
        <v>0.39476309654275682</v>
      </c>
      <c r="E172" s="183">
        <v>-0.59618825187732616</v>
      </c>
      <c r="F172" s="183">
        <v>7.7337432127965773</v>
      </c>
      <c r="G172" s="183">
        <v>-0.24750082168702331</v>
      </c>
      <c r="H172" s="194">
        <v>-0.52742101273934194</v>
      </c>
      <c r="I172" s="183">
        <v>-0.36014402210756641</v>
      </c>
      <c r="J172" s="183">
        <v>0.1015403804150613</v>
      </c>
      <c r="K172" s="183">
        <v>-8.2219531486353178E-2</v>
      </c>
      <c r="L172" s="183">
        <v>-0.31670489625238252</v>
      </c>
      <c r="M172" s="183">
        <v>-0.48374740372017472</v>
      </c>
      <c r="N172" s="183">
        <v>-0.21719702283114911</v>
      </c>
      <c r="O172" s="183">
        <v>-6.6952731640692084E-2</v>
      </c>
      <c r="P172" s="183">
        <v>-0.46135134299111441</v>
      </c>
      <c r="Q172" s="183">
        <v>-0.23559206416186201</v>
      </c>
      <c r="R172" s="183">
        <v>-0.24492541539720381</v>
      </c>
      <c r="S172" s="183">
        <v>0.12628223241461781</v>
      </c>
      <c r="T172" s="183">
        <v>-9.8166619572979799E-2</v>
      </c>
      <c r="U172" s="183">
        <v>-0.264349583990104</v>
      </c>
      <c r="V172" s="183">
        <v>-0.28774579823702151</v>
      </c>
      <c r="W172" s="194">
        <v>-0.2671625561431713</v>
      </c>
      <c r="X172" s="188">
        <v>1.401711754625911E-2</v>
      </c>
      <c r="Y172" s="188">
        <v>-0.93790236508190927</v>
      </c>
      <c r="Z172" s="188">
        <v>9.7839896612117574E-2</v>
      </c>
      <c r="AA172" s="188">
        <v>-0.58405031220703052</v>
      </c>
      <c r="AB172" s="188">
        <v>-6.7437506819367346E-2</v>
      </c>
      <c r="AC172" s="188">
        <v>-0.16296830440635021</v>
      </c>
      <c r="AD172" s="188">
        <v>0.2197491169955621</v>
      </c>
    </row>
    <row r="173" spans="1:30" ht="15" customHeight="1" x14ac:dyDescent="0.3">
      <c r="A173">
        <v>4</v>
      </c>
      <c r="B173" t="s">
        <v>116</v>
      </c>
      <c r="C173" t="s">
        <v>117</v>
      </c>
      <c r="D173" s="183">
        <v>-1.037590364457847</v>
      </c>
      <c r="E173" s="183">
        <v>-0.55772353400553409</v>
      </c>
      <c r="F173" s="183">
        <v>-0.42318658060420999</v>
      </c>
      <c r="G173" s="183">
        <v>6.3785513564533742</v>
      </c>
      <c r="H173" s="183">
        <v>-0.42548055594500761</v>
      </c>
      <c r="I173" s="194">
        <v>-0.1191724874471584</v>
      </c>
      <c r="J173" s="183">
        <v>-0.87305891612930198</v>
      </c>
      <c r="K173" s="183">
        <v>-0.83010822643196402</v>
      </c>
      <c r="L173" s="183">
        <v>-2.83398700135413E-2</v>
      </c>
      <c r="M173" s="183">
        <v>-0.56335502645296365</v>
      </c>
      <c r="N173" s="183">
        <v>-0.44926202982751168</v>
      </c>
      <c r="O173" s="183">
        <v>0.44663304548414873</v>
      </c>
      <c r="P173" s="183">
        <v>0.26164163390956119</v>
      </c>
      <c r="Q173" s="194">
        <v>-0.1919751301025239</v>
      </c>
      <c r="R173" s="183">
        <v>-1.6419397997067049E-2</v>
      </c>
      <c r="S173" s="183">
        <v>-9.2446192711674563E-2</v>
      </c>
      <c r="T173" s="183">
        <v>3.4415874038070969E-2</v>
      </c>
      <c r="U173" s="183">
        <v>-0.74223722706043083</v>
      </c>
      <c r="V173" s="183">
        <v>-0.1251216682507926</v>
      </c>
      <c r="W173" s="183">
        <v>-0.20184869098961181</v>
      </c>
      <c r="X173" s="188">
        <v>-0.15525875151268001</v>
      </c>
      <c r="Y173" s="188">
        <v>-0.12684825591129151</v>
      </c>
      <c r="Z173" s="188">
        <v>-0.88512836433229725</v>
      </c>
      <c r="AA173" s="188">
        <v>-4.9921177763206214E-3</v>
      </c>
      <c r="AB173" s="188">
        <v>0.19492634117498009</v>
      </c>
      <c r="AC173" s="188">
        <v>2.6595620637638168E-2</v>
      </c>
      <c r="AD173" s="188">
        <v>3.5365293591725078E-2</v>
      </c>
    </row>
    <row r="174" spans="1:30" ht="15" customHeight="1" x14ac:dyDescent="0.3">
      <c r="A174">
        <v>5</v>
      </c>
      <c r="B174" t="s">
        <v>118</v>
      </c>
      <c r="C174" t="s">
        <v>119</v>
      </c>
      <c r="D174" s="183">
        <v>0.17349654312175711</v>
      </c>
      <c r="E174" s="183">
        <v>-0.1452854797297205</v>
      </c>
      <c r="F174" s="183">
        <v>-0.62091881104041424</v>
      </c>
      <c r="G174" s="183">
        <v>-0.29295564061447837</v>
      </c>
      <c r="H174" s="183">
        <v>6.5780414002721654</v>
      </c>
      <c r="I174" s="183">
        <v>-0.75637312694430481</v>
      </c>
      <c r="J174" s="183">
        <v>-0.18574544310574909</v>
      </c>
      <c r="K174" s="183">
        <v>-0.33274674566650869</v>
      </c>
      <c r="L174" s="183">
        <v>-6.2465637403882959E-2</v>
      </c>
      <c r="M174" s="183">
        <v>1.595901742229737E-2</v>
      </c>
      <c r="N174" s="183">
        <v>-0.40046151991569351</v>
      </c>
      <c r="O174" s="183">
        <v>-0.44877386748349279</v>
      </c>
      <c r="P174" s="183">
        <v>-6.1306679166886847E-2</v>
      </c>
      <c r="Q174" s="183">
        <v>-0.61709178848118662</v>
      </c>
      <c r="R174" s="194">
        <v>-0.1929851438447312</v>
      </c>
      <c r="S174" s="183">
        <v>-0.25419154174767811</v>
      </c>
      <c r="T174" s="183">
        <v>-3.3184787422902477E-2</v>
      </c>
      <c r="U174" s="183">
        <v>4.9546135479782087E-2</v>
      </c>
      <c r="V174" s="183">
        <v>0.23376353062206989</v>
      </c>
      <c r="W174" s="183">
        <v>-1.5078650733365199E-2</v>
      </c>
      <c r="X174" s="188">
        <v>-2.9071735671774741E-2</v>
      </c>
      <c r="Y174" s="188">
        <v>-6.0087955924566658E-2</v>
      </c>
      <c r="Z174" s="188">
        <v>-0.28334730678124631</v>
      </c>
      <c r="AA174" s="188">
        <v>-2.5331438262953879E-2</v>
      </c>
      <c r="AB174" s="188">
        <v>-0.1623490659902804</v>
      </c>
      <c r="AC174" s="188">
        <v>5.7959506556844079E-2</v>
      </c>
      <c r="AD174" s="188">
        <v>-0.41236543507749818</v>
      </c>
    </row>
    <row r="175" spans="1:30" ht="15" customHeight="1" x14ac:dyDescent="0.3">
      <c r="A175" s="122">
        <v>6</v>
      </c>
      <c r="B175" s="122" t="s">
        <v>120</v>
      </c>
      <c r="C175" s="122" t="s">
        <v>121</v>
      </c>
      <c r="D175" s="188">
        <v>-0.1808860446152695</v>
      </c>
      <c r="E175" s="188">
        <v>-0.76467927450567796</v>
      </c>
      <c r="F175" s="188">
        <v>-0.41025032201884859</v>
      </c>
      <c r="G175" s="188">
        <v>-7.9395060126530137E-2</v>
      </c>
      <c r="H175" s="188">
        <v>-0.73186574711626828</v>
      </c>
      <c r="I175" s="188">
        <v>6.7689443975233621</v>
      </c>
      <c r="J175" s="188">
        <v>-0.12173344175171739</v>
      </c>
      <c r="K175" s="188">
        <v>0.15051393278668859</v>
      </c>
      <c r="L175" s="188">
        <v>-0.49159797166810931</v>
      </c>
      <c r="M175" s="188">
        <v>-0.17701924170870739</v>
      </c>
      <c r="N175" s="188">
        <v>0.10148539329152891</v>
      </c>
      <c r="O175" s="188">
        <v>0.23806796161089869</v>
      </c>
      <c r="P175" s="188">
        <v>0.27367008468493159</v>
      </c>
      <c r="Q175" s="188">
        <v>-0.37515760278487331</v>
      </c>
      <c r="R175" s="188">
        <v>-0.28877870747496859</v>
      </c>
      <c r="S175" s="188">
        <v>-0.2928595500701458</v>
      </c>
      <c r="T175" s="188">
        <v>-0.4000760662412487</v>
      </c>
      <c r="U175" s="188">
        <v>-0.21108699570725589</v>
      </c>
      <c r="V175" s="188">
        <v>-8.0570423194116544E-2</v>
      </c>
      <c r="W175" s="188">
        <v>5.5584056969399817E-2</v>
      </c>
      <c r="X175" s="188">
        <v>-0.14760269785100921</v>
      </c>
      <c r="Y175" s="188">
        <v>-7.8665918427655204E-2</v>
      </c>
      <c r="Z175" s="188">
        <v>0.14039135697263039</v>
      </c>
      <c r="AA175" s="188">
        <v>-0.36219692807594023</v>
      </c>
      <c r="AB175" s="188">
        <v>-0.30341707398596701</v>
      </c>
      <c r="AC175" s="188">
        <v>-0.2102214029065351</v>
      </c>
      <c r="AD175" s="188">
        <v>-0.41005349681166181</v>
      </c>
    </row>
    <row r="176" spans="1:30" ht="15" customHeight="1" x14ac:dyDescent="0.3">
      <c r="A176" s="122">
        <v>7</v>
      </c>
      <c r="B176" s="122" t="s">
        <v>122</v>
      </c>
      <c r="C176" s="122" t="s">
        <v>123</v>
      </c>
      <c r="D176" s="188">
        <v>-1.302714870714708</v>
      </c>
      <c r="E176" s="188">
        <v>-0.37087404216670278</v>
      </c>
      <c r="F176" s="188">
        <v>0.16957640809919411</v>
      </c>
      <c r="G176" s="188">
        <v>-0.85273670148583069</v>
      </c>
      <c r="H176" s="188">
        <v>-0.26349199456230238</v>
      </c>
      <c r="I176" s="188">
        <v>-0.17846942591397949</v>
      </c>
      <c r="J176" s="188">
        <v>6.5372107203803713</v>
      </c>
      <c r="K176" s="188">
        <v>-0.70933299993448107</v>
      </c>
      <c r="L176" s="188">
        <v>2.0736594767766049E-2</v>
      </c>
      <c r="M176" s="188">
        <v>0.4943725367339159</v>
      </c>
      <c r="N176" s="188">
        <v>-0.38345169920818201</v>
      </c>
      <c r="O176" s="188">
        <v>0.15596308379822621</v>
      </c>
      <c r="P176" s="188">
        <v>-0.3436330899497147</v>
      </c>
      <c r="Q176" s="188">
        <v>-0.14385130911159449</v>
      </c>
      <c r="R176" s="188">
        <v>3.2964893047779241E-2</v>
      </c>
      <c r="S176" s="188">
        <v>7.9677047935863957E-2</v>
      </c>
      <c r="T176" s="188">
        <v>-0.19268264805570931</v>
      </c>
      <c r="U176" s="188">
        <v>-0.78567739888565546</v>
      </c>
      <c r="V176" s="188">
        <v>1.1564073671416699E-2</v>
      </c>
      <c r="W176" s="188">
        <v>-0.34026880009449062</v>
      </c>
      <c r="X176" s="188">
        <v>-0.1115167804937572</v>
      </c>
      <c r="Y176" s="188">
        <v>-0.19113110907678579</v>
      </c>
      <c r="Z176" s="188">
        <v>-0.94206578381177153</v>
      </c>
      <c r="AA176" s="188">
        <v>5.2152127718820947E-2</v>
      </c>
      <c r="AB176" s="188">
        <v>0.28997715296843202</v>
      </c>
      <c r="AC176" s="188">
        <v>0.2076964566698393</v>
      </c>
      <c r="AD176" s="188">
        <v>-0.2120599113627582</v>
      </c>
    </row>
    <row r="177" spans="1:30" ht="15" customHeight="1" x14ac:dyDescent="0.3">
      <c r="A177" s="122">
        <v>8</v>
      </c>
      <c r="B177" s="122" t="s">
        <v>124</v>
      </c>
      <c r="C177" s="122" t="s">
        <v>125</v>
      </c>
      <c r="D177" s="188">
        <v>-0.51734076315404853</v>
      </c>
      <c r="E177" s="188">
        <v>-8.0149145712099162E-2</v>
      </c>
      <c r="F177" s="188">
        <v>-0.1335830885321988</v>
      </c>
      <c r="G177" s="188">
        <v>-0.78878012299289879</v>
      </c>
      <c r="H177" s="188">
        <v>-0.45921166388677692</v>
      </c>
      <c r="I177" s="188">
        <v>0.21467450303692451</v>
      </c>
      <c r="J177" s="188">
        <v>-0.69008089119583493</v>
      </c>
      <c r="K177" s="188">
        <v>6.067079452264986</v>
      </c>
      <c r="L177" s="188">
        <v>0.13769208721598031</v>
      </c>
      <c r="M177" s="188">
        <v>-0.2501973213196354</v>
      </c>
      <c r="N177" s="188">
        <v>0.3117108790193987</v>
      </c>
      <c r="O177" s="188">
        <v>0.1009914680652005</v>
      </c>
      <c r="P177" s="188">
        <v>0.42410533679134321</v>
      </c>
      <c r="Q177" s="188">
        <v>-0.36306291064987922</v>
      </c>
      <c r="R177" s="188">
        <v>-0.18084883363177551</v>
      </c>
      <c r="S177" s="188">
        <v>-0.10163679857912369</v>
      </c>
      <c r="T177" s="188">
        <v>-0.26555341809281913</v>
      </c>
      <c r="U177" s="188">
        <v>-0.71415395037840124</v>
      </c>
      <c r="V177" s="188">
        <v>-8.2564511787050574E-3</v>
      </c>
      <c r="W177" s="188">
        <v>-0.58310891614384253</v>
      </c>
      <c r="X177" s="188">
        <v>-0.14155220322622841</v>
      </c>
      <c r="Y177" s="188">
        <v>7.2633600398384554E-2</v>
      </c>
      <c r="Z177" s="188">
        <v>-0.6449339158118228</v>
      </c>
      <c r="AA177" s="188">
        <v>-0.28262669942072732</v>
      </c>
      <c r="AB177" s="188">
        <v>-0.14532756869146349</v>
      </c>
      <c r="AC177" s="188">
        <v>-0.59852167183107041</v>
      </c>
      <c r="AD177" s="188">
        <v>-0.33047741959363031</v>
      </c>
    </row>
    <row r="178" spans="1:30" ht="15" customHeight="1" x14ac:dyDescent="0.3">
      <c r="A178" s="122">
        <v>9</v>
      </c>
      <c r="B178" s="122" t="s">
        <v>126</v>
      </c>
      <c r="C178" s="122" t="s">
        <v>127</v>
      </c>
      <c r="D178" s="188">
        <v>0.22683544710204009</v>
      </c>
      <c r="E178" s="188">
        <v>-6.6103451720606707E-2</v>
      </c>
      <c r="F178" s="188">
        <v>-0.28263663460144323</v>
      </c>
      <c r="G178" s="188">
        <v>-1.479163859242587E-2</v>
      </c>
      <c r="H178" s="188">
        <v>-4.7351905763575237E-2</v>
      </c>
      <c r="I178" s="188">
        <v>-0.38513327067062619</v>
      </c>
      <c r="J178" s="188">
        <v>1.108114073464281E-2</v>
      </c>
      <c r="K178" s="188">
        <v>7.5632102960007649E-2</v>
      </c>
      <c r="L178" s="188">
        <v>8.0601147481635831</v>
      </c>
      <c r="M178" s="188">
        <v>-0.60093756794007713</v>
      </c>
      <c r="N178" s="188">
        <v>-8.5547742435301333E-2</v>
      </c>
      <c r="O178" s="188">
        <v>-0.20984475619653839</v>
      </c>
      <c r="P178" s="188">
        <v>-9.6922414283070274E-2</v>
      </c>
      <c r="Q178" s="188">
        <v>-0.45072099188887133</v>
      </c>
      <c r="R178" s="188">
        <v>1.6886279009483869E-2</v>
      </c>
      <c r="S178" s="188">
        <v>2.1098849347983679E-3</v>
      </c>
      <c r="T178" s="188">
        <v>-0.1961955153422304</v>
      </c>
      <c r="U178" s="188">
        <v>-0.1332520078462244</v>
      </c>
      <c r="V178" s="188">
        <v>-0.47228078490059688</v>
      </c>
      <c r="W178" s="188">
        <v>-0.18029794578985661</v>
      </c>
      <c r="X178" s="188">
        <v>-9.0836248432911243E-2</v>
      </c>
      <c r="Y178" s="188">
        <v>-0.2081621328284825</v>
      </c>
      <c r="Z178" s="188">
        <v>-7.9111847600777579E-2</v>
      </c>
      <c r="AA178" s="188">
        <v>-0.1603245224789123</v>
      </c>
      <c r="AB178" s="188">
        <v>-0.27278070091214229</v>
      </c>
      <c r="AC178" s="188">
        <v>-0.26343327725696308</v>
      </c>
      <c r="AD178" s="188">
        <v>-0.29400747309005648</v>
      </c>
    </row>
    <row r="179" spans="1:30" ht="15" customHeight="1" x14ac:dyDescent="0.3">
      <c r="A179" s="122">
        <v>10</v>
      </c>
      <c r="B179" s="122" t="s">
        <v>128</v>
      </c>
      <c r="C179" t="s">
        <v>129</v>
      </c>
      <c r="D179" s="188">
        <v>0.11395766587529201</v>
      </c>
      <c r="E179" s="188">
        <v>-9.912189357760734E-2</v>
      </c>
      <c r="F179" s="188">
        <v>-0.45757356948481281</v>
      </c>
      <c r="G179" s="188">
        <v>-0.3116514950096797</v>
      </c>
      <c r="H179" s="188">
        <v>1.282245086199673E-2</v>
      </c>
      <c r="I179" s="188">
        <v>-0.14699076135805719</v>
      </c>
      <c r="J179" s="188">
        <v>0.28000770018699461</v>
      </c>
      <c r="K179" s="188">
        <v>-0.1456627337731044</v>
      </c>
      <c r="L179" s="188">
        <v>-0.63693917769199204</v>
      </c>
      <c r="M179" s="188">
        <v>8.0937682763617715</v>
      </c>
      <c r="N179" s="188">
        <v>-0.28827284340529702</v>
      </c>
      <c r="O179" s="188">
        <v>-0.54065119296512598</v>
      </c>
      <c r="P179" s="188">
        <v>-0.48338317318781743</v>
      </c>
      <c r="Q179" s="188">
        <v>-0.48211999378646092</v>
      </c>
      <c r="R179" s="188">
        <v>-0.59741835668027021</v>
      </c>
      <c r="S179" s="188">
        <v>-0.17221935663402821</v>
      </c>
      <c r="T179" s="188">
        <v>-0.1422748364760143</v>
      </c>
      <c r="U179" s="188">
        <v>0.19424657687033531</v>
      </c>
      <c r="V179" s="188">
        <v>-0.49236183642284859</v>
      </c>
      <c r="W179" s="188">
        <v>9.6564348507625172E-2</v>
      </c>
      <c r="X179" s="188">
        <v>-0.12608911609860521</v>
      </c>
      <c r="Y179" s="188">
        <v>-0.30092482266537718</v>
      </c>
      <c r="Z179" s="188">
        <v>-0.25640712132665328</v>
      </c>
      <c r="AA179" s="188">
        <v>-0.43197539177490712</v>
      </c>
      <c r="AB179" s="188">
        <v>-0.34189771527866669</v>
      </c>
      <c r="AC179" s="188">
        <v>-0.2291806451843722</v>
      </c>
      <c r="AD179" s="188">
        <v>-9.9189628772009916E-2</v>
      </c>
    </row>
    <row r="180" spans="1:30" ht="15" customHeight="1" x14ac:dyDescent="0.3">
      <c r="A180" s="122">
        <v>11</v>
      </c>
      <c r="B180" s="122" t="s">
        <v>130</v>
      </c>
      <c r="C180" s="122" t="s">
        <v>131</v>
      </c>
      <c r="D180" s="188">
        <v>-0.1945522024296171</v>
      </c>
      <c r="E180" s="188">
        <v>-6.3342211957176639E-2</v>
      </c>
      <c r="F180" s="188">
        <v>-0.2630321447158942</v>
      </c>
      <c r="G180" s="188">
        <v>-0.31819945437469538</v>
      </c>
      <c r="H180" s="188">
        <v>-0.41194416970927422</v>
      </c>
      <c r="I180" s="188">
        <v>0.1078911387952312</v>
      </c>
      <c r="J180" s="188">
        <v>-0.27806029483790839</v>
      </c>
      <c r="K180" s="188">
        <v>0.2323434507951285</v>
      </c>
      <c r="L180" s="188">
        <v>-0.1160886700254285</v>
      </c>
      <c r="M180" s="188">
        <v>-0.36907651105196548</v>
      </c>
      <c r="N180" s="188">
        <v>6.5109840245865707</v>
      </c>
      <c r="O180" s="188">
        <v>-7.3917851591623729E-2</v>
      </c>
      <c r="P180" s="188">
        <v>-0.62051677708861275</v>
      </c>
      <c r="Q180" s="188">
        <v>-0.1650282233013203</v>
      </c>
      <c r="R180" s="188">
        <v>-0.43082753499553561</v>
      </c>
      <c r="S180" s="188">
        <v>-8.4656292994170906E-2</v>
      </c>
      <c r="T180" s="188">
        <v>-8.7320109944203819E-2</v>
      </c>
      <c r="U180" s="188">
        <v>-0.47847638591150171</v>
      </c>
      <c r="V180" s="188">
        <v>-0.55156770230257568</v>
      </c>
      <c r="W180" s="188">
        <v>0.52681441504789928</v>
      </c>
      <c r="X180" s="188">
        <v>9.9921080521157751E-2</v>
      </c>
      <c r="Y180" s="188">
        <v>-0.31354048657858569</v>
      </c>
      <c r="Z180" s="188">
        <v>-0.2805103401338791</v>
      </c>
      <c r="AA180" s="188">
        <v>-0.21977938999356189</v>
      </c>
      <c r="AB180" s="188">
        <v>-0.35106070110410709</v>
      </c>
      <c r="AC180" s="188">
        <v>-0.27356497863686757</v>
      </c>
      <c r="AD180" s="188">
        <v>-0.73181693209892906</v>
      </c>
    </row>
    <row r="181" spans="1:30" ht="15" customHeight="1" x14ac:dyDescent="0.3">
      <c r="A181">
        <v>12</v>
      </c>
      <c r="B181" t="s">
        <v>132</v>
      </c>
      <c r="C181" t="s">
        <v>133</v>
      </c>
      <c r="D181" s="183">
        <v>-0.10435231309299189</v>
      </c>
      <c r="E181" s="183">
        <v>-0.3586802304829636</v>
      </c>
      <c r="F181" s="183">
        <v>-5.4998132038300812E-2</v>
      </c>
      <c r="G181" s="183">
        <v>0.21457308664279229</v>
      </c>
      <c r="H181" s="183">
        <v>-0.31313369976097499</v>
      </c>
      <c r="I181" s="183">
        <v>0.17167532250013109</v>
      </c>
      <c r="J181" s="183">
        <v>7.6714031495258517E-2</v>
      </c>
      <c r="K181" s="183">
        <v>5.1060826615831063E-2</v>
      </c>
      <c r="L181" s="183">
        <v>-0.19315416800969651</v>
      </c>
      <c r="M181" s="183">
        <v>-0.46952045863755049</v>
      </c>
      <c r="N181" s="183">
        <v>-5.0138809308668222E-2</v>
      </c>
      <c r="O181" s="183">
        <v>8.9435191309914064</v>
      </c>
      <c r="P181" s="183">
        <v>-0.49021702747440782</v>
      </c>
      <c r="Q181" s="183">
        <v>-0.11128810650098001</v>
      </c>
      <c r="R181" s="183">
        <v>-0.31039525236180582</v>
      </c>
      <c r="S181" s="183">
        <v>-0.26798601516814469</v>
      </c>
      <c r="T181" s="183">
        <v>-0.28070085714762433</v>
      </c>
      <c r="U181" s="183">
        <v>-0.19386014496228179</v>
      </c>
      <c r="V181" s="183">
        <v>-0.47157451985230331</v>
      </c>
      <c r="W181" s="183">
        <v>3.5199951812155288E-2</v>
      </c>
      <c r="X181" s="188">
        <v>5.2665678578552221E-2</v>
      </c>
      <c r="Y181" s="188">
        <v>-0.89319414296540756</v>
      </c>
      <c r="Z181" s="188">
        <v>-3.8665059754747107E-2</v>
      </c>
      <c r="AA181" s="188">
        <v>-0.2300429569036902</v>
      </c>
      <c r="AB181" s="188">
        <v>-0.53606293099819613</v>
      </c>
      <c r="AC181" s="188">
        <v>-0.32722921251136239</v>
      </c>
      <c r="AD181" s="188">
        <v>-0.11345071000491209</v>
      </c>
    </row>
    <row r="182" spans="1:30" ht="15" customHeight="1" x14ac:dyDescent="0.3">
      <c r="A182">
        <v>13</v>
      </c>
      <c r="B182" t="s">
        <v>134</v>
      </c>
      <c r="C182" t="s">
        <v>135</v>
      </c>
      <c r="D182" s="191">
        <v>-8.4488093913134929E-2</v>
      </c>
      <c r="E182" s="191">
        <v>-0.12626922689558631</v>
      </c>
      <c r="F182" s="191">
        <v>-0.32068789706928391</v>
      </c>
      <c r="G182" s="191">
        <v>0.1063658930062871</v>
      </c>
      <c r="H182" s="191">
        <v>-3.6197717287153153E-2</v>
      </c>
      <c r="I182" s="191">
        <v>0.16699573784974889</v>
      </c>
      <c r="J182" s="191">
        <v>-0.14302735654904811</v>
      </c>
      <c r="K182" s="191">
        <v>0.1814462660367972</v>
      </c>
      <c r="L182" s="191">
        <v>-7.5492069064960046E-2</v>
      </c>
      <c r="M182" s="191">
        <v>-0.35522213925833851</v>
      </c>
      <c r="N182" s="191">
        <v>-0.35616345086186357</v>
      </c>
      <c r="O182" s="191">
        <v>-0.41481985386473852</v>
      </c>
      <c r="P182" s="191">
        <v>10.21944865539864</v>
      </c>
      <c r="Q182" s="191">
        <v>-0.1126115395624509</v>
      </c>
      <c r="R182" s="191">
        <v>-0.10117565403473421</v>
      </c>
      <c r="S182" s="191">
        <v>-0.77811392407652691</v>
      </c>
      <c r="T182" s="191">
        <v>-0.34839488082005332</v>
      </c>
      <c r="U182" s="191">
        <v>2.7645853245000251E-2</v>
      </c>
      <c r="V182" s="191">
        <v>-3.21685355992389E-2</v>
      </c>
      <c r="W182" s="191">
        <v>-9.8407414259978773E-2</v>
      </c>
      <c r="X182" s="188">
        <v>-3.4884850952458593E-2</v>
      </c>
      <c r="Y182" s="188">
        <v>-0.32993231881453577</v>
      </c>
      <c r="Z182" s="188">
        <v>0.12488318830013501</v>
      </c>
      <c r="AA182" s="188">
        <v>-0.44871785084729832</v>
      </c>
      <c r="AB182" s="188">
        <v>-8.1990425129946171E-2</v>
      </c>
      <c r="AC182" s="188">
        <v>5.0917487912667543E-2</v>
      </c>
      <c r="AD182" s="188">
        <v>-0.31608084182059809</v>
      </c>
    </row>
    <row r="183" spans="1:30" ht="15" customHeight="1" x14ac:dyDescent="0.3">
      <c r="A183">
        <v>14</v>
      </c>
      <c r="B183" t="s">
        <v>136</v>
      </c>
      <c r="C183" t="s">
        <v>137</v>
      </c>
      <c r="D183" s="191">
        <v>3.2917439599428069E-2</v>
      </c>
      <c r="E183" s="191">
        <v>-0.37056437096814698</v>
      </c>
      <c r="F183" s="191">
        <v>-0.23470679973685449</v>
      </c>
      <c r="G183" s="191">
        <v>-0.11185483012611271</v>
      </c>
      <c r="H183" s="191">
        <v>-0.52220063189828003</v>
      </c>
      <c r="I183" s="191">
        <v>-0.3280998610648887</v>
      </c>
      <c r="J183" s="191">
        <v>-8.581282258877633E-2</v>
      </c>
      <c r="K183" s="191">
        <v>-0.22262319783882209</v>
      </c>
      <c r="L183" s="191">
        <v>-0.50315190839679902</v>
      </c>
      <c r="M183" s="191">
        <v>-0.50778266821176199</v>
      </c>
      <c r="N183" s="191">
        <v>-0.13575889062925231</v>
      </c>
      <c r="O183" s="191">
        <v>-0.13496903075718081</v>
      </c>
      <c r="P183" s="191">
        <v>-0.1613976213589404</v>
      </c>
      <c r="Q183" s="191">
        <v>7.433151102210358</v>
      </c>
      <c r="R183" s="191">
        <v>-5.9129282735485032E-2</v>
      </c>
      <c r="S183" s="191">
        <v>-0.2117560043029233</v>
      </c>
      <c r="T183" s="191">
        <v>-0.13781401588252831</v>
      </c>
      <c r="U183" s="191">
        <v>6.4656189464948791E-2</v>
      </c>
      <c r="V183" s="191">
        <v>-0.43100364368388472</v>
      </c>
      <c r="W183" s="191">
        <v>5.848855999415354E-2</v>
      </c>
      <c r="X183" s="188">
        <v>-0.12250533411879611</v>
      </c>
      <c r="Y183" s="188">
        <v>-0.13631341016520959</v>
      </c>
      <c r="Z183" s="188">
        <v>0.26674928322779179</v>
      </c>
      <c r="AA183" s="188">
        <v>0.12608424782932279</v>
      </c>
      <c r="AB183" s="188">
        <v>-0.43036576207132299</v>
      </c>
      <c r="AC183" s="188">
        <v>-0.26297406418409458</v>
      </c>
      <c r="AD183" s="188">
        <v>-0.123928927920346</v>
      </c>
    </row>
    <row r="184" spans="1:30" ht="15" customHeight="1" x14ac:dyDescent="0.3">
      <c r="A184">
        <v>15</v>
      </c>
      <c r="B184" t="s">
        <v>138</v>
      </c>
      <c r="C184" t="s">
        <v>139</v>
      </c>
      <c r="D184" s="191">
        <v>-9.6697244737503935E-2</v>
      </c>
      <c r="E184" s="191">
        <v>-0.32446650790930381</v>
      </c>
      <c r="F184" s="191">
        <v>-0.20568779158042591</v>
      </c>
      <c r="G184" s="191">
        <v>-8.06448520563487E-3</v>
      </c>
      <c r="H184" s="191">
        <v>-0.1376642430292542</v>
      </c>
      <c r="I184" s="191">
        <v>-0.21289580800193711</v>
      </c>
      <c r="J184" s="191">
        <v>1.657676142915554E-2</v>
      </c>
      <c r="K184" s="191">
        <v>-9.3478964181562013E-2</v>
      </c>
      <c r="L184" s="191">
        <v>1.5890404300980841E-2</v>
      </c>
      <c r="M184" s="191">
        <v>-0.53040906940915955</v>
      </c>
      <c r="N184" s="191">
        <v>-0.29876048510266878</v>
      </c>
      <c r="O184" s="191">
        <v>-0.31732924124540529</v>
      </c>
      <c r="P184" s="191">
        <v>-0.122236217329335</v>
      </c>
      <c r="Q184" s="191">
        <v>-4.9843927807931239E-2</v>
      </c>
      <c r="R184" s="191">
        <v>8.5541706476631738</v>
      </c>
      <c r="S184" s="191">
        <v>-0.47758171859779919</v>
      </c>
      <c r="T184" s="191">
        <v>-0.1196593768428581</v>
      </c>
      <c r="U184" s="191">
        <v>0.21250203753561669</v>
      </c>
      <c r="V184" s="191">
        <v>-0.28818381856748349</v>
      </c>
      <c r="W184" s="191">
        <v>-0.2580571821117898</v>
      </c>
      <c r="X184" s="188">
        <v>-3.986701702408401E-3</v>
      </c>
      <c r="Y184" s="188">
        <v>-0.27062479617892282</v>
      </c>
      <c r="Z184" s="188">
        <v>0.15861894859435871</v>
      </c>
      <c r="AA184" s="188">
        <v>-0.35119602126451799</v>
      </c>
      <c r="AB184" s="188">
        <v>-0.39502034686091442</v>
      </c>
      <c r="AC184" s="188">
        <v>-0.11100827932693361</v>
      </c>
      <c r="AD184" s="188">
        <v>-5.9516221045554353E-2</v>
      </c>
    </row>
    <row r="185" spans="1:30" ht="15" customHeight="1" x14ac:dyDescent="0.3">
      <c r="A185">
        <v>16</v>
      </c>
      <c r="B185" t="s">
        <v>140</v>
      </c>
      <c r="C185" t="s">
        <v>141</v>
      </c>
      <c r="D185" s="191">
        <v>8.0165455460856933E-2</v>
      </c>
      <c r="E185" s="191">
        <v>-0.1889642629358092</v>
      </c>
      <c r="F185" s="191">
        <v>0.1126979266881375</v>
      </c>
      <c r="G185" s="191">
        <v>-4.8251127164084341E-2</v>
      </c>
      <c r="H185" s="191">
        <v>-0.1926892037122751</v>
      </c>
      <c r="I185" s="191">
        <v>-0.2294353574790382</v>
      </c>
      <c r="J185" s="191">
        <v>4.2577510501903629E-2</v>
      </c>
      <c r="K185" s="191">
        <v>-5.5827498660865733E-2</v>
      </c>
      <c r="L185" s="191">
        <v>2.109884934798256E-3</v>
      </c>
      <c r="M185" s="191">
        <v>-0.16248502989386601</v>
      </c>
      <c r="N185" s="191">
        <v>-6.2384681872973358E-2</v>
      </c>
      <c r="O185" s="191">
        <v>-0.29114287616210471</v>
      </c>
      <c r="P185" s="191">
        <v>-0.99900136587693844</v>
      </c>
      <c r="Q185" s="191">
        <v>-0.18968998170343579</v>
      </c>
      <c r="R185" s="191">
        <v>-0.50751245829365033</v>
      </c>
      <c r="S185" s="191">
        <v>8.0892371029714134</v>
      </c>
      <c r="T185" s="191">
        <v>4.3177345903013843E-2</v>
      </c>
      <c r="U185" s="191">
        <v>-4.781890526129183E-2</v>
      </c>
      <c r="V185" s="191">
        <v>-0.7434767806893654</v>
      </c>
      <c r="W185" s="191">
        <v>-0.28885824385922187</v>
      </c>
      <c r="X185" s="188">
        <v>-1.256730855761847E-2</v>
      </c>
      <c r="Y185" s="188">
        <v>-0.41632621151478311</v>
      </c>
      <c r="Z185" s="188">
        <v>-0.14794476219475369</v>
      </c>
      <c r="AA185" s="188">
        <v>-0.24238254728575651</v>
      </c>
      <c r="AB185" s="188">
        <v>-0.17954329848575309</v>
      </c>
      <c r="AC185" s="188">
        <v>6.2262949677755433E-2</v>
      </c>
      <c r="AD185" s="188">
        <v>-0.18170424369729921</v>
      </c>
    </row>
    <row r="186" spans="1:30" ht="15" customHeight="1" x14ac:dyDescent="0.3">
      <c r="A186">
        <v>17</v>
      </c>
      <c r="B186" t="s">
        <v>142</v>
      </c>
      <c r="C186" t="s">
        <v>143</v>
      </c>
      <c r="D186" s="191">
        <v>0.12934377147673029</v>
      </c>
      <c r="E186" s="191">
        <v>-2.665035513078785E-2</v>
      </c>
      <c r="F186" s="191">
        <v>-9.8899803858391505E-2</v>
      </c>
      <c r="G186" s="191">
        <v>2.027846862932605E-2</v>
      </c>
      <c r="H186" s="191">
        <v>-2.8398359016725251E-2</v>
      </c>
      <c r="I186" s="191">
        <v>-0.35383553447154842</v>
      </c>
      <c r="J186" s="191">
        <v>-0.1162378463096486</v>
      </c>
      <c r="K186" s="191">
        <v>-0.16466716455864999</v>
      </c>
      <c r="L186" s="191">
        <v>-0.22148636447819389</v>
      </c>
      <c r="M186" s="191">
        <v>-0.15153655360675911</v>
      </c>
      <c r="N186" s="191">
        <v>-7.2642521389076592E-2</v>
      </c>
      <c r="O186" s="191">
        <v>-0.34426723732505082</v>
      </c>
      <c r="P186" s="191">
        <v>-0.50495488584080417</v>
      </c>
      <c r="Q186" s="191">
        <v>-0.1393670052450538</v>
      </c>
      <c r="R186" s="191">
        <v>-0.14355015608324881</v>
      </c>
      <c r="S186" s="191">
        <v>4.8743180266860732E-2</v>
      </c>
      <c r="T186" s="191">
        <v>7.2768240677797067</v>
      </c>
      <c r="U186" s="191">
        <v>-0.15670333256796681</v>
      </c>
      <c r="V186" s="191">
        <v>-0.37868968166658512</v>
      </c>
      <c r="W186" s="191">
        <v>-0.58039124369756245</v>
      </c>
      <c r="X186" s="188">
        <v>2.2247526261021219E-2</v>
      </c>
      <c r="Y186" s="188">
        <v>-0.31926144523910371</v>
      </c>
      <c r="Z186" s="188">
        <v>-0.20286660665816589</v>
      </c>
      <c r="AA186" s="188">
        <v>-0.33236246414327703</v>
      </c>
      <c r="AB186" s="188">
        <v>7.2154683871147068E-2</v>
      </c>
      <c r="AC186" s="188">
        <v>-0.39150196015687339</v>
      </c>
      <c r="AD186" s="188">
        <v>-0.29935403561340862</v>
      </c>
    </row>
    <row r="187" spans="1:30" ht="15" customHeight="1" x14ac:dyDescent="0.3">
      <c r="A187">
        <v>18</v>
      </c>
      <c r="B187" t="s">
        <v>144</v>
      </c>
      <c r="C187" t="s">
        <v>145</v>
      </c>
      <c r="D187" s="191">
        <v>-0.98781656190031963</v>
      </c>
      <c r="E187" s="191">
        <v>-0.1003062701864408</v>
      </c>
      <c r="F187" s="191">
        <v>-0.42389458744778741</v>
      </c>
      <c r="G187" s="191">
        <v>-0.69609214038796352</v>
      </c>
      <c r="H187" s="191">
        <v>6.7485681346379181E-2</v>
      </c>
      <c r="I187" s="191">
        <v>-0.2971447070374984</v>
      </c>
      <c r="J187" s="191">
        <v>-0.75439161804852162</v>
      </c>
      <c r="K187" s="191">
        <v>-0.70484658529975119</v>
      </c>
      <c r="L187" s="191">
        <v>-0.23943041928139161</v>
      </c>
      <c r="M187" s="191">
        <v>0.32929893840443952</v>
      </c>
      <c r="N187" s="191">
        <v>-0.63355568296733433</v>
      </c>
      <c r="O187" s="191">
        <v>-0.37843224532575859</v>
      </c>
      <c r="P187" s="191">
        <v>6.3776173382684764E-2</v>
      </c>
      <c r="Q187" s="191">
        <v>0.10406970684457501</v>
      </c>
      <c r="R187" s="191">
        <v>0.40575854685782459</v>
      </c>
      <c r="S187" s="191">
        <v>-8.5922161484432852E-2</v>
      </c>
      <c r="T187" s="191">
        <v>-0.24941690071783729</v>
      </c>
      <c r="U187" s="191">
        <v>6.467537397917221</v>
      </c>
      <c r="V187" s="191">
        <v>8.2863297841664962E-2</v>
      </c>
      <c r="W187" s="191">
        <v>-0.51820300896992755</v>
      </c>
      <c r="X187" s="188">
        <v>-0.16034955848415289</v>
      </c>
      <c r="Y187" s="188">
        <v>0.30594418070137808</v>
      </c>
      <c r="Z187" s="188">
        <v>-0.75630738184178825</v>
      </c>
      <c r="AA187" s="188">
        <v>-6.5061160631781773E-2</v>
      </c>
      <c r="AB187" s="188">
        <v>-9.4917628201443005E-2</v>
      </c>
      <c r="AC187" s="188">
        <v>-8.7638501275875053E-2</v>
      </c>
      <c r="AD187" s="188">
        <v>-3.0312861946425219E-2</v>
      </c>
    </row>
    <row r="188" spans="1:30" ht="15" customHeight="1" x14ac:dyDescent="0.3">
      <c r="A188">
        <v>19</v>
      </c>
      <c r="B188" t="s">
        <v>146</v>
      </c>
      <c r="C188" t="s">
        <v>147</v>
      </c>
      <c r="D188" s="191">
        <v>0.1064558852313294</v>
      </c>
      <c r="E188" s="191">
        <v>-0.14386384216026379</v>
      </c>
      <c r="F188" s="191">
        <v>-0.23367994482240209</v>
      </c>
      <c r="G188" s="191">
        <v>-5.9427811137282557E-2</v>
      </c>
      <c r="H188" s="191">
        <v>0.1612544914162076</v>
      </c>
      <c r="I188" s="191">
        <v>-5.7440124879359629E-2</v>
      </c>
      <c r="J188" s="191">
        <v>5.6233699360843901E-3</v>
      </c>
      <c r="K188" s="191">
        <v>-4.1269516919395389E-3</v>
      </c>
      <c r="L188" s="191">
        <v>-0.42977292432951808</v>
      </c>
      <c r="M188" s="191">
        <v>-0.42272170748234988</v>
      </c>
      <c r="N188" s="191">
        <v>-0.36987614302157062</v>
      </c>
      <c r="O188" s="191">
        <v>-0.46621167325094209</v>
      </c>
      <c r="P188" s="191">
        <v>-3.7583131305987359E-2</v>
      </c>
      <c r="Q188" s="191">
        <v>-0.35134063181836073</v>
      </c>
      <c r="R188" s="191">
        <v>-0.27868101295718312</v>
      </c>
      <c r="S188" s="191">
        <v>-0.67655979329164495</v>
      </c>
      <c r="T188" s="191">
        <v>-0.3052560839099796</v>
      </c>
      <c r="U188" s="191">
        <v>4.1965792064799168E-2</v>
      </c>
      <c r="V188" s="191">
        <v>8.9326154684545109</v>
      </c>
      <c r="W188" s="191">
        <v>-0.12568383567510319</v>
      </c>
      <c r="X188" s="188">
        <v>-0.13989141421014439</v>
      </c>
      <c r="Y188" s="188">
        <v>-2.7999320850867732E-2</v>
      </c>
      <c r="Z188" s="188">
        <v>-8.3313779578576969E-2</v>
      </c>
      <c r="AA188" s="188">
        <v>-0.34073774185650418</v>
      </c>
      <c r="AB188" s="188">
        <v>-0.16987407487241701</v>
      </c>
      <c r="AC188" s="188">
        <v>-0.2198742287808628</v>
      </c>
      <c r="AD188" s="188">
        <v>3.7256522350539389E-2</v>
      </c>
    </row>
    <row r="189" spans="1:30" ht="15" customHeight="1" x14ac:dyDescent="0.3">
      <c r="A189">
        <v>20</v>
      </c>
      <c r="B189" t="s">
        <v>148</v>
      </c>
      <c r="C189" t="s">
        <v>149</v>
      </c>
      <c r="D189" s="191">
        <v>-0.50888722467583958</v>
      </c>
      <c r="E189" s="191">
        <v>-0.1125796578127832</v>
      </c>
      <c r="F189" s="191">
        <v>-0.32434738499540039</v>
      </c>
      <c r="G189" s="191">
        <v>-0.14331957301005391</v>
      </c>
      <c r="H189" s="191">
        <v>-1.554962442005412E-2</v>
      </c>
      <c r="I189" s="191">
        <v>5.9239629349668983E-2</v>
      </c>
      <c r="J189" s="191">
        <v>-0.2473604683849876</v>
      </c>
      <c r="K189" s="191">
        <v>-0.43572051695174302</v>
      </c>
      <c r="L189" s="191">
        <v>-0.24527422595570861</v>
      </c>
      <c r="M189" s="191">
        <v>0.1239393865134175</v>
      </c>
      <c r="N189" s="191">
        <v>0.52812594399753665</v>
      </c>
      <c r="O189" s="191">
        <v>5.2023221390903457E-2</v>
      </c>
      <c r="P189" s="191">
        <v>-0.17187465948082509</v>
      </c>
      <c r="Q189" s="191">
        <v>7.1275574304853095E-2</v>
      </c>
      <c r="R189" s="191">
        <v>-0.3730577782406751</v>
      </c>
      <c r="S189" s="191">
        <v>-0.39295778919230262</v>
      </c>
      <c r="T189" s="191">
        <v>-0.69939748816585456</v>
      </c>
      <c r="U189" s="191">
        <v>-0.39233359813662222</v>
      </c>
      <c r="V189" s="191">
        <v>-0.1878891865785729</v>
      </c>
      <c r="W189" s="191">
        <v>6.510932178275981</v>
      </c>
      <c r="X189" s="188">
        <v>-0.12800494069911861</v>
      </c>
      <c r="Y189" s="188">
        <v>-0.34722752890148301</v>
      </c>
      <c r="Z189" s="188">
        <v>-0.17386289467108179</v>
      </c>
      <c r="AA189" s="188">
        <v>-0.1122749754126065</v>
      </c>
      <c r="AB189" s="188">
        <v>-0.30022208461031352</v>
      </c>
      <c r="AC189" s="188">
        <v>-0.17242816934890709</v>
      </c>
      <c r="AD189" s="188">
        <v>-0.1029876744011524</v>
      </c>
    </row>
    <row r="190" spans="1:30" ht="15" customHeight="1" x14ac:dyDescent="0.3">
      <c r="A190">
        <v>21</v>
      </c>
      <c r="B190" t="s">
        <v>150</v>
      </c>
      <c r="C190" t="s">
        <v>151</v>
      </c>
      <c r="D190" s="191">
        <v>1.2080698852886601E-2</v>
      </c>
      <c r="E190" s="191">
        <v>-0.1399250895412045</v>
      </c>
      <c r="F190" s="191">
        <v>2.3690332053001351E-2</v>
      </c>
      <c r="G190" s="191">
        <v>-0.15346639085534541</v>
      </c>
      <c r="H190" s="191">
        <v>-4.1735536927950352E-2</v>
      </c>
      <c r="I190" s="191">
        <v>-0.21899490355646439</v>
      </c>
      <c r="J190" s="191">
        <v>-0.11285635245185729</v>
      </c>
      <c r="K190" s="191">
        <v>-0.14724907775539961</v>
      </c>
      <c r="L190" s="191">
        <v>-0.17202752713297459</v>
      </c>
      <c r="M190" s="191">
        <v>-0.22529302664825659</v>
      </c>
      <c r="N190" s="191">
        <v>0.13944874056986031</v>
      </c>
      <c r="O190" s="191">
        <v>0.10835787471620049</v>
      </c>
      <c r="P190" s="191">
        <v>-8.4820049956791488E-2</v>
      </c>
      <c r="Q190" s="191">
        <v>-0.207827214739951</v>
      </c>
      <c r="R190" s="191">
        <v>-8.0232719383096542E-3</v>
      </c>
      <c r="S190" s="191">
        <v>-2.380022349206715E-2</v>
      </c>
      <c r="T190" s="191">
        <v>3.7321798736961523E-2</v>
      </c>
      <c r="U190" s="191">
        <v>-0.16900554784700311</v>
      </c>
      <c r="V190" s="191">
        <v>-0.29113273649487531</v>
      </c>
      <c r="W190" s="191">
        <v>-0.17819862745570081</v>
      </c>
      <c r="X190" s="188">
        <v>4.0739735010064022</v>
      </c>
      <c r="Y190" s="188">
        <v>4.4311674854667117E-2</v>
      </c>
      <c r="Z190" s="188">
        <v>7.4346118192066019E-2</v>
      </c>
      <c r="AA190" s="188">
        <v>-0.2156104285298058</v>
      </c>
      <c r="AB190" s="188">
        <v>-0.29004539791441342</v>
      </c>
      <c r="AC190" s="188">
        <v>-0.42558766529751663</v>
      </c>
      <c r="AD190" s="188">
        <v>4.6733679688662461E-2</v>
      </c>
    </row>
    <row r="191" spans="1:30" ht="15" customHeight="1" x14ac:dyDescent="0.3">
      <c r="A191">
        <v>22</v>
      </c>
      <c r="B191" t="s">
        <v>152</v>
      </c>
      <c r="C191" t="s">
        <v>153</v>
      </c>
      <c r="D191" s="191">
        <v>-9.5868946773720043E-2</v>
      </c>
      <c r="E191" s="191">
        <v>-0.14784137274381109</v>
      </c>
      <c r="F191" s="191">
        <v>-0.75725428219367785</v>
      </c>
      <c r="G191" s="191">
        <v>-5.9898143877135129E-2</v>
      </c>
      <c r="H191" s="191">
        <v>-4.1209196663436178E-2</v>
      </c>
      <c r="I191" s="191">
        <v>-5.5756820986064638E-2</v>
      </c>
      <c r="J191" s="191">
        <v>-9.240358925255307E-2</v>
      </c>
      <c r="K191" s="191">
        <v>3.6094846276062631E-2</v>
      </c>
      <c r="L191" s="191">
        <v>-0.18832681440937249</v>
      </c>
      <c r="M191" s="191">
        <v>-0.25686198634445512</v>
      </c>
      <c r="N191" s="191">
        <v>-0.2090368136078907</v>
      </c>
      <c r="O191" s="191">
        <v>-0.87791068505157255</v>
      </c>
      <c r="P191" s="191">
        <v>-0.38322884094595427</v>
      </c>
      <c r="Q191" s="191">
        <v>-0.1104733884923383</v>
      </c>
      <c r="R191" s="191">
        <v>-0.2601818704453347</v>
      </c>
      <c r="S191" s="191">
        <v>-0.37665538925998993</v>
      </c>
      <c r="T191" s="191">
        <v>-0.25585799245430529</v>
      </c>
      <c r="U191" s="191">
        <v>0.1540448075317587</v>
      </c>
      <c r="V191" s="191">
        <v>-2.7836790013907091E-2</v>
      </c>
      <c r="W191" s="191">
        <v>-0.23092100859239159</v>
      </c>
      <c r="X191" s="188">
        <v>2.1168488039926631E-2</v>
      </c>
      <c r="Y191" s="188">
        <v>9.0281258555773061</v>
      </c>
      <c r="Z191" s="188">
        <v>0.15385566228855299</v>
      </c>
      <c r="AA191" s="188">
        <v>-0.1187743099791968</v>
      </c>
      <c r="AB191" s="188">
        <v>-0.27569927736546279</v>
      </c>
      <c r="AC191" s="188">
        <v>-0.15229864525416231</v>
      </c>
      <c r="AD191" s="188">
        <v>-0.14481843811436701</v>
      </c>
    </row>
    <row r="192" spans="1:30" ht="15" customHeight="1" x14ac:dyDescent="0.3">
      <c r="A192">
        <v>23</v>
      </c>
      <c r="B192" t="s">
        <v>154</v>
      </c>
      <c r="C192" t="s">
        <v>155</v>
      </c>
      <c r="D192" s="191">
        <v>-1.0549544958708439</v>
      </c>
      <c r="E192" s="191">
        <v>0.1434024930528349</v>
      </c>
      <c r="F192" s="191">
        <v>0.15066786052511111</v>
      </c>
      <c r="G192" s="191">
        <v>-0.79717863703917469</v>
      </c>
      <c r="H192" s="191">
        <v>-0.37063492144208882</v>
      </c>
      <c r="I192" s="191">
        <v>0.18978954643564769</v>
      </c>
      <c r="J192" s="191">
        <v>-0.86867879602029985</v>
      </c>
      <c r="K192" s="191">
        <v>-0.61128448027833071</v>
      </c>
      <c r="L192" s="191">
        <v>-0.13651252130249841</v>
      </c>
      <c r="M192" s="191">
        <v>-0.41743843702113198</v>
      </c>
      <c r="N192" s="191">
        <v>-0.35669625766647067</v>
      </c>
      <c r="O192" s="191">
        <v>-7.2484255633363581E-2</v>
      </c>
      <c r="P192" s="191">
        <v>0.27666730109367121</v>
      </c>
      <c r="Q192" s="191">
        <v>0.41232805257635868</v>
      </c>
      <c r="R192" s="191">
        <v>0.29086069739017728</v>
      </c>
      <c r="S192" s="191">
        <v>-0.25528809038339312</v>
      </c>
      <c r="T192" s="191">
        <v>-0.31008703389831299</v>
      </c>
      <c r="U192" s="191">
        <v>-0.72631286297875464</v>
      </c>
      <c r="V192" s="191">
        <v>-0.15798251467848751</v>
      </c>
      <c r="W192" s="191">
        <v>-0.22053459754849791</v>
      </c>
      <c r="X192" s="188">
        <v>6.7740828091882047E-2</v>
      </c>
      <c r="Y192" s="188">
        <v>0.29344993212807802</v>
      </c>
      <c r="Z192" s="188">
        <v>6.6165008226034532</v>
      </c>
      <c r="AA192" s="188">
        <v>9.9260371062540348E-2</v>
      </c>
      <c r="AB192" s="188">
        <v>0.1022562048275049</v>
      </c>
      <c r="AC192" s="188">
        <v>-6.8054175804051209E-2</v>
      </c>
      <c r="AD192" s="188">
        <v>-8.5919011270824228E-2</v>
      </c>
    </row>
    <row r="193" spans="1:30" ht="15" customHeight="1" x14ac:dyDescent="0.3">
      <c r="A193">
        <v>24</v>
      </c>
      <c r="B193" t="s">
        <v>156</v>
      </c>
      <c r="C193" t="s">
        <v>157</v>
      </c>
      <c r="D193" s="191">
        <v>0.1110350846706194</v>
      </c>
      <c r="E193" s="191">
        <v>3.1720612991830688E-3</v>
      </c>
      <c r="F193" s="191">
        <v>-0.50353783234820237</v>
      </c>
      <c r="G193" s="191">
        <v>-2.517163501601086E-3</v>
      </c>
      <c r="H193" s="191">
        <v>-1.855087100222777E-2</v>
      </c>
      <c r="I193" s="191">
        <v>-0.27412830959718287</v>
      </c>
      <c r="J193" s="191">
        <v>2.6923234341377968E-2</v>
      </c>
      <c r="K193" s="191">
        <v>-0.14997488914545931</v>
      </c>
      <c r="L193" s="191">
        <v>-0.15488455952235261</v>
      </c>
      <c r="M193" s="191">
        <v>-0.3937300566110063</v>
      </c>
      <c r="N193" s="191">
        <v>-0.15646379186870529</v>
      </c>
      <c r="O193" s="191">
        <v>-0.24144107062208719</v>
      </c>
      <c r="P193" s="191">
        <v>-0.55655028816806029</v>
      </c>
      <c r="Q193" s="191">
        <v>0.1091132930475722</v>
      </c>
      <c r="R193" s="191">
        <v>-0.36054275309719191</v>
      </c>
      <c r="S193" s="191">
        <v>-0.23415827779682291</v>
      </c>
      <c r="T193" s="191">
        <v>-0.28442136837760168</v>
      </c>
      <c r="U193" s="191">
        <v>-3.4980371061605932E-2</v>
      </c>
      <c r="V193" s="191">
        <v>-0.36173425398876902</v>
      </c>
      <c r="W193" s="191">
        <v>-7.9731512626806195E-2</v>
      </c>
      <c r="X193" s="188">
        <v>-0.10998644770670581</v>
      </c>
      <c r="Y193" s="188">
        <v>-0.12682949252549691</v>
      </c>
      <c r="Z193" s="188">
        <v>5.5571625932871717E-2</v>
      </c>
      <c r="AA193" s="188">
        <v>8.4301169672495835</v>
      </c>
      <c r="AB193" s="188">
        <v>-0.71103098583396018</v>
      </c>
      <c r="AC193" s="188">
        <v>-0.16195982098346309</v>
      </c>
      <c r="AD193" s="188">
        <v>-0.23325916079289111</v>
      </c>
    </row>
    <row r="194" spans="1:30" ht="15" customHeight="1" x14ac:dyDescent="0.3">
      <c r="A194">
        <v>25</v>
      </c>
      <c r="B194" t="s">
        <v>158</v>
      </c>
      <c r="C194" t="s">
        <v>159</v>
      </c>
      <c r="D194" s="191">
        <v>-0.16401974357949811</v>
      </c>
      <c r="E194" s="191">
        <v>-0.1178595287875525</v>
      </c>
      <c r="F194" s="191">
        <v>-5.8437554186361887E-2</v>
      </c>
      <c r="G194" s="191">
        <v>9.8788368595532208E-2</v>
      </c>
      <c r="H194" s="191">
        <v>-0.1194986311585975</v>
      </c>
      <c r="I194" s="191">
        <v>-0.23081170054343189</v>
      </c>
      <c r="J194" s="191">
        <v>0.15046228768851039</v>
      </c>
      <c r="K194" s="191">
        <v>-7.7510769810589256E-2</v>
      </c>
      <c r="L194" s="191">
        <v>-0.26486860871360662</v>
      </c>
      <c r="M194" s="191">
        <v>-0.31321636142565568</v>
      </c>
      <c r="N194" s="191">
        <v>-0.25119892854986192</v>
      </c>
      <c r="O194" s="191">
        <v>-0.56549225731632735</v>
      </c>
      <c r="P194" s="191">
        <v>-0.10221223450877361</v>
      </c>
      <c r="Q194" s="191">
        <v>-0.37433740381781511</v>
      </c>
      <c r="R194" s="191">
        <v>-0.40760108274337042</v>
      </c>
      <c r="S194" s="191">
        <v>-0.17433558721256401</v>
      </c>
      <c r="T194" s="191">
        <v>6.2061670185540499E-2</v>
      </c>
      <c r="U194" s="191">
        <v>-5.1293007314872539E-2</v>
      </c>
      <c r="V194" s="191">
        <v>-0.18126133688278251</v>
      </c>
      <c r="W194" s="191">
        <v>-0.21428824614170749</v>
      </c>
      <c r="X194" s="188">
        <v>-0.14871133463140099</v>
      </c>
      <c r="Y194" s="188">
        <v>-0.2958980109856319</v>
      </c>
      <c r="Z194" s="188">
        <v>5.754075537470258E-2</v>
      </c>
      <c r="AA194" s="188">
        <v>-0.71465626707545837</v>
      </c>
      <c r="AB194" s="188">
        <v>8.4086559713193303</v>
      </c>
      <c r="AC194" s="188">
        <v>-0.30258504556571081</v>
      </c>
      <c r="AD194" s="188">
        <v>-8.948184399405576E-2</v>
      </c>
    </row>
    <row r="195" spans="1:30" x14ac:dyDescent="0.3">
      <c r="A195">
        <v>26</v>
      </c>
      <c r="B195" t="s">
        <v>160</v>
      </c>
      <c r="C195" t="s">
        <v>161</v>
      </c>
      <c r="D195" s="191">
        <v>-0.244034649469235</v>
      </c>
      <c r="E195" s="191">
        <v>-0.46825346349889979</v>
      </c>
      <c r="F195" s="191">
        <v>-0.17415189118434041</v>
      </c>
      <c r="G195" s="191">
        <v>1.6621872053306688E-2</v>
      </c>
      <c r="H195" s="191">
        <v>5.2610489010068567E-2</v>
      </c>
      <c r="I195" s="191">
        <v>-0.19721014749021901</v>
      </c>
      <c r="J195" s="191">
        <v>0.13290076770010431</v>
      </c>
      <c r="K195" s="191">
        <v>-0.39366648787646968</v>
      </c>
      <c r="L195" s="191">
        <v>-0.31544380821997059</v>
      </c>
      <c r="M195" s="191">
        <v>-0.25891708103126337</v>
      </c>
      <c r="N195" s="191">
        <v>-0.24139628866293039</v>
      </c>
      <c r="O195" s="191">
        <v>-0.42569394865711763</v>
      </c>
      <c r="P195" s="191">
        <v>7.8278273158077491E-2</v>
      </c>
      <c r="Q195" s="191">
        <v>-0.28208042663847688</v>
      </c>
      <c r="R195" s="191">
        <v>-0.14125562692638011</v>
      </c>
      <c r="S195" s="191">
        <v>7.4555736321048227E-2</v>
      </c>
      <c r="T195" s="191">
        <v>-0.41526697529806272</v>
      </c>
      <c r="U195" s="191">
        <v>-5.84037522536653E-2</v>
      </c>
      <c r="V195" s="191">
        <v>-0.28932564260784033</v>
      </c>
      <c r="W195" s="191">
        <v>-0.15177437549845821</v>
      </c>
      <c r="X195" s="183">
        <v>-0.2690925335974837</v>
      </c>
      <c r="Y195" s="183">
        <v>-0.20157514519041231</v>
      </c>
      <c r="Z195" s="183">
        <v>-4.7225350559831257E-2</v>
      </c>
      <c r="AA195" s="183">
        <v>-0.2007476594657801</v>
      </c>
      <c r="AB195" s="183">
        <v>-0.37314874339985532</v>
      </c>
      <c r="AC195" s="183">
        <v>6.93033040960586</v>
      </c>
      <c r="AD195" s="183">
        <v>0.2188646298721634</v>
      </c>
    </row>
    <row r="196" spans="1:30" x14ac:dyDescent="0.3">
      <c r="A196">
        <v>27</v>
      </c>
      <c r="B196" t="s">
        <v>162</v>
      </c>
      <c r="C196" t="s">
        <v>163</v>
      </c>
      <c r="D196" s="191">
        <v>-0.4839711693944535</v>
      </c>
      <c r="E196" s="191">
        <v>-8.2125932114206227E-2</v>
      </c>
      <c r="F196" s="191">
        <v>0.232520593954674</v>
      </c>
      <c r="G196" s="191">
        <v>2.188549179969523E-2</v>
      </c>
      <c r="H196" s="191">
        <v>-0.37062878953471928</v>
      </c>
      <c r="I196" s="191">
        <v>-0.38089220481027453</v>
      </c>
      <c r="J196" s="191">
        <v>-0.1343588304234703</v>
      </c>
      <c r="K196" s="191">
        <v>-0.2152284079621396</v>
      </c>
      <c r="L196" s="191">
        <v>-0.34859325437796029</v>
      </c>
      <c r="M196" s="191">
        <v>-0.11095790964504899</v>
      </c>
      <c r="N196" s="191">
        <v>-0.63941346921731645</v>
      </c>
      <c r="O196" s="191">
        <v>-0.14613756428501459</v>
      </c>
      <c r="P196" s="191">
        <v>-0.48115131578915959</v>
      </c>
      <c r="Q196" s="191">
        <v>-0.13162608473015019</v>
      </c>
      <c r="R196" s="191">
        <v>-7.4988552599921529E-2</v>
      </c>
      <c r="S196" s="191">
        <v>-0.2154396722607311</v>
      </c>
      <c r="T196" s="191">
        <v>-0.31440381564296349</v>
      </c>
      <c r="U196" s="191">
        <v>-2.0002394416354281E-2</v>
      </c>
      <c r="V196" s="191">
        <v>4.8542724538705471E-2</v>
      </c>
      <c r="W196" s="191">
        <v>-8.9760388887832887E-2</v>
      </c>
      <c r="X196" s="183">
        <v>2.9258484678675631E-2</v>
      </c>
      <c r="Y196" s="183">
        <v>-0.1897903109580627</v>
      </c>
      <c r="Z196" s="183">
        <v>-5.9036271238063723E-2</v>
      </c>
      <c r="AA196" s="183">
        <v>-0.286280092087281</v>
      </c>
      <c r="AB196" s="183">
        <v>-0.10926439999862469</v>
      </c>
      <c r="AC196" s="183">
        <v>0.21671292757484689</v>
      </c>
      <c r="AD196" s="183">
        <v>7.0452954662856611</v>
      </c>
    </row>
    <row r="197" spans="1:30" x14ac:dyDescent="0.3">
      <c r="D197" s="124"/>
      <c r="E197" s="124"/>
      <c r="F197" s="124"/>
      <c r="G197" s="124"/>
      <c r="H197" s="124"/>
      <c r="I197" s="124"/>
      <c r="J197" s="124"/>
      <c r="K197" s="124"/>
      <c r="L197" s="124"/>
      <c r="M197" s="124"/>
      <c r="N197" s="124"/>
      <c r="O197" s="124"/>
      <c r="P197" s="124"/>
      <c r="Q197" s="124"/>
      <c r="R197" s="124"/>
      <c r="S197" s="124"/>
      <c r="T197" s="124"/>
      <c r="U197" s="124"/>
      <c r="V197" s="124"/>
      <c r="W197" s="124"/>
    </row>
    <row r="198" spans="1:30" x14ac:dyDescent="0.3">
      <c r="A198" t="s">
        <v>183</v>
      </c>
      <c r="D198" s="124"/>
      <c r="E198" s="124"/>
      <c r="F198" s="124"/>
      <c r="G198" s="124"/>
      <c r="H198" s="124"/>
      <c r="I198" s="124"/>
      <c r="J198" s="124"/>
      <c r="K198" s="124"/>
      <c r="L198" s="124"/>
      <c r="M198" s="124"/>
      <c r="N198" s="124"/>
      <c r="O198" s="124"/>
      <c r="P198" s="124"/>
      <c r="Q198" s="124"/>
      <c r="R198" s="124"/>
      <c r="S198" s="124"/>
      <c r="T198" s="124"/>
      <c r="U198" s="124"/>
      <c r="V198" s="124"/>
      <c r="W198" s="124"/>
    </row>
    <row r="199" spans="1:30" x14ac:dyDescent="0.3">
      <c r="D199" s="124"/>
      <c r="E199" s="124"/>
      <c r="F199" s="124"/>
      <c r="G199" s="124"/>
      <c r="H199" s="124"/>
      <c r="I199" s="124"/>
      <c r="J199" s="124"/>
      <c r="K199" s="124"/>
      <c r="L199" s="124"/>
      <c r="M199" s="124"/>
      <c r="N199" s="124"/>
      <c r="O199" s="124"/>
      <c r="P199" s="124"/>
      <c r="Q199" s="124"/>
      <c r="R199" s="124"/>
      <c r="S199" s="124"/>
      <c r="T199" s="124"/>
      <c r="U199" s="124"/>
      <c r="V199" s="124"/>
      <c r="W199" s="124"/>
    </row>
    <row r="200" spans="1:30" x14ac:dyDescent="0.3">
      <c r="A200" t="s">
        <v>184</v>
      </c>
      <c r="D200" s="124"/>
      <c r="E200" s="124"/>
      <c r="F200" s="124"/>
      <c r="G200" s="124"/>
      <c r="H200" s="124"/>
      <c r="I200" s="124"/>
      <c r="J200" s="124"/>
      <c r="K200" s="124"/>
      <c r="L200" s="124"/>
      <c r="M200" s="124"/>
      <c r="N200" s="124"/>
      <c r="O200" s="124"/>
      <c r="P200" s="124"/>
      <c r="Q200" s="124"/>
      <c r="R200" s="124"/>
      <c r="S200" s="124"/>
      <c r="T200" s="124"/>
      <c r="U200" s="124"/>
      <c r="V200" s="124"/>
      <c r="W200" s="124"/>
    </row>
    <row r="201" spans="1:30" x14ac:dyDescent="0.3">
      <c r="A201" t="s">
        <v>185</v>
      </c>
      <c r="D201" s="124"/>
      <c r="E201" s="124"/>
      <c r="F201" s="124"/>
      <c r="G201" s="124"/>
      <c r="H201" s="124"/>
      <c r="I201" s="124"/>
      <c r="J201" s="124"/>
      <c r="K201" s="124"/>
      <c r="L201" s="124"/>
      <c r="M201" s="124"/>
      <c r="N201" s="124"/>
      <c r="O201" s="124"/>
      <c r="P201" s="124"/>
      <c r="Q201" s="124"/>
      <c r="R201" s="124"/>
      <c r="S201" s="124"/>
      <c r="T201" s="124"/>
      <c r="U201" s="124"/>
      <c r="V201" s="124"/>
      <c r="W201" s="124"/>
    </row>
    <row r="202" spans="1:30" x14ac:dyDescent="0.3">
      <c r="A202" t="s">
        <v>186</v>
      </c>
      <c r="D202" s="124"/>
      <c r="E202" s="124"/>
      <c r="F202" s="124"/>
      <c r="G202" s="124"/>
      <c r="H202" s="124"/>
      <c r="I202" s="124"/>
      <c r="J202" s="124"/>
      <c r="K202" s="124"/>
      <c r="L202" s="124"/>
      <c r="M202" s="124"/>
      <c r="N202" s="124"/>
      <c r="O202" s="124"/>
      <c r="P202" s="124"/>
      <c r="Q202" s="124"/>
      <c r="R202" s="124"/>
      <c r="S202" s="124"/>
      <c r="T202" s="124"/>
      <c r="U202" s="124"/>
      <c r="V202" s="124"/>
      <c r="W202" s="124"/>
    </row>
    <row r="203" spans="1:30" x14ac:dyDescent="0.3">
      <c r="A203" t="s">
        <v>187</v>
      </c>
      <c r="D203" s="124"/>
      <c r="E203" s="124"/>
      <c r="F203" s="124"/>
      <c r="G203" s="124"/>
      <c r="H203" s="124"/>
      <c r="I203" s="124"/>
      <c r="J203" s="124"/>
      <c r="K203" s="124"/>
      <c r="L203" s="124"/>
      <c r="M203" s="124"/>
      <c r="N203" s="124"/>
      <c r="O203" s="124"/>
      <c r="P203" s="124"/>
      <c r="Q203" s="124"/>
      <c r="R203" s="124"/>
      <c r="S203" s="124"/>
      <c r="T203" s="124"/>
      <c r="U203" s="124"/>
      <c r="V203" s="124"/>
      <c r="W203" s="124"/>
    </row>
    <row r="204" spans="1:30" x14ac:dyDescent="0.3">
      <c r="A204" t="s">
        <v>188</v>
      </c>
      <c r="D204" s="124"/>
      <c r="E204" s="124"/>
      <c r="F204" s="124"/>
      <c r="G204" s="124"/>
      <c r="H204" s="124"/>
      <c r="I204" s="124"/>
      <c r="J204" s="124"/>
      <c r="K204" s="124"/>
      <c r="L204" s="124"/>
      <c r="M204" s="124"/>
      <c r="N204" s="124"/>
      <c r="O204" s="124"/>
      <c r="P204" s="124"/>
      <c r="Q204" s="124"/>
      <c r="R204" s="124"/>
      <c r="S204" s="124"/>
      <c r="T204" s="124"/>
      <c r="U204" s="124"/>
      <c r="V204" s="124"/>
      <c r="W204" s="124"/>
    </row>
    <row r="205" spans="1:30" x14ac:dyDescent="0.3">
      <c r="A205" t="s">
        <v>189</v>
      </c>
      <c r="D205" s="124"/>
      <c r="E205" s="124"/>
      <c r="F205" s="124"/>
      <c r="G205" s="124"/>
      <c r="H205" s="124"/>
      <c r="I205" s="124"/>
      <c r="J205" s="124"/>
      <c r="K205" s="124"/>
      <c r="L205" s="124"/>
      <c r="M205" s="124"/>
      <c r="N205" s="124"/>
      <c r="O205" s="124"/>
      <c r="P205" s="124"/>
      <c r="Q205" s="124"/>
      <c r="R205" s="124"/>
      <c r="S205" s="124"/>
      <c r="T205" s="124"/>
      <c r="U205" s="124"/>
      <c r="V205" s="124"/>
      <c r="W205" s="124"/>
    </row>
    <row r="206" spans="1:30" x14ac:dyDescent="0.3">
      <c r="A206" t="s">
        <v>190</v>
      </c>
      <c r="D206" s="124"/>
      <c r="E206" s="124"/>
      <c r="F206" s="124"/>
      <c r="G206" s="124"/>
      <c r="H206" s="124"/>
      <c r="I206" s="124"/>
      <c r="J206" s="124"/>
      <c r="K206" s="124"/>
      <c r="L206" s="124"/>
      <c r="M206" s="124"/>
      <c r="N206" s="124"/>
      <c r="O206" s="124"/>
      <c r="P206" s="124"/>
      <c r="Q206" s="124"/>
      <c r="R206" s="124"/>
      <c r="S206" s="124"/>
      <c r="T206" s="124"/>
      <c r="U206" s="124"/>
      <c r="V206" s="124"/>
      <c r="W206" s="124"/>
    </row>
    <row r="207" spans="1:30" x14ac:dyDescent="0.3">
      <c r="A207" t="s">
        <v>191</v>
      </c>
      <c r="D207" s="124"/>
      <c r="E207" s="124"/>
      <c r="F207" s="124"/>
      <c r="G207" s="124"/>
      <c r="H207" s="124"/>
      <c r="I207" s="124"/>
      <c r="J207" s="124"/>
      <c r="K207" s="124"/>
      <c r="L207" s="124"/>
      <c r="M207" s="124"/>
      <c r="N207" s="124"/>
      <c r="O207" s="124"/>
      <c r="P207" s="124"/>
      <c r="Q207" s="124"/>
      <c r="R207" s="124"/>
      <c r="S207" s="124"/>
      <c r="T207" s="124"/>
      <c r="U207" s="124"/>
      <c r="V207" s="124"/>
      <c r="W207" s="124"/>
    </row>
    <row r="208" spans="1:30" x14ac:dyDescent="0.3">
      <c r="A208" t="s">
        <v>192</v>
      </c>
      <c r="D208" s="124"/>
      <c r="E208" s="124"/>
      <c r="F208" s="124"/>
      <c r="G208" s="124"/>
      <c r="H208" s="124"/>
      <c r="I208" s="124"/>
      <c r="J208" s="124"/>
      <c r="K208" s="124"/>
      <c r="L208" s="124"/>
      <c r="M208" s="124"/>
      <c r="N208" s="124"/>
      <c r="O208" s="124"/>
      <c r="P208" s="124"/>
      <c r="Q208" s="124"/>
      <c r="R208" s="124"/>
      <c r="S208" s="124"/>
      <c r="T208" s="124"/>
      <c r="U208" s="124"/>
      <c r="V208" s="124"/>
      <c r="W208" s="124"/>
    </row>
    <row r="209" spans="1:23" x14ac:dyDescent="0.3">
      <c r="A209" t="s">
        <v>193</v>
      </c>
      <c r="D209" s="124"/>
      <c r="E209" s="124"/>
      <c r="F209" s="124"/>
      <c r="G209" s="124"/>
      <c r="H209" s="124"/>
      <c r="I209" s="124"/>
      <c r="J209" s="124"/>
      <c r="K209" s="124"/>
      <c r="L209" s="124"/>
      <c r="M209" s="124"/>
      <c r="N209" s="124"/>
      <c r="O209" s="124"/>
      <c r="P209" s="124"/>
      <c r="Q209" s="124"/>
      <c r="R209" s="124"/>
      <c r="S209" s="124"/>
      <c r="T209" s="124"/>
      <c r="U209" s="124"/>
      <c r="V209" s="124"/>
      <c r="W209" s="124"/>
    </row>
    <row r="210" spans="1:23" x14ac:dyDescent="0.3">
      <c r="A210" t="s">
        <v>194</v>
      </c>
      <c r="D210" s="124"/>
      <c r="E210" s="124"/>
      <c r="F210" s="124"/>
      <c r="G210" s="124"/>
      <c r="H210" s="124"/>
      <c r="I210" s="124"/>
      <c r="J210" s="124"/>
      <c r="K210" s="124"/>
      <c r="L210" s="124"/>
      <c r="M210" s="124"/>
      <c r="N210" s="124"/>
      <c r="O210" s="124"/>
      <c r="P210" s="124"/>
      <c r="Q210" s="124"/>
      <c r="R210" s="124"/>
      <c r="S210" s="124"/>
      <c r="T210" s="124"/>
      <c r="U210" s="124"/>
      <c r="V210" s="124"/>
      <c r="W210" s="124"/>
    </row>
    <row r="211" spans="1:23" x14ac:dyDescent="0.3">
      <c r="A211" t="s">
        <v>195</v>
      </c>
      <c r="D211" s="124"/>
      <c r="E211" s="124"/>
      <c r="F211" s="124"/>
      <c r="G211" s="124"/>
      <c r="H211" s="124"/>
      <c r="I211" s="124"/>
      <c r="J211" s="124"/>
      <c r="K211" s="124"/>
      <c r="L211" s="124"/>
      <c r="M211" s="124"/>
      <c r="N211" s="124"/>
      <c r="O211" s="124"/>
      <c r="P211" s="124"/>
      <c r="Q211" s="124"/>
      <c r="R211" s="124"/>
      <c r="S211" s="124"/>
      <c r="T211" s="124"/>
      <c r="U211" s="124"/>
      <c r="V211" s="124"/>
      <c r="W211" s="124"/>
    </row>
    <row r="212" spans="1:23" x14ac:dyDescent="0.3">
      <c r="A212" t="s">
        <v>196</v>
      </c>
      <c r="D212" s="124"/>
      <c r="E212" s="124"/>
      <c r="F212" s="124"/>
      <c r="G212" s="124"/>
      <c r="H212" s="124"/>
      <c r="I212" s="124"/>
      <c r="J212" s="124"/>
      <c r="K212" s="124"/>
      <c r="L212" s="124"/>
      <c r="M212" s="124"/>
      <c r="N212" s="124"/>
      <c r="O212" s="124"/>
      <c r="P212" s="124"/>
      <c r="Q212" s="124"/>
      <c r="R212" s="124"/>
      <c r="S212" s="124"/>
      <c r="T212" s="124"/>
      <c r="U212" s="124"/>
      <c r="V212" s="124"/>
      <c r="W212" s="124"/>
    </row>
    <row r="213" spans="1:23" x14ac:dyDescent="0.3">
      <c r="A213" t="s">
        <v>197</v>
      </c>
      <c r="D213" s="124"/>
      <c r="E213" s="124"/>
      <c r="F213" s="124"/>
      <c r="G213" s="124"/>
      <c r="H213" s="124"/>
      <c r="I213" s="124"/>
      <c r="J213" s="124"/>
      <c r="K213" s="124"/>
      <c r="L213" s="124"/>
      <c r="M213" s="124"/>
      <c r="N213" s="124"/>
      <c r="O213" s="124"/>
      <c r="P213" s="124"/>
      <c r="Q213" s="124"/>
      <c r="R213" s="124"/>
      <c r="S213" s="124"/>
      <c r="T213" s="124"/>
      <c r="U213" s="124"/>
      <c r="V213" s="124"/>
      <c r="W213" s="124"/>
    </row>
    <row r="214" spans="1:23" x14ac:dyDescent="0.3">
      <c r="A214" t="s">
        <v>198</v>
      </c>
      <c r="D214" s="124"/>
      <c r="E214" s="124"/>
      <c r="F214" s="124"/>
      <c r="G214" s="124"/>
      <c r="H214" s="124"/>
      <c r="I214" s="124"/>
      <c r="J214" s="124"/>
      <c r="K214" s="124"/>
      <c r="L214" s="124"/>
      <c r="M214" s="124"/>
      <c r="N214" s="124"/>
      <c r="O214" s="124"/>
      <c r="P214" s="124"/>
      <c r="Q214" s="124"/>
      <c r="R214" s="124"/>
      <c r="S214" s="124"/>
      <c r="T214" s="124"/>
      <c r="U214" s="124"/>
      <c r="V214" s="124"/>
      <c r="W214" s="124"/>
    </row>
    <row r="215" spans="1:23" x14ac:dyDescent="0.3">
      <c r="A215" t="s">
        <v>199</v>
      </c>
      <c r="D215" s="124"/>
      <c r="E215" s="124"/>
      <c r="F215" s="124"/>
      <c r="G215" s="124"/>
      <c r="H215" s="124"/>
      <c r="I215" s="124"/>
      <c r="J215" s="124"/>
      <c r="K215" s="124"/>
      <c r="L215" s="124"/>
      <c r="M215" s="124"/>
      <c r="N215" s="124"/>
      <c r="O215" s="124"/>
      <c r="P215" s="124"/>
      <c r="Q215" s="124"/>
      <c r="R215" s="124"/>
      <c r="S215" s="124"/>
      <c r="T215" s="124"/>
      <c r="U215" s="124"/>
      <c r="V215" s="124"/>
      <c r="W215" s="124"/>
    </row>
    <row r="216" spans="1:23" ht="15" customHeight="1" x14ac:dyDescent="0.3">
      <c r="A216" t="s">
        <v>200</v>
      </c>
      <c r="D216" s="124"/>
      <c r="E216" s="124"/>
      <c r="F216" s="124"/>
      <c r="G216" s="124"/>
      <c r="H216" s="124"/>
      <c r="I216" s="124"/>
      <c r="J216" s="124"/>
      <c r="K216" s="124"/>
      <c r="L216" s="124"/>
      <c r="M216" s="124"/>
      <c r="N216" s="124"/>
      <c r="O216" s="124"/>
      <c r="P216" s="124"/>
      <c r="Q216" s="124"/>
      <c r="R216" s="124"/>
      <c r="S216" s="124"/>
      <c r="T216" s="124"/>
      <c r="U216" s="124"/>
      <c r="V216" s="124"/>
      <c r="W216" s="124"/>
    </row>
    <row r="217" spans="1:23" ht="15" customHeight="1" x14ac:dyDescent="0.3">
      <c r="A217" s="122" t="s">
        <v>201</v>
      </c>
    </row>
    <row r="218" spans="1:23" ht="15" customHeight="1" x14ac:dyDescent="0.3">
      <c r="A218" s="122" t="s">
        <v>202</v>
      </c>
    </row>
    <row r="219" spans="1:23" ht="15" customHeight="1" x14ac:dyDescent="0.3">
      <c r="A219" s="122" t="s">
        <v>203</v>
      </c>
    </row>
    <row r="220" spans="1:23" ht="15" customHeight="1" x14ac:dyDescent="0.3">
      <c r="A220" s="122" t="s">
        <v>204</v>
      </c>
    </row>
    <row r="221" spans="1:23" ht="15" customHeight="1" x14ac:dyDescent="0.3">
      <c r="A221" s="122" t="s">
        <v>205</v>
      </c>
    </row>
    <row r="222" spans="1:23" ht="15" customHeight="1" x14ac:dyDescent="0.3">
      <c r="A222" s="122" t="s">
        <v>206</v>
      </c>
    </row>
    <row r="223" spans="1:23" ht="15" customHeight="1" x14ac:dyDescent="0.3">
      <c r="A223" t="s">
        <v>207</v>
      </c>
    </row>
    <row r="224" spans="1:23" x14ac:dyDescent="0.3">
      <c r="A224" t="s">
        <v>208</v>
      </c>
      <c r="D224" s="124"/>
      <c r="E224" s="124"/>
      <c r="F224" s="124"/>
      <c r="G224" s="124"/>
      <c r="H224" s="124"/>
      <c r="I224" s="124"/>
      <c r="J224" s="124"/>
      <c r="K224" s="124"/>
      <c r="L224" s="124"/>
      <c r="M224" s="124"/>
      <c r="N224" s="124"/>
      <c r="O224" s="124"/>
      <c r="P224" s="124"/>
      <c r="Q224" s="124"/>
      <c r="R224" s="124"/>
      <c r="S224" s="124"/>
      <c r="T224" s="124"/>
      <c r="U224" s="124"/>
      <c r="V224" s="124"/>
      <c r="W224" s="124"/>
    </row>
    <row r="225" spans="1:23" x14ac:dyDescent="0.3">
      <c r="A225" t="s">
        <v>209</v>
      </c>
      <c r="D225" s="124"/>
      <c r="E225" s="124"/>
      <c r="F225" s="124"/>
      <c r="G225" s="124"/>
      <c r="H225" s="124"/>
      <c r="I225" s="124"/>
      <c r="J225" s="124"/>
      <c r="K225" s="124"/>
      <c r="L225" s="124"/>
      <c r="M225" s="124"/>
      <c r="N225" s="124"/>
      <c r="O225" s="124"/>
      <c r="P225" s="124"/>
      <c r="Q225" s="124"/>
      <c r="R225" s="124"/>
      <c r="S225" s="124"/>
      <c r="T225" s="124"/>
      <c r="U225" s="124"/>
      <c r="V225" s="124"/>
      <c r="W225" s="124"/>
    </row>
    <row r="226" spans="1:23" x14ac:dyDescent="0.3">
      <c r="A226" t="s">
        <v>210</v>
      </c>
      <c r="D226" s="124"/>
      <c r="E226" s="124"/>
      <c r="F226" s="124"/>
      <c r="G226" s="124"/>
      <c r="H226" s="124"/>
      <c r="I226" s="124"/>
      <c r="J226" s="124"/>
      <c r="K226" s="124"/>
      <c r="L226" s="124"/>
      <c r="M226" s="124"/>
      <c r="N226" s="124"/>
      <c r="O226" s="124"/>
      <c r="P226" s="124"/>
      <c r="Q226" s="124"/>
      <c r="R226" s="124"/>
      <c r="S226" s="124"/>
      <c r="T226" s="124"/>
      <c r="U226" s="124"/>
      <c r="V226" s="124"/>
      <c r="W226" s="124"/>
    </row>
    <row r="227" spans="1:23" x14ac:dyDescent="0.3">
      <c r="D227" s="124"/>
      <c r="E227" s="124"/>
      <c r="F227" s="124"/>
      <c r="G227" s="124"/>
      <c r="H227" s="124"/>
      <c r="I227" s="124"/>
      <c r="J227" s="124"/>
      <c r="K227" s="124"/>
      <c r="L227" s="124"/>
      <c r="M227" s="124"/>
      <c r="N227" s="124"/>
      <c r="O227" s="124"/>
      <c r="P227" s="124"/>
      <c r="Q227" s="124"/>
      <c r="R227" s="124"/>
      <c r="S227" s="124"/>
      <c r="T227" s="124"/>
      <c r="U227" s="124"/>
      <c r="V227" s="124"/>
      <c r="W227" s="124"/>
    </row>
    <row r="228" spans="1:23" x14ac:dyDescent="0.3">
      <c r="D228" s="124"/>
      <c r="E228" s="124"/>
      <c r="F228" s="124"/>
      <c r="G228" s="124"/>
      <c r="H228" s="124"/>
      <c r="I228" s="124"/>
      <c r="J228" s="124"/>
      <c r="K228" s="124"/>
      <c r="L228" s="124"/>
      <c r="M228" s="124"/>
      <c r="N228" s="124"/>
      <c r="O228" s="124"/>
      <c r="P228" s="124"/>
      <c r="Q228" s="124"/>
      <c r="R228" s="124"/>
      <c r="S228" s="124"/>
      <c r="T228" s="124"/>
      <c r="U228" s="124"/>
      <c r="V228" s="124"/>
      <c r="W228" s="124"/>
    </row>
    <row r="229" spans="1:23" x14ac:dyDescent="0.3">
      <c r="D229" s="124"/>
      <c r="E229" s="124"/>
      <c r="F229" s="124"/>
      <c r="G229" s="124"/>
      <c r="H229" s="124"/>
      <c r="I229" s="124"/>
      <c r="J229" s="124"/>
      <c r="K229" s="124"/>
      <c r="L229" s="124"/>
      <c r="M229" s="124"/>
      <c r="N229" s="124"/>
      <c r="O229" s="124"/>
      <c r="P229" s="124"/>
      <c r="Q229" s="124"/>
      <c r="R229" s="124"/>
      <c r="S229" s="124"/>
      <c r="T229" s="124"/>
      <c r="U229" s="124"/>
      <c r="V229" s="124"/>
      <c r="W229" s="124"/>
    </row>
    <row r="230" spans="1:23" x14ac:dyDescent="0.3">
      <c r="D230" s="124"/>
      <c r="E230" s="124"/>
      <c r="F230" s="124"/>
      <c r="G230" s="124"/>
      <c r="H230" s="124"/>
      <c r="I230" s="124"/>
      <c r="J230" s="124"/>
      <c r="K230" s="124"/>
      <c r="L230" s="124"/>
      <c r="M230" s="124"/>
      <c r="N230" s="124"/>
      <c r="O230" s="124"/>
      <c r="P230" s="124"/>
      <c r="Q230" s="124"/>
      <c r="R230" s="124"/>
      <c r="S230" s="124"/>
      <c r="T230" s="124"/>
      <c r="U230" s="124"/>
      <c r="V230" s="124"/>
      <c r="W230" s="124"/>
    </row>
    <row r="231" spans="1:23" x14ac:dyDescent="0.3">
      <c r="D231" s="124"/>
      <c r="E231" s="124"/>
      <c r="F231" s="124"/>
      <c r="G231" s="124"/>
      <c r="H231" s="124"/>
      <c r="I231" s="124"/>
      <c r="J231" s="124"/>
      <c r="K231" s="124"/>
      <c r="L231" s="124"/>
      <c r="M231" s="124"/>
      <c r="N231" s="124"/>
      <c r="O231" s="124"/>
      <c r="P231" s="124"/>
      <c r="Q231" s="124"/>
      <c r="R231" s="124"/>
      <c r="S231" s="124"/>
      <c r="T231" s="124"/>
      <c r="U231" s="124"/>
      <c r="V231" s="124"/>
      <c r="W231" s="124"/>
    </row>
    <row r="232" spans="1:23" x14ac:dyDescent="0.3">
      <c r="D232" s="124"/>
      <c r="E232" s="124"/>
      <c r="F232" s="124"/>
      <c r="G232" s="124"/>
      <c r="H232" s="124"/>
      <c r="I232" s="124"/>
      <c r="J232" s="124"/>
      <c r="K232" s="124"/>
      <c r="L232" s="124"/>
      <c r="M232" s="124"/>
      <c r="N232" s="124"/>
      <c r="O232" s="124"/>
      <c r="P232" s="124"/>
      <c r="Q232" s="124"/>
      <c r="R232" s="124"/>
      <c r="S232" s="124"/>
      <c r="T232" s="124"/>
      <c r="U232" s="124"/>
      <c r="V232" s="124"/>
      <c r="W232" s="124"/>
    </row>
    <row r="233" spans="1:23" x14ac:dyDescent="0.3">
      <c r="D233" s="124"/>
      <c r="E233" s="124"/>
      <c r="F233" s="124"/>
      <c r="G233" s="124"/>
      <c r="H233" s="124"/>
      <c r="I233" s="124"/>
      <c r="J233" s="124"/>
      <c r="K233" s="124"/>
      <c r="L233" s="124"/>
      <c r="M233" s="124"/>
      <c r="N233" s="124"/>
      <c r="O233" s="124"/>
      <c r="P233" s="124"/>
      <c r="Q233" s="124"/>
      <c r="R233" s="124"/>
      <c r="S233" s="124"/>
      <c r="T233" s="124"/>
      <c r="U233" s="124"/>
      <c r="V233" s="124"/>
      <c r="W233" s="124"/>
    </row>
    <row r="234" spans="1:23" x14ac:dyDescent="0.3">
      <c r="D234" s="124"/>
      <c r="E234" s="124"/>
      <c r="F234" s="124"/>
      <c r="G234" s="124"/>
      <c r="H234" s="124"/>
      <c r="I234" s="124"/>
      <c r="J234" s="124"/>
      <c r="K234" s="124"/>
      <c r="L234" s="124"/>
      <c r="M234" s="124"/>
      <c r="N234" s="124"/>
      <c r="O234" s="124"/>
      <c r="P234" s="124"/>
      <c r="Q234" s="124"/>
      <c r="R234" s="124"/>
      <c r="S234" s="124"/>
      <c r="T234" s="124"/>
      <c r="U234" s="124"/>
      <c r="V234" s="124"/>
      <c r="W234" s="124"/>
    </row>
    <row r="235" spans="1:23" x14ac:dyDescent="0.3">
      <c r="D235" s="124"/>
      <c r="E235" s="124"/>
      <c r="F235" s="124"/>
      <c r="G235" s="124"/>
      <c r="H235" s="124"/>
      <c r="I235" s="124"/>
      <c r="J235" s="124"/>
      <c r="K235" s="124"/>
      <c r="L235" s="124"/>
      <c r="M235" s="124"/>
      <c r="N235" s="124"/>
      <c r="O235" s="124"/>
      <c r="P235" s="124"/>
      <c r="Q235" s="124"/>
      <c r="R235" s="124"/>
      <c r="S235" s="124"/>
      <c r="T235" s="124"/>
      <c r="U235" s="124"/>
      <c r="V235" s="124"/>
      <c r="W235" s="124"/>
    </row>
    <row r="236" spans="1:23" x14ac:dyDescent="0.3">
      <c r="D236" s="124"/>
      <c r="E236" s="124"/>
      <c r="F236" s="124"/>
      <c r="G236" s="124"/>
      <c r="H236" s="124"/>
      <c r="I236" s="124"/>
      <c r="J236" s="124"/>
      <c r="K236" s="124"/>
      <c r="L236" s="124"/>
      <c r="M236" s="124"/>
      <c r="N236" s="124"/>
      <c r="O236" s="124"/>
      <c r="P236" s="124"/>
      <c r="Q236" s="124"/>
      <c r="R236" s="124"/>
      <c r="S236" s="124"/>
      <c r="T236" s="124"/>
      <c r="U236" s="124"/>
      <c r="V236" s="124"/>
      <c r="W236" s="124"/>
    </row>
    <row r="237" spans="1:23" x14ac:dyDescent="0.3">
      <c r="D237" s="124"/>
      <c r="E237" s="124"/>
      <c r="F237" s="124"/>
      <c r="G237" s="124"/>
      <c r="H237" s="124"/>
      <c r="I237" s="124"/>
      <c r="J237" s="124"/>
      <c r="K237" s="124"/>
      <c r="L237" s="124"/>
      <c r="M237" s="124"/>
      <c r="N237" s="124"/>
      <c r="O237" s="124"/>
      <c r="P237" s="124"/>
      <c r="Q237" s="124"/>
      <c r="R237" s="124"/>
      <c r="S237" s="124"/>
      <c r="T237" s="124"/>
      <c r="U237" s="124"/>
      <c r="V237" s="124"/>
      <c r="W237" s="124"/>
    </row>
    <row r="238" spans="1:23" x14ac:dyDescent="0.3">
      <c r="D238" s="124"/>
      <c r="E238" s="124"/>
      <c r="F238" s="124"/>
      <c r="G238" s="124"/>
      <c r="H238" s="124"/>
      <c r="I238" s="124"/>
      <c r="J238" s="124"/>
      <c r="K238" s="124"/>
      <c r="L238" s="124"/>
      <c r="M238" s="124"/>
      <c r="N238" s="124"/>
      <c r="O238" s="124"/>
      <c r="P238" s="124"/>
      <c r="Q238" s="124"/>
      <c r="R238" s="124"/>
      <c r="S238" s="124"/>
      <c r="T238" s="124"/>
      <c r="U238" s="124"/>
      <c r="V238" s="124"/>
      <c r="W238" s="124"/>
    </row>
    <row r="239" spans="1:23" x14ac:dyDescent="0.3">
      <c r="D239" s="124"/>
      <c r="E239" s="124"/>
      <c r="F239" s="124"/>
      <c r="G239" s="124"/>
      <c r="H239" s="124"/>
      <c r="I239" s="124"/>
      <c r="J239" s="124"/>
      <c r="K239" s="124"/>
      <c r="L239" s="124"/>
      <c r="M239" s="124"/>
      <c r="N239" s="124"/>
      <c r="O239" s="124"/>
      <c r="P239" s="124"/>
      <c r="Q239" s="124"/>
      <c r="R239" s="124"/>
      <c r="S239" s="124"/>
      <c r="T239" s="124"/>
      <c r="U239" s="124"/>
      <c r="V239" s="124"/>
      <c r="W239" s="124"/>
    </row>
    <row r="240" spans="1:23" x14ac:dyDescent="0.3">
      <c r="D240" s="124"/>
      <c r="E240" s="124"/>
      <c r="F240" s="124"/>
      <c r="G240" s="124"/>
      <c r="H240" s="124"/>
      <c r="I240" s="124"/>
      <c r="J240" s="124"/>
      <c r="K240" s="124"/>
      <c r="L240" s="124"/>
      <c r="M240" s="124"/>
      <c r="N240" s="124"/>
      <c r="O240" s="124"/>
      <c r="P240" s="124"/>
      <c r="Q240" s="124"/>
      <c r="R240" s="124"/>
      <c r="S240" s="124"/>
      <c r="T240" s="124"/>
      <c r="U240" s="124"/>
      <c r="V240" s="124"/>
      <c r="W240" s="124"/>
    </row>
    <row r="241" spans="4:23" x14ac:dyDescent="0.3">
      <c r="D241" s="124"/>
      <c r="E241" s="124"/>
      <c r="F241" s="124"/>
      <c r="G241" s="124"/>
      <c r="H241" s="124"/>
      <c r="I241" s="124"/>
      <c r="J241" s="124"/>
      <c r="K241" s="124"/>
      <c r="L241" s="124"/>
      <c r="M241" s="124"/>
      <c r="N241" s="124"/>
      <c r="O241" s="124"/>
      <c r="P241" s="124"/>
      <c r="Q241" s="124"/>
      <c r="R241" s="124"/>
      <c r="S241" s="124"/>
      <c r="T241" s="124"/>
      <c r="U241" s="124"/>
      <c r="V241" s="124"/>
      <c r="W241" s="124"/>
    </row>
    <row r="242" spans="4:23" x14ac:dyDescent="0.3">
      <c r="D242" s="124"/>
      <c r="E242" s="124"/>
      <c r="F242" s="124"/>
      <c r="G242" s="124"/>
      <c r="H242" s="124"/>
      <c r="I242" s="124"/>
      <c r="J242" s="124"/>
      <c r="K242" s="124"/>
      <c r="L242" s="124"/>
      <c r="M242" s="124"/>
      <c r="N242" s="124"/>
      <c r="O242" s="124"/>
      <c r="P242" s="124"/>
      <c r="Q242" s="124"/>
      <c r="R242" s="124"/>
      <c r="S242" s="124"/>
      <c r="T242" s="124"/>
      <c r="U242" s="124"/>
      <c r="V242" s="124"/>
      <c r="W242" s="124"/>
    </row>
    <row r="243" spans="4:23" x14ac:dyDescent="0.3">
      <c r="D243" s="124"/>
      <c r="E243" s="124"/>
      <c r="F243" s="124"/>
      <c r="G243" s="124"/>
      <c r="H243" s="124"/>
      <c r="I243" s="124"/>
      <c r="J243" s="124"/>
      <c r="K243" s="124"/>
      <c r="L243" s="124"/>
      <c r="M243" s="124"/>
      <c r="N243" s="124"/>
      <c r="O243" s="124"/>
      <c r="P243" s="124"/>
      <c r="Q243" s="124"/>
      <c r="R243" s="124"/>
      <c r="S243" s="124"/>
      <c r="T243" s="124"/>
      <c r="U243" s="124"/>
      <c r="V243" s="124"/>
      <c r="W243" s="124"/>
    </row>
    <row r="244" spans="4:23" x14ac:dyDescent="0.3">
      <c r="D244" s="124"/>
      <c r="E244" s="124"/>
      <c r="F244" s="124"/>
      <c r="G244" s="124"/>
      <c r="H244" s="124"/>
      <c r="I244" s="124"/>
      <c r="J244" s="124"/>
      <c r="K244" s="124"/>
      <c r="L244" s="124"/>
      <c r="M244" s="124"/>
      <c r="N244" s="124"/>
      <c r="O244" s="124"/>
      <c r="P244" s="124"/>
      <c r="Q244" s="124"/>
      <c r="R244" s="124"/>
      <c r="S244" s="124"/>
      <c r="T244" s="124"/>
      <c r="U244" s="124"/>
      <c r="V244" s="124"/>
      <c r="W244" s="124"/>
    </row>
    <row r="245" spans="4:23" x14ac:dyDescent="0.3">
      <c r="D245" s="124"/>
      <c r="E245" s="124"/>
      <c r="F245" s="124"/>
      <c r="G245" s="124"/>
      <c r="H245" s="124"/>
      <c r="I245" s="124"/>
      <c r="J245" s="124"/>
      <c r="K245" s="124"/>
      <c r="L245" s="124"/>
      <c r="M245" s="124"/>
      <c r="N245" s="124"/>
      <c r="O245" s="124"/>
      <c r="P245" s="124"/>
      <c r="Q245" s="124"/>
      <c r="R245" s="124"/>
      <c r="S245" s="124"/>
      <c r="T245" s="124"/>
      <c r="U245" s="124"/>
      <c r="V245" s="124"/>
      <c r="W245" s="124"/>
    </row>
    <row r="246" spans="4:23" x14ac:dyDescent="0.3">
      <c r="D246" s="124"/>
      <c r="E246" s="124"/>
      <c r="F246" s="124"/>
      <c r="G246" s="124"/>
      <c r="H246" s="124"/>
      <c r="I246" s="124"/>
      <c r="J246" s="124"/>
      <c r="K246" s="124"/>
      <c r="L246" s="124"/>
      <c r="M246" s="124"/>
      <c r="N246" s="124"/>
      <c r="O246" s="124"/>
      <c r="P246" s="124"/>
      <c r="Q246" s="124"/>
      <c r="R246" s="124"/>
      <c r="S246" s="124"/>
      <c r="T246" s="124"/>
      <c r="U246" s="124"/>
      <c r="V246" s="124"/>
      <c r="W246" s="124"/>
    </row>
    <row r="247" spans="4:23" x14ac:dyDescent="0.3">
      <c r="D247" s="124"/>
      <c r="E247" s="124"/>
      <c r="F247" s="124"/>
      <c r="G247" s="124"/>
      <c r="H247" s="124"/>
      <c r="I247" s="124"/>
      <c r="J247" s="124"/>
      <c r="K247" s="124"/>
      <c r="L247" s="124"/>
      <c r="M247" s="124"/>
      <c r="N247" s="124"/>
      <c r="O247" s="124"/>
      <c r="P247" s="124"/>
      <c r="Q247" s="124"/>
      <c r="R247" s="124"/>
      <c r="S247" s="124"/>
      <c r="T247" s="124"/>
      <c r="U247" s="124"/>
      <c r="V247" s="124"/>
      <c r="W247" s="124"/>
    </row>
    <row r="248" spans="4:23" x14ac:dyDescent="0.3">
      <c r="D248" s="124"/>
      <c r="E248" s="124"/>
      <c r="F248" s="124"/>
      <c r="G248" s="124"/>
      <c r="H248" s="124"/>
      <c r="I248" s="124"/>
      <c r="J248" s="124"/>
      <c r="K248" s="124"/>
      <c r="L248" s="124"/>
      <c r="M248" s="124"/>
      <c r="N248" s="124"/>
      <c r="O248" s="124"/>
      <c r="P248" s="124"/>
      <c r="Q248" s="124"/>
      <c r="R248" s="124"/>
      <c r="S248" s="124"/>
      <c r="T248" s="124"/>
      <c r="U248" s="124"/>
      <c r="V248" s="124"/>
      <c r="W248" s="124"/>
    </row>
    <row r="249" spans="4:23" x14ac:dyDescent="0.3">
      <c r="D249" s="124"/>
      <c r="E249" s="124"/>
      <c r="F249" s="124"/>
      <c r="G249" s="124"/>
      <c r="H249" s="124"/>
      <c r="I249" s="124"/>
      <c r="J249" s="124"/>
      <c r="K249" s="124"/>
      <c r="L249" s="124"/>
      <c r="M249" s="124"/>
      <c r="N249" s="124"/>
      <c r="O249" s="124"/>
      <c r="P249" s="124"/>
      <c r="Q249" s="124"/>
      <c r="R249" s="124"/>
      <c r="S249" s="124"/>
      <c r="T249" s="124"/>
      <c r="U249" s="124"/>
      <c r="V249" s="124"/>
      <c r="W249" s="124"/>
    </row>
    <row r="250" spans="4:23" x14ac:dyDescent="0.3">
      <c r="D250" s="124"/>
      <c r="E250" s="124"/>
      <c r="F250" s="124"/>
      <c r="G250" s="124"/>
      <c r="H250" s="124"/>
      <c r="I250" s="124"/>
      <c r="J250" s="124"/>
      <c r="K250" s="124"/>
      <c r="L250" s="124"/>
      <c r="M250" s="124"/>
      <c r="N250" s="124"/>
      <c r="O250" s="124"/>
      <c r="P250" s="124"/>
      <c r="Q250" s="124"/>
      <c r="R250" s="124"/>
      <c r="S250" s="124"/>
      <c r="T250" s="124"/>
      <c r="U250" s="124"/>
      <c r="V250" s="124"/>
      <c r="W250" s="124"/>
    </row>
    <row r="251" spans="4:23" x14ac:dyDescent="0.3">
      <c r="D251" s="124"/>
      <c r="E251" s="124"/>
      <c r="F251" s="124"/>
      <c r="G251" s="124"/>
      <c r="H251" s="124"/>
      <c r="I251" s="124"/>
      <c r="J251" s="124"/>
      <c r="K251" s="124"/>
      <c r="L251" s="124"/>
      <c r="M251" s="124"/>
      <c r="N251" s="124"/>
      <c r="O251" s="124"/>
      <c r="P251" s="124"/>
      <c r="Q251" s="124"/>
      <c r="R251" s="124"/>
      <c r="S251" s="124"/>
      <c r="T251" s="124"/>
      <c r="U251" s="124"/>
      <c r="V251" s="124"/>
      <c r="W251" s="124"/>
    </row>
    <row r="252" spans="4:23" x14ac:dyDescent="0.3">
      <c r="D252" s="124"/>
      <c r="E252" s="124"/>
      <c r="F252" s="124"/>
      <c r="G252" s="124"/>
      <c r="H252" s="124"/>
      <c r="I252" s="124"/>
      <c r="J252" s="124"/>
      <c r="K252" s="124"/>
      <c r="L252" s="124"/>
      <c r="M252" s="124"/>
      <c r="N252" s="124"/>
      <c r="O252" s="124"/>
      <c r="P252" s="124"/>
      <c r="Q252" s="124"/>
      <c r="R252" s="124"/>
      <c r="S252" s="124"/>
      <c r="T252" s="124"/>
      <c r="U252" s="124"/>
      <c r="V252" s="124"/>
      <c r="W252" s="124"/>
    </row>
    <row r="253" spans="4:23" x14ac:dyDescent="0.3">
      <c r="D253" s="124"/>
      <c r="E253" s="124"/>
      <c r="F253" s="124"/>
      <c r="G253" s="124"/>
      <c r="H253" s="124"/>
      <c r="I253" s="124"/>
      <c r="J253" s="124"/>
      <c r="K253" s="124"/>
      <c r="L253" s="124"/>
      <c r="M253" s="124"/>
      <c r="N253" s="124"/>
      <c r="O253" s="124"/>
      <c r="P253" s="124"/>
      <c r="Q253" s="124"/>
      <c r="R253" s="124"/>
      <c r="S253" s="124"/>
      <c r="T253" s="124"/>
      <c r="U253" s="124"/>
      <c r="V253" s="124"/>
      <c r="W253" s="124"/>
    </row>
    <row r="254" spans="4:23" x14ac:dyDescent="0.3">
      <c r="D254" s="124"/>
      <c r="E254" s="124"/>
      <c r="F254" s="124"/>
      <c r="G254" s="124"/>
      <c r="H254" s="124"/>
      <c r="I254" s="124"/>
      <c r="J254" s="124"/>
      <c r="K254" s="124"/>
      <c r="L254" s="124"/>
      <c r="M254" s="124"/>
      <c r="N254" s="124"/>
      <c r="O254" s="124"/>
      <c r="P254" s="124"/>
      <c r="Q254" s="124"/>
      <c r="R254" s="124"/>
      <c r="S254" s="124"/>
      <c r="T254" s="124"/>
      <c r="U254" s="124"/>
      <c r="V254" s="124"/>
      <c r="W254" s="124"/>
    </row>
    <row r="255" spans="4:23" x14ac:dyDescent="0.3">
      <c r="D255" s="124"/>
      <c r="E255" s="124"/>
      <c r="F255" s="124"/>
      <c r="G255" s="124"/>
      <c r="H255" s="124"/>
      <c r="I255" s="124"/>
      <c r="J255" s="124"/>
      <c r="K255" s="124"/>
      <c r="L255" s="124"/>
      <c r="M255" s="124"/>
      <c r="N255" s="124"/>
      <c r="O255" s="124"/>
      <c r="P255" s="124"/>
      <c r="Q255" s="124"/>
      <c r="R255" s="124"/>
      <c r="S255" s="124"/>
      <c r="T255" s="124"/>
      <c r="U255" s="124"/>
      <c r="V255" s="124"/>
      <c r="W255" s="124"/>
    </row>
    <row r="256" spans="4:23" x14ac:dyDescent="0.3">
      <c r="D256" s="124"/>
      <c r="E256" s="124"/>
      <c r="F256" s="124"/>
      <c r="G256" s="124"/>
      <c r="H256" s="124"/>
      <c r="I256" s="124"/>
      <c r="J256" s="124"/>
      <c r="K256" s="124"/>
      <c r="L256" s="124"/>
      <c r="M256" s="124"/>
      <c r="N256" s="124"/>
      <c r="O256" s="124"/>
      <c r="P256" s="124"/>
      <c r="Q256" s="124"/>
      <c r="R256" s="124"/>
      <c r="S256" s="124"/>
      <c r="T256" s="124"/>
      <c r="U256" s="124"/>
      <c r="V256" s="124"/>
      <c r="W256" s="124"/>
    </row>
    <row r="257" spans="4:23" x14ac:dyDescent="0.3">
      <c r="D257" s="124"/>
      <c r="E257" s="124"/>
      <c r="F257" s="124"/>
      <c r="G257" s="124"/>
      <c r="H257" s="124"/>
      <c r="I257" s="124"/>
      <c r="J257" s="124"/>
      <c r="K257" s="124"/>
      <c r="L257" s="124"/>
      <c r="M257" s="124"/>
      <c r="N257" s="124"/>
      <c r="O257" s="124"/>
      <c r="P257" s="124"/>
      <c r="Q257" s="124"/>
      <c r="R257" s="124"/>
      <c r="S257" s="124"/>
      <c r="T257" s="124"/>
      <c r="U257" s="124"/>
      <c r="V257" s="124"/>
      <c r="W257" s="124"/>
    </row>
    <row r="258" spans="4:23" ht="15" customHeight="1" x14ac:dyDescent="0.3">
      <c r="D258" s="124"/>
      <c r="E258" s="124"/>
      <c r="F258" s="124"/>
      <c r="G258" s="124"/>
      <c r="H258" s="124"/>
      <c r="I258" s="124"/>
      <c r="J258" s="124"/>
      <c r="K258" s="124"/>
      <c r="L258" s="124"/>
      <c r="M258" s="124"/>
      <c r="N258" s="124"/>
      <c r="O258" s="124"/>
      <c r="P258" s="124"/>
      <c r="Q258" s="124"/>
      <c r="R258" s="124"/>
      <c r="S258" s="124"/>
      <c r="T258" s="124"/>
      <c r="U258" s="124"/>
      <c r="V258" s="124"/>
      <c r="W258" s="124"/>
    </row>
  </sheetData>
  <phoneticPr fontId="5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tabColor rgb="FF92D050"/>
  </sheetPr>
  <dimension ref="A1:H198"/>
  <sheetViews>
    <sheetView zoomScale="85" zoomScaleNormal="85" workbookViewId="0">
      <selection activeCell="F9" sqref="F9"/>
    </sheetView>
  </sheetViews>
  <sheetFormatPr defaultRowHeight="14" x14ac:dyDescent="0.3"/>
  <cols>
    <col min="1" max="1" width="20" style="1" customWidth="1"/>
    <col min="2" max="2" width="8" style="1" customWidth="1"/>
    <col min="3" max="4" width="5" customWidth="1"/>
    <col min="5" max="5" width="20" customWidth="1"/>
    <col min="6" max="6" width="20" style="1" customWidth="1"/>
    <col min="7" max="8" width="2" style="15" customWidth="1"/>
  </cols>
  <sheetData>
    <row r="1" spans="1:7" ht="18" customHeight="1" x14ac:dyDescent="0.3">
      <c r="A1" s="134" t="s">
        <v>211</v>
      </c>
      <c r="B1" s="134"/>
      <c r="C1" s="134"/>
      <c r="D1" s="134"/>
      <c r="E1" s="134"/>
      <c r="F1" s="134"/>
    </row>
    <row r="2" spans="1:7" ht="30.75" customHeight="1" x14ac:dyDescent="0.35">
      <c r="A2" s="132" t="s">
        <v>176</v>
      </c>
      <c r="B2" s="132" t="s">
        <v>212</v>
      </c>
      <c r="C2" s="132" t="s">
        <v>213</v>
      </c>
      <c r="D2" s="132" t="s">
        <v>214</v>
      </c>
      <c r="E2" s="132" t="s">
        <v>215</v>
      </c>
      <c r="F2" s="132" t="s">
        <v>216</v>
      </c>
    </row>
    <row r="3" spans="1:7" ht="15.5" customHeight="1" x14ac:dyDescent="0.3">
      <c r="A3" s="133" t="s">
        <v>217</v>
      </c>
      <c r="B3" s="201">
        <v>1392</v>
      </c>
      <c r="C3" s="201">
        <v>0</v>
      </c>
      <c r="D3" s="201">
        <v>1</v>
      </c>
      <c r="E3" s="202">
        <v>0.99425287356321834</v>
      </c>
      <c r="F3" s="202">
        <v>7.5618813005138286E-2</v>
      </c>
      <c r="G3" s="32"/>
    </row>
    <row r="4" spans="1:7" ht="18" customHeight="1" x14ac:dyDescent="0.3">
      <c r="A4" s="133" t="s">
        <v>218</v>
      </c>
      <c r="B4" s="201">
        <v>1392</v>
      </c>
      <c r="C4" s="201">
        <v>0</v>
      </c>
      <c r="D4" s="201">
        <v>1</v>
      </c>
      <c r="E4" s="202">
        <v>0.77442528735632188</v>
      </c>
      <c r="F4" s="202">
        <v>0.4181104496617854</v>
      </c>
      <c r="G4" s="32"/>
    </row>
    <row r="5" spans="1:7" ht="13.5" customHeight="1" x14ac:dyDescent="0.3">
      <c r="A5" s="133" t="s">
        <v>219</v>
      </c>
      <c r="B5" s="201">
        <v>1392</v>
      </c>
      <c r="C5" s="201">
        <v>0</v>
      </c>
      <c r="D5" s="201">
        <v>1</v>
      </c>
      <c r="E5" s="202">
        <v>0.72413793103448276</v>
      </c>
      <c r="F5" s="202">
        <v>0.44710826245877883</v>
      </c>
      <c r="G5" s="32"/>
    </row>
    <row r="6" spans="1:7" ht="13.5" customHeight="1" x14ac:dyDescent="0.3">
      <c r="A6" s="133" t="s">
        <v>220</v>
      </c>
      <c r="B6" s="201">
        <v>2400</v>
      </c>
      <c r="C6" s="203">
        <v>0</v>
      </c>
      <c r="D6" s="203">
        <v>1</v>
      </c>
      <c r="E6" s="204">
        <v>0.12</v>
      </c>
      <c r="F6" s="204">
        <v>0.32502925766917568</v>
      </c>
      <c r="G6" s="32"/>
    </row>
    <row r="7" spans="1:7" ht="13.5" customHeight="1" x14ac:dyDescent="0.35">
      <c r="A7" s="138" t="s">
        <v>221</v>
      </c>
      <c r="B7" s="205">
        <v>1384</v>
      </c>
      <c r="C7" s="205">
        <v>0</v>
      </c>
      <c r="D7" s="205">
        <v>1</v>
      </c>
      <c r="E7" s="206">
        <v>0.7969653179190751</v>
      </c>
      <c r="F7" s="206">
        <v>0.40240352929246059</v>
      </c>
      <c r="G7" s="32"/>
    </row>
    <row r="8" spans="1:7" ht="18" customHeight="1" x14ac:dyDescent="0.3">
      <c r="A8" s="134" t="s">
        <v>222</v>
      </c>
      <c r="B8" s="207">
        <v>1392</v>
      </c>
      <c r="C8" s="207">
        <v>0</v>
      </c>
      <c r="D8" s="207">
        <v>1</v>
      </c>
      <c r="E8" s="208">
        <v>0.50862068965517238</v>
      </c>
      <c r="F8" s="208">
        <v>0.50010534600080958</v>
      </c>
      <c r="G8" s="32"/>
    </row>
    <row r="9" spans="1:7" ht="13.5" customHeight="1" x14ac:dyDescent="0.35">
      <c r="A9" s="132" t="s">
        <v>223</v>
      </c>
      <c r="B9" s="209">
        <v>699</v>
      </c>
      <c r="C9" s="132"/>
      <c r="D9" s="132"/>
      <c r="E9" s="132"/>
      <c r="F9" s="132"/>
      <c r="G9" s="32"/>
    </row>
    <row r="10" spans="1:7" ht="13.5" customHeight="1" x14ac:dyDescent="0.3">
      <c r="A10" s="133"/>
      <c r="B10" s="135"/>
      <c r="C10" s="135"/>
      <c r="D10" s="135"/>
      <c r="E10" s="136"/>
      <c r="F10" s="137"/>
      <c r="G10" s="32"/>
    </row>
    <row r="11" spans="1:7" ht="13.5" customHeight="1" x14ac:dyDescent="0.3">
      <c r="A11" s="133" t="s">
        <v>224</v>
      </c>
      <c r="B11" s="135"/>
      <c r="C11" s="135"/>
      <c r="D11" s="135"/>
      <c r="E11" s="136"/>
      <c r="F11" s="137"/>
      <c r="G11" s="32"/>
    </row>
    <row r="12" spans="1:7" ht="13.5" customHeight="1" x14ac:dyDescent="0.3">
      <c r="A12" s="133" t="s">
        <v>176</v>
      </c>
      <c r="B12" s="135" t="s">
        <v>212</v>
      </c>
      <c r="C12" s="135" t="s">
        <v>213</v>
      </c>
      <c r="D12" s="135" t="s">
        <v>214</v>
      </c>
      <c r="E12" s="136" t="s">
        <v>215</v>
      </c>
      <c r="F12" s="137" t="s">
        <v>216</v>
      </c>
      <c r="G12" s="32"/>
    </row>
    <row r="13" spans="1:7" ht="13.5" customHeight="1" x14ac:dyDescent="0.3">
      <c r="A13" s="133" t="s">
        <v>79</v>
      </c>
      <c r="B13" s="201">
        <v>5320</v>
      </c>
      <c r="C13" s="201">
        <v>0</v>
      </c>
      <c r="D13" s="201">
        <v>1</v>
      </c>
      <c r="E13" s="202">
        <v>0.26015037593984958</v>
      </c>
      <c r="F13" s="202">
        <v>0.4387577277006981</v>
      </c>
      <c r="G13" s="32"/>
    </row>
    <row r="14" spans="1:7" ht="13.5" customHeight="1" x14ac:dyDescent="0.3">
      <c r="A14" s="133" t="s">
        <v>80</v>
      </c>
      <c r="B14" s="201">
        <v>5320</v>
      </c>
      <c r="C14" s="201">
        <v>0</v>
      </c>
      <c r="D14" s="201">
        <v>1</v>
      </c>
      <c r="E14" s="202">
        <v>0.20263157894736841</v>
      </c>
      <c r="F14" s="202">
        <v>0.40199800814353542</v>
      </c>
      <c r="G14" s="32"/>
    </row>
    <row r="15" spans="1:7" ht="13.5" customHeight="1" x14ac:dyDescent="0.3">
      <c r="A15" s="133" t="s">
        <v>78</v>
      </c>
      <c r="B15" s="201">
        <v>5320</v>
      </c>
      <c r="C15" s="201">
        <v>0</v>
      </c>
      <c r="D15" s="201">
        <v>1</v>
      </c>
      <c r="E15" s="202">
        <v>0.18947368421052629</v>
      </c>
      <c r="F15" s="202">
        <v>0.39192126736272309</v>
      </c>
      <c r="G15" s="32"/>
    </row>
    <row r="16" spans="1:7" ht="13.5" customHeight="1" x14ac:dyDescent="0.3">
      <c r="A16" s="133" t="s">
        <v>225</v>
      </c>
      <c r="B16" s="201">
        <v>5320</v>
      </c>
      <c r="C16" s="201">
        <v>0</v>
      </c>
      <c r="D16" s="201">
        <v>1</v>
      </c>
      <c r="E16" s="202">
        <v>5.4135338345864661E-2</v>
      </c>
      <c r="F16" s="202">
        <v>0.22630583342425861</v>
      </c>
      <c r="G16" s="31"/>
    </row>
    <row r="17" spans="1:7" ht="13.5" customHeight="1" x14ac:dyDescent="0.3">
      <c r="A17" s="133" t="s">
        <v>226</v>
      </c>
      <c r="B17" s="201">
        <v>5320</v>
      </c>
      <c r="C17" s="201">
        <v>0</v>
      </c>
      <c r="D17" s="201">
        <v>1</v>
      </c>
      <c r="E17" s="202">
        <v>0.2073308270676692</v>
      </c>
      <c r="F17" s="202">
        <v>0.40543267368851882</v>
      </c>
      <c r="G17" s="31"/>
    </row>
    <row r="18" spans="1:7" ht="15.5" customHeight="1" x14ac:dyDescent="0.3">
      <c r="A18" s="133" t="s">
        <v>227</v>
      </c>
      <c r="B18" s="201">
        <v>5320</v>
      </c>
      <c r="C18" s="201">
        <v>0</v>
      </c>
      <c r="D18" s="201">
        <v>1</v>
      </c>
      <c r="E18" s="202">
        <v>0.1330827067669173</v>
      </c>
      <c r="F18" s="202">
        <v>0.33969602649049019</v>
      </c>
      <c r="G18" s="31"/>
    </row>
    <row r="19" spans="1:7" ht="15.5" customHeight="1" x14ac:dyDescent="0.3">
      <c r="A19" s="133" t="s">
        <v>223</v>
      </c>
      <c r="B19" s="201">
        <v>5320</v>
      </c>
      <c r="C19" s="135"/>
      <c r="D19" s="135"/>
      <c r="E19" s="136"/>
      <c r="F19" s="137"/>
      <c r="G19" s="53"/>
    </row>
    <row r="20" spans="1:7" ht="15.5" customHeight="1" x14ac:dyDescent="0.3">
      <c r="A20" s="133"/>
      <c r="B20" s="135"/>
      <c r="C20" s="135"/>
      <c r="D20" s="135"/>
      <c r="E20" s="136"/>
      <c r="F20" s="137"/>
      <c r="G20" s="53"/>
    </row>
    <row r="21" spans="1:7" ht="15.5" customHeight="1" x14ac:dyDescent="0.3">
      <c r="A21" s="123" t="s">
        <v>228</v>
      </c>
      <c r="B21" s="135"/>
      <c r="C21" s="135"/>
      <c r="D21" s="135"/>
      <c r="E21" s="136"/>
      <c r="F21" s="137"/>
      <c r="G21" s="53"/>
    </row>
    <row r="22" spans="1:7" ht="15.5" customHeight="1" x14ac:dyDescent="0.3">
      <c r="A22" s="122" t="s">
        <v>176</v>
      </c>
      <c r="B22" s="135" t="s">
        <v>212</v>
      </c>
      <c r="C22" s="135" t="s">
        <v>213</v>
      </c>
      <c r="D22" s="135" t="s">
        <v>214</v>
      </c>
      <c r="E22" s="136" t="s">
        <v>215</v>
      </c>
      <c r="F22" s="137" t="s">
        <v>216</v>
      </c>
      <c r="G22" s="53"/>
    </row>
    <row r="23" spans="1:7" ht="15.5" customHeight="1" x14ac:dyDescent="0.3">
      <c r="A23" s="123" t="s">
        <v>229</v>
      </c>
      <c r="B23" s="201">
        <v>920</v>
      </c>
      <c r="C23" s="201">
        <v>0</v>
      </c>
      <c r="D23" s="201">
        <v>1</v>
      </c>
      <c r="E23" s="202">
        <v>0.36086956521739127</v>
      </c>
      <c r="F23" s="202">
        <v>0.48051398889439811</v>
      </c>
      <c r="G23" s="31"/>
    </row>
    <row r="24" spans="1:7" ht="15.5" customHeight="1" x14ac:dyDescent="0.3">
      <c r="A24" s="123" t="s">
        <v>230</v>
      </c>
      <c r="B24" s="201">
        <v>920</v>
      </c>
      <c r="C24" s="201">
        <v>0</v>
      </c>
      <c r="D24" s="201">
        <v>1</v>
      </c>
      <c r="E24" s="202">
        <v>0.18478260869565219</v>
      </c>
      <c r="F24" s="202">
        <v>0.38833221774700039</v>
      </c>
      <c r="G24" s="31"/>
    </row>
    <row r="25" spans="1:7" ht="15.5" customHeight="1" x14ac:dyDescent="0.3">
      <c r="A25" s="123" t="s">
        <v>231</v>
      </c>
      <c r="B25" s="201">
        <v>920</v>
      </c>
      <c r="C25" s="201">
        <v>0</v>
      </c>
      <c r="D25" s="201">
        <v>1</v>
      </c>
      <c r="E25" s="202">
        <v>0.14130434782608689</v>
      </c>
      <c r="F25" s="202">
        <v>0.3485246922880838</v>
      </c>
      <c r="G25" s="31"/>
    </row>
    <row r="26" spans="1:7" ht="15.5" customHeight="1" x14ac:dyDescent="0.3">
      <c r="A26" s="123" t="s">
        <v>232</v>
      </c>
      <c r="B26" s="201">
        <v>920</v>
      </c>
      <c r="C26" s="201">
        <v>0</v>
      </c>
      <c r="D26" s="201">
        <v>1</v>
      </c>
      <c r="E26" s="202">
        <v>0.43586956521739129</v>
      </c>
      <c r="F26" s="202">
        <v>0.49613994694122798</v>
      </c>
      <c r="G26" s="31"/>
    </row>
    <row r="27" spans="1:7" ht="15.5" customHeight="1" x14ac:dyDescent="0.3">
      <c r="A27" s="123" t="s">
        <v>233</v>
      </c>
      <c r="B27" s="201">
        <v>920</v>
      </c>
      <c r="C27" s="201">
        <v>0</v>
      </c>
      <c r="D27" s="201">
        <v>1</v>
      </c>
      <c r="E27" s="202">
        <v>0.19782608695652171</v>
      </c>
      <c r="F27" s="202">
        <v>0.39857697387900243</v>
      </c>
      <c r="G27" s="31"/>
    </row>
    <row r="28" spans="1:7" ht="15.5" customHeight="1" x14ac:dyDescent="0.3">
      <c r="A28" s="123" t="s">
        <v>234</v>
      </c>
      <c r="B28" s="201">
        <v>920</v>
      </c>
      <c r="C28" s="201">
        <v>0</v>
      </c>
      <c r="D28" s="201">
        <v>1</v>
      </c>
      <c r="E28" s="202">
        <v>0.18478260869565219</v>
      </c>
      <c r="F28" s="202">
        <v>0.38833221774700039</v>
      </c>
      <c r="G28" s="31"/>
    </row>
    <row r="29" spans="1:7" ht="15.5" customHeight="1" x14ac:dyDescent="0.3">
      <c r="A29" s="123" t="s">
        <v>235</v>
      </c>
      <c r="B29" s="201">
        <v>920</v>
      </c>
      <c r="C29" s="201">
        <v>0</v>
      </c>
      <c r="D29" s="201">
        <v>1</v>
      </c>
      <c r="E29" s="202">
        <v>0.41413043478260869</v>
      </c>
      <c r="F29" s="202">
        <v>0.49283915135200068</v>
      </c>
      <c r="G29" s="31"/>
    </row>
    <row r="30" spans="1:7" ht="15.5" customHeight="1" x14ac:dyDescent="0.3">
      <c r="A30" s="123" t="s">
        <v>236</v>
      </c>
      <c r="B30" s="201">
        <v>920</v>
      </c>
      <c r="C30" s="201">
        <v>0</v>
      </c>
      <c r="D30" s="201">
        <v>1</v>
      </c>
      <c r="E30" s="202">
        <v>0.39021739130434779</v>
      </c>
      <c r="F30" s="202">
        <v>0.48806423670777582</v>
      </c>
      <c r="G30" s="31"/>
    </row>
    <row r="31" spans="1:7" ht="15.5" customHeight="1" x14ac:dyDescent="0.3">
      <c r="A31" s="123" t="s">
        <v>237</v>
      </c>
      <c r="B31" s="201">
        <v>920</v>
      </c>
      <c r="C31" s="201">
        <v>0</v>
      </c>
      <c r="D31" s="201">
        <v>1</v>
      </c>
      <c r="E31" s="202">
        <v>0.1119565217391304</v>
      </c>
      <c r="F31" s="202">
        <v>0.31548445959300342</v>
      </c>
      <c r="G31" s="31"/>
    </row>
    <row r="32" spans="1:7" ht="15.5" customHeight="1" x14ac:dyDescent="0.3">
      <c r="A32" s="123" t="s">
        <v>238</v>
      </c>
      <c r="B32" s="201">
        <v>920</v>
      </c>
      <c r="C32" s="201">
        <v>0</v>
      </c>
      <c r="D32" s="201">
        <v>1</v>
      </c>
      <c r="E32" s="202">
        <v>0.1260869565217391</v>
      </c>
      <c r="F32" s="202">
        <v>0.33212789243788621</v>
      </c>
      <c r="G32" s="31"/>
    </row>
    <row r="33" spans="1:7" ht="15.5" customHeight="1" x14ac:dyDescent="0.3">
      <c r="A33" s="123" t="s">
        <v>239</v>
      </c>
      <c r="B33" s="201">
        <v>920</v>
      </c>
      <c r="C33" s="201">
        <v>0</v>
      </c>
      <c r="D33" s="201">
        <v>1</v>
      </c>
      <c r="E33" s="202">
        <v>0.20978260869565221</v>
      </c>
      <c r="F33" s="202">
        <v>0.40737482843170331</v>
      </c>
      <c r="G33" s="31"/>
    </row>
    <row r="34" spans="1:7" ht="15.5" customHeight="1" x14ac:dyDescent="0.3">
      <c r="A34" s="123" t="s">
        <v>240</v>
      </c>
      <c r="B34" s="201">
        <v>920</v>
      </c>
      <c r="C34" s="201">
        <v>0</v>
      </c>
      <c r="D34" s="201">
        <v>1</v>
      </c>
      <c r="E34" s="202">
        <v>9.4565217391304343E-2</v>
      </c>
      <c r="F34" s="202">
        <v>0.29277261894826961</v>
      </c>
      <c r="G34" s="31"/>
    </row>
    <row r="35" spans="1:7" ht="15.5" customHeight="1" x14ac:dyDescent="0.3">
      <c r="A35" s="123" t="s">
        <v>241</v>
      </c>
      <c r="B35" s="201">
        <v>920</v>
      </c>
      <c r="C35" s="201">
        <v>0</v>
      </c>
      <c r="D35" s="201">
        <v>1</v>
      </c>
      <c r="E35" s="202">
        <v>6.7391304347826086E-2</v>
      </c>
      <c r="F35" s="202">
        <v>0.25083481754222547</v>
      </c>
      <c r="G35" s="31"/>
    </row>
    <row r="36" spans="1:7" ht="15.5" customHeight="1" x14ac:dyDescent="0.3">
      <c r="A36" s="123" t="s">
        <v>242</v>
      </c>
      <c r="B36" s="201">
        <v>920</v>
      </c>
      <c r="C36" s="201">
        <v>0</v>
      </c>
      <c r="D36" s="201">
        <v>1</v>
      </c>
      <c r="E36" s="202">
        <v>0.14021739130434779</v>
      </c>
      <c r="F36" s="202">
        <v>0.34740129060743541</v>
      </c>
      <c r="G36" s="31"/>
    </row>
    <row r="37" spans="1:7" ht="15.5" customHeight="1" x14ac:dyDescent="0.3">
      <c r="A37" s="123" t="s">
        <v>243</v>
      </c>
      <c r="B37" s="201">
        <v>920</v>
      </c>
      <c r="C37" s="201">
        <v>0</v>
      </c>
      <c r="D37" s="201">
        <v>1</v>
      </c>
      <c r="E37" s="202">
        <v>9.8913043478260868E-2</v>
      </c>
      <c r="F37" s="202">
        <v>0.29870761347815211</v>
      </c>
      <c r="G37" s="31"/>
    </row>
    <row r="38" spans="1:7" ht="15.5" customHeight="1" x14ac:dyDescent="0.3">
      <c r="A38" s="123" t="s">
        <v>244</v>
      </c>
      <c r="B38" s="201">
        <v>920</v>
      </c>
      <c r="C38" s="201">
        <v>0</v>
      </c>
      <c r="D38" s="201">
        <v>1</v>
      </c>
      <c r="E38" s="202">
        <v>0.1119565217391304</v>
      </c>
      <c r="F38" s="202">
        <v>0.31548445959300342</v>
      </c>
      <c r="G38" s="31"/>
    </row>
    <row r="39" spans="1:7" ht="15.5" customHeight="1" x14ac:dyDescent="0.3">
      <c r="A39" s="123" t="s">
        <v>245</v>
      </c>
      <c r="B39" s="201">
        <v>920</v>
      </c>
      <c r="C39" s="201">
        <v>0</v>
      </c>
      <c r="D39" s="201">
        <v>1</v>
      </c>
      <c r="E39" s="202">
        <v>0.14347826086956519</v>
      </c>
      <c r="F39" s="202">
        <v>0.35075058576081258</v>
      </c>
      <c r="G39" s="31"/>
    </row>
    <row r="40" spans="1:7" ht="15.5" customHeight="1" x14ac:dyDescent="0.3">
      <c r="A40" s="123" t="s">
        <v>246</v>
      </c>
      <c r="B40" s="201">
        <v>920</v>
      </c>
      <c r="C40" s="201">
        <v>0</v>
      </c>
      <c r="D40" s="201">
        <v>1</v>
      </c>
      <c r="E40" s="202">
        <v>0.3793478260869565</v>
      </c>
      <c r="F40" s="202">
        <v>0.48548866903830351</v>
      </c>
      <c r="G40" s="31"/>
    </row>
    <row r="41" spans="1:7" ht="15.5" customHeight="1" x14ac:dyDescent="0.3">
      <c r="A41" s="123" t="s">
        <v>247</v>
      </c>
      <c r="B41" s="201">
        <v>920</v>
      </c>
      <c r="C41" s="201">
        <v>0</v>
      </c>
      <c r="D41" s="201">
        <v>1</v>
      </c>
      <c r="E41" s="202">
        <v>9.2391304347826081E-2</v>
      </c>
      <c r="F41" s="202">
        <v>0.28973504674576228</v>
      </c>
      <c r="G41" s="31"/>
    </row>
    <row r="42" spans="1:7" ht="15.5" customHeight="1" x14ac:dyDescent="0.3">
      <c r="A42" s="123" t="s">
        <v>248</v>
      </c>
      <c r="B42" s="201">
        <v>920</v>
      </c>
      <c r="C42" s="201">
        <v>0</v>
      </c>
      <c r="D42" s="201">
        <v>1</v>
      </c>
      <c r="E42" s="202">
        <v>0.21086956521739131</v>
      </c>
      <c r="F42" s="202">
        <v>0.40814784327148729</v>
      </c>
      <c r="G42" s="31"/>
    </row>
    <row r="43" spans="1:7" ht="15.5" customHeight="1" x14ac:dyDescent="0.3">
      <c r="A43" s="123" t="s">
        <v>249</v>
      </c>
      <c r="B43" s="201">
        <v>920</v>
      </c>
      <c r="C43" s="201">
        <v>0</v>
      </c>
      <c r="D43" s="201">
        <v>1</v>
      </c>
      <c r="E43" s="202">
        <v>0.42499999999999999</v>
      </c>
      <c r="F43" s="202">
        <v>0.49461188222382679</v>
      </c>
      <c r="G43" s="23"/>
    </row>
    <row r="44" spans="1:7" ht="15" customHeight="1" x14ac:dyDescent="0.3">
      <c r="A44" s="151" t="s">
        <v>250</v>
      </c>
      <c r="B44" s="210">
        <v>920</v>
      </c>
      <c r="C44" s="211">
        <v>0</v>
      </c>
      <c r="D44" s="211">
        <v>1</v>
      </c>
      <c r="E44" s="212">
        <v>9.1304347826086957E-2</v>
      </c>
      <c r="F44" s="213">
        <v>0.28819809937952828</v>
      </c>
      <c r="G44" s="23"/>
    </row>
    <row r="45" spans="1:7" ht="15.5" customHeight="1" x14ac:dyDescent="0.3">
      <c r="A45" s="123" t="s">
        <v>251</v>
      </c>
      <c r="B45" s="201">
        <v>920</v>
      </c>
      <c r="C45" s="203">
        <v>0</v>
      </c>
      <c r="D45" s="203">
        <v>1</v>
      </c>
      <c r="E45" s="204">
        <v>0.34782608695652167</v>
      </c>
      <c r="F45" s="204">
        <v>0.47653954408544452</v>
      </c>
      <c r="G45" s="23"/>
    </row>
    <row r="46" spans="1:7" ht="15.75" customHeight="1" x14ac:dyDescent="0.35">
      <c r="A46" s="123" t="s">
        <v>252</v>
      </c>
      <c r="B46" s="205">
        <v>920</v>
      </c>
      <c r="C46" s="205">
        <v>0</v>
      </c>
      <c r="D46" s="205">
        <v>1</v>
      </c>
      <c r="E46" s="206">
        <v>0.1043478260869565</v>
      </c>
      <c r="F46" s="206">
        <v>0.30587751482544662</v>
      </c>
      <c r="G46" s="23"/>
    </row>
    <row r="47" spans="1:7" ht="18" customHeight="1" x14ac:dyDescent="0.3">
      <c r="A47" s="123" t="s">
        <v>253</v>
      </c>
      <c r="B47" s="207">
        <v>920</v>
      </c>
      <c r="C47" s="207">
        <v>0</v>
      </c>
      <c r="D47" s="207">
        <v>1</v>
      </c>
      <c r="E47" s="208">
        <v>0.1054347826086957</v>
      </c>
      <c r="F47" s="208">
        <v>0.30727987350370539</v>
      </c>
      <c r="G47" s="23"/>
    </row>
    <row r="48" spans="1:7" ht="30.75" customHeight="1" x14ac:dyDescent="0.35">
      <c r="A48" s="132" t="s">
        <v>254</v>
      </c>
      <c r="B48" s="209">
        <v>920</v>
      </c>
      <c r="C48" s="209">
        <v>0</v>
      </c>
      <c r="D48" s="209">
        <v>1</v>
      </c>
      <c r="E48" s="214">
        <v>0.16195652173913039</v>
      </c>
      <c r="F48" s="214">
        <v>0.36861130782675011</v>
      </c>
      <c r="G48" s="23"/>
    </row>
    <row r="49" spans="1:7" ht="30" customHeight="1" x14ac:dyDescent="0.3">
      <c r="A49" s="133" t="s">
        <v>255</v>
      </c>
      <c r="B49" s="201">
        <v>920</v>
      </c>
      <c r="C49" s="201">
        <v>0</v>
      </c>
      <c r="D49" s="201">
        <v>1</v>
      </c>
      <c r="E49" s="202">
        <v>0.15869565217391299</v>
      </c>
      <c r="F49" s="202">
        <v>0.3655907836515821</v>
      </c>
      <c r="G49" s="32"/>
    </row>
    <row r="50" spans="1:7" ht="15.5" customHeight="1" x14ac:dyDescent="0.3">
      <c r="A50" s="133" t="s">
        <v>223</v>
      </c>
      <c r="B50" s="201">
        <v>920</v>
      </c>
      <c r="C50" s="133"/>
      <c r="D50" s="133"/>
      <c r="E50" s="133"/>
      <c r="F50" s="133"/>
      <c r="G50" s="32"/>
    </row>
    <row r="51" spans="1:7" ht="15.75" customHeight="1" x14ac:dyDescent="0.35">
      <c r="A51" s="138"/>
      <c r="B51" s="138"/>
      <c r="C51" s="138"/>
      <c r="D51" s="138"/>
      <c r="E51" s="138"/>
      <c r="F51" s="138"/>
      <c r="G51" s="32"/>
    </row>
    <row r="52" spans="1:7" ht="15.75" customHeight="1" x14ac:dyDescent="0.35">
      <c r="A52" s="138" t="s">
        <v>256</v>
      </c>
      <c r="B52" s="138"/>
      <c r="C52" s="138"/>
      <c r="D52" s="138"/>
      <c r="E52" s="138"/>
      <c r="F52" s="138"/>
      <c r="G52" s="32"/>
    </row>
    <row r="53" spans="1:7" ht="15.75" customHeight="1" x14ac:dyDescent="0.35">
      <c r="A53" s="138" t="s">
        <v>176</v>
      </c>
      <c r="B53" s="138" t="s">
        <v>212</v>
      </c>
      <c r="C53" s="138" t="s">
        <v>213</v>
      </c>
      <c r="D53" s="138" t="s">
        <v>214</v>
      </c>
      <c r="E53" s="138" t="s">
        <v>215</v>
      </c>
      <c r="F53" s="138" t="s">
        <v>216</v>
      </c>
      <c r="G53" s="23"/>
    </row>
    <row r="54" spans="1:7" ht="15.75" customHeight="1" x14ac:dyDescent="0.35">
      <c r="A54" s="138" t="s">
        <v>110</v>
      </c>
      <c r="B54" s="205">
        <v>5320</v>
      </c>
      <c r="C54" s="205">
        <v>0</v>
      </c>
      <c r="D54" s="205">
        <v>1</v>
      </c>
      <c r="E54" s="206">
        <v>6.2406015037593993E-2</v>
      </c>
      <c r="F54" s="206">
        <v>0.24191425091454991</v>
      </c>
      <c r="G54" s="23"/>
    </row>
    <row r="55" spans="1:7" ht="15.75" customHeight="1" x14ac:dyDescent="0.35">
      <c r="A55" s="138" t="s">
        <v>112</v>
      </c>
      <c r="B55" s="205">
        <v>5320</v>
      </c>
      <c r="C55" s="205">
        <v>0</v>
      </c>
      <c r="D55" s="205">
        <v>1</v>
      </c>
      <c r="E55" s="206">
        <v>3.1954887218045111E-2</v>
      </c>
      <c r="F55" s="206">
        <v>0.17589652672232739</v>
      </c>
      <c r="G55" s="23"/>
    </row>
    <row r="56" spans="1:7" ht="15.75" customHeight="1" x14ac:dyDescent="0.35">
      <c r="A56" s="138" t="s">
        <v>114</v>
      </c>
      <c r="B56" s="205">
        <v>5320</v>
      </c>
      <c r="C56" s="205">
        <v>0</v>
      </c>
      <c r="D56" s="205">
        <v>1</v>
      </c>
      <c r="E56" s="206">
        <v>2.4436090225563908E-2</v>
      </c>
      <c r="F56" s="206">
        <v>0.15441324286302399</v>
      </c>
      <c r="G56" s="23"/>
    </row>
    <row r="57" spans="1:7" ht="15.75" customHeight="1" x14ac:dyDescent="0.35">
      <c r="A57" s="138" t="s">
        <v>116</v>
      </c>
      <c r="B57" s="205">
        <v>5320</v>
      </c>
      <c r="C57" s="205">
        <v>0</v>
      </c>
      <c r="D57" s="205">
        <v>1</v>
      </c>
      <c r="E57" s="206">
        <v>7.5375939849624055E-2</v>
      </c>
      <c r="F57" s="206">
        <v>0.26402179920777252</v>
      </c>
      <c r="G57" s="23"/>
    </row>
    <row r="58" spans="1:7" ht="15.75" customHeight="1" x14ac:dyDescent="0.35">
      <c r="A58" s="138" t="s">
        <v>118</v>
      </c>
      <c r="B58" s="205">
        <v>5320</v>
      </c>
      <c r="C58" s="205">
        <v>0</v>
      </c>
      <c r="D58" s="205">
        <v>1</v>
      </c>
      <c r="E58" s="206">
        <v>3.4210526315789483E-2</v>
      </c>
      <c r="F58" s="206">
        <v>0.18178662747892371</v>
      </c>
      <c r="G58" s="23"/>
    </row>
    <row r="59" spans="1:7" ht="15.75" customHeight="1" x14ac:dyDescent="0.35">
      <c r="A59" s="138" t="s">
        <v>120</v>
      </c>
      <c r="B59" s="205">
        <v>5320</v>
      </c>
      <c r="C59" s="205">
        <v>0</v>
      </c>
      <c r="D59" s="205">
        <v>1</v>
      </c>
      <c r="E59" s="206">
        <v>3.1954887218045111E-2</v>
      </c>
      <c r="F59" s="206">
        <v>0.17589652672232739</v>
      </c>
      <c r="G59" s="23"/>
    </row>
    <row r="60" spans="1:7" ht="15.75" customHeight="1" x14ac:dyDescent="0.35">
      <c r="A60" s="138" t="s">
        <v>122</v>
      </c>
      <c r="B60" s="205">
        <v>5320</v>
      </c>
      <c r="C60" s="205">
        <v>0</v>
      </c>
      <c r="D60" s="205">
        <v>1</v>
      </c>
      <c r="E60" s="206">
        <v>7.1616541353383453E-2</v>
      </c>
      <c r="F60" s="206">
        <v>0.25787615705816319</v>
      </c>
      <c r="G60" s="23"/>
    </row>
    <row r="61" spans="1:7" ht="15.75" customHeight="1" x14ac:dyDescent="0.35">
      <c r="A61" s="138" t="s">
        <v>124</v>
      </c>
      <c r="B61" s="205">
        <v>5320</v>
      </c>
      <c r="C61" s="205">
        <v>0</v>
      </c>
      <c r="D61" s="205">
        <v>1</v>
      </c>
      <c r="E61" s="206">
        <v>6.7481203007518795E-2</v>
      </c>
      <c r="F61" s="206">
        <v>0.25087710327489637</v>
      </c>
      <c r="G61" s="23"/>
    </row>
    <row r="62" spans="1:7" ht="15.75" customHeight="1" x14ac:dyDescent="0.35">
      <c r="A62" s="138" t="s">
        <v>126</v>
      </c>
      <c r="B62" s="205">
        <v>5320</v>
      </c>
      <c r="C62" s="205">
        <v>0</v>
      </c>
      <c r="D62" s="205">
        <v>1</v>
      </c>
      <c r="E62" s="206">
        <v>1.9360902255639099E-2</v>
      </c>
      <c r="F62" s="206">
        <v>0.13780285627766711</v>
      </c>
      <c r="G62" s="23"/>
    </row>
    <row r="63" spans="1:7" ht="15.75" customHeight="1" x14ac:dyDescent="0.35">
      <c r="A63" s="138" t="s">
        <v>128</v>
      </c>
      <c r="B63" s="205">
        <v>5320</v>
      </c>
      <c r="C63" s="205">
        <v>0</v>
      </c>
      <c r="D63" s="205">
        <v>1</v>
      </c>
      <c r="E63" s="206">
        <v>2.180451127819549E-2</v>
      </c>
      <c r="F63" s="206">
        <v>0.1460584969949108</v>
      </c>
      <c r="G63" s="23"/>
    </row>
    <row r="64" spans="1:7" ht="15.75" customHeight="1" x14ac:dyDescent="0.35">
      <c r="A64" s="138" t="s">
        <v>130</v>
      </c>
      <c r="B64" s="205">
        <v>5320</v>
      </c>
      <c r="C64" s="205">
        <v>0</v>
      </c>
      <c r="D64" s="205">
        <v>1</v>
      </c>
      <c r="E64" s="206">
        <v>3.6278195488721812E-2</v>
      </c>
      <c r="F64" s="206">
        <v>0.18699909378763679</v>
      </c>
      <c r="G64" s="23"/>
    </row>
    <row r="65" spans="1:7" ht="15.75" customHeight="1" x14ac:dyDescent="0.35">
      <c r="A65" s="138" t="s">
        <v>132</v>
      </c>
      <c r="B65" s="205">
        <v>5320</v>
      </c>
      <c r="C65" s="205">
        <v>0</v>
      </c>
      <c r="D65" s="205">
        <v>1</v>
      </c>
      <c r="E65" s="206">
        <v>1.635338345864662E-2</v>
      </c>
      <c r="F65" s="206">
        <v>0.12684232161009121</v>
      </c>
      <c r="G65" s="23"/>
    </row>
    <row r="66" spans="1:7" ht="15.75" customHeight="1" x14ac:dyDescent="0.35">
      <c r="A66" s="138" t="s">
        <v>134</v>
      </c>
      <c r="B66" s="205">
        <v>5320</v>
      </c>
      <c r="C66" s="205">
        <v>0</v>
      </c>
      <c r="D66" s="205">
        <v>1</v>
      </c>
      <c r="E66" s="206">
        <v>1.165413533834586E-2</v>
      </c>
      <c r="F66" s="206">
        <v>0.10733350815095651</v>
      </c>
      <c r="G66" s="23"/>
    </row>
    <row r="67" spans="1:7" ht="15.75" customHeight="1" x14ac:dyDescent="0.35">
      <c r="A67" s="138" t="s">
        <v>136</v>
      </c>
      <c r="B67" s="205">
        <v>5320</v>
      </c>
      <c r="C67" s="205">
        <v>0</v>
      </c>
      <c r="D67" s="205">
        <v>1</v>
      </c>
      <c r="E67" s="206">
        <v>2.424812030075188E-2</v>
      </c>
      <c r="F67" s="206">
        <v>0.15383301724658341</v>
      </c>
      <c r="G67" s="23"/>
    </row>
    <row r="68" spans="1:7" ht="15.75" customHeight="1" x14ac:dyDescent="0.35">
      <c r="A68" s="138" t="s">
        <v>138</v>
      </c>
      <c r="B68" s="205">
        <v>5320</v>
      </c>
      <c r="C68" s="205">
        <v>0</v>
      </c>
      <c r="D68" s="205">
        <v>1</v>
      </c>
      <c r="E68" s="206">
        <v>1.7105263157894741E-2</v>
      </c>
      <c r="F68" s="206">
        <v>0.12967588056861909</v>
      </c>
      <c r="G68" s="23"/>
    </row>
    <row r="69" spans="1:7" ht="15.75" customHeight="1" x14ac:dyDescent="0.35">
      <c r="A69" s="138" t="s">
        <v>140</v>
      </c>
      <c r="B69" s="205">
        <v>5320</v>
      </c>
      <c r="C69" s="205">
        <v>0</v>
      </c>
      <c r="D69" s="205">
        <v>1</v>
      </c>
      <c r="E69" s="206">
        <v>1.9360902255639099E-2</v>
      </c>
      <c r="F69" s="206">
        <v>0.137802856277667</v>
      </c>
      <c r="G69" s="23"/>
    </row>
    <row r="70" spans="1:7" ht="15.75" customHeight="1" x14ac:dyDescent="0.35">
      <c r="A70" s="138" t="s">
        <v>142</v>
      </c>
      <c r="B70" s="205">
        <v>5320</v>
      </c>
      <c r="C70" s="205">
        <v>0</v>
      </c>
      <c r="D70" s="205">
        <v>1</v>
      </c>
      <c r="E70" s="206">
        <v>2.4812030075187969E-2</v>
      </c>
      <c r="F70" s="206">
        <v>0.1555665204600212</v>
      </c>
      <c r="G70" s="23"/>
    </row>
    <row r="71" spans="1:7" ht="15.75" customHeight="1" x14ac:dyDescent="0.35">
      <c r="A71" s="138" t="s">
        <v>144</v>
      </c>
      <c r="B71" s="205">
        <v>5320</v>
      </c>
      <c r="C71" s="205">
        <v>0</v>
      </c>
      <c r="D71" s="205">
        <v>1</v>
      </c>
      <c r="E71" s="206">
        <v>6.5601503759398494E-2</v>
      </c>
      <c r="F71" s="206">
        <v>0.24760749342562469</v>
      </c>
      <c r="G71" s="23"/>
    </row>
    <row r="72" spans="1:7" ht="15.75" customHeight="1" x14ac:dyDescent="0.35">
      <c r="A72" s="138" t="s">
        <v>146</v>
      </c>
      <c r="B72" s="205">
        <v>5320</v>
      </c>
      <c r="C72" s="205">
        <v>0</v>
      </c>
      <c r="D72" s="205">
        <v>1</v>
      </c>
      <c r="E72" s="206">
        <v>1.5977443609022559E-2</v>
      </c>
      <c r="F72" s="206">
        <v>0.12539984351867811</v>
      </c>
      <c r="G72" s="23"/>
    </row>
    <row r="73" spans="1:7" ht="15.75" customHeight="1" x14ac:dyDescent="0.35">
      <c r="A73" s="138" t="s">
        <v>148</v>
      </c>
      <c r="B73" s="205">
        <v>5320</v>
      </c>
      <c r="C73" s="205">
        <v>0</v>
      </c>
      <c r="D73" s="205">
        <v>1</v>
      </c>
      <c r="E73" s="206">
        <v>3.6466165413533827E-2</v>
      </c>
      <c r="F73" s="206">
        <v>0.1874646367151899</v>
      </c>
      <c r="G73" s="23"/>
    </row>
    <row r="74" spans="1:7" ht="15.75" customHeight="1" x14ac:dyDescent="0.35">
      <c r="A74" s="138" t="s">
        <v>150</v>
      </c>
      <c r="B74" s="205">
        <v>5320</v>
      </c>
      <c r="C74" s="205">
        <v>0</v>
      </c>
      <c r="D74" s="205">
        <v>1</v>
      </c>
      <c r="E74" s="206">
        <v>7.3496240601503754E-2</v>
      </c>
      <c r="F74" s="206">
        <v>0.26097384035863541</v>
      </c>
      <c r="G74" s="23"/>
    </row>
    <row r="75" spans="1:7" ht="15.75" customHeight="1" x14ac:dyDescent="0.35">
      <c r="A75" s="138" t="s">
        <v>152</v>
      </c>
      <c r="B75" s="205">
        <v>5320</v>
      </c>
      <c r="C75" s="205">
        <v>0</v>
      </c>
      <c r="D75" s="205">
        <v>1</v>
      </c>
      <c r="E75" s="206">
        <v>1.578947368421053E-2</v>
      </c>
      <c r="F75" s="206">
        <v>0.1246719208083296</v>
      </c>
      <c r="G75" s="23"/>
    </row>
    <row r="76" spans="1:7" ht="15.75" customHeight="1" x14ac:dyDescent="0.35">
      <c r="A76" s="138" t="s">
        <v>154</v>
      </c>
      <c r="B76" s="205">
        <v>5320</v>
      </c>
      <c r="C76" s="205">
        <v>0</v>
      </c>
      <c r="D76" s="205">
        <v>1</v>
      </c>
      <c r="E76" s="206">
        <v>6.0150375939849621E-2</v>
      </c>
      <c r="F76" s="206">
        <v>0.2377875871143888</v>
      </c>
      <c r="G76" s="23"/>
    </row>
    <row r="77" spans="1:7" ht="15.75" customHeight="1" x14ac:dyDescent="0.35">
      <c r="A77" s="138" t="s">
        <v>156</v>
      </c>
      <c r="B77" s="205">
        <v>5320</v>
      </c>
      <c r="C77" s="205">
        <v>0</v>
      </c>
      <c r="D77" s="205">
        <v>1</v>
      </c>
      <c r="E77" s="206">
        <v>1.8045112781954888E-2</v>
      </c>
      <c r="F77" s="206">
        <v>0.1331270747947858</v>
      </c>
      <c r="G77" s="23"/>
    </row>
    <row r="78" spans="1:7" ht="15.75" customHeight="1" x14ac:dyDescent="0.35">
      <c r="A78" s="138" t="s">
        <v>158</v>
      </c>
      <c r="B78" s="205">
        <v>5320</v>
      </c>
      <c r="C78" s="205">
        <v>0</v>
      </c>
      <c r="D78" s="205">
        <v>1</v>
      </c>
      <c r="E78" s="206">
        <v>1.823308270676692E-2</v>
      </c>
      <c r="F78" s="206">
        <v>0.1338058399915274</v>
      </c>
      <c r="G78" s="23"/>
    </row>
    <row r="79" spans="1:7" ht="15.75" customHeight="1" x14ac:dyDescent="0.35">
      <c r="A79" s="138" t="s">
        <v>160</v>
      </c>
      <c r="B79" s="205">
        <v>5320</v>
      </c>
      <c r="C79" s="205">
        <v>0</v>
      </c>
      <c r="D79" s="205">
        <v>1</v>
      </c>
      <c r="E79" s="206">
        <v>2.8007518796992481E-2</v>
      </c>
      <c r="F79" s="206">
        <v>0.16500974448044059</v>
      </c>
      <c r="G79" s="23"/>
    </row>
    <row r="80" spans="1:7" ht="15.75" customHeight="1" x14ac:dyDescent="0.35">
      <c r="A80" s="138" t="s">
        <v>162</v>
      </c>
      <c r="B80" s="205">
        <v>5320</v>
      </c>
      <c r="C80" s="205">
        <v>0</v>
      </c>
      <c r="D80" s="205">
        <v>1</v>
      </c>
      <c r="E80" s="206">
        <v>2.7443609022556392E-2</v>
      </c>
      <c r="F80" s="206">
        <v>0.16338750041804631</v>
      </c>
      <c r="G80" s="23"/>
    </row>
    <row r="81" spans="1:7" ht="15.75" customHeight="1" x14ac:dyDescent="0.35">
      <c r="A81" s="138" t="s">
        <v>223</v>
      </c>
      <c r="B81" s="205">
        <v>5320</v>
      </c>
      <c r="C81" s="138"/>
      <c r="D81" s="138"/>
      <c r="E81" s="138"/>
      <c r="F81" s="138"/>
      <c r="G81" s="23"/>
    </row>
    <row r="82" spans="1:7" ht="15.75" customHeight="1" x14ac:dyDescent="0.35">
      <c r="A82" s="138"/>
      <c r="B82" s="138"/>
      <c r="C82" s="138"/>
      <c r="D82" s="138"/>
      <c r="E82" s="138"/>
      <c r="F82" s="138"/>
      <c r="G82" s="23"/>
    </row>
    <row r="83" spans="1:7" ht="15.75" customHeight="1" x14ac:dyDescent="0.35">
      <c r="A83" s="138"/>
      <c r="B83" s="138"/>
      <c r="C83" s="138"/>
      <c r="D83" s="138"/>
      <c r="E83" s="138"/>
      <c r="F83" s="138"/>
      <c r="G83" s="23"/>
    </row>
    <row r="84" spans="1:7" ht="15.75" customHeight="1" x14ac:dyDescent="0.35">
      <c r="A84" s="138"/>
      <c r="B84" s="138"/>
      <c r="C84" s="138"/>
      <c r="D84" s="138"/>
      <c r="E84" s="138"/>
      <c r="F84" s="138"/>
      <c r="G84" s="23"/>
    </row>
    <row r="85" spans="1:7" ht="15.75" customHeight="1" x14ac:dyDescent="0.35">
      <c r="A85" s="138"/>
      <c r="B85" s="138"/>
      <c r="C85" s="138"/>
      <c r="D85" s="138"/>
      <c r="E85" s="138"/>
      <c r="F85" s="138"/>
      <c r="G85" s="23"/>
    </row>
    <row r="86" spans="1:7" ht="15.75" customHeight="1" x14ac:dyDescent="0.35">
      <c r="A86" s="138"/>
      <c r="B86" s="138"/>
      <c r="C86" s="138"/>
      <c r="D86" s="138"/>
      <c r="E86" s="138"/>
      <c r="F86" s="138"/>
      <c r="G86" s="23"/>
    </row>
    <row r="87" spans="1:7" ht="15.75" customHeight="1" x14ac:dyDescent="0.35">
      <c r="A87" s="138"/>
      <c r="B87" s="138"/>
      <c r="C87" s="138"/>
      <c r="D87" s="138"/>
      <c r="E87" s="138"/>
      <c r="F87" s="138"/>
      <c r="G87" s="23"/>
    </row>
    <row r="88" spans="1:7" ht="15.75" customHeight="1" x14ac:dyDescent="0.35">
      <c r="A88" s="138"/>
      <c r="B88" s="138"/>
      <c r="C88" s="138"/>
      <c r="D88" s="138"/>
      <c r="E88" s="138"/>
      <c r="F88" s="138"/>
    </row>
    <row r="89" spans="1:7" ht="15.75" customHeight="1" x14ac:dyDescent="0.35">
      <c r="A89" s="138"/>
      <c r="B89" s="138"/>
      <c r="C89" s="138"/>
      <c r="D89" s="138"/>
      <c r="E89" s="138"/>
      <c r="F89" s="138"/>
      <c r="G89" s="23"/>
    </row>
    <row r="90" spans="1:7" ht="15.75" customHeight="1" x14ac:dyDescent="0.35">
      <c r="A90" s="138"/>
      <c r="B90" s="138"/>
      <c r="C90" s="138"/>
      <c r="D90" s="138"/>
      <c r="E90" s="138"/>
      <c r="F90" s="138"/>
      <c r="G90" s="23"/>
    </row>
    <row r="91" spans="1:7" ht="15.75" customHeight="1" x14ac:dyDescent="0.35">
      <c r="A91" s="138"/>
      <c r="B91" s="138"/>
      <c r="C91" s="138"/>
      <c r="D91" s="138"/>
      <c r="E91" s="138"/>
      <c r="F91" s="138"/>
      <c r="G91" s="23"/>
    </row>
    <row r="92" spans="1:7" ht="15.75" customHeight="1" x14ac:dyDescent="0.35">
      <c r="A92" s="138"/>
      <c r="B92" s="138"/>
      <c r="C92" s="138"/>
      <c r="D92" s="138"/>
      <c r="E92" s="138"/>
      <c r="F92" s="138"/>
      <c r="G92" s="23"/>
    </row>
    <row r="93" spans="1:7" ht="15.75" customHeight="1" x14ac:dyDescent="0.35">
      <c r="A93" s="138"/>
      <c r="B93" s="138"/>
      <c r="C93" s="138"/>
      <c r="D93" s="138"/>
      <c r="E93" s="138"/>
      <c r="F93" s="138"/>
      <c r="G93" s="23"/>
    </row>
    <row r="94" spans="1:7" ht="15.75" customHeight="1" x14ac:dyDescent="0.35">
      <c r="A94" s="138"/>
      <c r="B94" s="138"/>
      <c r="C94" s="138"/>
      <c r="D94" s="138"/>
      <c r="E94" s="138"/>
      <c r="F94" s="138"/>
      <c r="G94" s="23"/>
    </row>
    <row r="95" spans="1:7" ht="15.75" customHeight="1" x14ac:dyDescent="0.35">
      <c r="A95" s="138"/>
      <c r="B95" s="138"/>
      <c r="C95" s="138"/>
      <c r="D95" s="138"/>
      <c r="E95" s="138"/>
      <c r="F95" s="138"/>
      <c r="G95" s="23"/>
    </row>
    <row r="96" spans="1:7" ht="15.75" customHeight="1" x14ac:dyDescent="0.35">
      <c r="A96" s="138"/>
      <c r="B96" s="138"/>
      <c r="C96" s="138"/>
      <c r="D96" s="138"/>
      <c r="E96" s="138"/>
      <c r="F96" s="138"/>
      <c r="G96" s="23"/>
    </row>
    <row r="97" spans="1:7" ht="15.75" customHeight="1" x14ac:dyDescent="0.35">
      <c r="A97" s="138"/>
      <c r="B97" s="138"/>
      <c r="C97" s="138"/>
      <c r="D97" s="138"/>
      <c r="E97" s="138"/>
      <c r="F97" s="138"/>
      <c r="G97" s="23"/>
    </row>
    <row r="98" spans="1:7" ht="15.75" customHeight="1" x14ac:dyDescent="0.35">
      <c r="A98" s="138"/>
      <c r="B98" s="138"/>
      <c r="C98" s="138"/>
      <c r="D98" s="138"/>
      <c r="E98" s="138"/>
      <c r="F98" s="138"/>
      <c r="G98" s="23"/>
    </row>
    <row r="99" spans="1:7" ht="15.75" customHeight="1" x14ac:dyDescent="0.35">
      <c r="A99" s="138"/>
      <c r="B99" s="138"/>
      <c r="C99" s="138"/>
      <c r="D99" s="138"/>
      <c r="E99" s="138"/>
      <c r="F99" s="138"/>
      <c r="G99" s="23"/>
    </row>
    <row r="100" spans="1:7" ht="15.75" customHeight="1" x14ac:dyDescent="0.35">
      <c r="A100" s="138"/>
      <c r="B100" s="138"/>
      <c r="C100" s="138"/>
      <c r="D100" s="138"/>
      <c r="E100" s="138"/>
      <c r="F100" s="138"/>
      <c r="G100" s="23"/>
    </row>
    <row r="101" spans="1:7" ht="15.75" customHeight="1" x14ac:dyDescent="0.35">
      <c r="A101" s="138"/>
      <c r="B101" s="138"/>
      <c r="C101" s="138"/>
      <c r="D101" s="138"/>
      <c r="E101" s="138"/>
      <c r="F101" s="138"/>
      <c r="G101" s="23"/>
    </row>
    <row r="102" spans="1:7" ht="15.75" customHeight="1" x14ac:dyDescent="0.35">
      <c r="A102" s="138"/>
      <c r="B102" s="138"/>
      <c r="C102" s="138"/>
      <c r="D102" s="138"/>
      <c r="E102" s="138"/>
      <c r="F102" s="138"/>
      <c r="G102" s="23"/>
    </row>
    <row r="103" spans="1:7" ht="15.75" customHeight="1" x14ac:dyDescent="0.35">
      <c r="A103" s="138"/>
      <c r="B103" s="138"/>
      <c r="C103" s="138"/>
      <c r="D103" s="138"/>
      <c r="E103" s="138"/>
      <c r="F103" s="138"/>
      <c r="G103" s="23"/>
    </row>
    <row r="104" spans="1:7" ht="15.75" customHeight="1" x14ac:dyDescent="0.35">
      <c r="A104" s="138"/>
      <c r="B104" s="138"/>
      <c r="C104" s="138"/>
      <c r="D104" s="138"/>
      <c r="E104" s="138"/>
      <c r="F104" s="138"/>
      <c r="G104" s="23"/>
    </row>
    <row r="105" spans="1:7" ht="15.75" customHeight="1" x14ac:dyDescent="0.35">
      <c r="A105" s="138"/>
      <c r="B105" s="138"/>
      <c r="C105" s="138"/>
      <c r="D105" s="138"/>
      <c r="E105" s="138"/>
      <c r="F105" s="138"/>
    </row>
    <row r="106" spans="1:7" ht="15.75" customHeight="1" x14ac:dyDescent="0.35">
      <c r="A106" s="138"/>
      <c r="B106" s="138"/>
      <c r="C106" s="138"/>
      <c r="D106" s="138"/>
      <c r="E106" s="138"/>
      <c r="F106" s="138"/>
      <c r="G106" s="23"/>
    </row>
    <row r="107" spans="1:7" ht="15.75" customHeight="1" x14ac:dyDescent="0.35">
      <c r="A107" s="138"/>
      <c r="B107" s="138"/>
      <c r="C107" s="138"/>
      <c r="D107" s="138"/>
      <c r="E107" s="138"/>
      <c r="F107" s="138"/>
      <c r="G107" s="23"/>
    </row>
    <row r="108" spans="1:7" ht="15.75" customHeight="1" x14ac:dyDescent="0.35">
      <c r="A108" s="138"/>
      <c r="B108" s="138"/>
      <c r="C108" s="138"/>
      <c r="D108" s="138"/>
      <c r="E108" s="138"/>
      <c r="F108" s="138"/>
      <c r="G108" s="23"/>
    </row>
    <row r="109" spans="1:7" ht="15.75" customHeight="1" x14ac:dyDescent="0.35">
      <c r="A109" s="138"/>
      <c r="B109" s="138"/>
      <c r="C109" s="138"/>
      <c r="D109" s="138"/>
      <c r="E109" s="138"/>
      <c r="F109" s="138"/>
      <c r="G109" s="23"/>
    </row>
    <row r="110" spans="1:7" ht="15.75" customHeight="1" x14ac:dyDescent="0.35">
      <c r="A110" s="138"/>
      <c r="B110" s="138"/>
      <c r="C110" s="138"/>
      <c r="D110" s="138"/>
      <c r="E110" s="138"/>
      <c r="F110" s="138"/>
      <c r="G110" s="23"/>
    </row>
    <row r="111" spans="1:7" ht="15.75" customHeight="1" x14ac:dyDescent="0.35">
      <c r="A111" s="138"/>
      <c r="B111" s="138"/>
      <c r="C111" s="138"/>
      <c r="D111" s="138"/>
      <c r="E111" s="138"/>
      <c r="F111" s="138"/>
      <c r="G111" s="23"/>
    </row>
    <row r="112" spans="1:7" ht="15.75" customHeight="1" x14ac:dyDescent="0.35">
      <c r="A112" s="138"/>
      <c r="B112" s="138"/>
      <c r="C112" s="138"/>
      <c r="D112" s="138"/>
      <c r="E112" s="138"/>
      <c r="F112" s="138"/>
      <c r="G112" s="23"/>
    </row>
    <row r="113" spans="1:7" ht="15.75" customHeight="1" x14ac:dyDescent="0.35">
      <c r="A113" s="138"/>
      <c r="B113" s="138"/>
      <c r="C113" s="138"/>
      <c r="D113" s="138"/>
      <c r="E113" s="138"/>
      <c r="F113" s="138"/>
      <c r="G113" s="23"/>
    </row>
    <row r="114" spans="1:7" ht="15.75" customHeight="1" x14ac:dyDescent="0.35">
      <c r="A114" s="138"/>
      <c r="B114" s="138"/>
      <c r="C114" s="138"/>
      <c r="D114" s="138"/>
      <c r="E114" s="138"/>
      <c r="F114" s="138"/>
      <c r="G114" s="23"/>
    </row>
    <row r="115" spans="1:7" ht="15.75" customHeight="1" x14ac:dyDescent="0.35">
      <c r="A115" s="138"/>
      <c r="B115" s="138"/>
      <c r="C115" s="138"/>
      <c r="D115" s="138"/>
      <c r="E115" s="138"/>
      <c r="F115" s="138"/>
      <c r="G115" s="23"/>
    </row>
    <row r="116" spans="1:7" ht="15.75" customHeight="1" x14ac:dyDescent="0.35">
      <c r="A116" s="138"/>
      <c r="B116" s="138"/>
      <c r="C116" s="138"/>
      <c r="D116" s="138"/>
      <c r="E116" s="138"/>
      <c r="F116" s="138"/>
      <c r="G116" s="23"/>
    </row>
    <row r="117" spans="1:7" ht="15.75" customHeight="1" x14ac:dyDescent="0.35">
      <c r="A117" s="138"/>
      <c r="B117" s="138"/>
      <c r="C117" s="138"/>
      <c r="D117" s="138"/>
      <c r="E117" s="138"/>
      <c r="F117" s="138"/>
      <c r="G117" s="23"/>
    </row>
    <row r="118" spans="1:7" ht="15.75" customHeight="1" x14ac:dyDescent="0.35">
      <c r="A118" s="138"/>
      <c r="B118" s="138"/>
      <c r="C118" s="138"/>
      <c r="D118" s="138"/>
      <c r="E118" s="138"/>
      <c r="F118" s="138"/>
      <c r="G118" s="23"/>
    </row>
    <row r="119" spans="1:7" ht="15.75" customHeight="1" x14ac:dyDescent="0.35">
      <c r="A119" s="138"/>
      <c r="B119" s="138"/>
      <c r="C119" s="138"/>
      <c r="D119" s="138"/>
      <c r="E119" s="138"/>
      <c r="F119" s="138"/>
      <c r="G119" s="23"/>
    </row>
    <row r="120" spans="1:7" ht="15.75" customHeight="1" x14ac:dyDescent="0.35">
      <c r="A120" s="138"/>
      <c r="B120" s="138"/>
      <c r="C120" s="138"/>
      <c r="D120" s="138"/>
      <c r="E120" s="138"/>
      <c r="F120" s="138"/>
      <c r="G120" s="23"/>
    </row>
    <row r="121" spans="1:7" ht="15.75" customHeight="1" x14ac:dyDescent="0.35">
      <c r="A121" s="138"/>
      <c r="B121" s="138"/>
      <c r="C121" s="138"/>
      <c r="D121" s="138"/>
      <c r="E121" s="138"/>
      <c r="F121" s="138"/>
      <c r="G121" s="23"/>
    </row>
    <row r="122" spans="1:7" ht="15.75" customHeight="1" x14ac:dyDescent="0.35">
      <c r="A122" s="138"/>
      <c r="B122" s="138"/>
      <c r="C122" s="138"/>
      <c r="D122" s="138"/>
      <c r="E122" s="138"/>
      <c r="F122" s="138"/>
    </row>
    <row r="123" spans="1:7" ht="15.75" customHeight="1" x14ac:dyDescent="0.35">
      <c r="A123" s="138"/>
      <c r="B123" s="138"/>
      <c r="C123" s="138"/>
      <c r="D123" s="138"/>
      <c r="E123" s="138"/>
      <c r="F123" s="138"/>
      <c r="G123" s="23"/>
    </row>
    <row r="124" spans="1:7" ht="15.75" customHeight="1" x14ac:dyDescent="0.35">
      <c r="A124" s="138"/>
      <c r="B124" s="138"/>
      <c r="C124" s="138"/>
      <c r="D124" s="138"/>
      <c r="E124" s="138"/>
      <c r="F124" s="138"/>
      <c r="G124" s="23"/>
    </row>
    <row r="125" spans="1:7" ht="15.75" customHeight="1" x14ac:dyDescent="0.35">
      <c r="A125" s="138"/>
      <c r="B125" s="138"/>
      <c r="C125" s="138"/>
      <c r="D125" s="138"/>
      <c r="E125" s="138"/>
      <c r="F125" s="138"/>
      <c r="G125" s="23"/>
    </row>
    <row r="126" spans="1:7" ht="15.75" customHeight="1" x14ac:dyDescent="0.35">
      <c r="A126" s="138"/>
      <c r="B126" s="138"/>
      <c r="C126" s="138"/>
      <c r="D126" s="138"/>
      <c r="E126" s="138"/>
      <c r="F126" s="138"/>
      <c r="G126" s="23"/>
    </row>
    <row r="127" spans="1:7" ht="15.75" customHeight="1" x14ac:dyDescent="0.35">
      <c r="A127" s="138"/>
      <c r="B127" s="138"/>
      <c r="C127" s="138"/>
      <c r="D127" s="138"/>
      <c r="E127" s="138"/>
      <c r="F127" s="138"/>
      <c r="G127" s="23"/>
    </row>
    <row r="128" spans="1:7" ht="15.75" customHeight="1" x14ac:dyDescent="0.35">
      <c r="A128" s="138"/>
      <c r="B128" s="138"/>
      <c r="C128" s="138"/>
      <c r="D128" s="138"/>
      <c r="E128" s="138"/>
      <c r="F128" s="138"/>
      <c r="G128" s="23"/>
    </row>
    <row r="129" spans="1:7" ht="15.75" customHeight="1" x14ac:dyDescent="0.35">
      <c r="A129" s="138"/>
      <c r="B129" s="138"/>
      <c r="C129" s="138"/>
      <c r="D129" s="138"/>
      <c r="E129" s="138"/>
      <c r="F129" s="138"/>
      <c r="G129" s="23"/>
    </row>
    <row r="130" spans="1:7" ht="15.75" customHeight="1" x14ac:dyDescent="0.35">
      <c r="A130" s="138"/>
      <c r="B130" s="138"/>
      <c r="C130" s="138"/>
      <c r="D130" s="138"/>
      <c r="E130" s="138"/>
      <c r="F130" s="138"/>
      <c r="G130" s="23"/>
    </row>
    <row r="131" spans="1:7" ht="15.75" customHeight="1" x14ac:dyDescent="0.35">
      <c r="A131" s="138"/>
      <c r="B131" s="138"/>
      <c r="C131" s="138"/>
      <c r="D131" s="138"/>
      <c r="E131" s="138"/>
      <c r="F131" s="138"/>
      <c r="G131" s="23"/>
    </row>
    <row r="132" spans="1:7" ht="15.75" customHeight="1" x14ac:dyDescent="0.35">
      <c r="A132" s="138"/>
      <c r="B132" s="138"/>
      <c r="C132" s="138"/>
      <c r="D132" s="138"/>
      <c r="E132" s="138"/>
      <c r="F132" s="138"/>
      <c r="G132" s="23"/>
    </row>
    <row r="133" spans="1:7" ht="15.75" customHeight="1" x14ac:dyDescent="0.35">
      <c r="A133" s="138"/>
      <c r="B133" s="138"/>
      <c r="C133" s="138"/>
      <c r="D133" s="138"/>
      <c r="E133" s="138"/>
      <c r="F133" s="138"/>
      <c r="G133" s="23"/>
    </row>
    <row r="134" spans="1:7" ht="15.75" customHeight="1" x14ac:dyDescent="0.35">
      <c r="A134" s="138"/>
      <c r="B134" s="138"/>
      <c r="C134" s="138"/>
      <c r="D134" s="138"/>
      <c r="E134" s="138"/>
      <c r="F134" s="138"/>
      <c r="G134" s="23"/>
    </row>
    <row r="135" spans="1:7" ht="15.75" customHeight="1" x14ac:dyDescent="0.35">
      <c r="A135" s="138"/>
      <c r="B135" s="138"/>
      <c r="C135" s="138"/>
      <c r="D135" s="138"/>
      <c r="E135" s="138"/>
      <c r="F135" s="138"/>
      <c r="G135" s="23"/>
    </row>
    <row r="136" spans="1:7" ht="15.75" customHeight="1" x14ac:dyDescent="0.35">
      <c r="A136" s="138"/>
      <c r="B136" s="138"/>
      <c r="C136" s="138"/>
      <c r="D136" s="138"/>
      <c r="E136" s="138"/>
      <c r="F136" s="138"/>
      <c r="G136" s="23"/>
    </row>
    <row r="137" spans="1:7" ht="15.75" customHeight="1" x14ac:dyDescent="0.35">
      <c r="A137" s="138"/>
      <c r="B137" s="138"/>
      <c r="C137" s="138"/>
      <c r="D137" s="138"/>
      <c r="E137" s="138"/>
      <c r="F137" s="138"/>
      <c r="G137" s="23"/>
    </row>
    <row r="138" spans="1:7" ht="15.75" customHeight="1" x14ac:dyDescent="0.35">
      <c r="A138" s="138"/>
      <c r="B138" s="138"/>
      <c r="C138" s="138"/>
      <c r="D138" s="138"/>
      <c r="E138" s="138"/>
      <c r="F138" s="138"/>
      <c r="G138" s="23"/>
    </row>
    <row r="139" spans="1:7" ht="15.75" customHeight="1" x14ac:dyDescent="0.35">
      <c r="A139" s="138"/>
      <c r="B139" s="138"/>
      <c r="C139" s="138"/>
      <c r="D139" s="138"/>
      <c r="E139" s="138"/>
      <c r="F139" s="138"/>
    </row>
    <row r="140" spans="1:7" ht="15.75" customHeight="1" x14ac:dyDescent="0.35">
      <c r="A140" s="138"/>
      <c r="B140" s="138"/>
      <c r="C140" s="138"/>
      <c r="D140" s="138"/>
      <c r="E140" s="138"/>
      <c r="F140" s="138"/>
      <c r="G140" s="23"/>
    </row>
    <row r="141" spans="1:7" ht="15.75" customHeight="1" x14ac:dyDescent="0.35">
      <c r="A141" s="138"/>
      <c r="B141" s="138"/>
      <c r="C141" s="138"/>
      <c r="D141" s="138"/>
      <c r="E141" s="138"/>
      <c r="F141" s="138"/>
      <c r="G141" s="23"/>
    </row>
    <row r="142" spans="1:7" ht="15.75" customHeight="1" x14ac:dyDescent="0.35">
      <c r="A142" s="138"/>
      <c r="B142" s="138"/>
      <c r="C142" s="138"/>
      <c r="D142" s="138"/>
      <c r="E142" s="138"/>
      <c r="F142" s="138"/>
      <c r="G142" s="23"/>
    </row>
    <row r="143" spans="1:7" ht="15.75" customHeight="1" x14ac:dyDescent="0.35">
      <c r="A143" s="138"/>
      <c r="B143" s="138"/>
      <c r="C143" s="138"/>
      <c r="D143" s="138"/>
      <c r="E143" s="138"/>
      <c r="F143" s="138"/>
      <c r="G143" s="23"/>
    </row>
    <row r="144" spans="1:7" ht="15.75" customHeight="1" x14ac:dyDescent="0.35">
      <c r="A144" s="138"/>
      <c r="B144" s="138"/>
      <c r="C144" s="138"/>
      <c r="D144" s="138"/>
      <c r="E144" s="138"/>
      <c r="F144" s="138"/>
      <c r="G144" s="23"/>
    </row>
    <row r="145" spans="1:7" ht="15.75" customHeight="1" x14ac:dyDescent="0.35">
      <c r="A145" s="138"/>
      <c r="B145" s="138"/>
      <c r="C145" s="138"/>
      <c r="D145" s="138"/>
      <c r="E145" s="138"/>
      <c r="F145" s="138"/>
      <c r="G145" s="23"/>
    </row>
    <row r="146" spans="1:7" ht="15.75" customHeight="1" x14ac:dyDescent="0.35">
      <c r="A146" s="138"/>
      <c r="B146" s="138"/>
      <c r="C146" s="138"/>
      <c r="D146" s="138"/>
      <c r="E146" s="138"/>
      <c r="F146" s="138"/>
      <c r="G146" s="23"/>
    </row>
    <row r="147" spans="1:7" ht="15.75" customHeight="1" x14ac:dyDescent="0.35">
      <c r="A147" s="138"/>
      <c r="B147" s="138"/>
      <c r="C147" s="138"/>
      <c r="D147" s="138"/>
      <c r="E147" s="138"/>
      <c r="F147" s="138"/>
      <c r="G147" s="23"/>
    </row>
    <row r="148" spans="1:7" ht="15.75" customHeight="1" x14ac:dyDescent="0.35">
      <c r="A148" s="138"/>
      <c r="B148" s="138"/>
      <c r="C148" s="138"/>
      <c r="D148" s="138"/>
      <c r="E148" s="138"/>
      <c r="F148" s="138"/>
      <c r="G148" s="23"/>
    </row>
    <row r="149" spans="1:7" ht="15.75" customHeight="1" x14ac:dyDescent="0.35">
      <c r="A149" s="138"/>
      <c r="B149" s="138"/>
      <c r="C149" s="138"/>
      <c r="D149" s="138"/>
      <c r="E149" s="138"/>
      <c r="F149" s="138"/>
      <c r="G149" s="23"/>
    </row>
    <row r="150" spans="1:7" ht="15.75" customHeight="1" x14ac:dyDescent="0.35">
      <c r="A150" s="138"/>
      <c r="B150" s="138"/>
      <c r="C150" s="138"/>
      <c r="D150" s="138"/>
      <c r="E150" s="138"/>
      <c r="F150" s="138"/>
      <c r="G150" s="23"/>
    </row>
    <row r="151" spans="1:7" ht="15.75" customHeight="1" x14ac:dyDescent="0.35">
      <c r="A151" s="138"/>
      <c r="B151" s="138"/>
      <c r="C151" s="138"/>
      <c r="D151" s="138"/>
      <c r="E151" s="138"/>
      <c r="F151" s="138"/>
      <c r="G151" s="23"/>
    </row>
    <row r="152" spans="1:7" ht="15.75" customHeight="1" x14ac:dyDescent="0.35">
      <c r="A152" s="138"/>
      <c r="B152" s="138"/>
      <c r="C152" s="138"/>
      <c r="D152" s="138"/>
      <c r="E152" s="138"/>
      <c r="F152" s="138"/>
      <c r="G152" s="23"/>
    </row>
    <row r="153" spans="1:7" ht="15.75" customHeight="1" x14ac:dyDescent="0.35">
      <c r="A153" s="138"/>
      <c r="B153" s="138"/>
      <c r="C153" s="138"/>
      <c r="D153" s="138"/>
      <c r="E153" s="138"/>
      <c r="F153" s="138"/>
      <c r="G153" s="23"/>
    </row>
    <row r="154" spans="1:7" ht="15.75" customHeight="1" x14ac:dyDescent="0.35">
      <c r="A154" s="138"/>
      <c r="B154" s="138"/>
      <c r="C154" s="138"/>
      <c r="D154" s="138"/>
      <c r="E154" s="138"/>
      <c r="F154" s="138"/>
      <c r="G154" s="23"/>
    </row>
    <row r="155" spans="1:7" ht="15.75" customHeight="1" x14ac:dyDescent="0.35">
      <c r="A155" s="138"/>
      <c r="B155" s="138"/>
      <c r="C155" s="138"/>
      <c r="D155" s="138"/>
      <c r="E155" s="138"/>
      <c r="F155" s="138"/>
      <c r="G155" s="23"/>
    </row>
    <row r="156" spans="1:7" ht="15.75" customHeight="1" x14ac:dyDescent="0.35">
      <c r="A156" s="138"/>
      <c r="B156" s="138"/>
      <c r="C156" s="138"/>
      <c r="D156" s="138"/>
      <c r="E156" s="138"/>
      <c r="F156" s="138"/>
    </row>
    <row r="157" spans="1:7" ht="15.75" customHeight="1" x14ac:dyDescent="0.35">
      <c r="A157" s="138"/>
      <c r="B157" s="138"/>
      <c r="C157" s="138"/>
      <c r="D157" s="138"/>
      <c r="E157" s="138"/>
      <c r="F157" s="138"/>
    </row>
    <row r="158" spans="1:7" ht="15.75" customHeight="1" x14ac:dyDescent="0.35">
      <c r="A158" s="138"/>
      <c r="B158" s="138"/>
      <c r="C158" s="138"/>
      <c r="D158" s="138"/>
      <c r="E158" s="138"/>
      <c r="F158" s="138"/>
    </row>
    <row r="159" spans="1:7" ht="15.75" customHeight="1" x14ac:dyDescent="0.35">
      <c r="A159" s="138"/>
      <c r="B159" s="138"/>
      <c r="C159" s="138"/>
      <c r="D159" s="138"/>
      <c r="E159" s="138"/>
      <c r="F159" s="138"/>
    </row>
    <row r="160" spans="1:7" ht="15.75" customHeight="1" x14ac:dyDescent="0.35">
      <c r="A160" s="138"/>
      <c r="B160" s="138"/>
      <c r="C160" s="138"/>
      <c r="D160" s="138"/>
      <c r="E160" s="138"/>
      <c r="F160" s="138"/>
    </row>
    <row r="161" spans="1:6" ht="15.75" customHeight="1" x14ac:dyDescent="0.35">
      <c r="A161" s="138"/>
      <c r="B161" s="138"/>
      <c r="C161" s="138"/>
      <c r="D161" s="138"/>
      <c r="E161" s="138"/>
      <c r="F161" s="138"/>
    </row>
    <row r="162" spans="1:6" ht="15.75" customHeight="1" x14ac:dyDescent="0.35">
      <c r="A162" s="138"/>
      <c r="B162" s="138"/>
      <c r="C162" s="138"/>
      <c r="D162" s="138"/>
      <c r="E162" s="138"/>
      <c r="F162" s="138"/>
    </row>
    <row r="163" spans="1:6" ht="15.75" customHeight="1" x14ac:dyDescent="0.35">
      <c r="A163" s="138"/>
      <c r="B163" s="138"/>
      <c r="C163" s="138"/>
      <c r="D163" s="138"/>
      <c r="E163" s="138"/>
      <c r="F163" s="138"/>
    </row>
    <row r="164" spans="1:6" ht="15.75" customHeight="1" x14ac:dyDescent="0.35">
      <c r="A164" s="138"/>
      <c r="B164" s="138"/>
      <c r="C164" s="138"/>
      <c r="D164" s="138"/>
      <c r="E164" s="138"/>
      <c r="F164" s="138"/>
    </row>
    <row r="165" spans="1:6" ht="15.75" customHeight="1" x14ac:dyDescent="0.35">
      <c r="A165" s="138"/>
      <c r="B165" s="138"/>
      <c r="C165" s="138"/>
      <c r="D165" s="138"/>
      <c r="E165" s="138"/>
      <c r="F165" s="138"/>
    </row>
    <row r="166" spans="1:6" ht="15.75" customHeight="1" x14ac:dyDescent="0.35">
      <c r="A166" s="138"/>
      <c r="B166" s="138"/>
      <c r="C166" s="138"/>
      <c r="D166" s="138"/>
      <c r="E166" s="138"/>
      <c r="F166" s="138"/>
    </row>
    <row r="167" spans="1:6" ht="15.75" customHeight="1" x14ac:dyDescent="0.35">
      <c r="A167" s="138"/>
      <c r="B167" s="138"/>
      <c r="C167" s="138"/>
      <c r="D167" s="138"/>
      <c r="E167" s="138"/>
      <c r="F167" s="138"/>
    </row>
    <row r="168" spans="1:6" ht="15.75" customHeight="1" x14ac:dyDescent="0.35">
      <c r="A168" s="138"/>
      <c r="B168" s="138"/>
      <c r="C168" s="138"/>
      <c r="D168" s="138"/>
      <c r="E168" s="138"/>
      <c r="F168" s="138"/>
    </row>
    <row r="169" spans="1:6" ht="15.75" customHeight="1" x14ac:dyDescent="0.35">
      <c r="A169" s="138"/>
      <c r="B169" s="138"/>
      <c r="C169" s="138"/>
      <c r="D169" s="138"/>
      <c r="E169" s="138"/>
      <c r="F169" s="138"/>
    </row>
    <row r="170" spans="1:6" ht="15.75" customHeight="1" x14ac:dyDescent="0.35">
      <c r="A170" s="138"/>
      <c r="B170" s="138"/>
      <c r="C170" s="138"/>
      <c r="D170" s="138"/>
      <c r="E170" s="138"/>
      <c r="F170" s="138"/>
    </row>
    <row r="171" spans="1:6" ht="15.75" customHeight="1" x14ac:dyDescent="0.35">
      <c r="A171" s="138"/>
      <c r="B171" s="138"/>
      <c r="C171" s="138"/>
      <c r="D171" s="138"/>
      <c r="E171" s="138"/>
      <c r="F171" s="138"/>
    </row>
    <row r="172" spans="1:6" ht="15.75" customHeight="1" x14ac:dyDescent="0.35">
      <c r="A172" s="138"/>
      <c r="B172" s="138"/>
      <c r="C172" s="138"/>
      <c r="D172" s="138"/>
      <c r="E172" s="138"/>
      <c r="F172" s="138"/>
    </row>
    <row r="173" spans="1:6" ht="15.75" customHeight="1" x14ac:dyDescent="0.35">
      <c r="A173" s="138"/>
      <c r="B173" s="138"/>
      <c r="C173" s="138"/>
      <c r="D173" s="138"/>
      <c r="E173" s="138"/>
      <c r="F173" s="138"/>
    </row>
    <row r="174" spans="1:6" ht="15.75" customHeight="1" x14ac:dyDescent="0.35">
      <c r="A174" s="138"/>
      <c r="B174" s="138"/>
      <c r="C174" s="138"/>
      <c r="D174" s="138"/>
      <c r="E174" s="138"/>
      <c r="F174" s="138"/>
    </row>
    <row r="175" spans="1:6" ht="15.75" customHeight="1" x14ac:dyDescent="0.35">
      <c r="A175" s="138"/>
      <c r="B175" s="138"/>
      <c r="C175" s="138"/>
      <c r="D175" s="138"/>
      <c r="E175" s="138"/>
      <c r="F175" s="138"/>
    </row>
    <row r="176" spans="1:6" ht="15.75" customHeight="1" x14ac:dyDescent="0.35">
      <c r="A176" s="138"/>
      <c r="B176" s="138"/>
      <c r="C176" s="138"/>
      <c r="D176" s="138"/>
      <c r="E176" s="138"/>
      <c r="F176" s="138"/>
    </row>
    <row r="177" spans="1:6" ht="15.75" customHeight="1" x14ac:dyDescent="0.35">
      <c r="A177" s="138"/>
      <c r="B177" s="138"/>
      <c r="C177" s="138"/>
      <c r="D177" s="138"/>
      <c r="E177" s="138"/>
      <c r="F177" s="138"/>
    </row>
    <row r="178" spans="1:6" ht="15.75" customHeight="1" x14ac:dyDescent="0.35">
      <c r="A178" s="138"/>
      <c r="B178" s="138"/>
      <c r="C178" s="138"/>
      <c r="D178" s="138"/>
      <c r="E178" s="138"/>
      <c r="F178" s="138"/>
    </row>
    <row r="179" spans="1:6" ht="15.75" customHeight="1" x14ac:dyDescent="0.35">
      <c r="A179" s="138"/>
      <c r="B179" s="138"/>
      <c r="C179" s="138"/>
      <c r="D179" s="138"/>
      <c r="E179" s="138"/>
      <c r="F179" s="138"/>
    </row>
    <row r="180" spans="1:6" ht="15.75" customHeight="1" x14ac:dyDescent="0.35">
      <c r="A180" s="138"/>
      <c r="B180" s="138"/>
      <c r="C180" s="138"/>
      <c r="D180" s="138"/>
      <c r="E180" s="138"/>
      <c r="F180" s="138"/>
    </row>
    <row r="181" spans="1:6" ht="15.75" customHeight="1" x14ac:dyDescent="0.35">
      <c r="A181" s="138"/>
      <c r="B181" s="138"/>
      <c r="C181" s="138"/>
      <c r="D181" s="138"/>
      <c r="E181" s="138"/>
      <c r="F181" s="138"/>
    </row>
    <row r="182" spans="1:6" ht="15.75" customHeight="1" x14ac:dyDescent="0.35">
      <c r="A182" s="138"/>
      <c r="B182" s="138"/>
      <c r="C182" s="138"/>
      <c r="D182" s="138"/>
      <c r="E182" s="138"/>
      <c r="F182" s="138"/>
    </row>
    <row r="183" spans="1:6" ht="15.75" customHeight="1" x14ac:dyDescent="0.35">
      <c r="A183" s="138"/>
      <c r="B183" s="138"/>
      <c r="C183" s="138"/>
      <c r="D183" s="138"/>
      <c r="E183" s="138"/>
      <c r="F183" s="138"/>
    </row>
    <row r="184" spans="1:6" ht="15.75" customHeight="1" x14ac:dyDescent="0.35">
      <c r="A184" s="138"/>
      <c r="B184" s="138"/>
      <c r="C184" s="138"/>
      <c r="D184" s="138"/>
      <c r="E184" s="138"/>
      <c r="F184" s="138"/>
    </row>
    <row r="185" spans="1:6" ht="15.75" customHeight="1" x14ac:dyDescent="0.35">
      <c r="A185" s="138"/>
      <c r="B185" s="138"/>
      <c r="C185" s="138"/>
      <c r="D185" s="138"/>
      <c r="E185" s="138"/>
      <c r="F185" s="138"/>
    </row>
    <row r="186" spans="1:6" ht="15.75" customHeight="1" x14ac:dyDescent="0.35">
      <c r="A186" s="138"/>
      <c r="B186" s="138"/>
      <c r="C186" s="138"/>
      <c r="D186" s="138"/>
      <c r="E186" s="138"/>
      <c r="F186" s="138"/>
    </row>
    <row r="187" spans="1:6" ht="15.75" customHeight="1" x14ac:dyDescent="0.35">
      <c r="A187" s="138"/>
      <c r="B187" s="138"/>
      <c r="C187" s="138"/>
      <c r="D187" s="138"/>
      <c r="E187" s="138"/>
      <c r="F187" s="138"/>
    </row>
    <row r="188" spans="1:6" ht="15.75" customHeight="1" x14ac:dyDescent="0.35">
      <c r="A188" s="138"/>
      <c r="B188" s="138"/>
      <c r="C188" s="138"/>
      <c r="D188" s="138"/>
      <c r="E188" s="138"/>
      <c r="F188" s="138"/>
    </row>
    <row r="189" spans="1:6" ht="15.75" customHeight="1" x14ac:dyDescent="0.35">
      <c r="A189" s="138"/>
      <c r="B189" s="138"/>
      <c r="C189" s="138"/>
      <c r="D189" s="138"/>
      <c r="E189" s="138"/>
      <c r="F189" s="138"/>
    </row>
    <row r="190" spans="1:6" ht="15.75" customHeight="1" x14ac:dyDescent="0.35">
      <c r="A190" s="138"/>
      <c r="B190" s="138"/>
      <c r="C190" s="138"/>
      <c r="D190" s="138"/>
      <c r="E190" s="138"/>
      <c r="F190" s="138"/>
    </row>
    <row r="191" spans="1:6" ht="15.75" customHeight="1" x14ac:dyDescent="0.35">
      <c r="A191" s="138"/>
      <c r="B191" s="138"/>
      <c r="C191" s="138"/>
      <c r="D191" s="138"/>
      <c r="E191" s="138"/>
      <c r="F191" s="138"/>
    </row>
    <row r="192" spans="1:6" ht="15.75" customHeight="1" x14ac:dyDescent="0.35">
      <c r="A192" s="138"/>
      <c r="B192" s="138"/>
      <c r="C192" s="138"/>
      <c r="D192" s="138"/>
      <c r="E192" s="138"/>
      <c r="F192" s="138"/>
    </row>
    <row r="193" spans="1:6" ht="15.75" customHeight="1" x14ac:dyDescent="0.35">
      <c r="A193" s="138"/>
      <c r="B193" s="138"/>
      <c r="C193" s="138"/>
      <c r="D193" s="138"/>
      <c r="E193" s="138"/>
      <c r="F193" s="138"/>
    </row>
    <row r="194" spans="1:6" ht="15.75" customHeight="1" x14ac:dyDescent="0.35">
      <c r="A194" s="138"/>
      <c r="B194" s="138"/>
      <c r="C194" s="138"/>
      <c r="D194" s="138"/>
      <c r="E194" s="138"/>
      <c r="F194" s="138"/>
    </row>
    <row r="195" spans="1:6" ht="15.75" customHeight="1" x14ac:dyDescent="0.35">
      <c r="A195" s="138"/>
      <c r="B195" s="138"/>
      <c r="C195" s="138"/>
      <c r="D195" s="138"/>
      <c r="E195" s="138"/>
      <c r="F195" s="138"/>
    </row>
    <row r="196" spans="1:6" ht="15.75" customHeight="1" x14ac:dyDescent="0.35">
      <c r="A196" s="138"/>
      <c r="B196" s="138"/>
      <c r="C196" s="138"/>
      <c r="D196" s="138"/>
      <c r="E196" s="138"/>
      <c r="F196" s="138"/>
    </row>
    <row r="197" spans="1:6" ht="15.75" customHeight="1" x14ac:dyDescent="0.35">
      <c r="A197" s="138"/>
      <c r="B197" s="138"/>
      <c r="C197" s="138"/>
      <c r="D197" s="138"/>
      <c r="E197" s="138"/>
      <c r="F197" s="138"/>
    </row>
    <row r="198" spans="1:6" ht="15.75" customHeight="1" x14ac:dyDescent="0.35">
      <c r="A198" s="138"/>
      <c r="B198" s="138"/>
      <c r="C198" s="138"/>
      <c r="D198" s="138"/>
      <c r="E198" s="138"/>
      <c r="F198" s="138"/>
    </row>
  </sheetData>
  <phoneticPr fontId="52" type="noConversion"/>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tabColor theme="1" tint="4.9989318521683403E-2"/>
  </sheetPr>
  <dimension ref="A1:H28"/>
  <sheetViews>
    <sheetView topLeftCell="C1" workbookViewId="0">
      <selection activeCell="D11" sqref="D11"/>
    </sheetView>
  </sheetViews>
  <sheetFormatPr defaultRowHeight="14" x14ac:dyDescent="0.3"/>
  <cols>
    <col min="1" max="1" width="40" customWidth="1"/>
    <col min="2" max="2" width="23.4140625" customWidth="1"/>
    <col min="3" max="3" width="14.5" customWidth="1"/>
    <col min="4" max="4" width="22.83203125" customWidth="1"/>
    <col min="7" max="7" width="39.4140625" customWidth="1"/>
    <col min="8" max="8" width="17" customWidth="1"/>
  </cols>
  <sheetData>
    <row r="1" spans="1:8" x14ac:dyDescent="0.3">
      <c r="A1" s="80" t="s">
        <v>257</v>
      </c>
      <c r="B1" s="80"/>
      <c r="C1" s="80"/>
      <c r="D1" s="80" t="s">
        <v>258</v>
      </c>
      <c r="G1" t="s">
        <v>259</v>
      </c>
      <c r="H1" s="139" t="s">
        <v>260</v>
      </c>
    </row>
    <row r="2" spans="1:8" x14ac:dyDescent="0.3">
      <c r="A2" t="s">
        <v>261</v>
      </c>
      <c r="B2" t="s">
        <v>262</v>
      </c>
      <c r="C2" t="s">
        <v>263</v>
      </c>
      <c r="D2" s="139" t="s">
        <v>260</v>
      </c>
      <c r="G2" t="s">
        <v>110</v>
      </c>
      <c r="H2" t="s">
        <v>264</v>
      </c>
    </row>
    <row r="3" spans="1:8" x14ac:dyDescent="0.3">
      <c r="A3">
        <v>1</v>
      </c>
      <c r="B3" t="str">
        <f t="array" ref="B3">IF($A3="","",_xlfn.LET(
    _xlpm.n,$A3,
    _xlpm.allRows,'2A Regression'!$A:$A,
    _xlpm.matches,IF(LEFT(_xlpm.allRows,19)="Dependent Variable:",ROW(_xlpm.allRows),""),
    _xlpm.nthRow,SMALL(IF(_xlpm.matches&lt;&gt;"",_xlpm.matches),_xlpm.n),
    _xlpm.result,INDEX(_xlpm.allRows,_xlpm.nthRow),
    IFERROR(SUBSTITUTE(_xlpm.result,"Dependent Variable: ",""),"")
))</f>
        <v>dLevel_ABA</v>
      </c>
      <c r="C3" t="s">
        <v>172</v>
      </c>
      <c r="D3" t="s">
        <v>265</v>
      </c>
      <c r="G3" t="s">
        <v>112</v>
      </c>
      <c r="H3" t="s">
        <v>266</v>
      </c>
    </row>
    <row r="4" spans="1:8" x14ac:dyDescent="0.3">
      <c r="A4">
        <v>2</v>
      </c>
      <c r="B4" t="str">
        <f t="array" ref="B4">IF($A4="","",_xlfn.LET(
    _xlpm.n,$A4,
    _xlpm.allRows,'2A Regression'!$A:$A,
    _xlpm.matches,IF(LEFT(_xlpm.allRows,19)="Dependent Variable:",ROW(_xlpm.allRows),""),
    _xlpm.nthRow,SMALL(IF(_xlpm.matches&lt;&gt;"",_xlpm.matches),_xlpm.n),
    _xlpm.result,INDEX(_xlpm.allRows,_xlpm.nthRow),
    IFERROR(SUBSTITUTE(_xlpm.result,"Dependent Variable: ",""),"")
))</f>
        <v>dLevel_B6_T2B</v>
      </c>
      <c r="C4" t="s">
        <v>172</v>
      </c>
      <c r="D4" t="s">
        <v>267</v>
      </c>
      <c r="G4" t="s">
        <v>114</v>
      </c>
      <c r="H4" t="s">
        <v>268</v>
      </c>
    </row>
    <row r="5" spans="1:8" x14ac:dyDescent="0.3">
      <c r="A5">
        <v>3</v>
      </c>
      <c r="B5" t="str">
        <f t="array" ref="B5">IF($A5="","",_xlfn.LET(
    _xlpm.n,$A5,
    _xlpm.allRows,'2A Regression'!$A:$A,
    _xlpm.matches,IF(LEFT(_xlpm.allRows,19)="Dependent Variable:",ROW(_xlpm.allRows),""),
    _xlpm.nthRow,SMALL(IF(_xlpm.matches&lt;&gt;"",_xlpm.matches),_xlpm.n),
    _xlpm.result,INDEX(_xlpm.allRows,_xlpm.nthRow),
    IFERROR(SUBSTITUTE(_xlpm.result,"Dependent Variable: ",""),"")
))</f>
        <v>dLevel_ABA</v>
      </c>
      <c r="C5" t="s">
        <v>172</v>
      </c>
      <c r="D5" t="s">
        <v>269</v>
      </c>
      <c r="G5" t="s">
        <v>116</v>
      </c>
      <c r="H5" t="s">
        <v>270</v>
      </c>
    </row>
    <row r="6" spans="1:8" x14ac:dyDescent="0.3">
      <c r="A6">
        <v>4</v>
      </c>
      <c r="B6" t="str">
        <f t="array" ref="B6">IF($A6="","",_xlfn.LET(
    _xlpm.n,$A6,
    _xlpm.allRows,'2A Regression'!$A:$A,
    _xlpm.matches,IF(LEFT(_xlpm.allRows,19)="Dependent Variable:",ROW(_xlpm.allRows),""),
    _xlpm.nthRow,SMALL(IF(_xlpm.matches&lt;&gt;"",_xlpm.matches),_xlpm.n),
    _xlpm.result,INDEX(_xlpm.allRows,_xlpm.nthRow),
    IFERROR(SUBSTITUTE(_xlpm.result,"Dependent Variable: ",""),"")
))</f>
        <v>dLevel_B6_T2B</v>
      </c>
      <c r="C6" t="s">
        <v>172</v>
      </c>
      <c r="D6" t="s">
        <v>271</v>
      </c>
      <c r="G6" t="s">
        <v>118</v>
      </c>
      <c r="H6" t="s">
        <v>272</v>
      </c>
    </row>
    <row r="7" spans="1:8" x14ac:dyDescent="0.3">
      <c r="A7">
        <v>5</v>
      </c>
      <c r="B7" t="str">
        <f t="array" ref="B7">IF($A7="","",_xlfn.LET(
    _xlpm.n,$A7,
    _xlpm.allRows,'2A Regression'!$A:$A,
    _xlpm.matches,IF(LEFT(_xlpm.allRows,19)="Dependent Variable:",ROW(_xlpm.allRows),""),
    _xlpm.nthRow,SMALL(IF(_xlpm.matches&lt;&gt;"",_xlpm.matches),_xlpm.n),
    _xlpm.result,INDEX(_xlpm.allRows,_xlpm.nthRow),
    IFERROR(SUBSTITUTE(_xlpm.result,"Dependent Variable: ",""),"")
))</f>
        <v>dLevel_B7_T2B</v>
      </c>
      <c r="C7" t="s">
        <v>172</v>
      </c>
      <c r="D7" t="s">
        <v>273</v>
      </c>
      <c r="G7" t="s">
        <v>120</v>
      </c>
      <c r="H7" t="s">
        <v>274</v>
      </c>
    </row>
    <row r="8" spans="1:8" x14ac:dyDescent="0.3">
      <c r="A8">
        <v>6</v>
      </c>
      <c r="B8" t="str">
        <f t="array" ref="B8">IF($A8="","",_xlfn.LET(
    _xlpm.n,$A8,
    _xlpm.allRows,'2A Regression'!$A:$A,
    _xlpm.matches,IF(LEFT(_xlpm.allRows,19)="Dependent Variable:",ROW(_xlpm.allRows),""),
    _xlpm.nthRow,SMALL(IF(_xlpm.matches&lt;&gt;"",_xlpm.matches),_xlpm.n),
    _xlpm.result,INDEX(_xlpm.allRows,_xlpm.nthRow),
    IFERROR(SUBSTITUTE(_xlpm.result,"Dependent Variable: ",""),"")
))</f>
        <v/>
      </c>
      <c r="C8" t="s">
        <v>172</v>
      </c>
      <c r="G8" t="s">
        <v>122</v>
      </c>
      <c r="H8" t="s">
        <v>275</v>
      </c>
    </row>
    <row r="9" spans="1:8" x14ac:dyDescent="0.3">
      <c r="A9">
        <v>7</v>
      </c>
      <c r="B9" t="str">
        <f t="array" ref="B9">IF($A9="","",_xlfn.LET(
    _xlpm.n,$A9,
    _xlpm.allRows,'2A Regression'!$A:$A,
    _xlpm.matches,IF(LEFT(_xlpm.allRows,19)="Dependent Variable:",ROW(_xlpm.allRows),""),
    _xlpm.nthRow,SMALL(IF(_xlpm.matches&lt;&gt;"",_xlpm.matches),_xlpm.n),
    _xlpm.result,INDEX(_xlpm.allRows,_xlpm.nthRow),
    IFERROR(SUBSTITUTE(_xlpm.result,"Dependent Variable: ",""),"")
))</f>
        <v/>
      </c>
      <c r="C9" t="s">
        <v>172</v>
      </c>
      <c r="G9" t="s">
        <v>124</v>
      </c>
      <c r="H9" t="s">
        <v>276</v>
      </c>
    </row>
    <row r="10" spans="1:8" x14ac:dyDescent="0.3">
      <c r="A10">
        <v>8</v>
      </c>
      <c r="B10" t="str">
        <f t="array" ref="B10">IF($A10="","",_xlfn.LET(
    _xlpm.n,$A10,
    _xlpm.allRows,'2A Regression'!$A:$A,
    _xlpm.matches,IF(LEFT(_xlpm.allRows,19)="Dependent Variable:",ROW(_xlpm.allRows),""),
    _xlpm.nthRow,SMALL(IF(_xlpm.matches&lt;&gt;"",_xlpm.matches),_xlpm.n),
    _xlpm.result,INDEX(_xlpm.allRows,_xlpm.nthRow),
    IFERROR(SUBSTITUTE(_xlpm.result,"Dependent Variable: ",""),"")
))</f>
        <v/>
      </c>
      <c r="C10" t="s">
        <v>172</v>
      </c>
      <c r="G10" t="s">
        <v>126</v>
      </c>
      <c r="H10" t="s">
        <v>277</v>
      </c>
    </row>
    <row r="11" spans="1:8" x14ac:dyDescent="0.3">
      <c r="A11">
        <v>9</v>
      </c>
      <c r="B11" t="str">
        <f t="array" ref="B11">IF($A11="","",_xlfn.LET(
    _xlpm.n,$A11,
    _xlpm.allRows,'2A Regression'!$A:$A,
    _xlpm.matches,IF(LEFT(_xlpm.allRows,19)="Dependent Variable:",ROW(_xlpm.allRows),""),
    _xlpm.nthRow,SMALL(IF(_xlpm.matches&lt;&gt;"",_xlpm.matches),_xlpm.n),
    _xlpm.result,INDEX(_xlpm.allRows,_xlpm.nthRow),
    IFERROR(SUBSTITUTE(_xlpm.result,"Dependent Variable: ",""),"")
))</f>
        <v/>
      </c>
      <c r="G11" t="s">
        <v>128</v>
      </c>
      <c r="H11" t="s">
        <v>278</v>
      </c>
    </row>
    <row r="12" spans="1:8" x14ac:dyDescent="0.3">
      <c r="A12">
        <v>10</v>
      </c>
      <c r="B12" t="str">
        <f t="array" ref="B12">IF($A12="","",_xlfn.LET(
    _xlpm.n,$A12,
    _xlpm.allRows,'2A Regression'!$A:$A,
    _xlpm.matches,IF(LEFT(_xlpm.allRows,19)="Dependent Variable:",ROW(_xlpm.allRows),""),
    _xlpm.nthRow,SMALL(IF(_xlpm.matches&lt;&gt;"",_xlpm.matches),_xlpm.n),
    _xlpm.result,INDEX(_xlpm.allRows,_xlpm.nthRow),
    IFERROR(SUBSTITUTE(_xlpm.result,"Dependent Variable: ",""),"")
))</f>
        <v/>
      </c>
      <c r="G12" t="s">
        <v>130</v>
      </c>
      <c r="H12" t="s">
        <v>279</v>
      </c>
    </row>
    <row r="13" spans="1:8" x14ac:dyDescent="0.3">
      <c r="A13">
        <v>11</v>
      </c>
      <c r="B13" t="str">
        <f t="array" ref="B13">IF($A13="","",_xlfn.LET(
    _xlpm.n,$A13,
    _xlpm.allRows,'2A Regression'!$A:$A,
    _xlpm.matches,IF(LEFT(_xlpm.allRows,19)="Dependent Variable:",ROW(_xlpm.allRows),""),
    _xlpm.nthRow,SMALL(IF(_xlpm.matches&lt;&gt;"",_xlpm.matches),_xlpm.n),
    _xlpm.result,INDEX(_xlpm.allRows,_xlpm.nthRow),
    IFERROR(SUBSTITUTE(_xlpm.result,"Dependent Variable: ",""),"")
))</f>
        <v/>
      </c>
      <c r="G13" t="s">
        <v>132</v>
      </c>
      <c r="H13" t="s">
        <v>280</v>
      </c>
    </row>
    <row r="14" spans="1:8" x14ac:dyDescent="0.3">
      <c r="A14">
        <v>12</v>
      </c>
      <c r="B14" t="str">
        <f t="array" ref="B14">IF($A14="","",_xlfn.LET(
    _xlpm.n,$A14,
    _xlpm.allRows,'2A Regression'!$A:$A,
    _xlpm.matches,IF(LEFT(_xlpm.allRows,19)="Dependent Variable:",ROW(_xlpm.allRows),""),
    _xlpm.nthRow,SMALL(IF(_xlpm.matches&lt;&gt;"",_xlpm.matches),_xlpm.n),
    _xlpm.result,INDEX(_xlpm.allRows,_xlpm.nthRow),
    IFERROR(SUBSTITUTE(_xlpm.result,"Dependent Variable: ",""),"")
))</f>
        <v/>
      </c>
      <c r="G14" t="s">
        <v>134</v>
      </c>
      <c r="H14" t="s">
        <v>281</v>
      </c>
    </row>
    <row r="15" spans="1:8" x14ac:dyDescent="0.3">
      <c r="A15">
        <v>13</v>
      </c>
      <c r="B15" t="str">
        <f t="array" ref="B15">IF($A15="","",_xlfn.LET(
    _xlpm.n,$A15,
    _xlpm.allRows,'2A Regression'!$A:$A,
    _xlpm.matches,IF(LEFT(_xlpm.allRows,19)="Dependent Variable:",ROW(_xlpm.allRows),""),
    _xlpm.nthRow,SMALL(IF(_xlpm.matches&lt;&gt;"",_xlpm.matches),_xlpm.n),
    _xlpm.result,INDEX(_xlpm.allRows,_xlpm.nthRow),
    IFERROR(SUBSTITUTE(_xlpm.result,"Dependent Variable: ",""),"")
))</f>
        <v/>
      </c>
      <c r="G15" t="s">
        <v>136</v>
      </c>
      <c r="H15" t="s">
        <v>282</v>
      </c>
    </row>
    <row r="16" spans="1:8" x14ac:dyDescent="0.3">
      <c r="A16">
        <v>14</v>
      </c>
      <c r="B16" t="str">
        <f t="array" ref="B16">IF($A16="","",_xlfn.LET(
    _xlpm.n,$A16,
    _xlpm.allRows,'2A Regression'!$A:$A,
    _xlpm.matches,IF(LEFT(_xlpm.allRows,19)="Dependent Variable:",ROW(_xlpm.allRows),""),
    _xlpm.nthRow,SMALL(IF(_xlpm.matches&lt;&gt;"",_xlpm.matches),_xlpm.n),
    _xlpm.result,INDEX(_xlpm.allRows,_xlpm.nthRow),
    IFERROR(SUBSTITUTE(_xlpm.result,"Dependent Variable: ",""),"")
))</f>
        <v/>
      </c>
      <c r="G16" t="s">
        <v>138</v>
      </c>
      <c r="H16" t="s">
        <v>283</v>
      </c>
    </row>
    <row r="17" spans="1:8" x14ac:dyDescent="0.3">
      <c r="A17">
        <v>15</v>
      </c>
      <c r="B17" t="str">
        <f t="array" ref="B17">IF($A17="","",_xlfn.LET(
    _xlpm.n,$A17,
    _xlpm.allRows,'2A Regression'!$A:$A,
    _xlpm.matches,IF(LEFT(_xlpm.allRows,19)="Dependent Variable:",ROW(_xlpm.allRows),""),
    _xlpm.nthRow,SMALL(IF(_xlpm.matches&lt;&gt;"",_xlpm.matches),_xlpm.n),
    _xlpm.result,INDEX(_xlpm.allRows,_xlpm.nthRow),
    IFERROR(SUBSTITUTE(_xlpm.result,"Dependent Variable: ",""),"")
))</f>
        <v/>
      </c>
      <c r="G17" t="s">
        <v>140</v>
      </c>
      <c r="H17" t="s">
        <v>284</v>
      </c>
    </row>
    <row r="18" spans="1:8" x14ac:dyDescent="0.3">
      <c r="A18">
        <v>16</v>
      </c>
      <c r="B18" t="str">
        <f t="array" ref="B18">IF($A18="","",_xlfn.LET(
    _xlpm.n,$A18,
    _xlpm.allRows,'2A Regression'!$A:$A,
    _xlpm.matches,IF(LEFT(_xlpm.allRows,19)="Dependent Variable:",ROW(_xlpm.allRows),""),
    _xlpm.nthRow,SMALL(IF(_xlpm.matches&lt;&gt;"",_xlpm.matches),_xlpm.n),
    _xlpm.result,INDEX(_xlpm.allRows,_xlpm.nthRow),
    IFERROR(SUBSTITUTE(_xlpm.result,"Dependent Variable: ",""),"")
))</f>
        <v/>
      </c>
      <c r="G18" t="s">
        <v>142</v>
      </c>
      <c r="H18" t="s">
        <v>285</v>
      </c>
    </row>
    <row r="19" spans="1:8" x14ac:dyDescent="0.3">
      <c r="A19">
        <v>17</v>
      </c>
      <c r="B19" t="str">
        <f t="array" ref="B19">IF($A19="","",_xlfn.LET(
    _xlpm.n,$A19,
    _xlpm.allRows,'2A Regression'!$A:$A,
    _xlpm.matches,IF(LEFT(_xlpm.allRows,19)="Dependent Variable:",ROW(_xlpm.allRows),""),
    _xlpm.nthRow,SMALL(IF(_xlpm.matches&lt;&gt;"",_xlpm.matches),_xlpm.n),
    _xlpm.result,INDEX(_xlpm.allRows,_xlpm.nthRow),
    IFERROR(SUBSTITUTE(_xlpm.result,"Dependent Variable: ",""),"")
))</f>
        <v/>
      </c>
      <c r="G19" t="s">
        <v>144</v>
      </c>
      <c r="H19" t="s">
        <v>286</v>
      </c>
    </row>
    <row r="20" spans="1:8" x14ac:dyDescent="0.3">
      <c r="A20">
        <v>18</v>
      </c>
      <c r="B20" t="str">
        <f t="array" ref="B20">IF($A20="","",_xlfn.LET(
    _xlpm.n,$A20,
    _xlpm.allRows,'2A Regression'!$A:$A,
    _xlpm.matches,IF(LEFT(_xlpm.allRows,19)="Dependent Variable:",ROW(_xlpm.allRows),""),
    _xlpm.nthRow,SMALL(IF(_xlpm.matches&lt;&gt;"",_xlpm.matches),_xlpm.n),
    _xlpm.result,INDEX(_xlpm.allRows,_xlpm.nthRow),
    IFERROR(SUBSTITUTE(_xlpm.result,"Dependent Variable: ",""),"")
))</f>
        <v/>
      </c>
      <c r="G20" t="s">
        <v>146</v>
      </c>
      <c r="H20" t="s">
        <v>287</v>
      </c>
    </row>
    <row r="21" spans="1:8" x14ac:dyDescent="0.3">
      <c r="A21">
        <v>19</v>
      </c>
      <c r="B21" t="str">
        <f t="array" ref="B21">IF($A21="","",_xlfn.LET(
    _xlpm.n,$A21,
    _xlpm.allRows,'2A Regression'!$A:$A,
    _xlpm.matches,IF(LEFT(_xlpm.allRows,19)="Dependent Variable:",ROW(_xlpm.allRows),""),
    _xlpm.nthRow,SMALL(IF(_xlpm.matches&lt;&gt;"",_xlpm.matches),_xlpm.n),
    _xlpm.result,INDEX(_xlpm.allRows,_xlpm.nthRow),
    IFERROR(SUBSTITUTE(_xlpm.result,"Dependent Variable: ",""),"")
))</f>
        <v/>
      </c>
      <c r="G21" t="s">
        <v>148</v>
      </c>
      <c r="H21" t="s">
        <v>288</v>
      </c>
    </row>
    <row r="22" spans="1:8" x14ac:dyDescent="0.3">
      <c r="A22">
        <v>20</v>
      </c>
      <c r="B22" t="str">
        <f t="array" ref="B22">IF($A22="","",_xlfn.LET(
    _xlpm.n,$A22,
    _xlpm.allRows,'2A Regression'!$A:$A,
    _xlpm.matches,IF(LEFT(_xlpm.allRows,19)="Dependent Variable:",ROW(_xlpm.allRows),""),
    _xlpm.nthRow,SMALL(IF(_xlpm.matches&lt;&gt;"",_xlpm.matches),_xlpm.n),
    _xlpm.result,INDEX(_xlpm.allRows,_xlpm.nthRow),
    IFERROR(SUBSTITUTE(_xlpm.result,"Dependent Variable: ",""),"")
))</f>
        <v/>
      </c>
      <c r="G22" t="s">
        <v>150</v>
      </c>
      <c r="H22" t="s">
        <v>289</v>
      </c>
    </row>
    <row r="23" spans="1:8" x14ac:dyDescent="0.3">
      <c r="G23" t="s">
        <v>152</v>
      </c>
      <c r="H23" t="s">
        <v>290</v>
      </c>
    </row>
    <row r="24" spans="1:8" x14ac:dyDescent="0.3">
      <c r="G24" t="s">
        <v>154</v>
      </c>
      <c r="H24" t="s">
        <v>291</v>
      </c>
    </row>
    <row r="25" spans="1:8" x14ac:dyDescent="0.3">
      <c r="G25" t="s">
        <v>156</v>
      </c>
      <c r="H25" t="s">
        <v>292</v>
      </c>
    </row>
    <row r="26" spans="1:8" x14ac:dyDescent="0.3">
      <c r="G26" t="s">
        <v>158</v>
      </c>
      <c r="H26" t="s">
        <v>293</v>
      </c>
    </row>
    <row r="27" spans="1:8" x14ac:dyDescent="0.3">
      <c r="G27" t="s">
        <v>160</v>
      </c>
      <c r="H27" t="s">
        <v>294</v>
      </c>
    </row>
    <row r="28" spans="1:8" x14ac:dyDescent="0.3">
      <c r="G28" t="s">
        <v>162</v>
      </c>
      <c r="H28" t="s">
        <v>295</v>
      </c>
    </row>
  </sheetData>
  <phoneticPr fontId="5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tabColor theme="1" tint="4.9989318521683403E-2"/>
  </sheetPr>
  <dimension ref="A1:AJ171"/>
  <sheetViews>
    <sheetView zoomScale="71" zoomScaleNormal="80" workbookViewId="0">
      <selection activeCell="H17" sqref="H17"/>
    </sheetView>
  </sheetViews>
  <sheetFormatPr defaultRowHeight="14" x14ac:dyDescent="0.3"/>
  <cols>
    <col min="1" max="1" width="22.58203125" customWidth="1"/>
    <col min="2" max="2" width="6.83203125" bestFit="1" customWidth="1"/>
    <col min="3" max="3" width="27.83203125" bestFit="1" customWidth="1"/>
    <col min="4" max="4" width="29.4140625" style="5" bestFit="1" customWidth="1"/>
    <col min="5" max="5" width="9.1640625" bestFit="1" customWidth="1"/>
    <col min="6" max="6" width="12.83203125" customWidth="1"/>
    <col min="7" max="7" width="9.1640625" customWidth="1"/>
    <col min="8" max="24" width="10.1640625" customWidth="1"/>
    <col min="25" max="25" width="13.1640625" bestFit="1" customWidth="1"/>
    <col min="26" max="26" width="15.4140625" bestFit="1" customWidth="1"/>
    <col min="27" max="32" width="9.83203125" customWidth="1"/>
  </cols>
  <sheetData>
    <row r="1" spans="1:36" ht="30" customHeight="1" x14ac:dyDescent="0.3">
      <c r="A1" s="83"/>
      <c r="B1" s="84"/>
      <c r="C1" s="85"/>
      <c r="D1" s="92" t="s">
        <v>0</v>
      </c>
      <c r="E1" s="93" t="str">
        <f t="array" ref="E1:X1">TRANSPOSE('2D Mapping'!C3:C22)</f>
        <v>Total</v>
      </c>
      <c r="F1" s="93" t="str">
        <v>Total</v>
      </c>
      <c r="G1" s="93" t="str">
        <v>Total</v>
      </c>
      <c r="H1" s="93" t="str">
        <v>Total</v>
      </c>
      <c r="I1" s="93" t="str">
        <v>Total</v>
      </c>
      <c r="J1" s="93" t="str">
        <v>Total</v>
      </c>
      <c r="K1" s="93" t="str">
        <v>Total</v>
      </c>
      <c r="L1" s="93" t="str">
        <v>Total</v>
      </c>
      <c r="M1" s="93">
        <v>0</v>
      </c>
      <c r="N1" s="93">
        <v>0</v>
      </c>
      <c r="O1" s="93">
        <v>0</v>
      </c>
      <c r="P1" s="93">
        <v>0</v>
      </c>
      <c r="Q1" s="93">
        <v>0</v>
      </c>
      <c r="R1" s="93">
        <v>0</v>
      </c>
      <c r="S1" s="93">
        <v>0</v>
      </c>
      <c r="T1" s="93">
        <v>0</v>
      </c>
      <c r="U1" s="93">
        <v>0</v>
      </c>
      <c r="V1" s="93">
        <v>0</v>
      </c>
      <c r="W1" s="93">
        <v>0</v>
      </c>
      <c r="X1" s="93">
        <v>0</v>
      </c>
    </row>
    <row r="2" spans="1:36" s="16" customFormat="1" ht="65.25" customHeight="1" x14ac:dyDescent="0.3">
      <c r="A2" s="86" t="s">
        <v>1</v>
      </c>
      <c r="B2" s="85"/>
      <c r="C2" s="1"/>
      <c r="D2" s="20" t="s">
        <v>2</v>
      </c>
      <c r="E2" s="82" t="str">
        <f t="array" ref="E2:X2">TRANSPOSE('2D Mapping'!B3:B22)</f>
        <v>dLevel_ABA</v>
      </c>
      <c r="F2" s="82" t="str">
        <v>dLevel_B6_T2B</v>
      </c>
      <c r="G2" s="82" t="str">
        <v>dLevel_ABA</v>
      </c>
      <c r="H2" s="82" t="str">
        <v>dLevel_B6_T2B</v>
      </c>
      <c r="I2" s="82" t="str">
        <v>dLevel_B7_T2B</v>
      </c>
      <c r="J2" s="82" t="str">
        <v/>
      </c>
      <c r="K2" s="82" t="str">
        <v/>
      </c>
      <c r="L2" s="82" t="str">
        <v/>
      </c>
      <c r="M2" s="82" t="str">
        <v/>
      </c>
      <c r="N2" s="82" t="str">
        <v/>
      </c>
      <c r="O2" s="82" t="str">
        <v/>
      </c>
      <c r="P2" s="82" t="str">
        <v/>
      </c>
      <c r="Q2" s="82" t="str">
        <v/>
      </c>
      <c r="R2" s="82" t="str">
        <v/>
      </c>
      <c r="S2" s="82" t="str">
        <v/>
      </c>
      <c r="T2" s="82" t="str">
        <v/>
      </c>
      <c r="U2" s="82" t="str">
        <v/>
      </c>
      <c r="V2" s="82" t="str">
        <v/>
      </c>
      <c r="W2" s="82" t="str">
        <v/>
      </c>
      <c r="X2" s="82" t="str">
        <v/>
      </c>
      <c r="Y2" s="21"/>
      <c r="Z2" s="21"/>
      <c r="AA2" s="21"/>
      <c r="AB2" s="21"/>
      <c r="AC2" s="21"/>
      <c r="AD2" s="21"/>
      <c r="AE2" s="21"/>
      <c r="AF2" s="21"/>
      <c r="AG2" s="21"/>
      <c r="AH2" s="21"/>
      <c r="AI2" s="21"/>
      <c r="AJ2" s="21"/>
    </row>
    <row r="3" spans="1:36" ht="13" customHeight="1" x14ac:dyDescent="0.3">
      <c r="A3" s="98"/>
      <c r="B3" s="99"/>
      <c r="C3" s="1"/>
      <c r="D3" s="81" t="s">
        <v>3</v>
      </c>
      <c r="E3" s="150">
        <f t="array" ref="E3">_xlfn.LET(
    _xlpm.kpiName, E$2,
    _xlpm.factorName, $D3,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3.9697503212993472E-2</v>
      </c>
      <c r="F3" s="150">
        <f t="array" ref="F3">_xlfn.LET(
    _xlpm.kpiName, F$2,
    _xlpm.factorName, $D3,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4.2726247384892217E-2</v>
      </c>
      <c r="G3" s="150">
        <f t="array" ref="G3">_xlfn.LET(
    _xlpm.kpiName, G$2,
    _xlpm.factorName, $D3,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3.9697503212993472E-2</v>
      </c>
      <c r="H3" s="150">
        <f t="array" ref="H3">_xlfn.LET(
    _xlpm.kpiName, H$2,
    _xlpm.factorName, $D3,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4.2726247384892217E-2</v>
      </c>
      <c r="I3" s="150">
        <f t="array" ref="I3">_xlfn.LET(
    _xlpm.kpiName, I$2,
    _xlpm.factorName, $D3,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0.18742167501614901</v>
      </c>
      <c r="J3" s="150">
        <f t="array" ref="J3">_xlfn.LET(
    _xlpm.kpiName, J$2,
    _xlpm.factorName, $D3,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K3" s="150">
        <f t="array" ref="K3">_xlfn.LET(
    _xlpm.kpiName, K$2,
    _xlpm.factorName, $D3,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L3" s="150">
        <f t="array" ref="L3">_xlfn.LET(
    _xlpm.kpiName, L$2,
    _xlpm.factorName, $D3,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M3" s="150">
        <f t="array" ref="M3">_xlfn.LET(
    _xlpm.kpiName, M$2,
    _xlpm.factorName, $D3,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N3" s="150">
        <f t="array" ref="N3">_xlfn.LET(
    _xlpm.kpiName, N$2,
    _xlpm.factorName, $D3,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O3" s="150">
        <f t="array" ref="O3">_xlfn.LET(
    _xlpm.kpiName, O$2,
    _xlpm.factorName, $D3,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P3" s="150">
        <f t="array" ref="P3">_xlfn.LET(
    _xlpm.kpiName, P$2,
    _xlpm.factorName, $D3,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Q3" s="150">
        <f t="array" ref="Q3">_xlfn.LET(
    _xlpm.kpiName, Q$2,
    _xlpm.factorName, $D3,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R3" s="150">
        <f t="array" ref="R3">_xlfn.LET(
    _xlpm.kpiName, R$2,
    _xlpm.factorName, $D3,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S3" s="150">
        <f t="array" ref="S3">_xlfn.LET(
    _xlpm.kpiName, S$2,
    _xlpm.factorName, $D3,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T3" s="150">
        <f t="array" ref="T3">_xlfn.LET(
    _xlpm.kpiName, T$2,
    _xlpm.factorName, $D3,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U3" s="150">
        <f t="array" ref="U3">_xlfn.LET(
    _xlpm.kpiName, U$2,
    _xlpm.factorName, $D3,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V3" s="150">
        <f t="array" ref="V3">_xlfn.LET(
    _xlpm.kpiName, V$2,
    _xlpm.factorName, $D3,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W3" s="150">
        <f t="array" ref="W3">_xlfn.LET(
    _xlpm.kpiName, W$2,
    _xlpm.factorName, $D3,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X3" s="150">
        <f t="array" ref="X3">_xlfn.LET(
    _xlpm.kpiName, X$2,
    _xlpm.factorName, $D3,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Y3" s="10"/>
      <c r="Z3" s="10"/>
      <c r="AA3" s="10"/>
      <c r="AB3" s="10"/>
      <c r="AC3" s="10"/>
      <c r="AD3" s="10"/>
      <c r="AE3" s="10"/>
      <c r="AF3" s="10"/>
      <c r="AG3" s="10"/>
      <c r="AH3" s="10"/>
      <c r="AI3" s="10"/>
      <c r="AJ3" s="10"/>
    </row>
    <row r="4" spans="1:36" ht="13" customHeight="1" x14ac:dyDescent="0.3">
      <c r="A4" s="215" t="s">
        <v>4</v>
      </c>
      <c r="B4" s="221">
        <v>0</v>
      </c>
      <c r="C4" s="1"/>
      <c r="D4" s="81" t="s">
        <v>5</v>
      </c>
      <c r="E4" s="150">
        <f t="array" ref="E4">_xlfn.LET(
    _xlpm.kpiName, E$2,
    _xlpm.factorName, $D4,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1.905110191555686E-2</v>
      </c>
      <c r="F4" s="150">
        <f t="array" ref="F4">_xlfn.LET(
    _xlpm.kpiName, F$2,
    _xlpm.factorName, $D4,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8.2534883523637716E-3</v>
      </c>
      <c r="G4" s="150">
        <f t="array" ref="G4">_xlfn.LET(
    _xlpm.kpiName, G$2,
    _xlpm.factorName, $D4,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1.905110191555686E-2</v>
      </c>
      <c r="H4" s="150">
        <f t="array" ref="H4">_xlfn.LET(
    _xlpm.kpiName, H$2,
    _xlpm.factorName, $D4,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8.2534883523637716E-3</v>
      </c>
      <c r="I4" s="150">
        <f t="array" ref="I4">_xlfn.LET(
    _xlpm.kpiName, I$2,
    _xlpm.factorName, $D4,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0.1298078160125162</v>
      </c>
      <c r="J4" s="150">
        <f t="array" ref="J4">_xlfn.LET(
    _xlpm.kpiName, J$2,
    _xlpm.factorName, $D4,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K4" s="150">
        <f t="array" ref="K4">_xlfn.LET(
    _xlpm.kpiName, K$2,
    _xlpm.factorName, $D4,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L4" s="150">
        <f t="array" ref="L4">_xlfn.LET(
    _xlpm.kpiName, L$2,
    _xlpm.factorName, $D4,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M4" s="150">
        <f t="array" ref="M4">_xlfn.LET(
    _xlpm.kpiName, M$2,
    _xlpm.factorName, $D4,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N4" s="150">
        <f t="array" ref="N4">_xlfn.LET(
    _xlpm.kpiName, N$2,
    _xlpm.factorName, $D4,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O4" s="150">
        <f t="array" ref="O4">_xlfn.LET(
    _xlpm.kpiName, O$2,
    _xlpm.factorName, $D4,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P4" s="150">
        <f t="array" ref="P4">_xlfn.LET(
    _xlpm.kpiName, P$2,
    _xlpm.factorName, $D4,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Q4" s="150">
        <f t="array" ref="Q4">_xlfn.LET(
    _xlpm.kpiName, Q$2,
    _xlpm.factorName, $D4,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R4" s="150">
        <f t="array" ref="R4">_xlfn.LET(
    _xlpm.kpiName, R$2,
    _xlpm.factorName, $D4,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S4" s="150">
        <f t="array" ref="S4">_xlfn.LET(
    _xlpm.kpiName, S$2,
    _xlpm.factorName, $D4,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T4" s="150">
        <f t="array" ref="T4">_xlfn.LET(
    _xlpm.kpiName, T$2,
    _xlpm.factorName, $D4,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U4" s="150">
        <f t="array" ref="U4">_xlfn.LET(
    _xlpm.kpiName, U$2,
    _xlpm.factorName, $D4,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V4" s="150">
        <f t="array" ref="V4">_xlfn.LET(
    _xlpm.kpiName, V$2,
    _xlpm.factorName, $D4,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W4" s="150">
        <f t="array" ref="W4">_xlfn.LET(
    _xlpm.kpiName, W$2,
    _xlpm.factorName, $D4,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X4" s="150">
        <f t="array" ref="X4">_xlfn.LET(
    _xlpm.kpiName, X$2,
    _xlpm.factorName, $D4,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Y4" s="10"/>
      <c r="Z4" s="10"/>
      <c r="AA4" s="10"/>
      <c r="AB4" s="10"/>
      <c r="AC4" s="10"/>
      <c r="AD4" s="10"/>
      <c r="AE4" s="10"/>
      <c r="AF4" s="10"/>
      <c r="AG4" s="10"/>
      <c r="AH4" s="10"/>
      <c r="AI4" s="10"/>
      <c r="AJ4" s="10"/>
    </row>
    <row r="5" spans="1:36" ht="13" customHeight="1" x14ac:dyDescent="0.3">
      <c r="A5" s="216"/>
      <c r="B5" s="216"/>
      <c r="C5" s="1"/>
      <c r="D5" s="81" t="s">
        <v>6</v>
      </c>
      <c r="E5" s="150">
        <f t="array" ref="E5">_xlfn.LET(
    _xlpm.kpiName, E$2,
    _xlpm.factorName, $D5,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1.639282941584318E-2</v>
      </c>
      <c r="F5" s="150">
        <f t="array" ref="F5">_xlfn.LET(
    _xlpm.kpiName, F$2,
    _xlpm.factorName, $D5,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8.661298057249767E-3</v>
      </c>
      <c r="G5" s="150">
        <f t="array" ref="G5">_xlfn.LET(
    _xlpm.kpiName, G$2,
    _xlpm.factorName, $D5,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1.639282941584318E-2</v>
      </c>
      <c r="H5" s="150">
        <f t="array" ref="H5">_xlfn.LET(
    _xlpm.kpiName, H$2,
    _xlpm.factorName, $D5,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8.661298057249767E-3</v>
      </c>
      <c r="I5" s="150">
        <f t="array" ref="I5">_xlfn.LET(
    _xlpm.kpiName, I$2,
    _xlpm.factorName, $D5,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0.1153950542017106</v>
      </c>
      <c r="J5" s="150">
        <f t="array" ref="J5">_xlfn.LET(
    _xlpm.kpiName, J$2,
    _xlpm.factorName, $D5,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K5" s="150">
        <f t="array" ref="K5">_xlfn.LET(
    _xlpm.kpiName, K$2,
    _xlpm.factorName, $D5,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L5" s="150">
        <f t="array" ref="L5">_xlfn.LET(
    _xlpm.kpiName, L$2,
    _xlpm.factorName, $D5,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M5" s="150">
        <f t="array" ref="M5">_xlfn.LET(
    _xlpm.kpiName, M$2,
    _xlpm.factorName, $D5,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N5" s="150">
        <f t="array" ref="N5">_xlfn.LET(
    _xlpm.kpiName, N$2,
    _xlpm.factorName, $D5,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O5" s="150">
        <f t="array" ref="O5">_xlfn.LET(
    _xlpm.kpiName, O$2,
    _xlpm.factorName, $D5,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P5" s="150">
        <f t="array" ref="P5">_xlfn.LET(
    _xlpm.kpiName, P$2,
    _xlpm.factorName, $D5,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Q5" s="150">
        <f t="array" ref="Q5">_xlfn.LET(
    _xlpm.kpiName, Q$2,
    _xlpm.factorName, $D5,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R5" s="150">
        <f t="array" ref="R5">_xlfn.LET(
    _xlpm.kpiName, R$2,
    _xlpm.factorName, $D5,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S5" s="150">
        <f t="array" ref="S5">_xlfn.LET(
    _xlpm.kpiName, S$2,
    _xlpm.factorName, $D5,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T5" s="150">
        <f t="array" ref="T5">_xlfn.LET(
    _xlpm.kpiName, T$2,
    _xlpm.factorName, $D5,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U5" s="150">
        <f t="array" ref="U5">_xlfn.LET(
    _xlpm.kpiName, U$2,
    _xlpm.factorName, $D5,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V5" s="150">
        <f t="array" ref="V5">_xlfn.LET(
    _xlpm.kpiName, V$2,
    _xlpm.factorName, $D5,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W5" s="150">
        <f t="array" ref="W5">_xlfn.LET(
    _xlpm.kpiName, W$2,
    _xlpm.factorName, $D5,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X5" s="150">
        <f t="array" ref="X5">_xlfn.LET(
    _xlpm.kpiName, X$2,
    _xlpm.factorName, $D5,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Y5" s="10"/>
      <c r="Z5" s="10"/>
      <c r="AA5" s="10"/>
      <c r="AB5" s="10"/>
      <c r="AC5" s="10"/>
      <c r="AD5" s="10"/>
      <c r="AE5" s="10"/>
      <c r="AF5" s="10"/>
      <c r="AG5" s="10"/>
      <c r="AH5" s="10"/>
      <c r="AI5" s="10"/>
      <c r="AJ5" s="10"/>
    </row>
    <row r="6" spans="1:36" ht="13" customHeight="1" x14ac:dyDescent="0.3">
      <c r="A6" s="216"/>
      <c r="B6" s="216"/>
      <c r="C6" s="69"/>
      <c r="D6" s="81" t="s">
        <v>7</v>
      </c>
      <c r="E6" s="150">
        <f t="array" ref="E6">_xlfn.LET(
    _xlpm.kpiName, E$2,
    _xlpm.factorName, $D6,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4.1680187650012933E-2</v>
      </c>
      <c r="F6" s="150">
        <f t="array" ref="F6">_xlfn.LET(
    _xlpm.kpiName, F$2,
    _xlpm.factorName, $D6,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5.158324524377858E-2</v>
      </c>
      <c r="G6" s="150">
        <f t="array" ref="G6">_xlfn.LET(
    _xlpm.kpiName, G$2,
    _xlpm.factorName, $D6,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4.1680187650012933E-2</v>
      </c>
      <c r="H6" s="150">
        <f t="array" ref="H6">_xlfn.LET(
    _xlpm.kpiName, H$2,
    _xlpm.factorName, $D6,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5.158324524377858E-2</v>
      </c>
      <c r="I6" s="150">
        <f t="array" ref="I6">_xlfn.LET(
    _xlpm.kpiName, I$2,
    _xlpm.factorName, $D6,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0.19913855884363679</v>
      </c>
      <c r="J6" s="150">
        <f t="array" ref="J6">_xlfn.LET(
    _xlpm.kpiName, J$2,
    _xlpm.factorName, $D6,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K6" s="150">
        <f t="array" ref="K6">_xlfn.LET(
    _xlpm.kpiName, K$2,
    _xlpm.factorName, $D6,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L6" s="150">
        <f t="array" ref="L6">_xlfn.LET(
    _xlpm.kpiName, L$2,
    _xlpm.factorName, $D6,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M6" s="150">
        <f t="array" ref="M6">_xlfn.LET(
    _xlpm.kpiName, M$2,
    _xlpm.factorName, $D6,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N6" s="150">
        <f t="array" ref="N6">_xlfn.LET(
    _xlpm.kpiName, N$2,
    _xlpm.factorName, $D6,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O6" s="150">
        <f t="array" ref="O6">_xlfn.LET(
    _xlpm.kpiName, O$2,
    _xlpm.factorName, $D6,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P6" s="150">
        <f t="array" ref="P6">_xlfn.LET(
    _xlpm.kpiName, P$2,
    _xlpm.factorName, $D6,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Q6" s="150">
        <f t="array" ref="Q6">_xlfn.LET(
    _xlpm.kpiName, Q$2,
    _xlpm.factorName, $D6,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R6" s="150">
        <f t="array" ref="R6">_xlfn.LET(
    _xlpm.kpiName, R$2,
    _xlpm.factorName, $D6,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S6" s="150">
        <f t="array" ref="S6">_xlfn.LET(
    _xlpm.kpiName, S$2,
    _xlpm.factorName, $D6,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T6" s="150">
        <f t="array" ref="T6">_xlfn.LET(
    _xlpm.kpiName, T$2,
    _xlpm.factorName, $D6,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U6" s="150">
        <f t="array" ref="U6">_xlfn.LET(
    _xlpm.kpiName, U$2,
    _xlpm.factorName, $D6,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V6" s="150">
        <f t="array" ref="V6">_xlfn.LET(
    _xlpm.kpiName, V$2,
    _xlpm.factorName, $D6,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W6" s="150">
        <f t="array" ref="W6">_xlfn.LET(
    _xlpm.kpiName, W$2,
    _xlpm.factorName, $D6,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X6" s="150">
        <f t="array" ref="X6">_xlfn.LET(
    _xlpm.kpiName, X$2,
    _xlpm.factorName, $D6,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Y6" s="10"/>
      <c r="Z6" s="10"/>
      <c r="AA6" s="10"/>
      <c r="AB6" s="10"/>
      <c r="AC6" s="10"/>
      <c r="AD6" s="10"/>
      <c r="AE6" s="10"/>
      <c r="AF6" s="10"/>
      <c r="AG6" s="10"/>
      <c r="AH6" s="10"/>
      <c r="AI6" s="10"/>
      <c r="AJ6" s="10"/>
    </row>
    <row r="7" spans="1:36" ht="13" customHeight="1" x14ac:dyDescent="0.3">
      <c r="A7" s="217"/>
      <c r="B7" s="217"/>
      <c r="C7" s="69"/>
      <c r="D7" s="81" t="s">
        <v>8</v>
      </c>
      <c r="E7" s="150">
        <f t="array" ref="E7">_xlfn.LET(
    _xlpm.kpiName, E$2,
    _xlpm.factorName, $D7,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1.6505500524022661E-2</v>
      </c>
      <c r="F7" s="150">
        <f t="array" ref="F7">_xlfn.LET(
    _xlpm.kpiName, F$2,
    _xlpm.factorName, $D7,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4.7244237552869058E-2</v>
      </c>
      <c r="G7" s="150">
        <f t="array" ref="G7">_xlfn.LET(
    _xlpm.kpiName, G$2,
    _xlpm.factorName, $D7,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1.6505500524022661E-2</v>
      </c>
      <c r="H7" s="150">
        <f t="array" ref="H7">_xlfn.LET(
    _xlpm.kpiName, H$2,
    _xlpm.factorName, $D7,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4.7244237552869058E-2</v>
      </c>
      <c r="I7" s="150">
        <f t="array" ref="I7">_xlfn.LET(
    _xlpm.kpiName, I$2,
    _xlpm.factorName, $D7,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0.12130729063873449</v>
      </c>
      <c r="J7" s="150">
        <f t="array" ref="J7">_xlfn.LET(
    _xlpm.kpiName, J$2,
    _xlpm.factorName, $D7,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K7" s="150">
        <f t="array" ref="K7">_xlfn.LET(
    _xlpm.kpiName, K$2,
    _xlpm.factorName, $D7,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L7" s="150">
        <f t="array" ref="L7">_xlfn.LET(
    _xlpm.kpiName, L$2,
    _xlpm.factorName, $D7,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M7" s="150">
        <f t="array" ref="M7">_xlfn.LET(
    _xlpm.kpiName, M$2,
    _xlpm.factorName, $D7,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N7" s="150">
        <f t="array" ref="N7">_xlfn.LET(
    _xlpm.kpiName, N$2,
    _xlpm.factorName, $D7,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O7" s="150">
        <f t="array" ref="O7">_xlfn.LET(
    _xlpm.kpiName, O$2,
    _xlpm.factorName, $D7,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P7" s="150">
        <f t="array" ref="P7">_xlfn.LET(
    _xlpm.kpiName, P$2,
    _xlpm.factorName, $D7,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Q7" s="150">
        <f t="array" ref="Q7">_xlfn.LET(
    _xlpm.kpiName, Q$2,
    _xlpm.factorName, $D7,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R7" s="150">
        <f t="array" ref="R7">_xlfn.LET(
    _xlpm.kpiName, R$2,
    _xlpm.factorName, $D7,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S7" s="150">
        <f t="array" ref="S7">_xlfn.LET(
    _xlpm.kpiName, S$2,
    _xlpm.factorName, $D7,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T7" s="150">
        <f t="array" ref="T7">_xlfn.LET(
    _xlpm.kpiName, T$2,
    _xlpm.factorName, $D7,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U7" s="150">
        <f t="array" ref="U7">_xlfn.LET(
    _xlpm.kpiName, U$2,
    _xlpm.factorName, $D7,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V7" s="150">
        <f t="array" ref="V7">_xlfn.LET(
    _xlpm.kpiName, V$2,
    _xlpm.factorName, $D7,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W7" s="150">
        <f t="array" ref="W7">_xlfn.LET(
    _xlpm.kpiName, W$2,
    _xlpm.factorName, $D7,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X7" s="150">
        <f t="array" ref="X7">_xlfn.LET(
    _xlpm.kpiName, X$2,
    _xlpm.factorName, $D7,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Y7" s="10"/>
      <c r="Z7" s="10"/>
      <c r="AA7" s="10"/>
      <c r="AB7" s="10"/>
      <c r="AC7" s="10"/>
      <c r="AD7" s="10"/>
      <c r="AE7" s="10"/>
      <c r="AF7" s="10"/>
      <c r="AG7" s="10"/>
      <c r="AH7" s="10"/>
      <c r="AI7" s="10"/>
      <c r="AJ7" s="10"/>
    </row>
    <row r="8" spans="1:36" ht="13" customHeight="1" x14ac:dyDescent="0.3">
      <c r="A8" s="215" t="s">
        <v>9</v>
      </c>
      <c r="B8" s="220"/>
      <c r="C8" s="69"/>
      <c r="D8" s="81" t="s">
        <v>10</v>
      </c>
      <c r="E8" s="150">
        <f t="array" ref="E8">_xlfn.LET(
    _xlpm.kpiName, E$2,
    _xlpm.factorName, $D8,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3.1807986859041501E-2</v>
      </c>
      <c r="F8" s="150">
        <f t="array" ref="F8">_xlfn.LET(
    _xlpm.kpiName, F$2,
    _xlpm.factorName, $D8,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3.4250870805518148E-2</v>
      </c>
      <c r="G8" s="150">
        <f t="array" ref="G8">_xlfn.LET(
    _xlpm.kpiName, G$2,
    _xlpm.factorName, $D8,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3.1807986859041501E-2</v>
      </c>
      <c r="H8" s="150">
        <f t="array" ref="H8">_xlfn.LET(
    _xlpm.kpiName, H$2,
    _xlpm.factorName, $D8,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3.4250870805518148E-2</v>
      </c>
      <c r="I8" s="150">
        <f t="array" ref="I8">_xlfn.LET(
    _xlpm.kpiName, I$2,
    _xlpm.factorName, $D8,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0.1065092845192839</v>
      </c>
      <c r="J8" s="150">
        <f t="array" ref="J8">_xlfn.LET(
    _xlpm.kpiName, J$2,
    _xlpm.factorName, $D8,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K8" s="150">
        <f t="array" ref="K8">_xlfn.LET(
    _xlpm.kpiName, K$2,
    _xlpm.factorName, $D8,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L8" s="150">
        <f t="array" ref="L8">_xlfn.LET(
    _xlpm.kpiName, L$2,
    _xlpm.factorName, $D8,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M8" s="150">
        <f t="array" ref="M8">_xlfn.LET(
    _xlpm.kpiName, M$2,
    _xlpm.factorName, $D8,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N8" s="150">
        <f t="array" ref="N8">_xlfn.LET(
    _xlpm.kpiName, N$2,
    _xlpm.factorName, $D8,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O8" s="150">
        <f t="array" ref="O8">_xlfn.LET(
    _xlpm.kpiName, O$2,
    _xlpm.factorName, $D8,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P8" s="150">
        <f t="array" ref="P8">_xlfn.LET(
    _xlpm.kpiName, P$2,
    _xlpm.factorName, $D8,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Q8" s="150">
        <f t="array" ref="Q8">_xlfn.LET(
    _xlpm.kpiName, Q$2,
    _xlpm.factorName, $D8,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R8" s="150">
        <f t="array" ref="R8">_xlfn.LET(
    _xlpm.kpiName, R$2,
    _xlpm.factorName, $D8,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S8" s="150">
        <f t="array" ref="S8">_xlfn.LET(
    _xlpm.kpiName, S$2,
    _xlpm.factorName, $D8,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T8" s="150">
        <f t="array" ref="T8">_xlfn.LET(
    _xlpm.kpiName, T$2,
    _xlpm.factorName, $D8,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U8" s="150">
        <f t="array" ref="U8">_xlfn.LET(
    _xlpm.kpiName, U$2,
    _xlpm.factorName, $D8,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V8" s="150">
        <f t="array" ref="V8">_xlfn.LET(
    _xlpm.kpiName, V$2,
    _xlpm.factorName, $D8,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W8" s="150">
        <f t="array" ref="W8">_xlfn.LET(
    _xlpm.kpiName, W$2,
    _xlpm.factorName, $D8,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X8" s="150">
        <f t="array" ref="X8">_xlfn.LET(
    _xlpm.kpiName, X$2,
    _xlpm.factorName, $D8,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Y8" s="10"/>
      <c r="Z8" s="10"/>
      <c r="AA8" s="10"/>
      <c r="AB8" s="10"/>
      <c r="AC8" s="10"/>
      <c r="AD8" s="10"/>
      <c r="AE8" s="10"/>
      <c r="AF8" s="10"/>
      <c r="AG8" s="10"/>
      <c r="AH8" s="10"/>
      <c r="AI8" s="10"/>
      <c r="AJ8" s="10"/>
    </row>
    <row r="9" spans="1:36" ht="13" customHeight="1" x14ac:dyDescent="0.3">
      <c r="A9" s="216"/>
      <c r="B9" s="216"/>
      <c r="C9" s="1"/>
      <c r="D9" s="81" t="s">
        <v>11</v>
      </c>
      <c r="E9" s="150">
        <f t="array" ref="E9">_xlfn.LET(
    _xlpm.kpiName, E$2,
    _xlpm.factorName, $D9,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5.5498859854831432E-2</v>
      </c>
      <c r="F9" s="150">
        <f t="array" ref="F9">_xlfn.LET(
    _xlpm.kpiName, F$2,
    _xlpm.factorName, $D9,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7.7917780496002495E-2</v>
      </c>
      <c r="G9" s="150">
        <f t="array" ref="G9">_xlfn.LET(
    _xlpm.kpiName, G$2,
    _xlpm.factorName, $D9,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5.5498859854831432E-2</v>
      </c>
      <c r="H9" s="150">
        <f t="array" ref="H9">_xlfn.LET(
    _xlpm.kpiName, H$2,
    _xlpm.factorName, $D9,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7.7917780496002495E-2</v>
      </c>
      <c r="I9" s="150">
        <f t="array" ref="I9">_xlfn.LET(
    _xlpm.kpiName, I$2,
    _xlpm.factorName, $D9,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0.20291620997033871</v>
      </c>
      <c r="J9" s="150">
        <f t="array" ref="J9">_xlfn.LET(
    _xlpm.kpiName, J$2,
    _xlpm.factorName, $D9,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K9" s="150">
        <f t="array" ref="K9">_xlfn.LET(
    _xlpm.kpiName, K$2,
    _xlpm.factorName, $D9,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L9" s="150">
        <f t="array" ref="L9">_xlfn.LET(
    _xlpm.kpiName, L$2,
    _xlpm.factorName, $D9,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M9" s="150">
        <f t="array" ref="M9">_xlfn.LET(
    _xlpm.kpiName, M$2,
    _xlpm.factorName, $D9,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N9" s="150">
        <f t="array" ref="N9">_xlfn.LET(
    _xlpm.kpiName, N$2,
    _xlpm.factorName, $D9,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O9" s="150">
        <f t="array" ref="O9">_xlfn.LET(
    _xlpm.kpiName, O$2,
    _xlpm.factorName, $D9,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P9" s="150">
        <f t="array" ref="P9">_xlfn.LET(
    _xlpm.kpiName, P$2,
    _xlpm.factorName, $D9,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Q9" s="150">
        <f t="array" ref="Q9">_xlfn.LET(
    _xlpm.kpiName, Q$2,
    _xlpm.factorName, $D9,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R9" s="150">
        <f t="array" ref="R9">_xlfn.LET(
    _xlpm.kpiName, R$2,
    _xlpm.factorName, $D9,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S9" s="150">
        <f t="array" ref="S9">_xlfn.LET(
    _xlpm.kpiName, S$2,
    _xlpm.factorName, $D9,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T9" s="150">
        <f t="array" ref="T9">_xlfn.LET(
    _xlpm.kpiName, T$2,
    _xlpm.factorName, $D9,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U9" s="150">
        <f t="array" ref="U9">_xlfn.LET(
    _xlpm.kpiName, U$2,
    _xlpm.factorName, $D9,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V9" s="150">
        <f t="array" ref="V9">_xlfn.LET(
    _xlpm.kpiName, V$2,
    _xlpm.factorName, $D9,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W9" s="150">
        <f t="array" ref="W9">_xlfn.LET(
    _xlpm.kpiName, W$2,
    _xlpm.factorName, $D9,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X9" s="150">
        <f t="array" ref="X9">_xlfn.LET(
    _xlpm.kpiName, X$2,
    _xlpm.factorName, $D9,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Y9" s="10"/>
      <c r="Z9" s="10"/>
      <c r="AA9" s="10"/>
      <c r="AB9" s="10"/>
      <c r="AC9" s="10"/>
      <c r="AD9" s="10"/>
      <c r="AE9" s="10"/>
      <c r="AF9" s="10"/>
      <c r="AG9" s="10"/>
      <c r="AH9" s="10"/>
      <c r="AI9" s="10"/>
      <c r="AJ9" s="10"/>
    </row>
    <row r="10" spans="1:36" ht="13" customHeight="1" x14ac:dyDescent="0.3">
      <c r="A10" s="216"/>
      <c r="B10" s="216"/>
      <c r="C10" s="1"/>
      <c r="D10" s="81" t="s">
        <v>12</v>
      </c>
      <c r="E10" s="150">
        <f t="array" ref="E10">_xlfn.LET(
    _xlpm.kpiName, E$2,
    _xlpm.factorName, $D10,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2.5186229230487221E-2</v>
      </c>
      <c r="F10" s="150">
        <f t="array" ref="F10">_xlfn.LET(
    _xlpm.kpiName, F$2,
    _xlpm.factorName, $D10,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5.441212282792178E-2</v>
      </c>
      <c r="G10" s="150">
        <f t="array" ref="G10">_xlfn.LET(
    _xlpm.kpiName, G$2,
    _xlpm.factorName, $D10,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2.5186229230487221E-2</v>
      </c>
      <c r="H10" s="150">
        <f t="array" ref="H10">_xlfn.LET(
    _xlpm.kpiName, H$2,
    _xlpm.factorName, $D10,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5.441212282792178E-2</v>
      </c>
      <c r="I10" s="150">
        <f t="array" ref="I10">_xlfn.LET(
    _xlpm.kpiName, I$2,
    _xlpm.factorName, $D10,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0.20240533767588739</v>
      </c>
      <c r="J10" s="150">
        <f t="array" ref="J10">_xlfn.LET(
    _xlpm.kpiName, J$2,
    _xlpm.factorName, $D10,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K10" s="150">
        <f t="array" ref="K10">_xlfn.LET(
    _xlpm.kpiName, K$2,
    _xlpm.factorName, $D10,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L10" s="150">
        <f t="array" ref="L10">_xlfn.LET(
    _xlpm.kpiName, L$2,
    _xlpm.factorName, $D10,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M10" s="150">
        <f t="array" ref="M10">_xlfn.LET(
    _xlpm.kpiName, M$2,
    _xlpm.factorName, $D10,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N10" s="150">
        <f t="array" ref="N10">_xlfn.LET(
    _xlpm.kpiName, N$2,
    _xlpm.factorName, $D10,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O10" s="150">
        <f t="array" ref="O10">_xlfn.LET(
    _xlpm.kpiName, O$2,
    _xlpm.factorName, $D10,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P10" s="150">
        <f t="array" ref="P10">_xlfn.LET(
    _xlpm.kpiName, P$2,
    _xlpm.factorName, $D10,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Q10" s="150">
        <f t="array" ref="Q10">_xlfn.LET(
    _xlpm.kpiName, Q$2,
    _xlpm.factorName, $D10,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R10" s="150">
        <f t="array" ref="R10">_xlfn.LET(
    _xlpm.kpiName, R$2,
    _xlpm.factorName, $D10,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S10" s="150">
        <f t="array" ref="S10">_xlfn.LET(
    _xlpm.kpiName, S$2,
    _xlpm.factorName, $D10,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T10" s="150">
        <f t="array" ref="T10">_xlfn.LET(
    _xlpm.kpiName, T$2,
    _xlpm.factorName, $D10,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U10" s="150">
        <f t="array" ref="U10">_xlfn.LET(
    _xlpm.kpiName, U$2,
    _xlpm.factorName, $D10,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V10" s="150">
        <f t="array" ref="V10">_xlfn.LET(
    _xlpm.kpiName, V$2,
    _xlpm.factorName, $D10,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W10" s="150">
        <f t="array" ref="W10">_xlfn.LET(
    _xlpm.kpiName, W$2,
    _xlpm.factorName, $D10,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X10" s="150">
        <f t="array" ref="X10">_xlfn.LET(
    _xlpm.kpiName, X$2,
    _xlpm.factorName, $D10,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Y10" s="10"/>
      <c r="Z10" s="10"/>
      <c r="AA10" s="10"/>
      <c r="AB10" s="10"/>
      <c r="AC10" s="10"/>
      <c r="AD10" s="10"/>
      <c r="AE10" s="10"/>
      <c r="AF10" s="10"/>
      <c r="AG10" s="10"/>
      <c r="AH10" s="10"/>
      <c r="AI10" s="10"/>
      <c r="AJ10" s="10"/>
    </row>
    <row r="11" spans="1:36" ht="13" customHeight="1" x14ac:dyDescent="0.3">
      <c r="A11" s="217"/>
      <c r="B11" s="217"/>
      <c r="C11" s="1"/>
      <c r="D11" s="81" t="s">
        <v>13</v>
      </c>
      <c r="E11" s="150">
        <f t="array" ref="E11">_xlfn.LET(
    _xlpm.kpiName, E$2,
    _xlpm.factorName, $D11,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1.336231595222309E-2</v>
      </c>
      <c r="F11" s="150">
        <f t="array" ref="F11">_xlfn.LET(
    _xlpm.kpiName, F$2,
    _xlpm.factorName, $D11,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3.3067599176806628E-2</v>
      </c>
      <c r="G11" s="150">
        <f t="array" ref="G11">_xlfn.LET(
    _xlpm.kpiName, G$2,
    _xlpm.factorName, $D11,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1.336231595222309E-2</v>
      </c>
      <c r="H11" s="150">
        <f t="array" ref="H11">_xlfn.LET(
    _xlpm.kpiName, H$2,
    _xlpm.factorName, $D11,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3.3067599176806628E-2</v>
      </c>
      <c r="I11" s="150">
        <f t="array" ref="I11">_xlfn.LET(
    _xlpm.kpiName, I$2,
    _xlpm.factorName, $D11,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0.1140028156599438</v>
      </c>
      <c r="J11" s="150">
        <f t="array" ref="J11">_xlfn.LET(
    _xlpm.kpiName, J$2,
    _xlpm.factorName, $D11,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K11" s="150">
        <f t="array" ref="K11">_xlfn.LET(
    _xlpm.kpiName, K$2,
    _xlpm.factorName, $D11,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L11" s="150">
        <f t="array" ref="L11">_xlfn.LET(
    _xlpm.kpiName, L$2,
    _xlpm.factorName, $D11,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M11" s="150">
        <f t="array" ref="M11">_xlfn.LET(
    _xlpm.kpiName, M$2,
    _xlpm.factorName, $D11,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N11" s="150">
        <f t="array" ref="N11">_xlfn.LET(
    _xlpm.kpiName, N$2,
    _xlpm.factorName, $D11,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O11" s="150">
        <f t="array" ref="O11">_xlfn.LET(
    _xlpm.kpiName, O$2,
    _xlpm.factorName, $D11,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P11" s="150">
        <f t="array" ref="P11">_xlfn.LET(
    _xlpm.kpiName, P$2,
    _xlpm.factorName, $D11,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Q11" s="150">
        <f t="array" ref="Q11">_xlfn.LET(
    _xlpm.kpiName, Q$2,
    _xlpm.factorName, $D11,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R11" s="150">
        <f t="array" ref="R11">_xlfn.LET(
    _xlpm.kpiName, R$2,
    _xlpm.factorName, $D11,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S11" s="150">
        <f t="array" ref="S11">_xlfn.LET(
    _xlpm.kpiName, S$2,
    _xlpm.factorName, $D11,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T11" s="150">
        <f t="array" ref="T11">_xlfn.LET(
    _xlpm.kpiName, T$2,
    _xlpm.factorName, $D11,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U11" s="150">
        <f t="array" ref="U11">_xlfn.LET(
    _xlpm.kpiName, U$2,
    _xlpm.factorName, $D11,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V11" s="150">
        <f t="array" ref="V11">_xlfn.LET(
    _xlpm.kpiName, V$2,
    _xlpm.factorName, $D11,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W11" s="150">
        <f t="array" ref="W11">_xlfn.LET(
    _xlpm.kpiName, W$2,
    _xlpm.factorName, $D11,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X11" s="150">
        <f t="array" ref="X11">_xlfn.LET(
    _xlpm.kpiName, X$2,
    _xlpm.factorName, $D11,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Y11" s="10"/>
      <c r="Z11" s="10"/>
      <c r="AA11" s="10"/>
      <c r="AB11" s="10"/>
      <c r="AC11" s="10"/>
      <c r="AD11" s="10"/>
      <c r="AE11" s="10"/>
      <c r="AF11" s="10"/>
      <c r="AG11" s="10"/>
      <c r="AH11" s="10"/>
      <c r="AI11" s="10"/>
      <c r="AJ11" s="10"/>
    </row>
    <row r="12" spans="1:36" ht="13" customHeight="1" x14ac:dyDescent="0.3">
      <c r="A12" s="74"/>
      <c r="C12" s="1"/>
      <c r="D12" s="81" t="s">
        <v>14</v>
      </c>
      <c r="E12" s="150">
        <f t="array" ref="E12">_xlfn.LET(
    _xlpm.kpiName, E$2,
    _xlpm.factorName, $D12,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2.28312630582743E-2</v>
      </c>
      <c r="F12" s="150">
        <f t="array" ref="F12">_xlfn.LET(
    _xlpm.kpiName, F$2,
    _xlpm.factorName, $D12,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2.3776726300871659E-2</v>
      </c>
      <c r="G12" s="150">
        <f t="array" ref="G12">_xlfn.LET(
    _xlpm.kpiName, G$2,
    _xlpm.factorName, $D12,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2.28312630582743E-2</v>
      </c>
      <c r="H12" s="150">
        <f t="array" ref="H12">_xlfn.LET(
    _xlpm.kpiName, H$2,
    _xlpm.factorName, $D12,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2.3776726300871659E-2</v>
      </c>
      <c r="I12" s="150">
        <f t="array" ref="I12">_xlfn.LET(
    _xlpm.kpiName, I$2,
    _xlpm.factorName, $D12,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6.7759176994129783E-2</v>
      </c>
      <c r="J12" s="150">
        <f t="array" ref="J12">_xlfn.LET(
    _xlpm.kpiName, J$2,
    _xlpm.factorName, $D12,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K12" s="150">
        <f t="array" ref="K12">_xlfn.LET(
    _xlpm.kpiName, K$2,
    _xlpm.factorName, $D12,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L12" s="150">
        <f t="array" ref="L12">_xlfn.LET(
    _xlpm.kpiName, L$2,
    _xlpm.factorName, $D12,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M12" s="150">
        <f t="array" ref="M12">_xlfn.LET(
    _xlpm.kpiName, M$2,
    _xlpm.factorName, $D12,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N12" s="150">
        <f t="array" ref="N12">_xlfn.LET(
    _xlpm.kpiName, N$2,
    _xlpm.factorName, $D12,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O12" s="150">
        <f t="array" ref="O12">_xlfn.LET(
    _xlpm.kpiName, O$2,
    _xlpm.factorName, $D12,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P12" s="150">
        <f t="array" ref="P12">_xlfn.LET(
    _xlpm.kpiName, P$2,
    _xlpm.factorName, $D12,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Q12" s="150">
        <f t="array" ref="Q12">_xlfn.LET(
    _xlpm.kpiName, Q$2,
    _xlpm.factorName, $D12,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R12" s="150">
        <f t="array" ref="R12">_xlfn.LET(
    _xlpm.kpiName, R$2,
    _xlpm.factorName, $D12,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S12" s="150">
        <f t="array" ref="S12">_xlfn.LET(
    _xlpm.kpiName, S$2,
    _xlpm.factorName, $D12,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T12" s="150">
        <f t="array" ref="T12">_xlfn.LET(
    _xlpm.kpiName, T$2,
    _xlpm.factorName, $D12,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U12" s="150">
        <f t="array" ref="U12">_xlfn.LET(
    _xlpm.kpiName, U$2,
    _xlpm.factorName, $D12,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V12" s="150">
        <f t="array" ref="V12">_xlfn.LET(
    _xlpm.kpiName, V$2,
    _xlpm.factorName, $D12,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W12" s="150">
        <f t="array" ref="W12">_xlfn.LET(
    _xlpm.kpiName, W$2,
    _xlpm.factorName, $D12,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X12" s="150">
        <f t="array" ref="X12">_xlfn.LET(
    _xlpm.kpiName, X$2,
    _xlpm.factorName, $D12,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Y12" s="10"/>
      <c r="Z12" s="10"/>
      <c r="AA12" s="10"/>
      <c r="AB12" s="10"/>
      <c r="AC12" s="10"/>
      <c r="AD12" s="10"/>
      <c r="AE12" s="10"/>
      <c r="AF12" s="10"/>
      <c r="AG12" s="10"/>
      <c r="AH12" s="10"/>
      <c r="AI12" s="10"/>
      <c r="AJ12" s="10"/>
    </row>
    <row r="13" spans="1:36" ht="13" customHeight="1" x14ac:dyDescent="0.3">
      <c r="C13" s="1"/>
      <c r="D13" s="81" t="s">
        <v>15</v>
      </c>
      <c r="E13" s="150">
        <f t="array" ref="E13">_xlfn.LET(
    _xlpm.kpiName, E$2,
    _xlpm.factorName, $D13,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3.9598221457600002E-2</v>
      </c>
      <c r="F13" s="150">
        <f t="array" ref="F13">_xlfn.LET(
    _xlpm.kpiName, F$2,
    _xlpm.factorName, $D13,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4.5575713782818029E-2</v>
      </c>
      <c r="G13" s="150">
        <f t="array" ref="G13">_xlfn.LET(
    _xlpm.kpiName, G$2,
    _xlpm.factorName, $D13,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3.9598221457600002E-2</v>
      </c>
      <c r="H13" s="150">
        <f t="array" ref="H13">_xlfn.LET(
    _xlpm.kpiName, H$2,
    _xlpm.factorName, $D13,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4.5575713782818029E-2</v>
      </c>
      <c r="I13" s="150">
        <f t="array" ref="I13">_xlfn.LET(
    _xlpm.kpiName, I$2,
    _xlpm.factorName, $D13,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0.1110607371644988</v>
      </c>
      <c r="J13" s="150">
        <f t="array" ref="J13">_xlfn.LET(
    _xlpm.kpiName, J$2,
    _xlpm.factorName, $D13,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K13" s="150">
        <f t="array" ref="K13">_xlfn.LET(
    _xlpm.kpiName, K$2,
    _xlpm.factorName, $D13,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L13" s="150">
        <f t="array" ref="L13">_xlfn.LET(
    _xlpm.kpiName, L$2,
    _xlpm.factorName, $D13,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M13" s="150">
        <f t="array" ref="M13">_xlfn.LET(
    _xlpm.kpiName, M$2,
    _xlpm.factorName, $D13,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N13" s="150">
        <f t="array" ref="N13">_xlfn.LET(
    _xlpm.kpiName, N$2,
    _xlpm.factorName, $D13,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O13" s="150">
        <f t="array" ref="O13">_xlfn.LET(
    _xlpm.kpiName, O$2,
    _xlpm.factorName, $D13,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P13" s="150">
        <f t="array" ref="P13">_xlfn.LET(
    _xlpm.kpiName, P$2,
    _xlpm.factorName, $D13,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Q13" s="150">
        <f t="array" ref="Q13">_xlfn.LET(
    _xlpm.kpiName, Q$2,
    _xlpm.factorName, $D13,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R13" s="150">
        <f t="array" ref="R13">_xlfn.LET(
    _xlpm.kpiName, R$2,
    _xlpm.factorName, $D13,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S13" s="150">
        <f t="array" ref="S13">_xlfn.LET(
    _xlpm.kpiName, S$2,
    _xlpm.factorName, $D13,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T13" s="150">
        <f t="array" ref="T13">_xlfn.LET(
    _xlpm.kpiName, T$2,
    _xlpm.factorName, $D13,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U13" s="150">
        <f t="array" ref="U13">_xlfn.LET(
    _xlpm.kpiName, U$2,
    _xlpm.factorName, $D13,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V13" s="150">
        <f t="array" ref="V13">_xlfn.LET(
    _xlpm.kpiName, V$2,
    _xlpm.factorName, $D13,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W13" s="150">
        <f t="array" ref="W13">_xlfn.LET(
    _xlpm.kpiName, W$2,
    _xlpm.factorName, $D13,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X13" s="150">
        <f t="array" ref="X13">_xlfn.LET(
    _xlpm.kpiName, X$2,
    _xlpm.factorName, $D13,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Y13" s="10"/>
      <c r="Z13" s="10"/>
      <c r="AA13" s="10"/>
      <c r="AB13" s="10"/>
      <c r="AC13" s="10"/>
      <c r="AD13" s="10"/>
      <c r="AE13" s="10"/>
      <c r="AF13" s="10"/>
      <c r="AG13" s="10"/>
      <c r="AH13" s="10"/>
      <c r="AI13" s="10"/>
      <c r="AJ13" s="10"/>
    </row>
    <row r="14" spans="1:36" ht="13" customHeight="1" x14ac:dyDescent="0.3">
      <c r="C14" s="1"/>
      <c r="D14" s="81" t="s">
        <v>16</v>
      </c>
      <c r="E14" s="150">
        <f t="array" ref="E14">_xlfn.LET(
    _xlpm.kpiName, E$2,
    _xlpm.factorName, $D14,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4.6096340392781807E-2</v>
      </c>
      <c r="F14" s="150">
        <f t="array" ref="F14">_xlfn.LET(
    _xlpm.kpiName, F$2,
    _xlpm.factorName, $D14,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1.9686101551355091E-2</v>
      </c>
      <c r="G14" s="150">
        <f t="array" ref="G14">_xlfn.LET(
    _xlpm.kpiName, G$2,
    _xlpm.factorName, $D14,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4.6096340392781807E-2</v>
      </c>
      <c r="H14" s="150">
        <f t="array" ref="H14">_xlfn.LET(
    _xlpm.kpiName, H$2,
    _xlpm.factorName, $D14,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1.9686101551355091E-2</v>
      </c>
      <c r="I14" s="150">
        <f t="array" ref="I14">_xlfn.LET(
    _xlpm.kpiName, I$2,
    _xlpm.factorName, $D14,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4.875067955304066E-2</v>
      </c>
      <c r="J14" s="150">
        <f t="array" ref="J14">_xlfn.LET(
    _xlpm.kpiName, J$2,
    _xlpm.factorName, $D14,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K14" s="150">
        <f t="array" ref="K14">_xlfn.LET(
    _xlpm.kpiName, K$2,
    _xlpm.factorName, $D14,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L14" s="150">
        <f t="array" ref="L14">_xlfn.LET(
    _xlpm.kpiName, L$2,
    _xlpm.factorName, $D14,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M14" s="150">
        <f t="array" ref="M14">_xlfn.LET(
    _xlpm.kpiName, M$2,
    _xlpm.factorName, $D14,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N14" s="150">
        <f t="array" ref="N14">_xlfn.LET(
    _xlpm.kpiName, N$2,
    _xlpm.factorName, $D14,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O14" s="150">
        <f t="array" ref="O14">_xlfn.LET(
    _xlpm.kpiName, O$2,
    _xlpm.factorName, $D14,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P14" s="150">
        <f t="array" ref="P14">_xlfn.LET(
    _xlpm.kpiName, P$2,
    _xlpm.factorName, $D14,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Q14" s="150">
        <f t="array" ref="Q14">_xlfn.LET(
    _xlpm.kpiName, Q$2,
    _xlpm.factorName, $D14,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R14" s="150">
        <f t="array" ref="R14">_xlfn.LET(
    _xlpm.kpiName, R$2,
    _xlpm.factorName, $D14,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S14" s="150">
        <f t="array" ref="S14">_xlfn.LET(
    _xlpm.kpiName, S$2,
    _xlpm.factorName, $D14,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T14" s="150">
        <f t="array" ref="T14">_xlfn.LET(
    _xlpm.kpiName, T$2,
    _xlpm.factorName, $D14,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U14" s="150">
        <f t="array" ref="U14">_xlfn.LET(
    _xlpm.kpiName, U$2,
    _xlpm.factorName, $D14,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V14" s="150">
        <f t="array" ref="V14">_xlfn.LET(
    _xlpm.kpiName, V$2,
    _xlpm.factorName, $D14,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W14" s="150">
        <f t="array" ref="W14">_xlfn.LET(
    _xlpm.kpiName, W$2,
    _xlpm.factorName, $D14,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X14" s="150">
        <f t="array" ref="X14">_xlfn.LET(
    _xlpm.kpiName, X$2,
    _xlpm.factorName, $D14,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Y14" s="10"/>
      <c r="Z14" s="10"/>
      <c r="AA14" s="10"/>
      <c r="AB14" s="10"/>
      <c r="AC14" s="10"/>
      <c r="AD14" s="10"/>
      <c r="AE14" s="10"/>
      <c r="AF14" s="10"/>
      <c r="AG14" s="10"/>
      <c r="AH14" s="10"/>
      <c r="AI14" s="10"/>
      <c r="AJ14" s="10"/>
    </row>
    <row r="15" spans="1:36" ht="13" customHeight="1" x14ac:dyDescent="0.3">
      <c r="C15" s="1"/>
      <c r="D15" s="81" t="s">
        <v>17</v>
      </c>
      <c r="E15" s="150">
        <f t="array" ref="E15">_xlfn.LET(
    _xlpm.kpiName, E$2,
    _xlpm.factorName, $D15,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2.3427917298955731E-2</v>
      </c>
      <c r="F15" s="150">
        <f t="array" ref="F15">_xlfn.LET(
    _xlpm.kpiName, F$2,
    _xlpm.factorName, $D15,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-1.7209134524694771E-2</v>
      </c>
      <c r="G15" s="150">
        <f t="array" ref="G15">_xlfn.LET(
    _xlpm.kpiName, G$2,
    _xlpm.factorName, $D15,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2.3427917298955731E-2</v>
      </c>
      <c r="H15" s="150">
        <f t="array" ref="H15">_xlfn.LET(
    _xlpm.kpiName, H$2,
    _xlpm.factorName, $D15,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-1.7209134524694771E-2</v>
      </c>
      <c r="I15" s="150">
        <f t="array" ref="I15">_xlfn.LET(
    _xlpm.kpiName, I$2,
    _xlpm.factorName, $D15,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6.2370625725735741E-2</v>
      </c>
      <c r="J15" s="150">
        <f t="array" ref="J15">_xlfn.LET(
    _xlpm.kpiName, J$2,
    _xlpm.factorName, $D15,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K15" s="150">
        <f t="array" ref="K15">_xlfn.LET(
    _xlpm.kpiName, K$2,
    _xlpm.factorName, $D15,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L15" s="150">
        <f t="array" ref="L15">_xlfn.LET(
    _xlpm.kpiName, L$2,
    _xlpm.factorName, $D15,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M15" s="150">
        <f t="array" ref="M15">_xlfn.LET(
    _xlpm.kpiName, M$2,
    _xlpm.factorName, $D15,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N15" s="150">
        <f t="array" ref="N15">_xlfn.LET(
    _xlpm.kpiName, N$2,
    _xlpm.factorName, $D15,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O15" s="150">
        <f t="array" ref="O15">_xlfn.LET(
    _xlpm.kpiName, O$2,
    _xlpm.factorName, $D15,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P15" s="150">
        <f t="array" ref="P15">_xlfn.LET(
    _xlpm.kpiName, P$2,
    _xlpm.factorName, $D15,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Q15" s="150">
        <f t="array" ref="Q15">_xlfn.LET(
    _xlpm.kpiName, Q$2,
    _xlpm.factorName, $D15,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R15" s="150">
        <f t="array" ref="R15">_xlfn.LET(
    _xlpm.kpiName, R$2,
    _xlpm.factorName, $D15,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S15" s="150">
        <f t="array" ref="S15">_xlfn.LET(
    _xlpm.kpiName, S$2,
    _xlpm.factorName, $D15,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T15" s="150">
        <f t="array" ref="T15">_xlfn.LET(
    _xlpm.kpiName, T$2,
    _xlpm.factorName, $D15,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U15" s="150">
        <f t="array" ref="U15">_xlfn.LET(
    _xlpm.kpiName, U$2,
    _xlpm.factorName, $D15,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V15" s="150">
        <f t="array" ref="V15">_xlfn.LET(
    _xlpm.kpiName, V$2,
    _xlpm.factorName, $D15,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W15" s="150">
        <f t="array" ref="W15">_xlfn.LET(
    _xlpm.kpiName, W$2,
    _xlpm.factorName, $D15,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X15" s="150">
        <f t="array" ref="X15">_xlfn.LET(
    _xlpm.kpiName, X$2,
    _xlpm.factorName, $D15,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Y15" s="10"/>
      <c r="Z15" s="10"/>
      <c r="AA15" s="10"/>
      <c r="AB15" s="10"/>
      <c r="AC15" s="10"/>
      <c r="AD15" s="10"/>
      <c r="AE15" s="10"/>
      <c r="AF15" s="10"/>
      <c r="AG15" s="10"/>
      <c r="AH15" s="10"/>
      <c r="AI15" s="10"/>
      <c r="AJ15" s="10"/>
    </row>
    <row r="16" spans="1:36" ht="13" customHeight="1" x14ac:dyDescent="0.3">
      <c r="C16" s="1"/>
      <c r="D16" s="81" t="s">
        <v>18</v>
      </c>
      <c r="E16" s="150">
        <f t="array" ref="E16">_xlfn.LET(
    _xlpm.kpiName, E$2,
    _xlpm.factorName, $D16,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2.338579578918808E-2</v>
      </c>
      <c r="F16" s="150">
        <f t="array" ref="F16">_xlfn.LET(
    _xlpm.kpiName, F$2,
    _xlpm.factorName, $D16,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3.061130132007121E-2</v>
      </c>
      <c r="G16" s="150">
        <f t="array" ref="G16">_xlfn.LET(
    _xlpm.kpiName, G$2,
    _xlpm.factorName, $D16,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2.338579578918808E-2</v>
      </c>
      <c r="H16" s="150">
        <f t="array" ref="H16">_xlfn.LET(
    _xlpm.kpiName, H$2,
    _xlpm.factorName, $D16,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3.061130132007121E-2</v>
      </c>
      <c r="I16" s="150">
        <f t="array" ref="I16">_xlfn.LET(
    _xlpm.kpiName, I$2,
    _xlpm.factorName, $D16,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0.103318074274015</v>
      </c>
      <c r="J16" s="150">
        <f t="array" ref="J16">_xlfn.LET(
    _xlpm.kpiName, J$2,
    _xlpm.factorName, $D16,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K16" s="150">
        <f t="array" ref="K16">_xlfn.LET(
    _xlpm.kpiName, K$2,
    _xlpm.factorName, $D16,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L16" s="150">
        <f t="array" ref="L16">_xlfn.LET(
    _xlpm.kpiName, L$2,
    _xlpm.factorName, $D16,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M16" s="150">
        <f t="array" ref="M16">_xlfn.LET(
    _xlpm.kpiName, M$2,
    _xlpm.factorName, $D16,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N16" s="150">
        <f t="array" ref="N16">_xlfn.LET(
    _xlpm.kpiName, N$2,
    _xlpm.factorName, $D16,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O16" s="150">
        <f t="array" ref="O16">_xlfn.LET(
    _xlpm.kpiName, O$2,
    _xlpm.factorName, $D16,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P16" s="150">
        <f t="array" ref="P16">_xlfn.LET(
    _xlpm.kpiName, P$2,
    _xlpm.factorName, $D16,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Q16" s="150">
        <f t="array" ref="Q16">_xlfn.LET(
    _xlpm.kpiName, Q$2,
    _xlpm.factorName, $D16,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R16" s="150">
        <f t="array" ref="R16">_xlfn.LET(
    _xlpm.kpiName, R$2,
    _xlpm.factorName, $D16,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S16" s="150">
        <f t="array" ref="S16">_xlfn.LET(
    _xlpm.kpiName, S$2,
    _xlpm.factorName, $D16,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T16" s="150">
        <f t="array" ref="T16">_xlfn.LET(
    _xlpm.kpiName, T$2,
    _xlpm.factorName, $D16,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U16" s="150">
        <f t="array" ref="U16">_xlfn.LET(
    _xlpm.kpiName, U$2,
    _xlpm.factorName, $D16,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V16" s="150">
        <f t="array" ref="V16">_xlfn.LET(
    _xlpm.kpiName, V$2,
    _xlpm.factorName, $D16,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W16" s="150">
        <f t="array" ref="W16">_xlfn.LET(
    _xlpm.kpiName, W$2,
    _xlpm.factorName, $D16,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X16" s="150">
        <f t="array" ref="X16">_xlfn.LET(
    _xlpm.kpiName, X$2,
    _xlpm.factorName, $D16,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Y16" s="10"/>
      <c r="Z16" s="10"/>
      <c r="AA16" s="10"/>
      <c r="AB16" s="10"/>
      <c r="AC16" s="10"/>
      <c r="AD16" s="10"/>
      <c r="AE16" s="10"/>
      <c r="AF16" s="10"/>
      <c r="AG16" s="10"/>
      <c r="AH16" s="10"/>
      <c r="AI16" s="10"/>
      <c r="AJ16" s="10"/>
    </row>
    <row r="17" spans="3:36" ht="13" customHeight="1" x14ac:dyDescent="0.3">
      <c r="C17" s="1"/>
      <c r="D17" s="81" t="s">
        <v>19</v>
      </c>
      <c r="E17" s="150">
        <f t="array" ref="E17">_xlfn.LET(
    _xlpm.kpiName, E$2,
    _xlpm.factorName, $D17,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2.2137191149288069E-2</v>
      </c>
      <c r="F17" s="150">
        <f t="array" ref="F17">_xlfn.LET(
    _xlpm.kpiName, F$2,
    _xlpm.factorName, $D17,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-2.9798653878359001E-3</v>
      </c>
      <c r="G17" s="150">
        <f t="array" ref="G17">_xlfn.LET(
    _xlpm.kpiName, G$2,
    _xlpm.factorName, $D17,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2.2137191149288069E-2</v>
      </c>
      <c r="H17" s="150">
        <f t="array" ref="H17">_xlfn.LET(
    _xlpm.kpiName, H$2,
    _xlpm.factorName, $D17,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-2.9798653878359001E-3</v>
      </c>
      <c r="I17" s="150">
        <f t="array" ref="I17">_xlfn.LET(
    _xlpm.kpiName, I$2,
    _xlpm.factorName, $D17,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9.4644483725030662E-2</v>
      </c>
      <c r="J17" s="150">
        <f t="array" ref="J17">_xlfn.LET(
    _xlpm.kpiName, J$2,
    _xlpm.factorName, $D17,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K17" s="150">
        <f t="array" ref="K17">_xlfn.LET(
    _xlpm.kpiName, K$2,
    _xlpm.factorName, $D17,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L17" s="150">
        <f t="array" ref="L17">_xlfn.LET(
    _xlpm.kpiName, L$2,
    _xlpm.factorName, $D17,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M17" s="150">
        <f t="array" ref="M17">_xlfn.LET(
    _xlpm.kpiName, M$2,
    _xlpm.factorName, $D17,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N17" s="150">
        <f t="array" ref="N17">_xlfn.LET(
    _xlpm.kpiName, N$2,
    _xlpm.factorName, $D17,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O17" s="150">
        <f t="array" ref="O17">_xlfn.LET(
    _xlpm.kpiName, O$2,
    _xlpm.factorName, $D17,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P17" s="150">
        <f t="array" ref="P17">_xlfn.LET(
    _xlpm.kpiName, P$2,
    _xlpm.factorName, $D17,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Q17" s="150">
        <f t="array" ref="Q17">_xlfn.LET(
    _xlpm.kpiName, Q$2,
    _xlpm.factorName, $D17,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R17" s="150">
        <f t="array" ref="R17">_xlfn.LET(
    _xlpm.kpiName, R$2,
    _xlpm.factorName, $D17,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S17" s="150">
        <f t="array" ref="S17">_xlfn.LET(
    _xlpm.kpiName, S$2,
    _xlpm.factorName, $D17,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T17" s="150">
        <f t="array" ref="T17">_xlfn.LET(
    _xlpm.kpiName, T$2,
    _xlpm.factorName, $D17,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U17" s="150">
        <f t="array" ref="U17">_xlfn.LET(
    _xlpm.kpiName, U$2,
    _xlpm.factorName, $D17,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V17" s="150">
        <f t="array" ref="V17">_xlfn.LET(
    _xlpm.kpiName, V$2,
    _xlpm.factorName, $D17,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W17" s="150">
        <f t="array" ref="W17">_xlfn.LET(
    _xlpm.kpiName, W$2,
    _xlpm.factorName, $D17,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X17" s="150">
        <f t="array" ref="X17">_xlfn.LET(
    _xlpm.kpiName, X$2,
    _xlpm.factorName, $D17,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Y17" s="10"/>
      <c r="Z17" s="10"/>
      <c r="AA17" s="10"/>
      <c r="AB17" s="10"/>
      <c r="AC17" s="10"/>
      <c r="AD17" s="10"/>
      <c r="AE17" s="10"/>
      <c r="AF17" s="10"/>
      <c r="AG17" s="10"/>
      <c r="AH17" s="10"/>
      <c r="AI17" s="10"/>
      <c r="AJ17" s="10"/>
    </row>
    <row r="18" spans="3:36" ht="13" customHeight="1" x14ac:dyDescent="0.3">
      <c r="C18" s="1"/>
      <c r="D18" s="81" t="s">
        <v>20</v>
      </c>
      <c r="E18" s="150">
        <f t="array" ref="E18">_xlfn.LET(
    _xlpm.kpiName, E$2,
    _xlpm.factorName, $D18,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1.8461798282924571E-2</v>
      </c>
      <c r="F18" s="150">
        <f t="array" ref="F18">_xlfn.LET(
    _xlpm.kpiName, F$2,
    _xlpm.factorName, $D18,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1.6159272826166481E-2</v>
      </c>
      <c r="G18" s="150">
        <f t="array" ref="G18">_xlfn.LET(
    _xlpm.kpiName, G$2,
    _xlpm.factorName, $D18,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1.8461798282924571E-2</v>
      </c>
      <c r="H18" s="150">
        <f t="array" ref="H18">_xlfn.LET(
    _xlpm.kpiName, H$2,
    _xlpm.factorName, $D18,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1.6159272826166481E-2</v>
      </c>
      <c r="I18" s="150">
        <f t="array" ref="I18">_xlfn.LET(
    _xlpm.kpiName, I$2,
    _xlpm.factorName, $D18,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0.1016429349787276</v>
      </c>
      <c r="J18" s="150">
        <f t="array" ref="J18">_xlfn.LET(
    _xlpm.kpiName, J$2,
    _xlpm.factorName, $D18,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K18" s="150">
        <f t="array" ref="K18">_xlfn.LET(
    _xlpm.kpiName, K$2,
    _xlpm.factorName, $D18,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L18" s="150">
        <f t="array" ref="L18">_xlfn.LET(
    _xlpm.kpiName, L$2,
    _xlpm.factorName, $D18,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M18" s="150">
        <f t="array" ref="M18">_xlfn.LET(
    _xlpm.kpiName, M$2,
    _xlpm.factorName, $D18,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N18" s="150">
        <f t="array" ref="N18">_xlfn.LET(
    _xlpm.kpiName, N$2,
    _xlpm.factorName, $D18,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O18" s="150">
        <f t="array" ref="O18">_xlfn.LET(
    _xlpm.kpiName, O$2,
    _xlpm.factorName, $D18,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P18" s="150">
        <f t="array" ref="P18">_xlfn.LET(
    _xlpm.kpiName, P$2,
    _xlpm.factorName, $D18,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Q18" s="150">
        <f t="array" ref="Q18">_xlfn.LET(
    _xlpm.kpiName, Q$2,
    _xlpm.factorName, $D18,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R18" s="150">
        <f t="array" ref="R18">_xlfn.LET(
    _xlpm.kpiName, R$2,
    _xlpm.factorName, $D18,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S18" s="150">
        <f t="array" ref="S18">_xlfn.LET(
    _xlpm.kpiName, S$2,
    _xlpm.factorName, $D18,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T18" s="150">
        <f t="array" ref="T18">_xlfn.LET(
    _xlpm.kpiName, T$2,
    _xlpm.factorName, $D18,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U18" s="150">
        <f t="array" ref="U18">_xlfn.LET(
    _xlpm.kpiName, U$2,
    _xlpm.factorName, $D18,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V18" s="150">
        <f t="array" ref="V18">_xlfn.LET(
    _xlpm.kpiName, V$2,
    _xlpm.factorName, $D18,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W18" s="150">
        <f t="array" ref="W18">_xlfn.LET(
    _xlpm.kpiName, W$2,
    _xlpm.factorName, $D18,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X18" s="150">
        <f t="array" ref="X18">_xlfn.LET(
    _xlpm.kpiName, X$2,
    _xlpm.factorName, $D18,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Y18" s="10"/>
      <c r="Z18" s="10"/>
      <c r="AA18" s="10"/>
      <c r="AB18" s="10"/>
      <c r="AC18" s="10"/>
      <c r="AD18" s="10"/>
      <c r="AE18" s="10"/>
      <c r="AF18" s="10"/>
      <c r="AG18" s="10"/>
      <c r="AH18" s="10"/>
      <c r="AI18" s="10"/>
      <c r="AJ18" s="10"/>
    </row>
    <row r="19" spans="3:36" ht="13" customHeight="1" x14ac:dyDescent="0.3">
      <c r="C19" s="1"/>
      <c r="D19" s="81" t="s">
        <v>21</v>
      </c>
      <c r="E19" s="150">
        <f t="array" ref="E19">_xlfn.LET(
    _xlpm.kpiName, E$2,
    _xlpm.factorName, $D19,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6.6404623182826214E-3</v>
      </c>
      <c r="F19" s="150">
        <f t="array" ref="F19">_xlfn.LET(
    _xlpm.kpiName, F$2,
    _xlpm.factorName, $D19,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1.481750159650309E-2</v>
      </c>
      <c r="G19" s="150">
        <f t="array" ref="G19">_xlfn.LET(
    _xlpm.kpiName, G$2,
    _xlpm.factorName, $D19,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6.6404623182826214E-3</v>
      </c>
      <c r="H19" s="150">
        <f t="array" ref="H19">_xlfn.LET(
    _xlpm.kpiName, H$2,
    _xlpm.factorName, $D19,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1.481750159650309E-2</v>
      </c>
      <c r="I19" s="150">
        <f t="array" ref="I19">_xlfn.LET(
    _xlpm.kpiName, I$2,
    _xlpm.factorName, $D19,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0.1155675776150905</v>
      </c>
      <c r="J19" s="150">
        <f t="array" ref="J19">_xlfn.LET(
    _xlpm.kpiName, J$2,
    _xlpm.factorName, $D19,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K19" s="150">
        <f t="array" ref="K19">_xlfn.LET(
    _xlpm.kpiName, K$2,
    _xlpm.factorName, $D19,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L19" s="150">
        <f t="array" ref="L19">_xlfn.LET(
    _xlpm.kpiName, L$2,
    _xlpm.factorName, $D19,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M19" s="150">
        <f t="array" ref="M19">_xlfn.LET(
    _xlpm.kpiName, M$2,
    _xlpm.factorName, $D19,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N19" s="150">
        <f t="array" ref="N19">_xlfn.LET(
    _xlpm.kpiName, N$2,
    _xlpm.factorName, $D19,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O19" s="150">
        <f t="array" ref="O19">_xlfn.LET(
    _xlpm.kpiName, O$2,
    _xlpm.factorName, $D19,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P19" s="150">
        <f t="array" ref="P19">_xlfn.LET(
    _xlpm.kpiName, P$2,
    _xlpm.factorName, $D19,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Q19" s="150">
        <f t="array" ref="Q19">_xlfn.LET(
    _xlpm.kpiName, Q$2,
    _xlpm.factorName, $D19,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R19" s="150">
        <f t="array" ref="R19">_xlfn.LET(
    _xlpm.kpiName, R$2,
    _xlpm.factorName, $D19,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S19" s="150">
        <f t="array" ref="S19">_xlfn.LET(
    _xlpm.kpiName, S$2,
    _xlpm.factorName, $D19,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T19" s="150">
        <f t="array" ref="T19">_xlfn.LET(
    _xlpm.kpiName, T$2,
    _xlpm.factorName, $D19,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U19" s="150">
        <f t="array" ref="U19">_xlfn.LET(
    _xlpm.kpiName, U$2,
    _xlpm.factorName, $D19,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V19" s="150">
        <f t="array" ref="V19">_xlfn.LET(
    _xlpm.kpiName, V$2,
    _xlpm.factorName, $D19,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W19" s="150">
        <f t="array" ref="W19">_xlfn.LET(
    _xlpm.kpiName, W$2,
    _xlpm.factorName, $D19,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X19" s="150">
        <f t="array" ref="X19">_xlfn.LET(
    _xlpm.kpiName, X$2,
    _xlpm.factorName, $D19,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Y19" s="10"/>
      <c r="Z19" s="10"/>
      <c r="AA19" s="10"/>
      <c r="AB19" s="10"/>
      <c r="AC19" s="10"/>
      <c r="AD19" s="10"/>
      <c r="AE19" s="10"/>
      <c r="AF19" s="10"/>
      <c r="AG19" s="10"/>
      <c r="AH19" s="10"/>
      <c r="AI19" s="10"/>
      <c r="AJ19" s="10"/>
    </row>
    <row r="20" spans="3:36" ht="13" customHeight="1" x14ac:dyDescent="0.3">
      <c r="C20" s="1"/>
      <c r="D20" s="81" t="s">
        <v>22</v>
      </c>
      <c r="E20" s="150">
        <f t="array" ref="E20">_xlfn.LET(
    _xlpm.kpiName, E$2,
    _xlpm.factorName, $D20,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9.7765596485499973E-3</v>
      </c>
      <c r="F20" s="150">
        <f t="array" ref="F20">_xlfn.LET(
    _xlpm.kpiName, F$2,
    _xlpm.factorName, $D20,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5.3755968934032533E-2</v>
      </c>
      <c r="G20" s="150">
        <f t="array" ref="G20">_xlfn.LET(
    _xlpm.kpiName, G$2,
    _xlpm.factorName, $D20,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9.7765596485499973E-3</v>
      </c>
      <c r="H20" s="150">
        <f t="array" ref="H20">_xlfn.LET(
    _xlpm.kpiName, H$2,
    _xlpm.factorName, $D20,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5.3755968934032533E-2</v>
      </c>
      <c r="I20" s="150">
        <f t="array" ref="I20">_xlfn.LET(
    _xlpm.kpiName, I$2,
    _xlpm.factorName, $D20,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0.19784260067858081</v>
      </c>
      <c r="J20" s="150">
        <f t="array" ref="J20">_xlfn.LET(
    _xlpm.kpiName, J$2,
    _xlpm.factorName, $D20,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K20" s="150">
        <f t="array" ref="K20">_xlfn.LET(
    _xlpm.kpiName, K$2,
    _xlpm.factorName, $D20,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L20" s="150">
        <f t="array" ref="L20">_xlfn.LET(
    _xlpm.kpiName, L$2,
    _xlpm.factorName, $D20,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M20" s="150">
        <f t="array" ref="M20">_xlfn.LET(
    _xlpm.kpiName, M$2,
    _xlpm.factorName, $D20,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N20" s="150">
        <f t="array" ref="N20">_xlfn.LET(
    _xlpm.kpiName, N$2,
    _xlpm.factorName, $D20,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O20" s="150">
        <f t="array" ref="O20">_xlfn.LET(
    _xlpm.kpiName, O$2,
    _xlpm.factorName, $D20,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P20" s="150">
        <f t="array" ref="P20">_xlfn.LET(
    _xlpm.kpiName, P$2,
    _xlpm.factorName, $D20,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Q20" s="150">
        <f t="array" ref="Q20">_xlfn.LET(
    _xlpm.kpiName, Q$2,
    _xlpm.factorName, $D20,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R20" s="150">
        <f t="array" ref="R20">_xlfn.LET(
    _xlpm.kpiName, R$2,
    _xlpm.factorName, $D20,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S20" s="150">
        <f t="array" ref="S20">_xlfn.LET(
    _xlpm.kpiName, S$2,
    _xlpm.factorName, $D20,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T20" s="150">
        <f t="array" ref="T20">_xlfn.LET(
    _xlpm.kpiName, T$2,
    _xlpm.factorName, $D20,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U20" s="150">
        <f t="array" ref="U20">_xlfn.LET(
    _xlpm.kpiName, U$2,
    _xlpm.factorName, $D20,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V20" s="150">
        <f t="array" ref="V20">_xlfn.LET(
    _xlpm.kpiName, V$2,
    _xlpm.factorName, $D20,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W20" s="150">
        <f t="array" ref="W20">_xlfn.LET(
    _xlpm.kpiName, W$2,
    _xlpm.factorName, $D20,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X20" s="150">
        <f t="array" ref="X20">_xlfn.LET(
    _xlpm.kpiName, X$2,
    _xlpm.factorName, $D20,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Y20" s="10"/>
      <c r="Z20" s="10"/>
      <c r="AA20" s="10"/>
      <c r="AB20" s="10"/>
      <c r="AC20" s="10"/>
      <c r="AD20" s="10"/>
      <c r="AE20" s="10"/>
      <c r="AF20" s="10"/>
      <c r="AG20" s="10"/>
      <c r="AH20" s="10"/>
      <c r="AI20" s="10"/>
      <c r="AJ20" s="10"/>
    </row>
    <row r="21" spans="3:36" ht="13" customHeight="1" x14ac:dyDescent="0.3">
      <c r="C21" s="1"/>
      <c r="D21" s="81" t="s">
        <v>23</v>
      </c>
      <c r="E21" s="150">
        <f t="array" ref="E21">_xlfn.LET(
    _xlpm.kpiName, E$2,
    _xlpm.factorName, $D21,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1.3109310430618229E-2</v>
      </c>
      <c r="F21" s="150">
        <f t="array" ref="F21">_xlfn.LET(
    _xlpm.kpiName, F$2,
    _xlpm.factorName, $D21,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9.9172984310023603E-3</v>
      </c>
      <c r="G21" s="150">
        <f t="array" ref="G21">_xlfn.LET(
    _xlpm.kpiName, G$2,
    _xlpm.factorName, $D21,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1.3109310430618229E-2</v>
      </c>
      <c r="H21" s="150">
        <f t="array" ref="H21">_xlfn.LET(
    _xlpm.kpiName, H$2,
    _xlpm.factorName, $D21,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9.9172984310023603E-3</v>
      </c>
      <c r="I21" s="150">
        <f t="array" ref="I21">_xlfn.LET(
    _xlpm.kpiName, I$2,
    _xlpm.factorName, $D21,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6.231681681106703E-2</v>
      </c>
      <c r="J21" s="150">
        <f t="array" ref="J21">_xlfn.LET(
    _xlpm.kpiName, J$2,
    _xlpm.factorName, $D21,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K21" s="150">
        <f t="array" ref="K21">_xlfn.LET(
    _xlpm.kpiName, K$2,
    _xlpm.factorName, $D21,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L21" s="150">
        <f t="array" ref="L21">_xlfn.LET(
    _xlpm.kpiName, L$2,
    _xlpm.factorName, $D21,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M21" s="150">
        <f t="array" ref="M21">_xlfn.LET(
    _xlpm.kpiName, M$2,
    _xlpm.factorName, $D21,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N21" s="150">
        <f t="array" ref="N21">_xlfn.LET(
    _xlpm.kpiName, N$2,
    _xlpm.factorName, $D21,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O21" s="150">
        <f t="array" ref="O21">_xlfn.LET(
    _xlpm.kpiName, O$2,
    _xlpm.factorName, $D21,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P21" s="150">
        <f t="array" ref="P21">_xlfn.LET(
    _xlpm.kpiName, P$2,
    _xlpm.factorName, $D21,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Q21" s="150">
        <f t="array" ref="Q21">_xlfn.LET(
    _xlpm.kpiName, Q$2,
    _xlpm.factorName, $D21,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R21" s="150">
        <f t="array" ref="R21">_xlfn.LET(
    _xlpm.kpiName, R$2,
    _xlpm.factorName, $D21,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S21" s="150">
        <f t="array" ref="S21">_xlfn.LET(
    _xlpm.kpiName, S$2,
    _xlpm.factorName, $D21,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T21" s="150">
        <f t="array" ref="T21">_xlfn.LET(
    _xlpm.kpiName, T$2,
    _xlpm.factorName, $D21,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U21" s="150">
        <f t="array" ref="U21">_xlfn.LET(
    _xlpm.kpiName, U$2,
    _xlpm.factorName, $D21,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V21" s="150">
        <f t="array" ref="V21">_xlfn.LET(
    _xlpm.kpiName, V$2,
    _xlpm.factorName, $D21,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W21" s="150">
        <f t="array" ref="W21">_xlfn.LET(
    _xlpm.kpiName, W$2,
    _xlpm.factorName, $D21,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X21" s="150">
        <f t="array" ref="X21">_xlfn.LET(
    _xlpm.kpiName, X$2,
    _xlpm.factorName, $D21,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Y21" s="10"/>
      <c r="Z21" s="10"/>
      <c r="AA21" s="10"/>
      <c r="AB21" s="10"/>
      <c r="AC21" s="10"/>
      <c r="AD21" s="10"/>
      <c r="AE21" s="10"/>
      <c r="AF21" s="10"/>
      <c r="AG21" s="10"/>
      <c r="AH21" s="10"/>
      <c r="AI21" s="10"/>
      <c r="AJ21" s="10"/>
    </row>
    <row r="22" spans="3:36" ht="13" customHeight="1" x14ac:dyDescent="0.3">
      <c r="C22" s="1"/>
      <c r="D22" s="81" t="s">
        <v>24</v>
      </c>
      <c r="E22" s="150">
        <f t="array" ref="E22">_xlfn.LET(
    _xlpm.kpiName, E$2,
    _xlpm.factorName, $D22,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1.6516211937336819E-2</v>
      </c>
      <c r="F22" s="150">
        <f t="array" ref="F22">_xlfn.LET(
    _xlpm.kpiName, F$2,
    _xlpm.factorName, $D22,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2.6244648956014409E-2</v>
      </c>
      <c r="G22" s="150">
        <f t="array" ref="G22">_xlfn.LET(
    _xlpm.kpiName, G$2,
    _xlpm.factorName, $D22,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1.6516211937336819E-2</v>
      </c>
      <c r="H22" s="150">
        <f t="array" ref="H22">_xlfn.LET(
    _xlpm.kpiName, H$2,
    _xlpm.factorName, $D22,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2.6244648956014409E-2</v>
      </c>
      <c r="I22" s="150">
        <f t="array" ref="I22">_xlfn.LET(
    _xlpm.kpiName, I$2,
    _xlpm.factorName, $D22,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0.1089308471191494</v>
      </c>
      <c r="J22" s="150">
        <f t="array" ref="J22">_xlfn.LET(
    _xlpm.kpiName, J$2,
    _xlpm.factorName, $D22,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K22" s="150">
        <f t="array" ref="K22">_xlfn.LET(
    _xlpm.kpiName, K$2,
    _xlpm.factorName, $D22,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L22" s="150">
        <f t="array" ref="L22">_xlfn.LET(
    _xlpm.kpiName, L$2,
    _xlpm.factorName, $D22,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M22" s="150">
        <f t="array" ref="M22">_xlfn.LET(
    _xlpm.kpiName, M$2,
    _xlpm.factorName, $D22,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N22" s="150">
        <f t="array" ref="N22">_xlfn.LET(
    _xlpm.kpiName, N$2,
    _xlpm.factorName, $D22,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O22" s="150">
        <f t="array" ref="O22">_xlfn.LET(
    _xlpm.kpiName, O$2,
    _xlpm.factorName, $D22,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P22" s="150">
        <f t="array" ref="P22">_xlfn.LET(
    _xlpm.kpiName, P$2,
    _xlpm.factorName, $D22,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Q22" s="150">
        <f t="array" ref="Q22">_xlfn.LET(
    _xlpm.kpiName, Q$2,
    _xlpm.factorName, $D22,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R22" s="150">
        <f t="array" ref="R22">_xlfn.LET(
    _xlpm.kpiName, R$2,
    _xlpm.factorName, $D22,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S22" s="150">
        <f t="array" ref="S22">_xlfn.LET(
    _xlpm.kpiName, S$2,
    _xlpm.factorName, $D22,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T22" s="150">
        <f t="array" ref="T22">_xlfn.LET(
    _xlpm.kpiName, T$2,
    _xlpm.factorName, $D22,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U22" s="150">
        <f t="array" ref="U22">_xlfn.LET(
    _xlpm.kpiName, U$2,
    _xlpm.factorName, $D22,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V22" s="150">
        <f t="array" ref="V22">_xlfn.LET(
    _xlpm.kpiName, V$2,
    _xlpm.factorName, $D22,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W22" s="150">
        <f t="array" ref="W22">_xlfn.LET(
    _xlpm.kpiName, W$2,
    _xlpm.factorName, $D22,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X22" s="150">
        <f t="array" ref="X22">_xlfn.LET(
    _xlpm.kpiName, X$2,
    _xlpm.factorName, $D22,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Y22" s="10"/>
      <c r="Z22" s="10"/>
      <c r="AA22" s="10"/>
      <c r="AB22" s="10"/>
      <c r="AC22" s="10"/>
      <c r="AD22" s="10"/>
      <c r="AE22" s="10"/>
      <c r="AF22" s="10"/>
      <c r="AG22" s="10"/>
      <c r="AH22" s="10"/>
      <c r="AI22" s="10"/>
      <c r="AJ22" s="10"/>
    </row>
    <row r="23" spans="3:36" ht="13" customHeight="1" x14ac:dyDescent="0.3">
      <c r="C23" s="1"/>
      <c r="D23" s="81" t="s">
        <v>25</v>
      </c>
      <c r="E23" s="150">
        <f t="array" ref="E23">_xlfn.LET(
    _xlpm.kpiName, E$2,
    _xlpm.factorName, $D23,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0.14184285056839879</v>
      </c>
      <c r="F23" s="150">
        <f t="array" ref="F23">_xlfn.LET(
    _xlpm.kpiName, F$2,
    _xlpm.factorName, $D23,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0.12629471009555079</v>
      </c>
      <c r="G23" s="150">
        <f t="array" ref="G23">_xlfn.LET(
    _xlpm.kpiName, G$2,
    _xlpm.factorName, $D23,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0.14184285056839879</v>
      </c>
      <c r="H23" s="150">
        <f t="array" ref="H23">_xlfn.LET(
    _xlpm.kpiName, H$2,
    _xlpm.factorName, $D23,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0.12629471009555079</v>
      </c>
      <c r="I23" s="150">
        <f t="array" ref="I23">_xlfn.LET(
    _xlpm.kpiName, I$2,
    _xlpm.factorName, $D23,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0.31582998622877712</v>
      </c>
      <c r="J23" s="150">
        <f t="array" ref="J23">_xlfn.LET(
    _xlpm.kpiName, J$2,
    _xlpm.factorName, $D23,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K23" s="150">
        <f t="array" ref="K23">_xlfn.LET(
    _xlpm.kpiName, K$2,
    _xlpm.factorName, $D23,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L23" s="150">
        <f t="array" ref="L23">_xlfn.LET(
    _xlpm.kpiName, L$2,
    _xlpm.factorName, $D23,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M23" s="150">
        <f t="array" ref="M23">_xlfn.LET(
    _xlpm.kpiName, M$2,
    _xlpm.factorName, $D23,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N23" s="150">
        <f t="array" ref="N23">_xlfn.LET(
    _xlpm.kpiName, N$2,
    _xlpm.factorName, $D23,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O23" s="150">
        <f t="array" ref="O23">_xlfn.LET(
    _xlpm.kpiName, O$2,
    _xlpm.factorName, $D23,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P23" s="150">
        <f t="array" ref="P23">_xlfn.LET(
    _xlpm.kpiName, P$2,
    _xlpm.factorName, $D23,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Q23" s="150">
        <f t="array" ref="Q23">_xlfn.LET(
    _xlpm.kpiName, Q$2,
    _xlpm.factorName, $D23,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R23" s="150">
        <f t="array" ref="R23">_xlfn.LET(
    _xlpm.kpiName, R$2,
    _xlpm.factorName, $D23,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S23" s="150">
        <f t="array" ref="S23">_xlfn.LET(
    _xlpm.kpiName, S$2,
    _xlpm.factorName, $D23,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T23" s="150">
        <f t="array" ref="T23">_xlfn.LET(
    _xlpm.kpiName, T$2,
    _xlpm.factorName, $D23,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U23" s="150">
        <f t="array" ref="U23">_xlfn.LET(
    _xlpm.kpiName, U$2,
    _xlpm.factorName, $D23,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V23" s="150">
        <f t="array" ref="V23">_xlfn.LET(
    _xlpm.kpiName, V$2,
    _xlpm.factorName, $D23,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W23" s="150">
        <f t="array" ref="W23">_xlfn.LET(
    _xlpm.kpiName, W$2,
    _xlpm.factorName, $D23,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X23" s="150">
        <f t="array" ref="X23">_xlfn.LET(
    _xlpm.kpiName, X$2,
    _xlpm.factorName, $D23,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Y23" s="10"/>
      <c r="Z23" s="10"/>
      <c r="AA23" s="10"/>
      <c r="AB23" s="10"/>
      <c r="AC23" s="10"/>
      <c r="AD23" s="10"/>
      <c r="AE23" s="10"/>
      <c r="AF23" s="10"/>
      <c r="AG23" s="10"/>
      <c r="AH23" s="10"/>
      <c r="AI23" s="10"/>
      <c r="AJ23" s="10"/>
    </row>
    <row r="24" spans="3:36" ht="9" customHeight="1" x14ac:dyDescent="0.3">
      <c r="C24" s="1"/>
      <c r="D24" s="81" t="s">
        <v>26</v>
      </c>
      <c r="E24" s="150">
        <f t="array" ref="E24">_xlfn.LET(
    _xlpm.kpiName, E$2,
    _xlpm.factorName, $D24,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1.3948841610353639E-2</v>
      </c>
      <c r="F24" s="150">
        <f t="array" ref="F24">_xlfn.LET(
    _xlpm.kpiName, F$2,
    _xlpm.factorName, $D24,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1.547281023978249E-3</v>
      </c>
      <c r="G24" s="150">
        <f t="array" ref="G24">_xlfn.LET(
    _xlpm.kpiName, G$2,
    _xlpm.factorName, $D24,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1.3948841610353639E-2</v>
      </c>
      <c r="H24" s="150">
        <f t="array" ref="H24">_xlfn.LET(
    _xlpm.kpiName, H$2,
    _xlpm.factorName, $D24,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1.547281023978249E-3</v>
      </c>
      <c r="I24" s="150">
        <f t="array" ref="I24">_xlfn.LET(
    _xlpm.kpiName, I$2,
    _xlpm.factorName, $D24,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8.1024929327382644E-2</v>
      </c>
      <c r="J24" s="150">
        <f t="array" ref="J24">_xlfn.LET(
    _xlpm.kpiName, J$2,
    _xlpm.factorName, $D24,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K24" s="150">
        <f t="array" ref="K24">_xlfn.LET(
    _xlpm.kpiName, K$2,
    _xlpm.factorName, $D24,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L24" s="150">
        <f t="array" ref="L24">_xlfn.LET(
    _xlpm.kpiName, L$2,
    _xlpm.factorName, $D24,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M24" s="150">
        <f t="array" ref="M24">_xlfn.LET(
    _xlpm.kpiName, M$2,
    _xlpm.factorName, $D24,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N24" s="150">
        <f t="array" ref="N24">_xlfn.LET(
    _xlpm.kpiName, N$2,
    _xlpm.factorName, $D24,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O24" s="150">
        <f t="array" ref="O24">_xlfn.LET(
    _xlpm.kpiName, O$2,
    _xlpm.factorName, $D24,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P24" s="150">
        <f t="array" ref="P24">_xlfn.LET(
    _xlpm.kpiName, P$2,
    _xlpm.factorName, $D24,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Q24" s="150">
        <f t="array" ref="Q24">_xlfn.LET(
    _xlpm.kpiName, Q$2,
    _xlpm.factorName, $D24,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R24" s="150">
        <f t="array" ref="R24">_xlfn.LET(
    _xlpm.kpiName, R$2,
    _xlpm.factorName, $D24,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S24" s="150">
        <f t="array" ref="S24">_xlfn.LET(
    _xlpm.kpiName, S$2,
    _xlpm.factorName, $D24,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T24" s="150">
        <f t="array" ref="T24">_xlfn.LET(
    _xlpm.kpiName, T$2,
    _xlpm.factorName, $D24,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U24" s="150">
        <f t="array" ref="U24">_xlfn.LET(
    _xlpm.kpiName, U$2,
    _xlpm.factorName, $D24,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V24" s="150">
        <f t="array" ref="V24">_xlfn.LET(
    _xlpm.kpiName, V$2,
    _xlpm.factorName, $D24,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W24" s="150">
        <f t="array" ref="W24">_xlfn.LET(
    _xlpm.kpiName, W$2,
    _xlpm.factorName, $D24,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X24" s="150">
        <f t="array" ref="X24">_xlfn.LET(
    _xlpm.kpiName, X$2,
    _xlpm.factorName, $D24,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Y24" s="10"/>
      <c r="Z24" s="10"/>
      <c r="AA24" s="10"/>
      <c r="AB24" s="10"/>
      <c r="AC24" s="10"/>
      <c r="AD24" s="10"/>
      <c r="AE24" s="10"/>
      <c r="AF24" s="10"/>
      <c r="AG24" s="10"/>
      <c r="AH24" s="10"/>
      <c r="AI24" s="10"/>
      <c r="AJ24" s="10"/>
    </row>
    <row r="25" spans="3:36" ht="9" customHeight="1" x14ac:dyDescent="0.3">
      <c r="C25" s="1"/>
      <c r="D25" s="81" t="s">
        <v>27</v>
      </c>
      <c r="E25" s="150">
        <f t="array" ref="E25">_xlfn.LET(
    _xlpm.kpiName, E$2,
    _xlpm.factorName, $D25,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1.8964421880412041E-2</v>
      </c>
      <c r="F25" s="150">
        <f t="array" ref="F25">_xlfn.LET(
    _xlpm.kpiName, F$2,
    _xlpm.factorName, $D25,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4.3866909560862533E-2</v>
      </c>
      <c r="G25" s="150">
        <f t="array" ref="G25">_xlfn.LET(
    _xlpm.kpiName, G$2,
    _xlpm.factorName, $D25,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1.8964421880412041E-2</v>
      </c>
      <c r="H25" s="150">
        <f t="array" ref="H25">_xlfn.LET(
    _xlpm.kpiName, H$2,
    _xlpm.factorName, $D25,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4.3866909560862533E-2</v>
      </c>
      <c r="I25" s="150">
        <f t="array" ref="I25">_xlfn.LET(
    _xlpm.kpiName, I$2,
    _xlpm.factorName, $D25,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0.2171077345366024</v>
      </c>
      <c r="J25" s="150">
        <f t="array" ref="J25">_xlfn.LET(
    _xlpm.kpiName, J$2,
    _xlpm.factorName, $D25,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K25" s="150">
        <f t="array" ref="K25">_xlfn.LET(
    _xlpm.kpiName, K$2,
    _xlpm.factorName, $D25,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L25" s="150">
        <f t="array" ref="L25">_xlfn.LET(
    _xlpm.kpiName, L$2,
    _xlpm.factorName, $D25,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M25" s="150">
        <f t="array" ref="M25">_xlfn.LET(
    _xlpm.kpiName, M$2,
    _xlpm.factorName, $D25,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N25" s="150">
        <f t="array" ref="N25">_xlfn.LET(
    _xlpm.kpiName, N$2,
    _xlpm.factorName, $D25,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O25" s="150">
        <f t="array" ref="O25">_xlfn.LET(
    _xlpm.kpiName, O$2,
    _xlpm.factorName, $D25,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P25" s="150">
        <f t="array" ref="P25">_xlfn.LET(
    _xlpm.kpiName, P$2,
    _xlpm.factorName, $D25,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Q25" s="150">
        <f t="array" ref="Q25">_xlfn.LET(
    _xlpm.kpiName, Q$2,
    _xlpm.factorName, $D25,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R25" s="150">
        <f t="array" ref="R25">_xlfn.LET(
    _xlpm.kpiName, R$2,
    _xlpm.factorName, $D25,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S25" s="150">
        <f t="array" ref="S25">_xlfn.LET(
    _xlpm.kpiName, S$2,
    _xlpm.factorName, $D25,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T25" s="150">
        <f t="array" ref="T25">_xlfn.LET(
    _xlpm.kpiName, T$2,
    _xlpm.factorName, $D25,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U25" s="150">
        <f t="array" ref="U25">_xlfn.LET(
    _xlpm.kpiName, U$2,
    _xlpm.factorName, $D25,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V25" s="150">
        <f t="array" ref="V25">_xlfn.LET(
    _xlpm.kpiName, V$2,
    _xlpm.factorName, $D25,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W25" s="150">
        <f t="array" ref="W25">_xlfn.LET(
    _xlpm.kpiName, W$2,
    _xlpm.factorName, $D25,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X25" s="150">
        <f t="array" ref="X25">_xlfn.LET(
    _xlpm.kpiName, X$2,
    _xlpm.factorName, $D25,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Y25" s="10"/>
      <c r="Z25" s="10"/>
      <c r="AA25" s="10"/>
      <c r="AB25" s="10"/>
      <c r="AC25" s="10"/>
      <c r="AD25" s="10"/>
      <c r="AE25" s="10"/>
      <c r="AF25" s="10"/>
      <c r="AG25" s="10"/>
      <c r="AH25" s="10"/>
      <c r="AI25" s="10"/>
      <c r="AJ25" s="10"/>
    </row>
    <row r="26" spans="3:36" ht="9" customHeight="1" x14ac:dyDescent="0.3">
      <c r="C26" s="1"/>
      <c r="D26" s="81" t="s">
        <v>28</v>
      </c>
      <c r="E26" s="150">
        <f t="array" ref="E26">_xlfn.LET(
    _xlpm.kpiName, E$2,
    _xlpm.factorName, $D26,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1.513330262107123E-2</v>
      </c>
      <c r="F26" s="150">
        <f t="array" ref="F26">_xlfn.LET(
    _xlpm.kpiName, F$2,
    _xlpm.factorName, $D26,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5.1424425096033167E-3</v>
      </c>
      <c r="G26" s="150">
        <f t="array" ref="G26">_xlfn.LET(
    _xlpm.kpiName, G$2,
    _xlpm.factorName, $D26,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1.513330262107123E-2</v>
      </c>
      <c r="H26" s="150">
        <f t="array" ref="H26">_xlfn.LET(
    _xlpm.kpiName, H$2,
    _xlpm.factorName, $D26,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5.1424425096033167E-3</v>
      </c>
      <c r="I26" s="150">
        <f t="array" ref="I26">_xlfn.LET(
    _xlpm.kpiName, I$2,
    _xlpm.factorName, $D26,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8.6531199674883638E-2</v>
      </c>
      <c r="J26" s="150">
        <f t="array" ref="J26">_xlfn.LET(
    _xlpm.kpiName, J$2,
    _xlpm.factorName, $D26,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K26" s="150">
        <f t="array" ref="K26">_xlfn.LET(
    _xlpm.kpiName, K$2,
    _xlpm.factorName, $D26,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L26" s="150">
        <f t="array" ref="L26">_xlfn.LET(
    _xlpm.kpiName, L$2,
    _xlpm.factorName, $D26,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M26" s="150">
        <f t="array" ref="M26">_xlfn.LET(
    _xlpm.kpiName, M$2,
    _xlpm.factorName, $D26,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N26" s="150">
        <f t="array" ref="N26">_xlfn.LET(
    _xlpm.kpiName, N$2,
    _xlpm.factorName, $D26,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O26" s="150">
        <f t="array" ref="O26">_xlfn.LET(
    _xlpm.kpiName, O$2,
    _xlpm.factorName, $D26,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P26" s="150">
        <f t="array" ref="P26">_xlfn.LET(
    _xlpm.kpiName, P$2,
    _xlpm.factorName, $D26,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Q26" s="150">
        <f t="array" ref="Q26">_xlfn.LET(
    _xlpm.kpiName, Q$2,
    _xlpm.factorName, $D26,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R26" s="150">
        <f t="array" ref="R26">_xlfn.LET(
    _xlpm.kpiName, R$2,
    _xlpm.factorName, $D26,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S26" s="150">
        <f t="array" ref="S26">_xlfn.LET(
    _xlpm.kpiName, S$2,
    _xlpm.factorName, $D26,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T26" s="150">
        <f t="array" ref="T26">_xlfn.LET(
    _xlpm.kpiName, T$2,
    _xlpm.factorName, $D26,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U26" s="150">
        <f t="array" ref="U26">_xlfn.LET(
    _xlpm.kpiName, U$2,
    _xlpm.factorName, $D26,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V26" s="150">
        <f t="array" ref="V26">_xlfn.LET(
    _xlpm.kpiName, V$2,
    _xlpm.factorName, $D26,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W26" s="150">
        <f t="array" ref="W26">_xlfn.LET(
    _xlpm.kpiName, W$2,
    _xlpm.factorName, $D26,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X26" s="150">
        <f t="array" ref="X26">_xlfn.LET(
    _xlpm.kpiName, X$2,
    _xlpm.factorName, $D26,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Y26" s="10"/>
      <c r="Z26" s="10"/>
      <c r="AA26" s="10"/>
      <c r="AB26" s="10"/>
      <c r="AC26" s="10"/>
      <c r="AD26" s="10"/>
      <c r="AE26" s="10"/>
      <c r="AF26" s="10"/>
      <c r="AG26" s="10"/>
      <c r="AH26" s="10"/>
      <c r="AI26" s="10"/>
      <c r="AJ26" s="10"/>
    </row>
    <row r="27" spans="3:36" ht="9" customHeight="1" x14ac:dyDescent="0.3">
      <c r="C27" s="1"/>
      <c r="D27" s="81" t="s">
        <v>29</v>
      </c>
      <c r="E27" s="150">
        <f t="array" ref="E27">_xlfn.LET(
    _xlpm.kpiName, E$2,
    _xlpm.factorName, $D27,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2.624675877944864E-2</v>
      </c>
      <c r="F27" s="150">
        <f t="array" ref="F27">_xlfn.LET(
    _xlpm.kpiName, F$2,
    _xlpm.factorName, $D27,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6.085596023850318E-3</v>
      </c>
      <c r="G27" s="150">
        <f t="array" ref="G27">_xlfn.LET(
    _xlpm.kpiName, G$2,
    _xlpm.factorName, $D27,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2.624675877944864E-2</v>
      </c>
      <c r="H27" s="150">
        <f t="array" ref="H27">_xlfn.LET(
    _xlpm.kpiName, H$2,
    _xlpm.factorName, $D27,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6.085596023850318E-3</v>
      </c>
      <c r="I27" s="150">
        <f t="array" ref="I27">_xlfn.LET(
    _xlpm.kpiName, I$2,
    _xlpm.factorName, $D27,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5.9234346198421953E-2</v>
      </c>
      <c r="J27" s="150">
        <f t="array" ref="J27">_xlfn.LET(
    _xlpm.kpiName, J$2,
    _xlpm.factorName, $D27,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K27" s="150">
        <f t="array" ref="K27">_xlfn.LET(
    _xlpm.kpiName, K$2,
    _xlpm.factorName, $D27,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L27" s="150">
        <f t="array" ref="L27">_xlfn.LET(
    _xlpm.kpiName, L$2,
    _xlpm.factorName, $D27,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M27" s="150">
        <f t="array" ref="M27">_xlfn.LET(
    _xlpm.kpiName, M$2,
    _xlpm.factorName, $D27,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N27" s="150">
        <f t="array" ref="N27">_xlfn.LET(
    _xlpm.kpiName, N$2,
    _xlpm.factorName, $D27,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O27" s="150">
        <f t="array" ref="O27">_xlfn.LET(
    _xlpm.kpiName, O$2,
    _xlpm.factorName, $D27,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P27" s="150">
        <f t="array" ref="P27">_xlfn.LET(
    _xlpm.kpiName, P$2,
    _xlpm.factorName, $D27,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Q27" s="150">
        <f t="array" ref="Q27">_xlfn.LET(
    _xlpm.kpiName, Q$2,
    _xlpm.factorName, $D27,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R27" s="150">
        <f t="array" ref="R27">_xlfn.LET(
    _xlpm.kpiName, R$2,
    _xlpm.factorName, $D27,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S27" s="150">
        <f t="array" ref="S27">_xlfn.LET(
    _xlpm.kpiName, S$2,
    _xlpm.factorName, $D27,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T27" s="150">
        <f t="array" ref="T27">_xlfn.LET(
    _xlpm.kpiName, T$2,
    _xlpm.factorName, $D27,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U27" s="150">
        <f t="array" ref="U27">_xlfn.LET(
    _xlpm.kpiName, U$2,
    _xlpm.factorName, $D27,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V27" s="150">
        <f t="array" ref="V27">_xlfn.LET(
    _xlpm.kpiName, V$2,
    _xlpm.factorName, $D27,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W27" s="150">
        <f t="array" ref="W27">_xlfn.LET(
    _xlpm.kpiName, W$2,
    _xlpm.factorName, $D27,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X27" s="150">
        <f t="array" ref="X27">_xlfn.LET(
    _xlpm.kpiName, X$2,
    _xlpm.factorName, $D27,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Y27" s="10"/>
      <c r="Z27" s="10"/>
      <c r="AA27" s="10"/>
      <c r="AB27" s="10"/>
      <c r="AC27" s="10"/>
      <c r="AD27" s="10"/>
      <c r="AE27" s="10"/>
      <c r="AF27" s="10"/>
      <c r="AG27" s="10"/>
      <c r="AH27" s="10"/>
      <c r="AI27" s="10"/>
      <c r="AJ27" s="10"/>
    </row>
    <row r="28" spans="3:36" ht="9" customHeight="1" x14ac:dyDescent="0.3">
      <c r="C28" s="1"/>
      <c r="D28" s="81" t="s">
        <v>30</v>
      </c>
      <c r="E28" s="150">
        <f t="array" ref="E28">_xlfn.LET(
    _xlpm.kpiName, E$2,
    _xlpm.factorName, $D28,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1.2484969580790539E-2</v>
      </c>
      <c r="F28" s="150">
        <f t="array" ref="F28">_xlfn.LET(
    _xlpm.kpiName, F$2,
    _xlpm.factorName, $D28,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3.016933656708105E-2</v>
      </c>
      <c r="G28" s="150">
        <f t="array" ref="G28">_xlfn.LET(
    _xlpm.kpiName, G$2,
    _xlpm.factorName, $D28,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1.2484969580790539E-2</v>
      </c>
      <c r="H28" s="150">
        <f t="array" ref="H28">_xlfn.LET(
    _xlpm.kpiName, H$2,
    _xlpm.factorName, $D28,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3.016933656708105E-2</v>
      </c>
      <c r="I28" s="150">
        <f t="array" ref="I28">_xlfn.LET(
    _xlpm.kpiName, I$2,
    _xlpm.factorName, $D28,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0.10449521860779031</v>
      </c>
      <c r="J28" s="150">
        <f t="array" ref="J28">_xlfn.LET(
    _xlpm.kpiName, J$2,
    _xlpm.factorName, $D28,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K28" s="150">
        <f t="array" ref="K28">_xlfn.LET(
    _xlpm.kpiName, K$2,
    _xlpm.factorName, $D28,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L28" s="150">
        <f t="array" ref="L28">_xlfn.LET(
    _xlpm.kpiName, L$2,
    _xlpm.factorName, $D28,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M28" s="150">
        <f t="array" ref="M28">_xlfn.LET(
    _xlpm.kpiName, M$2,
    _xlpm.factorName, $D28,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N28" s="150">
        <f t="array" ref="N28">_xlfn.LET(
    _xlpm.kpiName, N$2,
    _xlpm.factorName, $D28,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O28" s="150">
        <f t="array" ref="O28">_xlfn.LET(
    _xlpm.kpiName, O$2,
    _xlpm.factorName, $D28,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P28" s="150">
        <f t="array" ref="P28">_xlfn.LET(
    _xlpm.kpiName, P$2,
    _xlpm.factorName, $D28,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Q28" s="150">
        <f t="array" ref="Q28">_xlfn.LET(
    _xlpm.kpiName, Q$2,
    _xlpm.factorName, $D28,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R28" s="150">
        <f t="array" ref="R28">_xlfn.LET(
    _xlpm.kpiName, R$2,
    _xlpm.factorName, $D28,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S28" s="150">
        <f t="array" ref="S28">_xlfn.LET(
    _xlpm.kpiName, S$2,
    _xlpm.factorName, $D28,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T28" s="150">
        <f t="array" ref="T28">_xlfn.LET(
    _xlpm.kpiName, T$2,
    _xlpm.factorName, $D28,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U28" s="150">
        <f t="array" ref="U28">_xlfn.LET(
    _xlpm.kpiName, U$2,
    _xlpm.factorName, $D28,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V28" s="150">
        <f t="array" ref="V28">_xlfn.LET(
    _xlpm.kpiName, V$2,
    _xlpm.factorName, $D28,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W28" s="150">
        <f t="array" ref="W28">_xlfn.LET(
    _xlpm.kpiName, W$2,
    _xlpm.factorName, $D28,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X28" s="150">
        <f t="array" ref="X28">_xlfn.LET(
    _xlpm.kpiName, X$2,
    _xlpm.factorName, $D28,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Y28" s="10"/>
      <c r="Z28" s="10"/>
      <c r="AA28" s="10"/>
      <c r="AB28" s="10"/>
      <c r="AC28" s="10"/>
      <c r="AD28" s="10"/>
      <c r="AE28" s="10"/>
      <c r="AF28" s="10"/>
      <c r="AG28" s="10"/>
      <c r="AH28" s="10"/>
      <c r="AI28" s="10"/>
      <c r="AJ28" s="10"/>
    </row>
    <row r="29" spans="3:36" ht="9" customHeight="1" x14ac:dyDescent="0.3">
      <c r="C29" s="1"/>
      <c r="D29" s="81" t="s">
        <v>31</v>
      </c>
      <c r="E29" s="150">
        <f t="array" ref="E29">_xlfn.LET(
    _xlpm.kpiName, E$2,
    _xlpm.factorName, $D29,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1.132838516680721E-2</v>
      </c>
      <c r="F29" s="150">
        <f t="array" ref="F29">_xlfn.LET(
    _xlpm.kpiName, F$2,
    _xlpm.factorName, $D29,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1.839743555545335E-2</v>
      </c>
      <c r="G29" s="150">
        <f t="array" ref="G29">_xlfn.LET(
    _xlpm.kpiName, G$2,
    _xlpm.factorName, $D29,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1.132838516680721E-2</v>
      </c>
      <c r="H29" s="150">
        <f t="array" ref="H29">_xlfn.LET(
    _xlpm.kpiName, H$2,
    _xlpm.factorName, $D29,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1.839743555545335E-2</v>
      </c>
      <c r="I29" s="150">
        <f t="array" ref="I29">_xlfn.LET(
    _xlpm.kpiName, I$2,
    _xlpm.factorName, $D29,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0.11168783571941621</v>
      </c>
      <c r="J29" s="150">
        <f t="array" ref="J29">_xlfn.LET(
    _xlpm.kpiName, J$2,
    _xlpm.factorName, $D29,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K29" s="150">
        <f t="array" ref="K29">_xlfn.LET(
    _xlpm.kpiName, K$2,
    _xlpm.factorName, $D29,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L29" s="150">
        <f t="array" ref="L29">_xlfn.LET(
    _xlpm.kpiName, L$2,
    _xlpm.factorName, $D29,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M29" s="150">
        <f t="array" ref="M29">_xlfn.LET(
    _xlpm.kpiName, M$2,
    _xlpm.factorName, $D29,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N29" s="150">
        <f t="array" ref="N29">_xlfn.LET(
    _xlpm.kpiName, N$2,
    _xlpm.factorName, $D29,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O29" s="150">
        <f t="array" ref="O29">_xlfn.LET(
    _xlpm.kpiName, O$2,
    _xlpm.factorName, $D29,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P29" s="150">
        <f t="array" ref="P29">_xlfn.LET(
    _xlpm.kpiName, P$2,
    _xlpm.factorName, $D29,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Q29" s="150">
        <f t="array" ref="Q29">_xlfn.LET(
    _xlpm.kpiName, Q$2,
    _xlpm.factorName, $D29,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R29" s="150">
        <f t="array" ref="R29">_xlfn.LET(
    _xlpm.kpiName, R$2,
    _xlpm.factorName, $D29,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S29" s="150">
        <f t="array" ref="S29">_xlfn.LET(
    _xlpm.kpiName, S$2,
    _xlpm.factorName, $D29,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T29" s="150">
        <f t="array" ref="T29">_xlfn.LET(
    _xlpm.kpiName, T$2,
    _xlpm.factorName, $D29,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U29" s="150">
        <f t="array" ref="U29">_xlfn.LET(
    _xlpm.kpiName, U$2,
    _xlpm.factorName, $D29,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V29" s="150">
        <f t="array" ref="V29">_xlfn.LET(
    _xlpm.kpiName, V$2,
    _xlpm.factorName, $D29,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W29" s="150">
        <f t="array" ref="W29">_xlfn.LET(
    _xlpm.kpiName, W$2,
    _xlpm.factorName, $D29,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X29" s="150">
        <f t="array" ref="X29">_xlfn.LET(
    _xlpm.kpiName, X$2,
    _xlpm.factorName, $D29,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Y29" s="10"/>
      <c r="Z29" s="10"/>
      <c r="AA29" s="10"/>
      <c r="AB29" s="10"/>
      <c r="AC29" s="10"/>
      <c r="AD29" s="10"/>
      <c r="AE29" s="10"/>
      <c r="AF29" s="10"/>
      <c r="AG29" s="10"/>
      <c r="AH29" s="10"/>
      <c r="AI29" s="10"/>
      <c r="AJ29" s="10"/>
    </row>
    <row r="30" spans="3:36" ht="9" customHeight="1" x14ac:dyDescent="0.3">
      <c r="C30" s="1"/>
      <c r="D30" s="81" t="s">
        <v>32</v>
      </c>
      <c r="E30" s="150">
        <f t="array" ref="E30">_xlfn.LET(
    _xlpm.kpiName, E$2,
    _xlpm.factorName, $D30,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F30" s="150">
        <f t="array" ref="F30">_xlfn.LET(
    _xlpm.kpiName, F$2,
    _xlpm.factorName, $D30,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G30" s="150">
        <f t="array" ref="G30">_xlfn.LET(
    _xlpm.kpiName, G$2,
    _xlpm.factorName, $D30,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H30" s="150">
        <f t="array" ref="H30">_xlfn.LET(
    _xlpm.kpiName, H$2,
    _xlpm.factorName, $D30,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I30" s="150">
        <f t="array" ref="I30">_xlfn.LET(
    _xlpm.kpiName, I$2,
    _xlpm.factorName, $D30,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J30" s="150">
        <f t="array" ref="J30">_xlfn.LET(
    _xlpm.kpiName, J$2,
    _xlpm.factorName, $D30,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K30" s="150">
        <f t="array" ref="K30">_xlfn.LET(
    _xlpm.kpiName, K$2,
    _xlpm.factorName, $D30,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L30" s="150">
        <f t="array" ref="L30">_xlfn.LET(
    _xlpm.kpiName, L$2,
    _xlpm.factorName, $D30,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M30" s="150">
        <f t="array" ref="M30">_xlfn.LET(
    _xlpm.kpiName, M$2,
    _xlpm.factorName, $D30,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N30" s="150">
        <f t="array" ref="N30">_xlfn.LET(
    _xlpm.kpiName, N$2,
    _xlpm.factorName, $D30,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O30" s="150">
        <f t="array" ref="O30">_xlfn.LET(
    _xlpm.kpiName, O$2,
    _xlpm.factorName, $D30,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P30" s="150">
        <f t="array" ref="P30">_xlfn.LET(
    _xlpm.kpiName, P$2,
    _xlpm.factorName, $D30,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Q30" s="150">
        <f t="array" ref="Q30">_xlfn.LET(
    _xlpm.kpiName, Q$2,
    _xlpm.factorName, $D30,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R30" s="150">
        <f t="array" ref="R30">_xlfn.LET(
    _xlpm.kpiName, R$2,
    _xlpm.factorName, $D30,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S30" s="150">
        <f t="array" ref="S30">_xlfn.LET(
    _xlpm.kpiName, S$2,
    _xlpm.factorName, $D30,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T30" s="150">
        <f t="array" ref="T30">_xlfn.LET(
    _xlpm.kpiName, T$2,
    _xlpm.factorName, $D30,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U30" s="150">
        <f t="array" ref="U30">_xlfn.LET(
    _xlpm.kpiName, U$2,
    _xlpm.factorName, $D30,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V30" s="150">
        <f t="array" ref="V30">_xlfn.LET(
    _xlpm.kpiName, V$2,
    _xlpm.factorName, $D30,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W30" s="150">
        <f t="array" ref="W30">_xlfn.LET(
    _xlpm.kpiName, W$2,
    _xlpm.factorName, $D30,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X30" s="150">
        <f t="array" ref="X30">_xlfn.LET(
    _xlpm.kpiName, X$2,
    _xlpm.factorName, $D30,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Y30" s="10"/>
      <c r="Z30" s="10"/>
      <c r="AA30" s="10"/>
      <c r="AB30" s="10"/>
      <c r="AC30" s="10"/>
      <c r="AD30" s="10"/>
      <c r="AE30" s="10"/>
      <c r="AF30" s="10"/>
      <c r="AG30" s="10"/>
      <c r="AH30" s="10"/>
      <c r="AI30" s="10"/>
      <c r="AJ30" s="10"/>
    </row>
    <row r="31" spans="3:36" ht="9" customHeight="1" x14ac:dyDescent="0.3">
      <c r="C31" s="1"/>
      <c r="D31" s="81" t="s">
        <v>33</v>
      </c>
      <c r="E31" s="150">
        <f t="array" ref="E31">_xlfn.LET(
    _xlpm.kpiName, E$2,
    _xlpm.factorName, $D31,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F31" s="150">
        <f t="array" ref="F31">_xlfn.LET(
    _xlpm.kpiName, F$2,
    _xlpm.factorName, $D31,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G31" s="150">
        <f t="array" ref="G31">_xlfn.LET(
    _xlpm.kpiName, G$2,
    _xlpm.factorName, $D31,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H31" s="150">
        <f t="array" ref="H31">_xlfn.LET(
    _xlpm.kpiName, H$2,
    _xlpm.factorName, $D31,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I31" s="150">
        <f t="array" ref="I31">_xlfn.LET(
    _xlpm.kpiName, I$2,
    _xlpm.factorName, $D31,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J31" s="150">
        <f t="array" ref="J31">_xlfn.LET(
    _xlpm.kpiName, J$2,
    _xlpm.factorName, $D31,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K31" s="150">
        <f t="array" ref="K31">_xlfn.LET(
    _xlpm.kpiName, K$2,
    _xlpm.factorName, $D31,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L31" s="150">
        <f t="array" ref="L31">_xlfn.LET(
    _xlpm.kpiName, L$2,
    _xlpm.factorName, $D31,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M31" s="150">
        <f t="array" ref="M31">_xlfn.LET(
    _xlpm.kpiName, M$2,
    _xlpm.factorName, $D31,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N31" s="150">
        <f t="array" ref="N31">_xlfn.LET(
    _xlpm.kpiName, N$2,
    _xlpm.factorName, $D31,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O31" s="150">
        <f t="array" ref="O31">_xlfn.LET(
    _xlpm.kpiName, O$2,
    _xlpm.factorName, $D31,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P31" s="150">
        <f t="array" ref="P31">_xlfn.LET(
    _xlpm.kpiName, P$2,
    _xlpm.factorName, $D31,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Q31" s="150">
        <f t="array" ref="Q31">_xlfn.LET(
    _xlpm.kpiName, Q$2,
    _xlpm.factorName, $D31,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R31" s="150">
        <f t="array" ref="R31">_xlfn.LET(
    _xlpm.kpiName, R$2,
    _xlpm.factorName, $D31,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S31" s="150">
        <f t="array" ref="S31">_xlfn.LET(
    _xlpm.kpiName, S$2,
    _xlpm.factorName, $D31,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T31" s="150">
        <f t="array" ref="T31">_xlfn.LET(
    _xlpm.kpiName, T$2,
    _xlpm.factorName, $D31,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U31" s="150">
        <f t="array" ref="U31">_xlfn.LET(
    _xlpm.kpiName, U$2,
    _xlpm.factorName, $D31,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V31" s="150">
        <f t="array" ref="V31">_xlfn.LET(
    _xlpm.kpiName, V$2,
    _xlpm.factorName, $D31,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W31" s="150">
        <f t="array" ref="W31">_xlfn.LET(
    _xlpm.kpiName, W$2,
    _xlpm.factorName, $D31,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X31" s="150">
        <f t="array" ref="X31">_xlfn.LET(
    _xlpm.kpiName, X$2,
    _xlpm.factorName, $D31,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Y31" s="10"/>
      <c r="Z31" s="10"/>
      <c r="AA31" s="10"/>
      <c r="AB31" s="10"/>
      <c r="AC31" s="10"/>
      <c r="AD31" s="10"/>
      <c r="AE31" s="10"/>
      <c r="AF31" s="10"/>
      <c r="AG31" s="10"/>
      <c r="AH31" s="10"/>
      <c r="AI31" s="10"/>
      <c r="AJ31" s="10"/>
    </row>
    <row r="32" spans="3:36" ht="9" customHeight="1" x14ac:dyDescent="0.3">
      <c r="C32" s="1"/>
      <c r="D32" s="81" t="s">
        <v>34</v>
      </c>
      <c r="E32" s="150">
        <f t="array" ref="E32">_xlfn.LET(
    _xlpm.kpiName, E$2,
    _xlpm.factorName, $D32,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F32" s="150">
        <f t="array" ref="F32">_xlfn.LET(
    _xlpm.kpiName, F$2,
    _xlpm.factorName, $D32,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G32" s="150">
        <f t="array" ref="G32">_xlfn.LET(
    _xlpm.kpiName, G$2,
    _xlpm.factorName, $D32,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H32" s="150">
        <f t="array" ref="H32">_xlfn.LET(
    _xlpm.kpiName, H$2,
    _xlpm.factorName, $D32,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I32" s="150">
        <f t="array" ref="I32">_xlfn.LET(
    _xlpm.kpiName, I$2,
    _xlpm.factorName, $D32,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J32" s="150">
        <f t="array" ref="J32">_xlfn.LET(
    _xlpm.kpiName, J$2,
    _xlpm.factorName, $D32,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K32" s="150">
        <f t="array" ref="K32">_xlfn.LET(
    _xlpm.kpiName, K$2,
    _xlpm.factorName, $D32,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L32" s="150">
        <f t="array" ref="L32">_xlfn.LET(
    _xlpm.kpiName, L$2,
    _xlpm.factorName, $D32,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M32" s="150">
        <f t="array" ref="M32">_xlfn.LET(
    _xlpm.kpiName, M$2,
    _xlpm.factorName, $D32,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N32" s="150">
        <f t="array" ref="N32">_xlfn.LET(
    _xlpm.kpiName, N$2,
    _xlpm.factorName, $D32,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O32" s="150">
        <f t="array" ref="O32">_xlfn.LET(
    _xlpm.kpiName, O$2,
    _xlpm.factorName, $D32,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P32" s="150">
        <f t="array" ref="P32">_xlfn.LET(
    _xlpm.kpiName, P$2,
    _xlpm.factorName, $D32,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Q32" s="150">
        <f t="array" ref="Q32">_xlfn.LET(
    _xlpm.kpiName, Q$2,
    _xlpm.factorName, $D32,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R32" s="150">
        <f t="array" ref="R32">_xlfn.LET(
    _xlpm.kpiName, R$2,
    _xlpm.factorName, $D32,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S32" s="150">
        <f t="array" ref="S32">_xlfn.LET(
    _xlpm.kpiName, S$2,
    _xlpm.factorName, $D32,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T32" s="150">
        <f t="array" ref="T32">_xlfn.LET(
    _xlpm.kpiName, T$2,
    _xlpm.factorName, $D32,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U32" s="150">
        <f t="array" ref="U32">_xlfn.LET(
    _xlpm.kpiName, U$2,
    _xlpm.factorName, $D32,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V32" s="150">
        <f t="array" ref="V32">_xlfn.LET(
    _xlpm.kpiName, V$2,
    _xlpm.factorName, $D32,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W32" s="150">
        <f t="array" ref="W32">_xlfn.LET(
    _xlpm.kpiName, W$2,
    _xlpm.factorName, $D32,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X32" s="150">
        <f t="array" ref="X32">_xlfn.LET(
    _xlpm.kpiName, X$2,
    _xlpm.factorName, $D32,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Y32" s="10"/>
      <c r="Z32" s="10"/>
      <c r="AA32" s="10"/>
      <c r="AB32" s="10"/>
      <c r="AC32" s="10"/>
      <c r="AD32" s="10"/>
      <c r="AE32" s="10"/>
      <c r="AF32" s="10"/>
      <c r="AG32" s="10"/>
      <c r="AH32" s="10"/>
      <c r="AI32" s="10"/>
      <c r="AJ32" s="10"/>
    </row>
    <row r="33" spans="3:36" ht="9" customHeight="1" x14ac:dyDescent="0.3">
      <c r="C33" s="1"/>
      <c r="D33" s="81" t="s">
        <v>35</v>
      </c>
      <c r="E33" s="150">
        <f t="array" ref="E33">_xlfn.LET(
    _xlpm.kpiName, E$2,
    _xlpm.factorName, $D33,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F33" s="150">
        <f t="array" ref="F33">_xlfn.LET(
    _xlpm.kpiName, F$2,
    _xlpm.factorName, $D33,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G33" s="150">
        <f t="array" ref="G33">_xlfn.LET(
    _xlpm.kpiName, G$2,
    _xlpm.factorName, $D33,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H33" s="150">
        <f t="array" ref="H33">_xlfn.LET(
    _xlpm.kpiName, H$2,
    _xlpm.factorName, $D33,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I33" s="150">
        <f t="array" ref="I33">_xlfn.LET(
    _xlpm.kpiName, I$2,
    _xlpm.factorName, $D33,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J33" s="150">
        <f t="array" ref="J33">_xlfn.LET(
    _xlpm.kpiName, J$2,
    _xlpm.factorName, $D33,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K33" s="150">
        <f t="array" ref="K33">_xlfn.LET(
    _xlpm.kpiName, K$2,
    _xlpm.factorName, $D33,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L33" s="150">
        <f t="array" ref="L33">_xlfn.LET(
    _xlpm.kpiName, L$2,
    _xlpm.factorName, $D33,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M33" s="150">
        <f t="array" ref="M33">_xlfn.LET(
    _xlpm.kpiName, M$2,
    _xlpm.factorName, $D33,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N33" s="150">
        <f t="array" ref="N33">_xlfn.LET(
    _xlpm.kpiName, N$2,
    _xlpm.factorName, $D33,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O33" s="150">
        <f t="array" ref="O33">_xlfn.LET(
    _xlpm.kpiName, O$2,
    _xlpm.factorName, $D33,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P33" s="150">
        <f t="array" ref="P33">_xlfn.LET(
    _xlpm.kpiName, P$2,
    _xlpm.factorName, $D33,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Q33" s="150">
        <f t="array" ref="Q33">_xlfn.LET(
    _xlpm.kpiName, Q$2,
    _xlpm.factorName, $D33,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R33" s="150">
        <f t="array" ref="R33">_xlfn.LET(
    _xlpm.kpiName, R$2,
    _xlpm.factorName, $D33,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S33" s="150">
        <f t="array" ref="S33">_xlfn.LET(
    _xlpm.kpiName, S$2,
    _xlpm.factorName, $D33,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T33" s="150">
        <f t="array" ref="T33">_xlfn.LET(
    _xlpm.kpiName, T$2,
    _xlpm.factorName, $D33,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U33" s="150">
        <f t="array" ref="U33">_xlfn.LET(
    _xlpm.kpiName, U$2,
    _xlpm.factorName, $D33,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V33" s="150">
        <f t="array" ref="V33">_xlfn.LET(
    _xlpm.kpiName, V$2,
    _xlpm.factorName, $D33,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W33" s="150">
        <f t="array" ref="W33">_xlfn.LET(
    _xlpm.kpiName, W$2,
    _xlpm.factorName, $D33,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X33" s="150">
        <f t="array" ref="X33">_xlfn.LET(
    _xlpm.kpiName, X$2,
    _xlpm.factorName, $D33,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Y33" s="10"/>
      <c r="Z33" s="10"/>
      <c r="AA33" s="10"/>
      <c r="AB33" s="10"/>
      <c r="AC33" s="10"/>
      <c r="AD33" s="10"/>
      <c r="AE33" s="10"/>
      <c r="AF33" s="10"/>
      <c r="AG33" s="10"/>
      <c r="AH33" s="10"/>
      <c r="AI33" s="10"/>
      <c r="AJ33" s="10"/>
    </row>
    <row r="34" spans="3:36" ht="9" customHeight="1" x14ac:dyDescent="0.3">
      <c r="C34" s="1"/>
      <c r="D34" s="81" t="s">
        <v>36</v>
      </c>
      <c r="E34" s="150">
        <f t="array" ref="E34">_xlfn.LET(
    _xlpm.kpiName, E$2,
    _xlpm.factorName, $D34,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F34" s="150">
        <f t="array" ref="F34">_xlfn.LET(
    _xlpm.kpiName, F$2,
    _xlpm.factorName, $D34,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G34" s="150">
        <f t="array" ref="G34">_xlfn.LET(
    _xlpm.kpiName, G$2,
    _xlpm.factorName, $D34,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H34" s="150">
        <f t="array" ref="H34">_xlfn.LET(
    _xlpm.kpiName, H$2,
    _xlpm.factorName, $D34,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I34" s="150">
        <f t="array" ref="I34">_xlfn.LET(
    _xlpm.kpiName, I$2,
    _xlpm.factorName, $D34,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J34" s="150">
        <f t="array" ref="J34">_xlfn.LET(
    _xlpm.kpiName, J$2,
    _xlpm.factorName, $D34,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K34" s="150">
        <f t="array" ref="K34">_xlfn.LET(
    _xlpm.kpiName, K$2,
    _xlpm.factorName, $D34,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L34" s="150">
        <f t="array" ref="L34">_xlfn.LET(
    _xlpm.kpiName, L$2,
    _xlpm.factorName, $D34,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M34" s="150">
        <f t="array" ref="M34">_xlfn.LET(
    _xlpm.kpiName, M$2,
    _xlpm.factorName, $D34,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N34" s="150">
        <f t="array" ref="N34">_xlfn.LET(
    _xlpm.kpiName, N$2,
    _xlpm.factorName, $D34,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O34" s="150">
        <f t="array" ref="O34">_xlfn.LET(
    _xlpm.kpiName, O$2,
    _xlpm.factorName, $D34,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P34" s="150">
        <f t="array" ref="P34">_xlfn.LET(
    _xlpm.kpiName, P$2,
    _xlpm.factorName, $D34,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Q34" s="150">
        <f t="array" ref="Q34">_xlfn.LET(
    _xlpm.kpiName, Q$2,
    _xlpm.factorName, $D34,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R34" s="150">
        <f t="array" ref="R34">_xlfn.LET(
    _xlpm.kpiName, R$2,
    _xlpm.factorName, $D34,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S34" s="150">
        <f t="array" ref="S34">_xlfn.LET(
    _xlpm.kpiName, S$2,
    _xlpm.factorName, $D34,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T34" s="150">
        <f t="array" ref="T34">_xlfn.LET(
    _xlpm.kpiName, T$2,
    _xlpm.factorName, $D34,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U34" s="150">
        <f t="array" ref="U34">_xlfn.LET(
    _xlpm.kpiName, U$2,
    _xlpm.factorName, $D34,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V34" s="150">
        <f t="array" ref="V34">_xlfn.LET(
    _xlpm.kpiName, V$2,
    _xlpm.factorName, $D34,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W34" s="150">
        <f t="array" ref="W34">_xlfn.LET(
    _xlpm.kpiName, W$2,
    _xlpm.factorName, $D34,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X34" s="150">
        <f t="array" ref="X34">_xlfn.LET(
    _xlpm.kpiName, X$2,
    _xlpm.factorName, $D34,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row>
    <row r="35" spans="3:36" ht="9" customHeight="1" x14ac:dyDescent="0.3">
      <c r="C35" s="1"/>
      <c r="D35" s="81" t="s">
        <v>37</v>
      </c>
      <c r="E35" s="150">
        <f t="array" ref="E35">_xlfn.LET(
    _xlpm.kpiName, E$2,
    _xlpm.factorName, $D35,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F35" s="150">
        <f t="array" ref="F35">_xlfn.LET(
    _xlpm.kpiName, F$2,
    _xlpm.factorName, $D35,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G35" s="150">
        <f t="array" ref="G35">_xlfn.LET(
    _xlpm.kpiName, G$2,
    _xlpm.factorName, $D35,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H35" s="150">
        <f t="array" ref="H35">_xlfn.LET(
    _xlpm.kpiName, H$2,
    _xlpm.factorName, $D35,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I35" s="150">
        <f t="array" ref="I35">_xlfn.LET(
    _xlpm.kpiName, I$2,
    _xlpm.factorName, $D35,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J35" s="150">
        <f t="array" ref="J35">_xlfn.LET(
    _xlpm.kpiName, J$2,
    _xlpm.factorName, $D35,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K35" s="150">
        <f t="array" ref="K35">_xlfn.LET(
    _xlpm.kpiName, K$2,
    _xlpm.factorName, $D35,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L35" s="150">
        <f t="array" ref="L35">_xlfn.LET(
    _xlpm.kpiName, L$2,
    _xlpm.factorName, $D35,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M35" s="150">
        <f t="array" ref="M35">_xlfn.LET(
    _xlpm.kpiName, M$2,
    _xlpm.factorName, $D35,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N35" s="150">
        <f t="array" ref="N35">_xlfn.LET(
    _xlpm.kpiName, N$2,
    _xlpm.factorName, $D35,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O35" s="150">
        <f t="array" ref="O35">_xlfn.LET(
    _xlpm.kpiName, O$2,
    _xlpm.factorName, $D35,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P35" s="150">
        <f t="array" ref="P35">_xlfn.LET(
    _xlpm.kpiName, P$2,
    _xlpm.factorName, $D35,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Q35" s="150">
        <f t="array" ref="Q35">_xlfn.LET(
    _xlpm.kpiName, Q$2,
    _xlpm.factorName, $D35,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R35" s="150">
        <f t="array" ref="R35">_xlfn.LET(
    _xlpm.kpiName, R$2,
    _xlpm.factorName, $D35,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S35" s="150">
        <f t="array" ref="S35">_xlfn.LET(
    _xlpm.kpiName, S$2,
    _xlpm.factorName, $D35,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T35" s="150">
        <f t="array" ref="T35">_xlfn.LET(
    _xlpm.kpiName, T$2,
    _xlpm.factorName, $D35,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U35" s="150">
        <f t="array" ref="U35">_xlfn.LET(
    _xlpm.kpiName, U$2,
    _xlpm.factorName, $D35,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V35" s="150">
        <f t="array" ref="V35">_xlfn.LET(
    _xlpm.kpiName, V$2,
    _xlpm.factorName, $D35,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W35" s="150">
        <f t="array" ref="W35">_xlfn.LET(
    _xlpm.kpiName, W$2,
    _xlpm.factorName, $D35,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X35" s="150">
        <f t="array" ref="X35">_xlfn.LET(
    _xlpm.kpiName, X$2,
    _xlpm.factorName, $D35,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row>
    <row r="36" spans="3:36" ht="9" customHeight="1" x14ac:dyDescent="0.3">
      <c r="C36" s="1"/>
      <c r="D36" s="81" t="s">
        <v>38</v>
      </c>
      <c r="E36" s="150">
        <f t="array" ref="E36">_xlfn.LET(
    _xlpm.kpiName, E$2,
    _xlpm.factorName, $D36,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F36" s="150">
        <f t="array" ref="F36">_xlfn.LET(
    _xlpm.kpiName, F$2,
    _xlpm.factorName, $D36,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G36" s="150">
        <f t="array" ref="G36">_xlfn.LET(
    _xlpm.kpiName, G$2,
    _xlpm.factorName, $D36,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H36" s="150">
        <f t="array" ref="H36">_xlfn.LET(
    _xlpm.kpiName, H$2,
    _xlpm.factorName, $D36,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I36" s="150">
        <f t="array" ref="I36">_xlfn.LET(
    _xlpm.kpiName, I$2,
    _xlpm.factorName, $D36,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J36" s="150">
        <f t="array" ref="J36">_xlfn.LET(
    _xlpm.kpiName, J$2,
    _xlpm.factorName, $D36,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K36" s="150">
        <f t="array" ref="K36">_xlfn.LET(
    _xlpm.kpiName, K$2,
    _xlpm.factorName, $D36,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L36" s="150">
        <f t="array" ref="L36">_xlfn.LET(
    _xlpm.kpiName, L$2,
    _xlpm.factorName, $D36,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M36" s="150">
        <f t="array" ref="M36">_xlfn.LET(
    _xlpm.kpiName, M$2,
    _xlpm.factorName, $D36,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N36" s="150">
        <f t="array" ref="N36">_xlfn.LET(
    _xlpm.kpiName, N$2,
    _xlpm.factorName, $D36,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O36" s="150">
        <f t="array" ref="O36">_xlfn.LET(
    _xlpm.kpiName, O$2,
    _xlpm.factorName, $D36,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P36" s="150">
        <f t="array" ref="P36">_xlfn.LET(
    _xlpm.kpiName, P$2,
    _xlpm.factorName, $D36,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Q36" s="150">
        <f t="array" ref="Q36">_xlfn.LET(
    _xlpm.kpiName, Q$2,
    _xlpm.factorName, $D36,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R36" s="150">
        <f t="array" ref="R36">_xlfn.LET(
    _xlpm.kpiName, R$2,
    _xlpm.factorName, $D36,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S36" s="150">
        <f t="array" ref="S36">_xlfn.LET(
    _xlpm.kpiName, S$2,
    _xlpm.factorName, $D36,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T36" s="150">
        <f t="array" ref="T36">_xlfn.LET(
    _xlpm.kpiName, T$2,
    _xlpm.factorName, $D36,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U36" s="150">
        <f t="array" ref="U36">_xlfn.LET(
    _xlpm.kpiName, U$2,
    _xlpm.factorName, $D36,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V36" s="150">
        <f t="array" ref="V36">_xlfn.LET(
    _xlpm.kpiName, V$2,
    _xlpm.factorName, $D36,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W36" s="150">
        <f t="array" ref="W36">_xlfn.LET(
    _xlpm.kpiName, W$2,
    _xlpm.factorName, $D36,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X36" s="150">
        <f t="array" ref="X36">_xlfn.LET(
    _xlpm.kpiName, X$2,
    _xlpm.factorName, $D36,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row>
    <row r="37" spans="3:36" ht="9" customHeight="1" x14ac:dyDescent="0.3">
      <c r="C37" s="1"/>
      <c r="D37" s="81" t="s">
        <v>39</v>
      </c>
      <c r="E37" s="150">
        <f t="array" ref="E37">_xlfn.LET(
    _xlpm.kpiName, E$2,
    _xlpm.factorName, $D37,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F37" s="150">
        <f t="array" ref="F37">_xlfn.LET(
    _xlpm.kpiName, F$2,
    _xlpm.factorName, $D37,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G37" s="150">
        <f t="array" ref="G37">_xlfn.LET(
    _xlpm.kpiName, G$2,
    _xlpm.factorName, $D37,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H37" s="150">
        <f t="array" ref="H37">_xlfn.LET(
    _xlpm.kpiName, H$2,
    _xlpm.factorName, $D37,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I37" s="150">
        <f t="array" ref="I37">_xlfn.LET(
    _xlpm.kpiName, I$2,
    _xlpm.factorName, $D37,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J37" s="150">
        <f t="array" ref="J37">_xlfn.LET(
    _xlpm.kpiName, J$2,
    _xlpm.factorName, $D37,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K37" s="150">
        <f t="array" ref="K37">_xlfn.LET(
    _xlpm.kpiName, K$2,
    _xlpm.factorName, $D37,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L37" s="150">
        <f t="array" ref="L37">_xlfn.LET(
    _xlpm.kpiName, L$2,
    _xlpm.factorName, $D37,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M37" s="150">
        <f t="array" ref="M37">_xlfn.LET(
    _xlpm.kpiName, M$2,
    _xlpm.factorName, $D37,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N37" s="150">
        <f t="array" ref="N37">_xlfn.LET(
    _xlpm.kpiName, N$2,
    _xlpm.factorName, $D37,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O37" s="150">
        <f t="array" ref="O37">_xlfn.LET(
    _xlpm.kpiName, O$2,
    _xlpm.factorName, $D37,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P37" s="150">
        <f t="array" ref="P37">_xlfn.LET(
    _xlpm.kpiName, P$2,
    _xlpm.factorName, $D37,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Q37" s="150">
        <f t="array" ref="Q37">_xlfn.LET(
    _xlpm.kpiName, Q$2,
    _xlpm.factorName, $D37,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R37" s="150">
        <f t="array" ref="R37">_xlfn.LET(
    _xlpm.kpiName, R$2,
    _xlpm.factorName, $D37,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S37" s="150">
        <f t="array" ref="S37">_xlfn.LET(
    _xlpm.kpiName, S$2,
    _xlpm.factorName, $D37,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T37" s="150">
        <f t="array" ref="T37">_xlfn.LET(
    _xlpm.kpiName, T$2,
    _xlpm.factorName, $D37,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U37" s="150">
        <f t="array" ref="U37">_xlfn.LET(
    _xlpm.kpiName, U$2,
    _xlpm.factorName, $D37,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V37" s="150">
        <f t="array" ref="V37">_xlfn.LET(
    _xlpm.kpiName, V$2,
    _xlpm.factorName, $D37,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W37" s="150">
        <f t="array" ref="W37">_xlfn.LET(
    _xlpm.kpiName, W$2,
    _xlpm.factorName, $D37,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X37" s="150">
        <f t="array" ref="X37">_xlfn.LET(
    _xlpm.kpiName, X$2,
    _xlpm.factorName, $D37,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row>
    <row r="38" spans="3:36" ht="9" customHeight="1" x14ac:dyDescent="0.3">
      <c r="D38" s="81" t="s">
        <v>40</v>
      </c>
      <c r="E38" s="150">
        <f t="array" ref="E38">_xlfn.LET(
    _xlpm.kpiName, E$2,
    _xlpm.factorName, $D38,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F38" s="150">
        <f t="array" ref="F38">_xlfn.LET(
    _xlpm.kpiName, F$2,
    _xlpm.factorName, $D38,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G38" s="150">
        <f t="array" ref="G38">_xlfn.LET(
    _xlpm.kpiName, G$2,
    _xlpm.factorName, $D38,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H38" s="150">
        <f t="array" ref="H38">_xlfn.LET(
    _xlpm.kpiName, H$2,
    _xlpm.factorName, $D38,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I38" s="150">
        <f t="array" ref="I38">_xlfn.LET(
    _xlpm.kpiName, I$2,
    _xlpm.factorName, $D38,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J38" s="150">
        <f t="array" ref="J38">_xlfn.LET(
    _xlpm.kpiName, J$2,
    _xlpm.factorName, $D38,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K38" s="150">
        <f t="array" ref="K38">_xlfn.LET(
    _xlpm.kpiName, K$2,
    _xlpm.factorName, $D38,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L38" s="150">
        <f t="array" ref="L38">_xlfn.LET(
    _xlpm.kpiName, L$2,
    _xlpm.factorName, $D38,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M38" s="150">
        <f t="array" ref="M38">_xlfn.LET(
    _xlpm.kpiName, M$2,
    _xlpm.factorName, $D38,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N38" s="150">
        <f t="array" ref="N38">_xlfn.LET(
    _xlpm.kpiName, N$2,
    _xlpm.factorName, $D38,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O38" s="150">
        <f t="array" ref="O38">_xlfn.LET(
    _xlpm.kpiName, O$2,
    _xlpm.factorName, $D38,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P38" s="150">
        <f t="array" ref="P38">_xlfn.LET(
    _xlpm.kpiName, P$2,
    _xlpm.factorName, $D38,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Q38" s="150">
        <f t="array" ref="Q38">_xlfn.LET(
    _xlpm.kpiName, Q$2,
    _xlpm.factorName, $D38,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R38" s="150">
        <f t="array" ref="R38">_xlfn.LET(
    _xlpm.kpiName, R$2,
    _xlpm.factorName, $D38,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S38" s="150">
        <f t="array" ref="S38">_xlfn.LET(
    _xlpm.kpiName, S$2,
    _xlpm.factorName, $D38,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T38" s="150">
        <f t="array" ref="T38">_xlfn.LET(
    _xlpm.kpiName, T$2,
    _xlpm.factorName, $D38,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U38" s="150">
        <f t="array" ref="U38">_xlfn.LET(
    _xlpm.kpiName, U$2,
    _xlpm.factorName, $D38,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V38" s="150">
        <f t="array" ref="V38">_xlfn.LET(
    _xlpm.kpiName, V$2,
    _xlpm.factorName, $D38,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W38" s="150">
        <f t="array" ref="W38">_xlfn.LET(
    _xlpm.kpiName, W$2,
    _xlpm.factorName, $D38,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X38" s="150">
        <f t="array" ref="X38">_xlfn.LET(
    _xlpm.kpiName, X$2,
    _xlpm.factorName, $D38,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row>
    <row r="39" spans="3:36" ht="9" customHeight="1" x14ac:dyDescent="0.3">
      <c r="D39" s="81" t="s">
        <v>41</v>
      </c>
      <c r="E39" s="150">
        <f t="array" ref="E39">_xlfn.LET(
    _xlpm.kpiName, E$2,
    _xlpm.factorName, $D39,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F39" s="150">
        <f t="array" ref="F39">_xlfn.LET(
    _xlpm.kpiName, F$2,
    _xlpm.factorName, $D39,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G39" s="150">
        <f t="array" ref="G39">_xlfn.LET(
    _xlpm.kpiName, G$2,
    _xlpm.factorName, $D39,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H39" s="150">
        <f t="array" ref="H39">_xlfn.LET(
    _xlpm.kpiName, H$2,
    _xlpm.factorName, $D39,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I39" s="150">
        <f t="array" ref="I39">_xlfn.LET(
    _xlpm.kpiName, I$2,
    _xlpm.factorName, $D39,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J39" s="150">
        <f t="array" ref="J39">_xlfn.LET(
    _xlpm.kpiName, J$2,
    _xlpm.factorName, $D39,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K39" s="150">
        <f t="array" ref="K39">_xlfn.LET(
    _xlpm.kpiName, K$2,
    _xlpm.factorName, $D39,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L39" s="150">
        <f t="array" ref="L39">_xlfn.LET(
    _xlpm.kpiName, L$2,
    _xlpm.factorName, $D39,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M39" s="150">
        <f t="array" ref="M39">_xlfn.LET(
    _xlpm.kpiName, M$2,
    _xlpm.factorName, $D39,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N39" s="150">
        <f t="array" ref="N39">_xlfn.LET(
    _xlpm.kpiName, N$2,
    _xlpm.factorName, $D39,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O39" s="150">
        <f t="array" ref="O39">_xlfn.LET(
    _xlpm.kpiName, O$2,
    _xlpm.factorName, $D39,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P39" s="150">
        <f t="array" ref="P39">_xlfn.LET(
    _xlpm.kpiName, P$2,
    _xlpm.factorName, $D39,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Q39" s="150">
        <f t="array" ref="Q39">_xlfn.LET(
    _xlpm.kpiName, Q$2,
    _xlpm.factorName, $D39,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R39" s="150">
        <f t="array" ref="R39">_xlfn.LET(
    _xlpm.kpiName, R$2,
    _xlpm.factorName, $D39,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S39" s="150">
        <f t="array" ref="S39">_xlfn.LET(
    _xlpm.kpiName, S$2,
    _xlpm.factorName, $D39,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T39" s="150">
        <f t="array" ref="T39">_xlfn.LET(
    _xlpm.kpiName, T$2,
    _xlpm.factorName, $D39,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U39" s="150">
        <f t="array" ref="U39">_xlfn.LET(
    _xlpm.kpiName, U$2,
    _xlpm.factorName, $D39,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V39" s="150">
        <f t="array" ref="V39">_xlfn.LET(
    _xlpm.kpiName, V$2,
    _xlpm.factorName, $D39,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W39" s="150">
        <f t="array" ref="W39">_xlfn.LET(
    _xlpm.kpiName, W$2,
    _xlpm.factorName, $D39,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X39" s="150">
        <f t="array" ref="X39">_xlfn.LET(
    _xlpm.kpiName, X$2,
    _xlpm.factorName, $D39,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row>
    <row r="40" spans="3:36" ht="9" customHeight="1" x14ac:dyDescent="0.3">
      <c r="D40" s="81" t="s">
        <v>42</v>
      </c>
      <c r="E40" s="150">
        <f t="array" ref="E40">_xlfn.LET(
    _xlpm.kpiName, E$2,
    _xlpm.factorName, $D40,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F40" s="150">
        <f t="array" ref="F40">_xlfn.LET(
    _xlpm.kpiName, F$2,
    _xlpm.factorName, $D40,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G40" s="150">
        <f t="array" ref="G40">_xlfn.LET(
    _xlpm.kpiName, G$2,
    _xlpm.factorName, $D40,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H40" s="150">
        <f t="array" ref="H40">_xlfn.LET(
    _xlpm.kpiName, H$2,
    _xlpm.factorName, $D40,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I40" s="150">
        <f t="array" ref="I40">_xlfn.LET(
    _xlpm.kpiName, I$2,
    _xlpm.factorName, $D40,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J40" s="150">
        <f t="array" ref="J40">_xlfn.LET(
    _xlpm.kpiName, J$2,
    _xlpm.factorName, $D40,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K40" s="150">
        <f t="array" ref="K40">_xlfn.LET(
    _xlpm.kpiName, K$2,
    _xlpm.factorName, $D40,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L40" s="150">
        <f t="array" ref="L40">_xlfn.LET(
    _xlpm.kpiName, L$2,
    _xlpm.factorName, $D40,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M40" s="150">
        <f t="array" ref="M40">_xlfn.LET(
    _xlpm.kpiName, M$2,
    _xlpm.factorName, $D40,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N40" s="150">
        <f t="array" ref="N40">_xlfn.LET(
    _xlpm.kpiName, N$2,
    _xlpm.factorName, $D40,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O40" s="150">
        <f t="array" ref="O40">_xlfn.LET(
    _xlpm.kpiName, O$2,
    _xlpm.factorName, $D40,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P40" s="150">
        <f t="array" ref="P40">_xlfn.LET(
    _xlpm.kpiName, P$2,
    _xlpm.factorName, $D40,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Q40" s="150">
        <f t="array" ref="Q40">_xlfn.LET(
    _xlpm.kpiName, Q$2,
    _xlpm.factorName, $D40,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R40" s="150">
        <f t="array" ref="R40">_xlfn.LET(
    _xlpm.kpiName, R$2,
    _xlpm.factorName, $D40,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S40" s="150">
        <f t="array" ref="S40">_xlfn.LET(
    _xlpm.kpiName, S$2,
    _xlpm.factorName, $D40,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T40" s="150">
        <f t="array" ref="T40">_xlfn.LET(
    _xlpm.kpiName, T$2,
    _xlpm.factorName, $D40,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U40" s="150">
        <f t="array" ref="U40">_xlfn.LET(
    _xlpm.kpiName, U$2,
    _xlpm.factorName, $D40,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V40" s="150">
        <f t="array" ref="V40">_xlfn.LET(
    _xlpm.kpiName, V$2,
    _xlpm.factorName, $D40,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W40" s="150">
        <f t="array" ref="W40">_xlfn.LET(
    _xlpm.kpiName, W$2,
    _xlpm.factorName, $D40,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X40" s="150">
        <f t="array" ref="X40">_xlfn.LET(
    _xlpm.kpiName, X$2,
    _xlpm.factorName, $D40,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row>
    <row r="41" spans="3:36" x14ac:dyDescent="0.3">
      <c r="D41" s="30"/>
      <c r="E41" s="2"/>
      <c r="F41" s="2"/>
      <c r="G41" s="2"/>
      <c r="H41" s="2"/>
      <c r="I41" s="2"/>
      <c r="J41" s="2"/>
      <c r="K41" s="2"/>
      <c r="L41" s="2"/>
      <c r="M41" s="2"/>
      <c r="N41" s="2"/>
      <c r="O41" s="2"/>
      <c r="P41" s="2"/>
      <c r="Q41" s="2"/>
      <c r="R41" s="2"/>
      <c r="S41" s="2"/>
      <c r="T41" s="2"/>
      <c r="U41" s="10"/>
      <c r="W41" s="18"/>
    </row>
    <row r="42" spans="3:36" x14ac:dyDescent="0.3">
      <c r="C42" s="30" t="s">
        <v>43</v>
      </c>
      <c r="D42" s="5">
        <f>B8</f>
        <v>0</v>
      </c>
      <c r="E42" s="2" t="str">
        <f t="array" ref="E42">IF(E$2=0,"",_xlfn.LET(_xlpm.dep,E$2,_xlpm.var,$D42,_xlpm.start,_xlfn.XMATCH("Dependent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
      </c>
      <c r="F42" s="2" t="str">
        <f t="array" ref="F42">IF(F$2=0,"",_xlfn.LET(_xlpm.dep,F$2,_xlpm.var,$D42,_xlpm.start,_xlfn.XMATCH("Dependent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
      </c>
      <c r="G42" s="2" t="str">
        <f t="array" ref="G42">IF(G$2=0,"",_xlfn.LET(_xlpm.dep,G$2,_xlpm.var,$D42,_xlpm.start,_xlfn.XMATCH("Dependent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
      </c>
      <c r="H42" s="2" t="str">
        <f t="array" ref="H42">IF(H$2=0,"",_xlfn.LET(_xlpm.dep,H$2,_xlpm.var,$D42,_xlpm.start,_xlfn.XMATCH("Dependent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
      </c>
      <c r="I42" s="2" t="str">
        <f t="array" ref="I42">IF(I$2=0,"",_xlfn.LET(_xlpm.dep,I$2,_xlpm.var,$D42,_xlpm.start,_xlfn.XMATCH("Dependent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
      </c>
      <c r="J42" s="2" t="str">
        <f t="array" ref="J42">IF(J$2=0,"",_xlfn.LET(_xlpm.dep,J$2,_xlpm.var,$D42,_xlpm.start,_xlfn.XMATCH("Dependent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
      </c>
      <c r="K42" s="2" t="str">
        <f t="array" ref="K42">IF(K$2=0,"",_xlfn.LET(_xlpm.dep,K$2,_xlpm.var,$D42,_xlpm.start,_xlfn.XMATCH("Dependent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
      </c>
      <c r="L42" s="2" t="str">
        <f t="array" ref="L42">IF(L$2=0,"",_xlfn.LET(_xlpm.dep,L$2,_xlpm.var,$D42,_xlpm.start,_xlfn.XMATCH("Dependent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
      </c>
      <c r="M42" s="2" t="str">
        <f t="array" ref="M42">IF(M$2=0,"",_xlfn.LET(_xlpm.dep,M$2,_xlpm.var,$D42,_xlpm.start,_xlfn.XMATCH("Dependent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
      </c>
      <c r="N42" s="2" t="str">
        <f t="array" ref="N42">IF(N$2=0,"",_xlfn.LET(_xlpm.dep,N$2,_xlpm.var,$D42,_xlpm.start,_xlfn.XMATCH("Dependent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
      </c>
      <c r="O42" s="2" t="str">
        <f t="array" ref="O42">IF(O$2=0,"",_xlfn.LET(_xlpm.dep,O$2,_xlpm.var,$D42,_xlpm.start,_xlfn.XMATCH("Dependent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
      </c>
      <c r="P42" s="2" t="str">
        <f t="array" ref="P42">IF(P$2=0,"",_xlfn.LET(_xlpm.dep,P$2,_xlpm.var,$D42,_xlpm.start,_xlfn.XMATCH("Dependent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
      </c>
      <c r="Q42" s="2" t="str">
        <f t="array" ref="Q42">IF(Q$2=0,"",_xlfn.LET(_xlpm.dep,Q$2,_xlpm.var,$D42,_xlpm.start,_xlfn.XMATCH("Dependent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
      </c>
      <c r="R42" s="2" t="str">
        <f t="array" ref="R42">IF(R$2=0,"",_xlfn.LET(_xlpm.dep,R$2,_xlpm.var,$D42,_xlpm.start,_xlfn.XMATCH("Dependent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
      </c>
      <c r="S42" s="2" t="str">
        <f t="array" ref="S42">IF(S$2=0,"",_xlfn.LET(_xlpm.dep,S$2,_xlpm.var,$D42,_xlpm.start,_xlfn.XMATCH("Dependent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
      </c>
      <c r="T42" s="2" t="str">
        <f t="array" ref="T42">IF(T$2=0,"",_xlfn.LET(_xlpm.dep,T$2,_xlpm.var,$D42,_xlpm.start,_xlfn.XMATCH("Dependent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
      </c>
      <c r="U42" s="141" t="str">
        <f t="array" ref="U42">IF(U$2=0,"",_xlfn.LET(_xlpm.dep,U$2,_xlpm.var,$D42,_xlpm.start,_xlfn.XMATCH("Dependent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
      </c>
      <c r="V42" s="141" t="str">
        <f t="array" ref="V42">IF(V$2=0,"",_xlfn.LET(_xlpm.dep,V$2,_xlpm.var,$D42,_xlpm.start,_xlfn.XMATCH("Dependent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
      </c>
      <c r="W42" s="142" t="str">
        <f t="array" ref="W42">IF(W$2=0,"",_xlfn.LET(_xlpm.dep,W$2,_xlpm.var,$D42,_xlpm.start,_xlfn.XMATCH("Dependent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
      </c>
      <c r="X42" s="141" t="str">
        <f t="array" ref="X42">IF(X$2=0,"",_xlfn.LET(_xlpm.dep,X$2,_xlpm.var,$D42,_xlpm.start,_xlfn.XMATCH("Dependent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
      </c>
    </row>
    <row r="43" spans="3:36" x14ac:dyDescent="0.3">
      <c r="C43" s="30" t="s">
        <v>44</v>
      </c>
      <c r="D43" s="5">
        <f>B8</f>
        <v>0</v>
      </c>
      <c r="E43" s="2">
        <f>IF(E$2=0,"",IFERROR(VLOOKUP($D$43,'2C 均值'!$A:$F,5,0),0))</f>
        <v>0</v>
      </c>
      <c r="F43" s="2">
        <f>IF(F$2=0,"",IFERROR(VLOOKUP($D$43,'2C 均值'!$A:$F,5,0),0))</f>
        <v>0</v>
      </c>
      <c r="G43" s="2">
        <f>IF(G$2=0,"",IFERROR(VLOOKUP($D$43,'2C 均值'!$A:$F,5,0),0))</f>
        <v>0</v>
      </c>
      <c r="H43" s="2">
        <f>IF(H$2=0,"",IFERROR(VLOOKUP($D$43,'2C 均值'!$A:$F,5,0),0))</f>
        <v>0</v>
      </c>
      <c r="I43" s="2">
        <f>IF(I$2=0,"",IFERROR(VLOOKUP($D$43,'2C 均值'!$A:$F,5,0),0))</f>
        <v>0</v>
      </c>
      <c r="J43" s="2">
        <f>IF(J$2=0,"",IFERROR(VLOOKUP($D$43,'2C 均值'!$A:$F,5,0),0))</f>
        <v>0</v>
      </c>
      <c r="K43" s="2">
        <f>IF(K$2=0,"",IFERROR(VLOOKUP($D$43,'2C 均值'!$A:$F,5,0),0))</f>
        <v>0</v>
      </c>
      <c r="L43" s="2">
        <f>IF(L$2=0,"",IFERROR(VLOOKUP($D$43,'2C 均值'!$A:$F,5,0),0))</f>
        <v>0</v>
      </c>
      <c r="M43" s="2">
        <f>IF(M$2=0,"",IFERROR(VLOOKUP($D$43,'2C 均值'!$A:$F,5,0),0))</f>
        <v>0</v>
      </c>
      <c r="N43" s="2">
        <f>IF(N$2=0,"",IFERROR(VLOOKUP($D$43,'2C 均值'!$A:$F,5,0),0))</f>
        <v>0</v>
      </c>
      <c r="O43" s="2">
        <f>IF(O$2=0,"",IFERROR(VLOOKUP($D$43,'2C 均值'!$A:$F,5,0),0))</f>
        <v>0</v>
      </c>
      <c r="P43" s="2">
        <f>IF(P$2=0,"",IFERROR(VLOOKUP($D$43,'2C 均值'!$A:$F,5,0),0))</f>
        <v>0</v>
      </c>
      <c r="Q43" s="2">
        <f>IF(Q$2=0,"",IFERROR(VLOOKUP($D$43,'2C 均值'!$A:$F,5,0),0))</f>
        <v>0</v>
      </c>
      <c r="R43" s="2">
        <f>IF(R$2=0,"",IFERROR(VLOOKUP($D$43,'2C 均值'!$A:$F,5,0),0))</f>
        <v>0</v>
      </c>
      <c r="S43" s="2">
        <f>IF(S$2=0,"",IFERROR(VLOOKUP($D$43,'2C 均值'!$A:$F,5,0),0))</f>
        <v>0</v>
      </c>
      <c r="T43" s="2">
        <f>IF(T$2=0,"",IFERROR(VLOOKUP($D$43,'2C 均值'!$A:$F,5,0),0))</f>
        <v>0</v>
      </c>
      <c r="U43" s="2">
        <f>IF(U$2=0,"",IFERROR(VLOOKUP($D$43,'2C 均值'!$A:$F,5,0),0))</f>
        <v>0</v>
      </c>
      <c r="V43" s="2">
        <f>IF(V$2=0,"",IFERROR(VLOOKUP($D$43,'2C 均值'!$A:$F,5,0),0))</f>
        <v>0</v>
      </c>
      <c r="W43" s="2">
        <f>IF(W$2=0,"",IFERROR(VLOOKUP($D$43,'2C 均值'!$A:$F,5,0),0))</f>
        <v>0</v>
      </c>
      <c r="X43" s="2">
        <f>IF(X$2=0,"",IFERROR(VLOOKUP($D$43,'2C 均值'!$A:$F,5,0),0))</f>
        <v>0</v>
      </c>
    </row>
    <row r="44" spans="3:36" x14ac:dyDescent="0.3">
      <c r="C44" s="30" t="s">
        <v>45</v>
      </c>
      <c r="D44" s="12" t="s">
        <v>46</v>
      </c>
      <c r="E44" s="2">
        <f t="array" ref="E44">IF(E$2=0,"",_xlfn.LET(_xlpm.dep,E$2,_xlpm.var,LOWER($D44),_xlpm.start,_xlfn.XMATCH("Dependent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8.1144592124561918E-2</v>
      </c>
      <c r="F44" s="2">
        <f t="array" ref="F44">IF(F$2=0,"",_xlfn.LET(_xlpm.dep,F$2,_xlpm.var,LOWER($D44),_xlpm.start,_xlfn.XMATCH("Dependent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4.0791301848915038E-2</v>
      </c>
      <c r="G44" s="2">
        <f t="array" ref="G44">IF(G$2=0,"",_xlfn.LET(_xlpm.dep,G$2,_xlpm.var,LOWER($D44),_xlpm.start,_xlfn.XMATCH("Dependent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8.1144592124561918E-2</v>
      </c>
      <c r="H44" s="2">
        <f t="array" ref="H44">IF(H$2=0,"",_xlfn.LET(_xlpm.dep,H$2,_xlpm.var,LOWER($D44),_xlpm.start,_xlfn.XMATCH("Dependent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4.0791301848915038E-2</v>
      </c>
      <c r="I44" s="2">
        <f t="array" ref="I44">IF(I$2=0,"",_xlfn.LET(_xlpm.dep,I$2,_xlpm.var,LOWER($D44),_xlpm.start,_xlfn.XMATCH("Dependent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7.5052008146849314E-2</v>
      </c>
      <c r="J44" s="2" t="str">
        <f t="array" ref="J44">IF(J$2=0,"",_xlfn.LET(_xlpm.dep,J$2,_xlpm.var,LOWER($D44),_xlpm.start,_xlfn.XMATCH("Dependent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
      </c>
      <c r="K44" s="2" t="str">
        <f t="array" ref="K44">IF(K$2=0,"",_xlfn.LET(_xlpm.dep,K$2,_xlpm.var,LOWER($D44),_xlpm.start,_xlfn.XMATCH("Dependent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
      </c>
      <c r="L44" s="2" t="str">
        <f t="array" ref="L44">IF(L$2=0,"",_xlfn.LET(_xlpm.dep,L$2,_xlpm.var,LOWER($D44),_xlpm.start,_xlfn.XMATCH("Dependent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
      </c>
      <c r="M44" s="2" t="str">
        <f t="array" ref="M44">IF(M$2=0,"",_xlfn.LET(_xlpm.dep,M$2,_xlpm.var,LOWER($D44),_xlpm.start,_xlfn.XMATCH("Dependent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
      </c>
      <c r="N44" s="2" t="str">
        <f t="array" ref="N44">IF(N$2=0,"",_xlfn.LET(_xlpm.dep,N$2,_xlpm.var,LOWER($D44),_xlpm.start,_xlfn.XMATCH("Dependent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
      </c>
      <c r="O44" s="2" t="str">
        <f t="array" ref="O44">IF(O$2=0,"",_xlfn.LET(_xlpm.dep,O$2,_xlpm.var,LOWER($D44),_xlpm.start,_xlfn.XMATCH("Dependent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
      </c>
      <c r="P44" s="2" t="str">
        <f t="array" ref="P44">IF(P$2=0,"",_xlfn.LET(_xlpm.dep,P$2,_xlpm.var,LOWER($D44),_xlpm.start,_xlfn.XMATCH("Dependent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
      </c>
      <c r="Q44" s="2" t="str">
        <f t="array" ref="Q44">IF(Q$2=0,"",_xlfn.LET(_xlpm.dep,Q$2,_xlpm.var,LOWER($D44),_xlpm.start,_xlfn.XMATCH("Dependent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
      </c>
      <c r="R44" s="2" t="str">
        <f t="array" ref="R44">IF(R$2=0,"",_xlfn.LET(_xlpm.dep,R$2,_xlpm.var,LOWER($D44),_xlpm.start,_xlfn.XMATCH("Dependent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
      </c>
      <c r="S44" s="2" t="str">
        <f t="array" ref="S44">IF(S$2=0,"",_xlfn.LET(_xlpm.dep,S$2,_xlpm.var,LOWER($D44),_xlpm.start,_xlfn.XMATCH("Dependent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
      </c>
      <c r="T44" s="2" t="str">
        <f t="array" ref="T44">IF(T$2=0,"",_xlfn.LET(_xlpm.dep,T$2,_xlpm.var,LOWER($D44),_xlpm.start,_xlfn.XMATCH("Dependent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
      </c>
      <c r="U44" s="141" t="str">
        <f t="array" ref="U44">IF(U$2=0,"",_xlfn.LET(_xlpm.dep,U$2,_xlpm.var,LOWER($D44),_xlpm.start,_xlfn.XMATCH("Dependent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
      </c>
      <c r="V44" s="141" t="str">
        <f t="array" ref="V44">IF(V$2=0,"",_xlfn.LET(_xlpm.dep,V$2,_xlpm.var,LOWER($D44),_xlpm.start,_xlfn.XMATCH("Dependent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
      </c>
      <c r="W44" s="142" t="str">
        <f t="array" ref="W44">IF(W$2=0,"",_xlfn.LET(_xlpm.dep,W$2,_xlpm.var,LOWER($D44),_xlpm.start,_xlfn.XMATCH("Dependent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
      </c>
      <c r="X44" s="141" t="str">
        <f t="array" ref="X44">IF(X$2=0,"",_xlfn.LET(_xlpm.dep,X$2,_xlpm.var,LOWER($D44),_xlpm.start,_xlfn.XMATCH("Dependent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
      </c>
    </row>
    <row r="45" spans="3:36" x14ac:dyDescent="0.3">
      <c r="C45" s="3"/>
      <c r="D45" s="1"/>
      <c r="E45" s="2"/>
      <c r="F45" s="2"/>
      <c r="G45" s="2"/>
      <c r="H45" s="2"/>
      <c r="I45" s="2"/>
      <c r="J45" s="2"/>
      <c r="K45" s="2"/>
      <c r="L45" s="2"/>
      <c r="M45" s="2"/>
      <c r="N45" s="2"/>
      <c r="W45" s="18"/>
    </row>
    <row r="46" spans="3:36" x14ac:dyDescent="0.3">
      <c r="C46" s="4" t="s">
        <v>47</v>
      </c>
      <c r="D46" s="1" t="s">
        <v>48</v>
      </c>
      <c r="E46" s="2">
        <f t="shared" ref="E46:X46" si="0">IFERROR(IF($B$4=1,(E42*E43+E44),E44),"")</f>
        <v>8.1144592124561918E-2</v>
      </c>
      <c r="F46" s="2">
        <f t="shared" si="0"/>
        <v>4.0791301848915038E-2</v>
      </c>
      <c r="G46" s="2">
        <f t="shared" si="0"/>
        <v>8.1144592124561918E-2</v>
      </c>
      <c r="H46" s="2">
        <f t="shared" si="0"/>
        <v>4.0791301848915038E-2</v>
      </c>
      <c r="I46" s="2">
        <f t="shared" si="0"/>
        <v>7.5052008146849314E-2</v>
      </c>
      <c r="J46" s="2" t="str">
        <f t="shared" si="0"/>
        <v/>
      </c>
      <c r="K46" s="2" t="str">
        <f t="shared" si="0"/>
        <v/>
      </c>
      <c r="L46" s="2" t="str">
        <f t="shared" si="0"/>
        <v/>
      </c>
      <c r="M46" s="2" t="str">
        <f t="shared" si="0"/>
        <v/>
      </c>
      <c r="N46" s="2" t="str">
        <f t="shared" si="0"/>
        <v/>
      </c>
      <c r="O46" s="2" t="str">
        <f t="shared" si="0"/>
        <v/>
      </c>
      <c r="P46" s="2" t="str">
        <f t="shared" si="0"/>
        <v/>
      </c>
      <c r="Q46" s="2" t="str">
        <f t="shared" si="0"/>
        <v/>
      </c>
      <c r="R46" s="2" t="str">
        <f t="shared" si="0"/>
        <v/>
      </c>
      <c r="S46" s="2" t="str">
        <f t="shared" si="0"/>
        <v/>
      </c>
      <c r="T46" s="2" t="str">
        <f t="shared" si="0"/>
        <v/>
      </c>
      <c r="U46" s="2" t="str">
        <f t="shared" si="0"/>
        <v/>
      </c>
      <c r="V46" s="2" t="str">
        <f t="shared" si="0"/>
        <v/>
      </c>
      <c r="W46" s="2" t="str">
        <f t="shared" si="0"/>
        <v/>
      </c>
      <c r="X46" s="2" t="str">
        <f t="shared" si="0"/>
        <v/>
      </c>
    </row>
    <row r="47" spans="3:36" x14ac:dyDescent="0.3">
      <c r="C47" s="3"/>
    </row>
    <row r="48" spans="3:36" ht="16.5" customHeight="1" x14ac:dyDescent="0.45">
      <c r="C48" s="7" t="s">
        <v>49</v>
      </c>
      <c r="D48" s="1" t="s">
        <v>50</v>
      </c>
      <c r="E48" s="6">
        <f>_xlfn.XLOOKUP(E$2,'2C 均值'!$A:$A,'2C 均值'!$E:$E)</f>
        <v>0.26015037593984958</v>
      </c>
      <c r="F48" s="6">
        <f>_xlfn.XLOOKUP(F$2,'2C 均值'!$A:$A,'2C 均值'!$E:$E)</f>
        <v>0.20263157894736841</v>
      </c>
      <c r="G48" s="6">
        <f>_xlfn.XLOOKUP(G$2,'2C 均值'!$A:$A,'2C 均值'!$E:$E)</f>
        <v>0.26015037593984958</v>
      </c>
      <c r="H48" s="6">
        <f>IFERROR(_xlfn.XLOOKUP(H$2,'2C 均值'!$A:$A,'2C 均值'!$E:$E),"")</f>
        <v>0.20263157894736841</v>
      </c>
      <c r="I48" s="6">
        <f>IFERROR(_xlfn.XLOOKUP(I$2,'2C 均值'!$A:$A,'2C 均值'!$E:$E),"")</f>
        <v>0.18947368421052629</v>
      </c>
      <c r="J48" s="6" t="str">
        <f>IFERROR(_xlfn.XLOOKUP(J$2,'2C 均值'!$A:$A,'2C 均值'!$E:$E),"")</f>
        <v/>
      </c>
      <c r="K48" s="6" t="str">
        <f>IFERROR(_xlfn.XLOOKUP(K$2,'2C 均值'!$A:$A,'2C 均值'!$E:$E),"")</f>
        <v/>
      </c>
      <c r="L48" s="6" t="str">
        <f>IFERROR(_xlfn.XLOOKUP(L$2,'2C 均值'!$A:$A,'2C 均值'!$E:$E),"")</f>
        <v/>
      </c>
      <c r="M48" s="6" t="str">
        <f>IFERROR(_xlfn.XLOOKUP(M$2,'2C 均值'!$A:$A,'2C 均值'!$E:$E),"")</f>
        <v/>
      </c>
      <c r="N48" s="6" t="str">
        <f>IFERROR(_xlfn.XLOOKUP(N$2,'2C 均值'!$A:$A,'2C 均值'!$E:$E),"")</f>
        <v/>
      </c>
      <c r="O48" s="6" t="str">
        <f>IFERROR(_xlfn.XLOOKUP(O$2,'2C 均值'!$A:$A,'2C 均值'!$E:$E),"")</f>
        <v/>
      </c>
      <c r="P48" s="6" t="str">
        <f>IFERROR(_xlfn.XLOOKUP(P$2,'2C 均值'!$A:$A,'2C 均值'!$E:$E),"")</f>
        <v/>
      </c>
      <c r="Q48" s="6" t="str">
        <f>IFERROR(_xlfn.XLOOKUP(Q$2,'2C 均值'!$A:$A,'2C 均值'!$E:$E),"")</f>
        <v/>
      </c>
      <c r="R48" s="6" t="str">
        <f>IFERROR(_xlfn.XLOOKUP(R$2,'2C 均值'!$A:$A,'2C 均值'!$E:$E),"")</f>
        <v/>
      </c>
      <c r="S48" s="6" t="str">
        <f>IFERROR(_xlfn.XLOOKUP(S$2,'2C 均值'!$A:$A,'2C 均值'!$E:$E),"")</f>
        <v/>
      </c>
      <c r="T48" s="6" t="str">
        <f>IFERROR(_xlfn.XLOOKUP(T$2,'2C 均值'!$A:$A,'2C 均值'!$E:$E),"")</f>
        <v/>
      </c>
      <c r="U48" s="6" t="str">
        <f>IFERROR(_xlfn.XLOOKUP(U$2,'2C 均值'!$A:$A,'2C 均值'!$E:$E),"")</f>
        <v/>
      </c>
      <c r="V48" s="6" t="str">
        <f>IFERROR(_xlfn.XLOOKUP(V$2,'2C 均值'!$A:$A,'2C 均值'!$E:$E),"")</f>
        <v/>
      </c>
      <c r="W48" s="6" t="str">
        <f>IFERROR(_xlfn.XLOOKUP(W$2,'2C 均值'!$A:$A,'2C 均值'!$E:$E),"")</f>
        <v/>
      </c>
      <c r="X48" s="6" t="str">
        <f>IFERROR(_xlfn.XLOOKUP(X$2,'2C 均值'!$A:$A,'2C 均值'!$E:$E),"")</f>
        <v/>
      </c>
    </row>
    <row r="49" spans="3:36" ht="16.5" customHeight="1" x14ac:dyDescent="0.45">
      <c r="C49" s="7" t="s">
        <v>51</v>
      </c>
      <c r="D49" s="88" t="s">
        <v>52</v>
      </c>
      <c r="E49" s="6">
        <f t="shared" ref="E49:X49" si="1">E46</f>
        <v>8.1144592124561918E-2</v>
      </c>
      <c r="F49" s="6">
        <f t="shared" si="1"/>
        <v>4.0791301848915038E-2</v>
      </c>
      <c r="G49" s="6">
        <f t="shared" si="1"/>
        <v>8.1144592124561918E-2</v>
      </c>
      <c r="H49" s="6">
        <f t="shared" si="1"/>
        <v>4.0791301848915038E-2</v>
      </c>
      <c r="I49" s="6">
        <f t="shared" si="1"/>
        <v>7.5052008146849314E-2</v>
      </c>
      <c r="J49" s="6" t="str">
        <f t="shared" si="1"/>
        <v/>
      </c>
      <c r="K49" s="6" t="str">
        <f t="shared" si="1"/>
        <v/>
      </c>
      <c r="L49" s="6" t="str">
        <f t="shared" si="1"/>
        <v/>
      </c>
      <c r="M49" s="6" t="str">
        <f t="shared" si="1"/>
        <v/>
      </c>
      <c r="N49" s="6" t="str">
        <f t="shared" si="1"/>
        <v/>
      </c>
      <c r="O49" s="6" t="str">
        <f t="shared" si="1"/>
        <v/>
      </c>
      <c r="P49" s="6" t="str">
        <f t="shared" si="1"/>
        <v/>
      </c>
      <c r="Q49" s="6" t="str">
        <f t="shared" si="1"/>
        <v/>
      </c>
      <c r="R49" s="6" t="str">
        <f t="shared" si="1"/>
        <v/>
      </c>
      <c r="S49" s="6" t="str">
        <f t="shared" si="1"/>
        <v/>
      </c>
      <c r="T49" s="6" t="str">
        <f t="shared" si="1"/>
        <v/>
      </c>
      <c r="U49" s="6" t="str">
        <f t="shared" si="1"/>
        <v/>
      </c>
      <c r="V49" s="6" t="str">
        <f t="shared" si="1"/>
        <v/>
      </c>
      <c r="W49" s="6" t="str">
        <f t="shared" si="1"/>
        <v/>
      </c>
      <c r="X49" s="6" t="str">
        <f t="shared" si="1"/>
        <v/>
      </c>
    </row>
    <row r="50" spans="3:36" ht="16.5" customHeight="1" x14ac:dyDescent="0.45">
      <c r="C50" s="7" t="s">
        <v>53</v>
      </c>
      <c r="D50" s="5" t="s">
        <v>54</v>
      </c>
      <c r="E50" s="6">
        <f t="shared" ref="E50:X50" si="2">IFERROR(E48-E49,"")</f>
        <v>0.17900578381528764</v>
      </c>
      <c r="F50" s="6">
        <f t="shared" si="2"/>
        <v>0.16184027709845339</v>
      </c>
      <c r="G50" s="6">
        <f t="shared" si="2"/>
        <v>0.17900578381528764</v>
      </c>
      <c r="H50" s="6">
        <f t="shared" si="2"/>
        <v>0.16184027709845339</v>
      </c>
      <c r="I50" s="6">
        <f t="shared" si="2"/>
        <v>0.11442167606367698</v>
      </c>
      <c r="J50" s="6" t="str">
        <f t="shared" si="2"/>
        <v/>
      </c>
      <c r="K50" s="6" t="str">
        <f t="shared" si="2"/>
        <v/>
      </c>
      <c r="L50" s="6" t="str">
        <f t="shared" si="2"/>
        <v/>
      </c>
      <c r="M50" s="6" t="str">
        <f t="shared" si="2"/>
        <v/>
      </c>
      <c r="N50" s="6" t="str">
        <f t="shared" si="2"/>
        <v/>
      </c>
      <c r="O50" s="6" t="str">
        <f t="shared" si="2"/>
        <v/>
      </c>
      <c r="P50" s="6" t="str">
        <f t="shared" si="2"/>
        <v/>
      </c>
      <c r="Q50" s="6" t="str">
        <f t="shared" si="2"/>
        <v/>
      </c>
      <c r="R50" s="6" t="str">
        <f t="shared" si="2"/>
        <v/>
      </c>
      <c r="S50" s="6" t="str">
        <f t="shared" si="2"/>
        <v/>
      </c>
      <c r="T50" s="6" t="str">
        <f t="shared" si="2"/>
        <v/>
      </c>
      <c r="U50" s="6" t="str">
        <f t="shared" si="2"/>
        <v/>
      </c>
      <c r="V50" s="6" t="str">
        <f t="shared" si="2"/>
        <v/>
      </c>
      <c r="W50" s="6" t="str">
        <f t="shared" si="2"/>
        <v/>
      </c>
      <c r="X50" s="6" t="str">
        <f t="shared" si="2"/>
        <v/>
      </c>
    </row>
    <row r="51" spans="3:36" x14ac:dyDescent="0.3">
      <c r="E51" s="6"/>
      <c r="F51" s="6"/>
      <c r="G51" s="6"/>
      <c r="H51" s="6"/>
      <c r="I51" s="6"/>
      <c r="J51" s="6"/>
      <c r="K51" s="6"/>
      <c r="L51" s="6"/>
      <c r="M51" s="6"/>
      <c r="N51" s="6"/>
      <c r="O51" s="6"/>
      <c r="P51" s="6"/>
      <c r="Q51" s="6"/>
      <c r="R51" s="6"/>
      <c r="S51" s="6"/>
      <c r="T51" s="6"/>
    </row>
    <row r="52" spans="3:36" x14ac:dyDescent="0.3">
      <c r="E52" s="6"/>
      <c r="F52" s="6"/>
      <c r="G52" s="6"/>
      <c r="H52" s="6"/>
      <c r="I52" s="6"/>
      <c r="J52" s="6"/>
      <c r="K52" s="6"/>
      <c r="L52" s="6"/>
      <c r="M52" s="6"/>
      <c r="N52" s="6"/>
      <c r="O52" s="6"/>
      <c r="P52" s="6"/>
      <c r="Q52" s="6"/>
      <c r="R52" s="6"/>
      <c r="S52" s="6"/>
      <c r="T52" s="6"/>
    </row>
    <row r="53" spans="3:36" x14ac:dyDescent="0.3">
      <c r="E53" s="6"/>
      <c r="F53" s="6"/>
      <c r="G53" s="6"/>
      <c r="H53" s="6"/>
      <c r="I53" s="6"/>
      <c r="J53" s="6"/>
      <c r="K53" s="6"/>
      <c r="L53" s="6"/>
      <c r="M53" s="6"/>
      <c r="N53" s="6"/>
      <c r="O53" s="6"/>
      <c r="P53" s="6"/>
      <c r="Q53" s="6"/>
      <c r="R53" s="6"/>
      <c r="S53" s="6"/>
      <c r="T53" s="6"/>
    </row>
    <row r="54" spans="3:36" x14ac:dyDescent="0.3">
      <c r="E54" s="6"/>
      <c r="F54" s="6"/>
      <c r="G54" s="6"/>
      <c r="H54" s="6"/>
      <c r="I54" s="6"/>
      <c r="J54" s="6"/>
      <c r="K54" s="6"/>
      <c r="L54" s="6"/>
      <c r="M54" s="6"/>
      <c r="N54" s="6"/>
      <c r="O54" s="6"/>
      <c r="P54" s="6"/>
      <c r="Q54" s="6"/>
      <c r="R54" s="6"/>
      <c r="S54" s="6"/>
      <c r="T54" s="6"/>
    </row>
    <row r="55" spans="3:36" x14ac:dyDescent="0.3">
      <c r="E55" s="6"/>
      <c r="F55" s="6"/>
      <c r="G55" s="6"/>
      <c r="H55" s="6"/>
      <c r="I55" s="6"/>
      <c r="J55" s="6"/>
      <c r="K55" s="6"/>
      <c r="L55" s="6"/>
      <c r="M55" s="6"/>
      <c r="N55" s="6"/>
      <c r="O55" s="6"/>
      <c r="P55" s="6"/>
      <c r="Q55" s="6"/>
      <c r="R55" s="6"/>
      <c r="S55" s="6"/>
      <c r="T55" s="6"/>
    </row>
    <row r="56" spans="3:36" x14ac:dyDescent="0.3">
      <c r="E56" s="8">
        <v>2</v>
      </c>
      <c r="F56" s="8">
        <v>3</v>
      </c>
      <c r="G56" s="8">
        <v>4</v>
      </c>
      <c r="H56" s="8">
        <v>5</v>
      </c>
      <c r="I56" s="8">
        <v>6</v>
      </c>
      <c r="J56" s="8">
        <v>7</v>
      </c>
      <c r="K56" s="8">
        <v>8</v>
      </c>
      <c r="L56" s="8">
        <v>9</v>
      </c>
      <c r="M56" s="8">
        <v>10</v>
      </c>
      <c r="N56" s="8">
        <v>11</v>
      </c>
      <c r="O56" s="8">
        <v>11</v>
      </c>
      <c r="P56" s="8">
        <v>11</v>
      </c>
      <c r="Q56" s="8">
        <v>11</v>
      </c>
      <c r="R56" s="8">
        <v>11</v>
      </c>
      <c r="S56" s="8">
        <v>11</v>
      </c>
      <c r="T56" s="8">
        <v>11</v>
      </c>
      <c r="U56" s="8">
        <v>11</v>
      </c>
      <c r="V56" s="8">
        <v>11</v>
      </c>
      <c r="W56" s="8">
        <v>11</v>
      </c>
      <c r="X56" s="8">
        <v>11</v>
      </c>
    </row>
    <row r="57" spans="3:36" s="16" customFormat="1" ht="30" customHeight="1" x14ac:dyDescent="0.3">
      <c r="C57" s="16" t="s">
        <v>55</v>
      </c>
      <c r="D57" s="20" t="s">
        <v>56</v>
      </c>
      <c r="E57" s="82" t="str">
        <f t="shared" ref="E57:X57" si="3">E2</f>
        <v>dLevel_ABA</v>
      </c>
      <c r="F57" s="82" t="str">
        <f t="shared" si="3"/>
        <v>dLevel_B6_T2B</v>
      </c>
      <c r="G57" s="82" t="str">
        <f t="shared" si="3"/>
        <v>dLevel_ABA</v>
      </c>
      <c r="H57" s="82" t="str">
        <f t="shared" si="3"/>
        <v>dLevel_B6_T2B</v>
      </c>
      <c r="I57" s="82" t="str">
        <f t="shared" si="3"/>
        <v>dLevel_B7_T2B</v>
      </c>
      <c r="J57" s="82" t="str">
        <f t="shared" si="3"/>
        <v/>
      </c>
      <c r="K57" s="82" t="str">
        <f t="shared" si="3"/>
        <v/>
      </c>
      <c r="L57" s="82" t="str">
        <f t="shared" si="3"/>
        <v/>
      </c>
      <c r="M57" s="82" t="str">
        <f t="shared" si="3"/>
        <v/>
      </c>
      <c r="N57" s="82" t="str">
        <f t="shared" si="3"/>
        <v/>
      </c>
      <c r="O57" s="82" t="str">
        <f t="shared" si="3"/>
        <v/>
      </c>
      <c r="P57" s="82" t="str">
        <f t="shared" si="3"/>
        <v/>
      </c>
      <c r="Q57" s="82" t="str">
        <f t="shared" si="3"/>
        <v/>
      </c>
      <c r="R57" s="82" t="str">
        <f t="shared" si="3"/>
        <v/>
      </c>
      <c r="S57" s="82" t="str">
        <f t="shared" si="3"/>
        <v/>
      </c>
      <c r="T57" s="82" t="str">
        <f t="shared" si="3"/>
        <v/>
      </c>
      <c r="U57" s="82" t="str">
        <f t="shared" si="3"/>
        <v/>
      </c>
      <c r="V57" s="82" t="str">
        <f t="shared" si="3"/>
        <v/>
      </c>
      <c r="W57" s="82" t="str">
        <f t="shared" si="3"/>
        <v/>
      </c>
      <c r="X57" s="82" t="str">
        <f t="shared" si="3"/>
        <v/>
      </c>
      <c r="Y57" s="20" t="s">
        <v>57</v>
      </c>
      <c r="Z57" s="20" t="s">
        <v>58</v>
      </c>
      <c r="AA57" s="21"/>
      <c r="AB57" s="21"/>
      <c r="AC57" s="21"/>
      <c r="AD57" s="21"/>
      <c r="AE57" s="21"/>
      <c r="AF57" s="21"/>
      <c r="AG57" s="21"/>
      <c r="AH57" s="21"/>
      <c r="AI57" s="21"/>
      <c r="AJ57" s="21"/>
    </row>
    <row r="58" spans="3:36" ht="15.75" customHeight="1" x14ac:dyDescent="0.3">
      <c r="C58" s="87" t="str">
        <f>IF(OR($D58=0,$D58=""),"",_xlfn.LET(
    _xlpm.channel,$D58,
    _xlpm.rowNum,_xlfn.XMATCH(_xlpm.channel,'2B RotationRule'!$C:$C,0),
    _xlpm.factorRow,INDEX('2B RotationRule'!$E:$AE,_xlpm.rowNum,0),
    _xlpm.factorNum,_xlfn.XMATCH(1,_xlpm.factorRow,0),
    IF(ISERROR(_xlpm.factorNum),"","Factor"&amp;_xlpm.factorNum)
))</f>
        <v>Factor1</v>
      </c>
      <c r="D58" s="123" t="str">
        <f>'2B RotationRule'!C3</f>
        <v>dLevel_T2_1</v>
      </c>
      <c r="E58" s="2">
        <f t="shared" ref="E58:N67" ca="1" si="4">IFERROR(_xlfn.XLOOKUP($C58,$D$3:$D$40,E$3:E$40)*$Z58,0)</f>
        <v>3.1143650141715981E-2</v>
      </c>
      <c r="F58" s="2">
        <f t="shared" ca="1" si="4"/>
        <v>3.3519773102202367E-2</v>
      </c>
      <c r="G58" s="2">
        <f t="shared" ca="1" si="4"/>
        <v>3.1143650141715981E-2</v>
      </c>
      <c r="H58" s="145">
        <f t="shared" ca="1" si="4"/>
        <v>3.3519773102202367E-2</v>
      </c>
      <c r="I58" s="145">
        <f t="shared" ca="1" si="4"/>
        <v>0.14703683111654278</v>
      </c>
      <c r="J58" s="145">
        <f t="shared" ca="1" si="4"/>
        <v>0</v>
      </c>
      <c r="K58" s="145">
        <f t="shared" ca="1" si="4"/>
        <v>0</v>
      </c>
      <c r="L58" s="145">
        <f t="shared" ca="1" si="4"/>
        <v>0</v>
      </c>
      <c r="M58" s="145">
        <f t="shared" ca="1" si="4"/>
        <v>0</v>
      </c>
      <c r="N58" s="145">
        <f t="shared" ca="1" si="4"/>
        <v>0</v>
      </c>
      <c r="O58" s="145">
        <f t="shared" ref="O58:X67" ca="1" si="5">IFERROR(_xlfn.XLOOKUP($C58,$D$3:$D$40,O$3:O$40)*$Z58,0)</f>
        <v>0</v>
      </c>
      <c r="P58" s="145">
        <f t="shared" ca="1" si="5"/>
        <v>0</v>
      </c>
      <c r="Q58" s="145">
        <f t="shared" ca="1" si="5"/>
        <v>0</v>
      </c>
      <c r="R58" s="145">
        <f t="shared" ca="1" si="5"/>
        <v>0</v>
      </c>
      <c r="S58" s="145">
        <f t="shared" ca="1" si="5"/>
        <v>0</v>
      </c>
      <c r="T58" s="145">
        <f t="shared" ca="1" si="5"/>
        <v>0</v>
      </c>
      <c r="U58" s="145">
        <f t="shared" ca="1" si="5"/>
        <v>0</v>
      </c>
      <c r="V58" s="145">
        <f t="shared" ca="1" si="5"/>
        <v>0</v>
      </c>
      <c r="W58" s="145">
        <f t="shared" ca="1" si="5"/>
        <v>0</v>
      </c>
      <c r="X58" s="145">
        <f t="shared" ca="1" si="5"/>
        <v>0</v>
      </c>
      <c r="Y58" s="10">
        <f>IFERROR(_xlfn.XLOOKUP(D58,'2C 均值'!$A:$A,'2C 均值'!$E:$E),0)</f>
        <v>6.2406015037593993E-2</v>
      </c>
      <c r="Z58" s="10">
        <f t="array" aca="1" ref="Z58" ca="1">IF(OR($D58=0,$D58=""),"",_xlfn.LET(
        _xlpm.channel,$D58,
        _xlpm.factorName,$C58,
        _xlpm.factorNum,IF(_xlpm.factorName="","",VALUE(RIGHT(_xlpm.factorName,LEN(_xlpm.factorName)-6))),
        _xlpm.flMatrixStart,_xlfn.XMATCH("Rotation Method: Procrustes with Kaiser Normalization.",'2B FL'!$A:$A,0),
        _xlpm.channelRow,IFERROR(_xlfn.XMATCH(_xlpm.channel,OFFSET('2B FL'!$B$1,_xlpm.flMatrixStart+2,0,100,1),0),0),
        IF(OR(_xlpm.channelRow=0,_xlpm.factorNum=""),"",INDEX(OFFSET('2B FL'!$D$1,_xlpm.flMatrixStart+2,0,100,27),_xlpm.channelRow,_xlpm.factorNum))
    ))</f>
        <v>0.78452415444410839</v>
      </c>
      <c r="AA58" s="6"/>
      <c r="AB58" s="6"/>
      <c r="AC58" s="6"/>
      <c r="AD58" s="9"/>
      <c r="AE58" s="9"/>
      <c r="AF58" s="9"/>
      <c r="AG58" s="9"/>
      <c r="AH58" s="9"/>
      <c r="AI58" s="9"/>
      <c r="AJ58" s="9"/>
    </row>
    <row r="59" spans="3:36" ht="15.75" customHeight="1" x14ac:dyDescent="0.3">
      <c r="C59" s="87" t="str">
        <f>IF(OR($D59=0,$D59=""),"",_xlfn.LET(
    _xlpm.channel,$D59,
    _xlpm.rowNum,_xlfn.XMATCH(_xlpm.channel,'2B RotationRule'!$C:$C,0),
    _xlpm.factorRow,INDEX('2B RotationRule'!$E:$AE,_xlpm.rowNum,0),
    _xlpm.factorNum,_xlfn.XMATCH(1,_xlpm.factorRow,0),
    IF(ISERROR(_xlpm.factorNum),"","Factor"&amp;_xlpm.factorNum)
))</f>
        <v>Factor2</v>
      </c>
      <c r="D59" s="123" t="str">
        <f>'2B RotationRule'!C4</f>
        <v>dLevel_T2_2</v>
      </c>
      <c r="E59" s="2">
        <f t="shared" ca="1" si="4"/>
        <v>1.7510518523839665E-2</v>
      </c>
      <c r="F59" s="2">
        <f t="shared" ca="1" si="4"/>
        <v>7.5860630697873396E-3</v>
      </c>
      <c r="G59" s="2">
        <f t="shared" ca="1" si="4"/>
        <v>1.7510518523839665E-2</v>
      </c>
      <c r="H59" s="145">
        <f t="shared" ca="1" si="4"/>
        <v>7.5860630697873396E-3</v>
      </c>
      <c r="I59" s="145">
        <f t="shared" ca="1" si="4"/>
        <v>0.1193107977114035</v>
      </c>
      <c r="J59" s="145">
        <f t="shared" ca="1" si="4"/>
        <v>0</v>
      </c>
      <c r="K59" s="145">
        <f t="shared" ca="1" si="4"/>
        <v>0</v>
      </c>
      <c r="L59" s="145">
        <f t="shared" ca="1" si="4"/>
        <v>0</v>
      </c>
      <c r="M59" s="145">
        <f t="shared" ca="1" si="4"/>
        <v>0</v>
      </c>
      <c r="N59" s="145">
        <f t="shared" ca="1" si="4"/>
        <v>0</v>
      </c>
      <c r="O59" s="145">
        <f t="shared" ca="1" si="5"/>
        <v>0</v>
      </c>
      <c r="P59" s="145">
        <f t="shared" ca="1" si="5"/>
        <v>0</v>
      </c>
      <c r="Q59" s="145">
        <f t="shared" ca="1" si="5"/>
        <v>0</v>
      </c>
      <c r="R59" s="145">
        <f t="shared" ca="1" si="5"/>
        <v>0</v>
      </c>
      <c r="S59" s="145">
        <f t="shared" ca="1" si="5"/>
        <v>0</v>
      </c>
      <c r="T59" s="145">
        <f t="shared" ca="1" si="5"/>
        <v>0</v>
      </c>
      <c r="U59" s="145">
        <f t="shared" ca="1" si="5"/>
        <v>0</v>
      </c>
      <c r="V59" s="145">
        <f t="shared" ca="1" si="5"/>
        <v>0</v>
      </c>
      <c r="W59" s="145">
        <f t="shared" ca="1" si="5"/>
        <v>0</v>
      </c>
      <c r="X59" s="145">
        <f t="shared" ca="1" si="5"/>
        <v>0</v>
      </c>
      <c r="Y59" s="10">
        <f>IFERROR(_xlfn.XLOOKUP(D59,'2C 均值'!$A:$A,'2C 均值'!$E:$E),0)</f>
        <v>3.1954887218045111E-2</v>
      </c>
      <c r="Z59" s="10">
        <f t="array" aca="1" ref="Z59" ca="1">IF(OR($D59=0,$D59=""),"",_xlfn.LET(
        _xlpm.channel,$D59,
        _xlpm.factorName,$C59,
        _xlpm.factorNum,IF(_xlpm.factorName="","",VALUE(RIGHT(_xlpm.factorName,LEN(_xlpm.factorName)-6))),
        _xlpm.flMatrixStart,_xlfn.XMATCH("Rotation Method: Procrustes with Kaiser Normalization.",'2B FL'!$A:$A,0),
        _xlpm.channelRow,IFERROR(_xlfn.XMATCH(_xlpm.channel,OFFSET('2B FL'!$B$1,_xlpm.flMatrixStart+2,0,100,1),0),0),
        IF(OR(_xlpm.channelRow=0,_xlpm.factorNum=""),"",INDEX(OFFSET('2B FL'!$D$1,_xlpm.flMatrixStart+2,0,100,27),_xlpm.channelRow,_xlpm.factorNum))
    ))</f>
        <v>0.91913415829983169</v>
      </c>
      <c r="AA59" s="6"/>
      <c r="AB59" s="6"/>
      <c r="AC59" s="6"/>
      <c r="AD59" s="9"/>
      <c r="AE59" s="9"/>
      <c r="AF59" s="9"/>
      <c r="AG59" s="9"/>
      <c r="AH59" s="9"/>
      <c r="AI59" s="9"/>
      <c r="AJ59" s="9"/>
    </row>
    <row r="60" spans="3:36" ht="15.75" customHeight="1" x14ac:dyDescent="0.3">
      <c r="C60" s="87" t="str">
        <f>IF(OR($D60=0,$D60=""),"",_xlfn.LET(
    _xlpm.channel,$D60,
    _xlpm.rowNum,_xlfn.XMATCH(_xlpm.channel,'2B RotationRule'!$C:$C,0),
    _xlpm.factorRow,INDEX('2B RotationRule'!$E:$AE,_xlpm.rowNum,0),
    _xlpm.factorNum,_xlfn.XMATCH(1,_xlpm.factorRow,0),
    IF(ISERROR(_xlpm.factorNum),"","Factor"&amp;_xlpm.factorNum)
))</f>
        <v>Factor3</v>
      </c>
      <c r="D60" s="123" t="str">
        <f>'2B RotationRule'!C5</f>
        <v>dLevel_T2_3</v>
      </c>
      <c r="E60" s="2">
        <f t="shared" ca="1" si="4"/>
        <v>1.507912222735616E-2</v>
      </c>
      <c r="F60" s="2">
        <f t="shared" ca="1" si="4"/>
        <v>7.9671891129792435E-3</v>
      </c>
      <c r="G60" s="2">
        <f t="shared" ca="1" si="4"/>
        <v>1.507912222735616E-2</v>
      </c>
      <c r="H60" s="145">
        <f t="shared" ca="1" si="4"/>
        <v>7.9671891129792435E-3</v>
      </c>
      <c r="I60" s="145">
        <f t="shared" ca="1" si="4"/>
        <v>0.10614739424167197</v>
      </c>
      <c r="J60" s="145">
        <f t="shared" ca="1" si="4"/>
        <v>0</v>
      </c>
      <c r="K60" s="145">
        <f t="shared" ca="1" si="4"/>
        <v>0</v>
      </c>
      <c r="L60" s="145">
        <f t="shared" ca="1" si="4"/>
        <v>0</v>
      </c>
      <c r="M60" s="145">
        <f t="shared" ca="1" si="4"/>
        <v>0</v>
      </c>
      <c r="N60" s="145">
        <f t="shared" ca="1" si="4"/>
        <v>0</v>
      </c>
      <c r="O60" s="145">
        <f t="shared" ca="1" si="5"/>
        <v>0</v>
      </c>
      <c r="P60" s="145">
        <f t="shared" ca="1" si="5"/>
        <v>0</v>
      </c>
      <c r="Q60" s="145">
        <f t="shared" ca="1" si="5"/>
        <v>0</v>
      </c>
      <c r="R60" s="145">
        <f t="shared" ca="1" si="5"/>
        <v>0</v>
      </c>
      <c r="S60" s="145">
        <f t="shared" ca="1" si="5"/>
        <v>0</v>
      </c>
      <c r="T60" s="145">
        <f t="shared" ca="1" si="5"/>
        <v>0</v>
      </c>
      <c r="U60" s="145">
        <f t="shared" ca="1" si="5"/>
        <v>0</v>
      </c>
      <c r="V60" s="145">
        <f t="shared" ca="1" si="5"/>
        <v>0</v>
      </c>
      <c r="W60" s="145">
        <f t="shared" ca="1" si="5"/>
        <v>0</v>
      </c>
      <c r="X60" s="145">
        <f t="shared" ca="1" si="5"/>
        <v>0</v>
      </c>
      <c r="Y60" s="10">
        <f>IFERROR(_xlfn.XLOOKUP(D60,'2C 均值'!$A:$A,'2C 均值'!$E:$E),0)</f>
        <v>2.4436090225563908E-2</v>
      </c>
      <c r="Z60" s="10">
        <f t="array" aca="1" ref="Z60" ca="1">IF(OR($D60=0,$D60=""),"",_xlfn.LET(
        _xlpm.channel,$D60,
        _xlpm.factorName,$C60,
        _xlpm.factorNum,IF(_xlpm.factorName="","",VALUE(RIGHT(_xlpm.factorName,LEN(_xlpm.factorName)-6))),
        _xlpm.flMatrixStart,_xlfn.XMATCH("Rotation Method: Procrustes with Kaiser Normalization.",'2B FL'!$A:$A,0),
        _xlpm.channelRow,IFERROR(_xlfn.XMATCH(_xlpm.channel,OFFSET('2B FL'!$B$1,_xlpm.flMatrixStart+2,0,100,1),0),0),
        IF(OR(_xlpm.channelRow=0,_xlpm.factorNum=""),"",INDEX(OFFSET('2B FL'!$D$1,_xlpm.flMatrixStart+2,0,100,27),_xlpm.channelRow,_xlpm.factorNum))
    ))</f>
        <v>0.91986086384713051</v>
      </c>
      <c r="AA60" s="6"/>
      <c r="AB60" s="6"/>
      <c r="AC60" s="6"/>
      <c r="AD60" s="9"/>
      <c r="AE60" s="9"/>
      <c r="AF60" s="9"/>
      <c r="AG60" s="9"/>
      <c r="AH60" s="9"/>
      <c r="AI60" s="9"/>
      <c r="AJ60" s="9"/>
    </row>
    <row r="61" spans="3:36" ht="15.75" customHeight="1" x14ac:dyDescent="0.3">
      <c r="C61" s="87" t="str">
        <f>IF(OR($D61=0,$D61=""),"",_xlfn.LET(
    _xlpm.channel,$D61,
    _xlpm.rowNum,_xlfn.XMATCH(_xlpm.channel,'2B RotationRule'!$C:$C,0),
    _xlpm.factorRow,INDEX('2B RotationRule'!$E:$AE,_xlpm.rowNum,0),
    _xlpm.factorNum,_xlfn.XMATCH(1,_xlpm.factorRow,0),
    IF(ISERROR(_xlpm.factorNum),"","Factor"&amp;_xlpm.factorNum)
))</f>
        <v>Factor4</v>
      </c>
      <c r="D61" s="123" t="str">
        <f>'2B RotationRule'!C6</f>
        <v>dLevel_T2_4</v>
      </c>
      <c r="E61" s="2">
        <f t="shared" ca="1" si="4"/>
        <v>3.2483483302511724E-2</v>
      </c>
      <c r="F61" s="2">
        <f t="shared" ca="1" si="4"/>
        <v>4.0201438142160782E-2</v>
      </c>
      <c r="G61" s="2">
        <f t="shared" ca="1" si="4"/>
        <v>3.2483483302511724E-2</v>
      </c>
      <c r="H61" s="145">
        <f t="shared" ca="1" si="4"/>
        <v>4.0201438142160782E-2</v>
      </c>
      <c r="I61" s="145">
        <f t="shared" ca="1" si="4"/>
        <v>0.15519877466486207</v>
      </c>
      <c r="J61" s="145">
        <f t="shared" ca="1" si="4"/>
        <v>0</v>
      </c>
      <c r="K61" s="145">
        <f t="shared" ca="1" si="4"/>
        <v>0</v>
      </c>
      <c r="L61" s="145">
        <f t="shared" ca="1" si="4"/>
        <v>0</v>
      </c>
      <c r="M61" s="145">
        <f t="shared" ca="1" si="4"/>
        <v>0</v>
      </c>
      <c r="N61" s="145">
        <f t="shared" ca="1" si="4"/>
        <v>0</v>
      </c>
      <c r="O61" s="145">
        <f t="shared" ca="1" si="5"/>
        <v>0</v>
      </c>
      <c r="P61" s="145">
        <f t="shared" ca="1" si="5"/>
        <v>0</v>
      </c>
      <c r="Q61" s="145">
        <f t="shared" ca="1" si="5"/>
        <v>0</v>
      </c>
      <c r="R61" s="145">
        <f t="shared" ca="1" si="5"/>
        <v>0</v>
      </c>
      <c r="S61" s="145">
        <f t="shared" ca="1" si="5"/>
        <v>0</v>
      </c>
      <c r="T61" s="145">
        <f t="shared" ca="1" si="5"/>
        <v>0</v>
      </c>
      <c r="U61" s="145">
        <f t="shared" ca="1" si="5"/>
        <v>0</v>
      </c>
      <c r="V61" s="145">
        <f t="shared" ca="1" si="5"/>
        <v>0</v>
      </c>
      <c r="W61" s="145">
        <f t="shared" ca="1" si="5"/>
        <v>0</v>
      </c>
      <c r="X61" s="145">
        <f t="shared" ca="1" si="5"/>
        <v>0</v>
      </c>
      <c r="Y61" s="10">
        <f>IFERROR(_xlfn.XLOOKUP(D61,'2C 均值'!$A:$A,'2C 均值'!$E:$E),0)</f>
        <v>7.5375939849624055E-2</v>
      </c>
      <c r="Z61" s="10">
        <f t="array" aca="1" ref="Z61" ca="1">IF(OR($D61=0,$D61=""),"",_xlfn.LET(
        _xlpm.channel,$D61,
        _xlpm.factorName,$C61,
        _xlpm.factorNum,IF(_xlpm.factorName="","",VALUE(RIGHT(_xlpm.factorName,LEN(_xlpm.factorName)-6))),
        _xlpm.flMatrixStart,_xlfn.XMATCH("Rotation Method: Procrustes with Kaiser Normalization.",'2B FL'!$A:$A,0),
        _xlpm.channelRow,IFERROR(_xlfn.XMATCH(_xlpm.channel,OFFSET('2B FL'!$B$1,_xlpm.flMatrixStart+2,0,100,1),0),0),
        IF(OR(_xlpm.channelRow=0,_xlpm.factorNum=""),"",INDEX(OFFSET('2B FL'!$D$1,_xlpm.flMatrixStart+2,0,100,27),_xlpm.channelRow,_xlpm.factorNum))
    ))</f>
        <v>0.77935069715315075</v>
      </c>
      <c r="AA61" s="6"/>
      <c r="AB61" s="6"/>
      <c r="AC61" s="6"/>
      <c r="AD61" s="9"/>
      <c r="AE61" s="9"/>
      <c r="AF61" s="9"/>
      <c r="AG61" s="9"/>
      <c r="AH61" s="9"/>
      <c r="AI61" s="9"/>
      <c r="AJ61" s="9"/>
    </row>
    <row r="62" spans="3:36" ht="15.75" customHeight="1" x14ac:dyDescent="0.3">
      <c r="C62" s="87" t="str">
        <f>IF(OR($D62=0,$D62=""),"",_xlfn.LET(
    _xlpm.channel,$D62,
    _xlpm.rowNum,_xlfn.XMATCH(_xlpm.channel,'2B RotationRule'!$C:$C,0),
    _xlpm.factorRow,INDEX('2B RotationRule'!$E:$AE,_xlpm.rowNum,0),
    _xlpm.factorNum,_xlfn.XMATCH(1,_xlpm.factorRow,0),
    IF(ISERROR(_xlpm.factorNum),"","Factor"&amp;_xlpm.factorNum)
))</f>
        <v>Factor5</v>
      </c>
      <c r="D62" s="123" t="str">
        <f>'2B RotationRule'!C7</f>
        <v>dLevel_T2_5</v>
      </c>
      <c r="E62" s="2">
        <f t="shared" ca="1" si="4"/>
        <v>1.51025813743968E-2</v>
      </c>
      <c r="F62" s="2">
        <f t="shared" ca="1" si="4"/>
        <v>4.3228615883236725E-2</v>
      </c>
      <c r="G62" s="2">
        <f t="shared" ca="1" si="4"/>
        <v>1.51025813743968E-2</v>
      </c>
      <c r="H62" s="145">
        <f t="shared" ca="1" si="4"/>
        <v>4.3228615883236725E-2</v>
      </c>
      <c r="I62" s="145">
        <f t="shared" ca="1" si="4"/>
        <v>0.11099652661321352</v>
      </c>
      <c r="J62" s="145">
        <f t="shared" ca="1" si="4"/>
        <v>0</v>
      </c>
      <c r="K62" s="145">
        <f t="shared" ca="1" si="4"/>
        <v>0</v>
      </c>
      <c r="L62" s="145">
        <f t="shared" ca="1" si="4"/>
        <v>0</v>
      </c>
      <c r="M62" s="145">
        <f t="shared" ca="1" si="4"/>
        <v>0</v>
      </c>
      <c r="N62" s="145">
        <f t="shared" ca="1" si="4"/>
        <v>0</v>
      </c>
      <c r="O62" s="145">
        <f t="shared" ca="1" si="5"/>
        <v>0</v>
      </c>
      <c r="P62" s="145">
        <f t="shared" ca="1" si="5"/>
        <v>0</v>
      </c>
      <c r="Q62" s="145">
        <f t="shared" ca="1" si="5"/>
        <v>0</v>
      </c>
      <c r="R62" s="145">
        <f t="shared" ca="1" si="5"/>
        <v>0</v>
      </c>
      <c r="S62" s="145">
        <f t="shared" ca="1" si="5"/>
        <v>0</v>
      </c>
      <c r="T62" s="145">
        <f t="shared" ca="1" si="5"/>
        <v>0</v>
      </c>
      <c r="U62" s="145">
        <f t="shared" ca="1" si="5"/>
        <v>0</v>
      </c>
      <c r="V62" s="145">
        <f t="shared" ca="1" si="5"/>
        <v>0</v>
      </c>
      <c r="W62" s="145">
        <f t="shared" ca="1" si="5"/>
        <v>0</v>
      </c>
      <c r="X62" s="145">
        <f t="shared" ca="1" si="5"/>
        <v>0</v>
      </c>
      <c r="Y62" s="10">
        <f>IFERROR(_xlfn.XLOOKUP(D62,'2C 均值'!$A:$A,'2C 均值'!$E:$E),0)</f>
        <v>3.4210526315789483E-2</v>
      </c>
      <c r="Z62" s="10">
        <f t="array" aca="1" ref="Z62" ca="1">IF(OR($D62=0,$D62=""),"",_xlfn.LET(
        _xlpm.channel,$D62,
        _xlpm.factorName,$C62,
        _xlpm.factorNum,IF(_xlpm.factorName="","",VALUE(RIGHT(_xlpm.factorName,LEN(_xlpm.factorName)-6))),
        _xlpm.flMatrixStart,_xlfn.XMATCH("Rotation Method: Procrustes with Kaiser Normalization.",'2B FL'!$A:$A,0),
        _xlpm.channelRow,IFERROR(_xlfn.XMATCH(_xlpm.channel,OFFSET('2B FL'!$B$1,_xlpm.flMatrixStart+2,0,100,1),0),0),
        IF(OR(_xlpm.channelRow=0,_xlpm.factorNum=""),"",INDEX(OFFSET('2B FL'!$D$1,_xlpm.flMatrixStart+2,0,100,27),_xlpm.channelRow,_xlpm.factorNum))
    ))</f>
        <v>0.91500293204777372</v>
      </c>
      <c r="AA62" s="6"/>
      <c r="AB62" s="6"/>
      <c r="AC62" s="6"/>
      <c r="AD62" s="9"/>
      <c r="AE62" s="9"/>
      <c r="AF62" s="9"/>
      <c r="AG62" s="9"/>
      <c r="AH62" s="9"/>
      <c r="AI62" s="9"/>
      <c r="AJ62" s="9"/>
    </row>
    <row r="63" spans="3:36" ht="15.75" customHeight="1" x14ac:dyDescent="0.3">
      <c r="C63" s="87" t="str">
        <f>IF(OR($D63=0,$D63=""),"",_xlfn.LET(
    _xlpm.channel,$D63,
    _xlpm.rowNum,_xlfn.XMATCH(_xlpm.channel,'2B RotationRule'!$C:$C,0),
    _xlpm.factorRow,INDEX('2B RotationRule'!$E:$AE,_xlpm.rowNum,0),
    _xlpm.factorNum,_xlfn.XMATCH(1,_xlpm.factorRow,0),
    IF(ISERROR(_xlpm.factorNum),"","Factor"&amp;_xlpm.factorNum)
))</f>
        <v>Factor6</v>
      </c>
      <c r="D63" s="123" t="str">
        <f>'2B RotationRule'!C8</f>
        <v>dLevel_T2_6</v>
      </c>
      <c r="E63" s="2">
        <f t="shared" ca="1" si="4"/>
        <v>2.9238221834168777E-2</v>
      </c>
      <c r="F63" s="2">
        <f t="shared" ca="1" si="4"/>
        <v>3.1483745358142155E-2</v>
      </c>
      <c r="G63" s="2">
        <f t="shared" ca="1" si="4"/>
        <v>2.9238221834168777E-2</v>
      </c>
      <c r="H63" s="145">
        <f t="shared" ca="1" si="4"/>
        <v>3.1483745358142155E-2</v>
      </c>
      <c r="I63" s="145">
        <f t="shared" ca="1" si="4"/>
        <v>9.7904406901759583E-2</v>
      </c>
      <c r="J63" s="145">
        <f t="shared" ca="1" si="4"/>
        <v>0</v>
      </c>
      <c r="K63" s="145">
        <f t="shared" ca="1" si="4"/>
        <v>0</v>
      </c>
      <c r="L63" s="145">
        <f t="shared" ca="1" si="4"/>
        <v>0</v>
      </c>
      <c r="M63" s="145">
        <f t="shared" ca="1" si="4"/>
        <v>0</v>
      </c>
      <c r="N63" s="145">
        <f t="shared" ca="1" si="4"/>
        <v>0</v>
      </c>
      <c r="O63" s="145">
        <f t="shared" ca="1" si="5"/>
        <v>0</v>
      </c>
      <c r="P63" s="145">
        <f t="shared" ca="1" si="5"/>
        <v>0</v>
      </c>
      <c r="Q63" s="145">
        <f t="shared" ca="1" si="5"/>
        <v>0</v>
      </c>
      <c r="R63" s="145">
        <f t="shared" ca="1" si="5"/>
        <v>0</v>
      </c>
      <c r="S63" s="145">
        <f t="shared" ca="1" si="5"/>
        <v>0</v>
      </c>
      <c r="T63" s="145">
        <f t="shared" ca="1" si="5"/>
        <v>0</v>
      </c>
      <c r="U63" s="145">
        <f t="shared" ca="1" si="5"/>
        <v>0</v>
      </c>
      <c r="V63" s="145">
        <f t="shared" ca="1" si="5"/>
        <v>0</v>
      </c>
      <c r="W63" s="145">
        <f t="shared" ca="1" si="5"/>
        <v>0</v>
      </c>
      <c r="X63" s="145">
        <f t="shared" ca="1" si="5"/>
        <v>0</v>
      </c>
      <c r="Y63" s="10">
        <f>IFERROR(_xlfn.XLOOKUP(D63,'2C 均值'!$A:$A,'2C 均值'!$E:$E),0)</f>
        <v>3.1954887218045111E-2</v>
      </c>
      <c r="Z63" s="10">
        <f t="array" aca="1" ref="Z63" ca="1">IF(OR($D63=0,$D63=""),"",_xlfn.LET(
        _xlpm.channel,$D63,
        _xlpm.factorName,$C63,
        _xlpm.factorNum,IF(_xlpm.factorName="","",VALUE(RIGHT(_xlpm.factorName,LEN(_xlpm.factorName)-6))),
        _xlpm.flMatrixStart,_xlfn.XMATCH("Rotation Method: Procrustes with Kaiser Normalization.",'2B FL'!$A:$A,0),
        _xlpm.channelRow,IFERROR(_xlfn.XMATCH(_xlpm.channel,OFFSET('2B FL'!$B$1,_xlpm.flMatrixStart+2,0,100,1),0),0),
        IF(OR(_xlpm.channelRow=0,_xlpm.factorNum=""),"",INDEX(OFFSET('2B FL'!$D$1,_xlpm.flMatrixStart+2,0,100,27),_xlpm.channelRow,_xlpm.factorNum))
    ))</f>
        <v>0.91921007021724599</v>
      </c>
      <c r="AA63" s="6"/>
      <c r="AB63" s="6"/>
      <c r="AC63" s="6"/>
      <c r="AD63" s="9"/>
      <c r="AE63" s="9"/>
      <c r="AF63" s="9"/>
      <c r="AG63" s="9"/>
      <c r="AH63" s="9"/>
      <c r="AI63" s="9"/>
      <c r="AJ63" s="9"/>
    </row>
    <row r="64" spans="3:36" ht="15.75" customHeight="1" x14ac:dyDescent="0.3">
      <c r="C64" s="87" t="str">
        <f>IF(OR($D64=0,$D64=""),"",_xlfn.LET(
    _xlpm.channel,$D64,
    _xlpm.rowNum,_xlfn.XMATCH(_xlpm.channel,'2B RotationRule'!$C:$C,0),
    _xlpm.factorRow,INDEX('2B RotationRule'!$E:$AE,_xlpm.rowNum,0),
    _xlpm.factorNum,_xlfn.XMATCH(1,_xlpm.factorRow,0),
    IF(ISERROR(_xlpm.factorNum),"","Factor"&amp;_xlpm.factorNum)
))</f>
        <v>Factor7</v>
      </c>
      <c r="D64" s="123" t="str">
        <f>'2B RotationRule'!C9</f>
        <v>dLevel_T2_7</v>
      </c>
      <c r="E64" s="2">
        <f t="shared" ca="1" si="4"/>
        <v>4.353071312904129E-2</v>
      </c>
      <c r="F64" s="2">
        <f t="shared" ca="1" si="4"/>
        <v>6.1115067215706406E-2</v>
      </c>
      <c r="G64" s="2">
        <f t="shared" ca="1" si="4"/>
        <v>4.353071312904129E-2</v>
      </c>
      <c r="H64" s="145">
        <f t="shared" ca="1" si="4"/>
        <v>6.1115067215706406E-2</v>
      </c>
      <c r="I64" s="145">
        <f t="shared" ca="1" si="4"/>
        <v>0.15915799619227963</v>
      </c>
      <c r="J64" s="145">
        <f t="shared" ca="1" si="4"/>
        <v>0</v>
      </c>
      <c r="K64" s="145">
        <f t="shared" ca="1" si="4"/>
        <v>0</v>
      </c>
      <c r="L64" s="145">
        <f t="shared" ca="1" si="4"/>
        <v>0</v>
      </c>
      <c r="M64" s="145">
        <f t="shared" ca="1" si="4"/>
        <v>0</v>
      </c>
      <c r="N64" s="145">
        <f t="shared" ca="1" si="4"/>
        <v>0</v>
      </c>
      <c r="O64" s="145">
        <f t="shared" ca="1" si="5"/>
        <v>0</v>
      </c>
      <c r="P64" s="145">
        <f t="shared" ca="1" si="5"/>
        <v>0</v>
      </c>
      <c r="Q64" s="145">
        <f t="shared" ca="1" si="5"/>
        <v>0</v>
      </c>
      <c r="R64" s="145">
        <f t="shared" ca="1" si="5"/>
        <v>0</v>
      </c>
      <c r="S64" s="145">
        <f t="shared" ca="1" si="5"/>
        <v>0</v>
      </c>
      <c r="T64" s="145">
        <f t="shared" ca="1" si="5"/>
        <v>0</v>
      </c>
      <c r="U64" s="145">
        <f t="shared" ca="1" si="5"/>
        <v>0</v>
      </c>
      <c r="V64" s="145">
        <f t="shared" ca="1" si="5"/>
        <v>0</v>
      </c>
      <c r="W64" s="145">
        <f t="shared" ca="1" si="5"/>
        <v>0</v>
      </c>
      <c r="X64" s="145">
        <f t="shared" ca="1" si="5"/>
        <v>0</v>
      </c>
      <c r="Y64" s="10">
        <f>IFERROR(_xlfn.XLOOKUP(D64,'2C 均值'!$A:$A,'2C 均值'!$E:$E),0)</f>
        <v>7.1616541353383453E-2</v>
      </c>
      <c r="Z64" s="10">
        <f t="array" aca="1" ref="Z64" ca="1">IF(OR($D64=0,$D64=""),"",_xlfn.LET(
        _xlpm.channel,$D64,
        _xlpm.factorName,$C64,
        _xlpm.factorNum,IF(_xlpm.factorName="","",VALUE(RIGHT(_xlpm.factorName,LEN(_xlpm.factorName)-6))),
        _xlpm.flMatrixStart,_xlfn.XMATCH("Rotation Method: Procrustes with Kaiser Normalization.",'2B FL'!$A:$A,0),
        _xlpm.channelRow,IFERROR(_xlfn.XMATCH(_xlpm.channel,OFFSET('2B FL'!$B$1,_xlpm.flMatrixStart+2,0,100,1),0),0),
        IF(OR(_xlpm.channelRow=0,_xlpm.factorNum=""),"",INDEX(OFFSET('2B FL'!$D$1,_xlpm.flMatrixStart+2,0,100,27),_xlpm.channelRow,_xlpm.factorNum))
    ))</f>
        <v>0.78435328658831427</v>
      </c>
      <c r="AA64" s="6"/>
      <c r="AB64" s="6"/>
      <c r="AC64" s="6"/>
      <c r="AD64" s="9"/>
      <c r="AE64" s="9"/>
      <c r="AF64" s="9"/>
      <c r="AG64" s="9"/>
      <c r="AH64" s="9"/>
      <c r="AI64" s="9"/>
      <c r="AJ64" s="9"/>
    </row>
    <row r="65" spans="3:36" ht="15.75" customHeight="1" x14ac:dyDescent="0.3">
      <c r="C65" s="87" t="str">
        <f>IF(OR($D65=0,$D65=""),"",_xlfn.LET(
    _xlpm.channel,$D65,
    _xlpm.rowNum,_xlfn.XMATCH(_xlpm.channel,'2B RotationRule'!$C:$C,0),
    _xlpm.factorRow,INDEX('2B RotationRule'!$E:$AE,_xlpm.rowNum,0),
    _xlpm.factorNum,_xlfn.XMATCH(1,_xlpm.factorRow,0),
    IF(ISERROR(_xlpm.factorNum),"","Factor"&amp;_xlpm.factorNum)
))</f>
        <v>Factor8</v>
      </c>
      <c r="D65" s="123" t="str">
        <f>'2B RotationRule'!C10</f>
        <v>dLevel_T2_8</v>
      </c>
      <c r="E65" s="2">
        <f t="shared" ca="1" si="4"/>
        <v>2.0511262507783897E-2</v>
      </c>
      <c r="F65" s="2">
        <f t="shared" ca="1" si="4"/>
        <v>4.4312363105880236E-2</v>
      </c>
      <c r="G65" s="2">
        <f t="shared" ca="1" si="4"/>
        <v>2.0511262507783897E-2</v>
      </c>
      <c r="H65" s="145">
        <f t="shared" ca="1" si="4"/>
        <v>4.4312363105880236E-2</v>
      </c>
      <c r="I65" s="145">
        <f t="shared" ca="1" si="4"/>
        <v>0.16483567174959984</v>
      </c>
      <c r="J65" s="145">
        <f t="shared" ca="1" si="4"/>
        <v>0</v>
      </c>
      <c r="K65" s="145">
        <f t="shared" ca="1" si="4"/>
        <v>0</v>
      </c>
      <c r="L65" s="145">
        <f t="shared" ca="1" si="4"/>
        <v>0</v>
      </c>
      <c r="M65" s="145">
        <f t="shared" ca="1" si="4"/>
        <v>0</v>
      </c>
      <c r="N65" s="145">
        <f t="shared" ca="1" si="4"/>
        <v>0</v>
      </c>
      <c r="O65" s="145">
        <f t="shared" ca="1" si="5"/>
        <v>0</v>
      </c>
      <c r="P65" s="145">
        <f t="shared" ca="1" si="5"/>
        <v>0</v>
      </c>
      <c r="Q65" s="145">
        <f t="shared" ca="1" si="5"/>
        <v>0</v>
      </c>
      <c r="R65" s="145">
        <f t="shared" ca="1" si="5"/>
        <v>0</v>
      </c>
      <c r="S65" s="145">
        <f t="shared" ca="1" si="5"/>
        <v>0</v>
      </c>
      <c r="T65" s="145">
        <f t="shared" ca="1" si="5"/>
        <v>0</v>
      </c>
      <c r="U65" s="145">
        <f t="shared" ca="1" si="5"/>
        <v>0</v>
      </c>
      <c r="V65" s="145">
        <f t="shared" ca="1" si="5"/>
        <v>0</v>
      </c>
      <c r="W65" s="145">
        <f t="shared" ca="1" si="5"/>
        <v>0</v>
      </c>
      <c r="X65" s="145">
        <f t="shared" ca="1" si="5"/>
        <v>0</v>
      </c>
      <c r="Y65" s="10">
        <f>IFERROR(_xlfn.XLOOKUP(D65,'2C 均值'!$A:$A,'2C 均值'!$E:$E),0)</f>
        <v>6.7481203007518795E-2</v>
      </c>
      <c r="Z65" s="10">
        <f t="array" aca="1" ref="Z65" ca="1">IF(OR($D65=0,$D65=""),"",_xlfn.LET(
        _xlpm.channel,$D65,
        _xlpm.factorName,$C65,
        _xlpm.factorNum,IF(_xlpm.factorName="","",VALUE(RIGHT(_xlpm.factorName,LEN(_xlpm.factorName)-6))),
        _xlpm.flMatrixStart,_xlfn.XMATCH("Rotation Method: Procrustes with Kaiser Normalization.",'2B FL'!$A:$A,0),
        _xlpm.channelRow,IFERROR(_xlfn.XMATCH(_xlpm.channel,OFFSET('2B FL'!$B$1,_xlpm.flMatrixStart+2,0,100,1),0),0),
        IF(OR(_xlpm.channelRow=0,_xlpm.factorNum=""),"",INDEX(OFFSET('2B FL'!$D$1,_xlpm.flMatrixStart+2,0,100,27),_xlpm.channelRow,_xlpm.factorNum))
    ))</f>
        <v>0.81438401596677246</v>
      </c>
      <c r="AA65" s="6"/>
      <c r="AB65" s="6"/>
      <c r="AC65" s="6"/>
      <c r="AD65" s="9"/>
      <c r="AE65" s="9"/>
      <c r="AF65" s="9"/>
      <c r="AG65" s="9"/>
      <c r="AH65" s="9"/>
      <c r="AI65" s="9"/>
      <c r="AJ65" s="9"/>
    </row>
    <row r="66" spans="3:36" ht="15.75" customHeight="1" x14ac:dyDescent="0.3">
      <c r="C66" s="87" t="str">
        <f>IF(OR($D66=0,$D66=""),"",_xlfn.LET(
    _xlpm.channel,$D66,
    _xlpm.rowNum,_xlfn.XMATCH(_xlpm.channel,'2B RotationRule'!$C:$C,0),
    _xlpm.factorRow,INDEX('2B RotationRule'!$E:$AE,_xlpm.rowNum,0),
    _xlpm.factorNum,_xlfn.XMATCH(1,_xlpm.factorRow,0),
    IF(ISERROR(_xlpm.factorNum),"","Factor"&amp;_xlpm.factorNum)
))</f>
        <v>Factor9</v>
      </c>
      <c r="D66" s="123" t="str">
        <f>'2B RotationRule'!C11</f>
        <v>dLevel_T2_9</v>
      </c>
      <c r="E66" s="2">
        <f t="shared" ca="1" si="4"/>
        <v>1.2685213405260512E-2</v>
      </c>
      <c r="F66" s="2">
        <f t="shared" ca="1" si="4"/>
        <v>3.1391979792815911E-2</v>
      </c>
      <c r="G66" s="2">
        <f t="shared" ca="1" si="4"/>
        <v>1.2685213405260512E-2</v>
      </c>
      <c r="H66" s="145">
        <f t="shared" ca="1" si="4"/>
        <v>3.1391979792815911E-2</v>
      </c>
      <c r="I66" s="145">
        <f t="shared" ca="1" si="4"/>
        <v>0.10822600293374787</v>
      </c>
      <c r="J66" s="145">
        <f t="shared" ca="1" si="4"/>
        <v>0</v>
      </c>
      <c r="K66" s="145">
        <f t="shared" ca="1" si="4"/>
        <v>0</v>
      </c>
      <c r="L66" s="145">
        <f t="shared" ca="1" si="4"/>
        <v>0</v>
      </c>
      <c r="M66" s="145">
        <f t="shared" ca="1" si="4"/>
        <v>0</v>
      </c>
      <c r="N66" s="145">
        <f t="shared" ca="1" si="4"/>
        <v>0</v>
      </c>
      <c r="O66" s="145">
        <f t="shared" ca="1" si="5"/>
        <v>0</v>
      </c>
      <c r="P66" s="145">
        <f t="shared" ca="1" si="5"/>
        <v>0</v>
      </c>
      <c r="Q66" s="145">
        <f t="shared" ca="1" si="5"/>
        <v>0</v>
      </c>
      <c r="R66" s="145">
        <f t="shared" ca="1" si="5"/>
        <v>0</v>
      </c>
      <c r="S66" s="145">
        <f t="shared" ca="1" si="5"/>
        <v>0</v>
      </c>
      <c r="T66" s="145">
        <f t="shared" ca="1" si="5"/>
        <v>0</v>
      </c>
      <c r="U66" s="145">
        <f t="shared" ca="1" si="5"/>
        <v>0</v>
      </c>
      <c r="V66" s="145">
        <f t="shared" ca="1" si="5"/>
        <v>0</v>
      </c>
      <c r="W66" s="145">
        <f t="shared" ca="1" si="5"/>
        <v>0</v>
      </c>
      <c r="X66" s="145">
        <f t="shared" ca="1" si="5"/>
        <v>0</v>
      </c>
      <c r="Y66" s="10">
        <f>IFERROR(_xlfn.XLOOKUP(D66,'2C 均值'!$A:$A,'2C 均值'!$E:$E),0)</f>
        <v>1.9360902255639099E-2</v>
      </c>
      <c r="Z66" s="10">
        <f t="array" aca="1" ref="Z66" ca="1">IF(OR($D66=0,$D66=""),"",_xlfn.LET(
        _xlpm.channel,$D66,
        _xlpm.factorName,$C66,
        _xlpm.factorNum,IF(_xlpm.factorName="","",VALUE(RIGHT(_xlpm.factorName,LEN(_xlpm.factorName)-6))),
        _xlpm.flMatrixStart,_xlfn.XMATCH("Rotation Method: Procrustes with Kaiser Normalization.",'2B FL'!$A:$A,0),
        _xlpm.channelRow,IFERROR(_xlfn.XMATCH(_xlpm.channel,OFFSET('2B FL'!$B$1,_xlpm.flMatrixStart+2,0,100,1),0),0),
        IF(OR(_xlpm.channelRow=0,_xlpm.factorNum=""),"",INDEX(OFFSET('2B FL'!$D$1,_xlpm.flMatrixStart+2,0,100,27),_xlpm.channelRow,_xlpm.factorNum))
    ))</f>
        <v>0.94932745570576571</v>
      </c>
      <c r="AA66" s="6"/>
      <c r="AB66" s="6"/>
      <c r="AC66" s="6"/>
      <c r="AD66" s="9"/>
      <c r="AE66" s="9"/>
      <c r="AF66" s="9"/>
      <c r="AG66" s="9"/>
      <c r="AH66" s="9"/>
      <c r="AI66" s="9"/>
      <c r="AJ66" s="9"/>
    </row>
    <row r="67" spans="3:36" ht="15.75" customHeight="1" x14ac:dyDescent="0.3">
      <c r="C67" s="87" t="str">
        <f>IF(OR($D67=0,$D67=""),"",_xlfn.LET(
    _xlpm.channel,$D67,
    _xlpm.rowNum,_xlfn.XMATCH(_xlpm.channel,'2B RotationRule'!$C:$C,0),
    _xlpm.factorRow,INDEX('2B RotationRule'!$E:$AE,_xlpm.rowNum,0),
    _xlpm.factorNum,_xlfn.XMATCH(1,_xlpm.factorRow,0),
    IF(ISERROR(_xlpm.factorNum),"","Factor"&amp;_xlpm.factorNum)
))</f>
        <v>Factor10</v>
      </c>
      <c r="D67" s="123" t="str">
        <f>'2B RotationRule'!C12</f>
        <v>dLevel_T2_10</v>
      </c>
      <c r="E67" s="2">
        <f t="shared" ca="1" si="4"/>
        <v>2.1053326780691814E-2</v>
      </c>
      <c r="F67" s="2">
        <f t="shared" ca="1" si="4"/>
        <v>2.1925164074788468E-2</v>
      </c>
      <c r="G67" s="2">
        <f t="shared" ca="1" si="4"/>
        <v>2.1053326780691814E-2</v>
      </c>
      <c r="H67" s="145">
        <f t="shared" ca="1" si="4"/>
        <v>2.1925164074788468E-2</v>
      </c>
      <c r="I67" s="145">
        <f t="shared" ca="1" si="4"/>
        <v>6.2482574529802444E-2</v>
      </c>
      <c r="J67" s="145">
        <f t="shared" ca="1" si="4"/>
        <v>0</v>
      </c>
      <c r="K67" s="145">
        <f t="shared" ca="1" si="4"/>
        <v>0</v>
      </c>
      <c r="L67" s="145">
        <f t="shared" ca="1" si="4"/>
        <v>0</v>
      </c>
      <c r="M67" s="145">
        <f t="shared" ca="1" si="4"/>
        <v>0</v>
      </c>
      <c r="N67" s="145">
        <f t="shared" ca="1" si="4"/>
        <v>0</v>
      </c>
      <c r="O67" s="145">
        <f t="shared" ca="1" si="5"/>
        <v>0</v>
      </c>
      <c r="P67" s="145">
        <f t="shared" ca="1" si="5"/>
        <v>0</v>
      </c>
      <c r="Q67" s="145">
        <f t="shared" ca="1" si="5"/>
        <v>0</v>
      </c>
      <c r="R67" s="145">
        <f t="shared" ca="1" si="5"/>
        <v>0</v>
      </c>
      <c r="S67" s="145">
        <f t="shared" ca="1" si="5"/>
        <v>0</v>
      </c>
      <c r="T67" s="145">
        <f t="shared" ca="1" si="5"/>
        <v>0</v>
      </c>
      <c r="U67" s="145">
        <f t="shared" ca="1" si="5"/>
        <v>0</v>
      </c>
      <c r="V67" s="145">
        <f t="shared" ca="1" si="5"/>
        <v>0</v>
      </c>
      <c r="W67" s="145">
        <f t="shared" ca="1" si="5"/>
        <v>0</v>
      </c>
      <c r="X67" s="145">
        <f t="shared" ca="1" si="5"/>
        <v>0</v>
      </c>
      <c r="Y67" s="10">
        <f>IFERROR(_xlfn.XLOOKUP(D67,'2C 均值'!$A:$A,'2C 均值'!$E:$E),0)</f>
        <v>2.180451127819549E-2</v>
      </c>
      <c r="Z67" s="10">
        <f t="array" aca="1" ref="Z67" ca="1">IF(OR($D67=0,$D67=""),"",_xlfn.LET(
        _xlpm.channel,$D67,
        _xlpm.factorName,$C67,
        _xlpm.factorNum,IF(_xlpm.factorName="","",VALUE(RIGHT(_xlpm.factorName,LEN(_xlpm.factorName)-6))),
        _xlpm.flMatrixStart,_xlfn.XMATCH("Rotation Method: Procrustes with Kaiser Normalization.",'2B FL'!$A:$A,0),
        _xlpm.channelRow,IFERROR(_xlfn.XMATCH(_xlpm.channel,OFFSET('2B FL'!$B$1,_xlpm.flMatrixStart+2,0,100,1),0),0),
        IF(OR(_xlpm.channelRow=0,_xlpm.factorNum=""),"",INDEX(OFFSET('2B FL'!$D$1,_xlpm.flMatrixStart+2,0,100,27),_xlpm.channelRow,_xlpm.factorNum))
    ))</f>
        <v>0.92212711696919714</v>
      </c>
      <c r="AA67" s="6"/>
      <c r="AB67" s="6"/>
      <c r="AC67" s="6"/>
      <c r="AD67" s="9"/>
      <c r="AE67" s="9"/>
      <c r="AF67" s="9"/>
      <c r="AG67" s="9"/>
      <c r="AH67" s="9"/>
      <c r="AI67" s="9"/>
      <c r="AJ67" s="9"/>
    </row>
    <row r="68" spans="3:36" ht="15.75" customHeight="1" x14ac:dyDescent="0.3">
      <c r="C68" s="87" t="str">
        <f>IF(OR($D68=0,$D68=""),"",_xlfn.LET(
    _xlpm.channel,$D68,
    _xlpm.rowNum,_xlfn.XMATCH(_xlpm.channel,'2B RotationRule'!$C:$C,0),
    _xlpm.factorRow,INDEX('2B RotationRule'!$E:$AE,_xlpm.rowNum,0),
    _xlpm.factorNum,_xlfn.XMATCH(1,_xlpm.factorRow,0),
    IF(ISERROR(_xlpm.factorNum),"","Factor"&amp;_xlpm.factorNum)
))</f>
        <v>Factor11</v>
      </c>
      <c r="D68" s="123" t="str">
        <f>'2B RotationRule'!C13</f>
        <v>dLevel_T2_11</v>
      </c>
      <c r="E68" s="2">
        <f t="shared" ref="E68:N77" ca="1" si="6">IFERROR(_xlfn.XLOOKUP($C68,$D$3:$D$40,E$3:E$40)*$Z68,0)</f>
        <v>3.5992655123074861E-2</v>
      </c>
      <c r="F68" s="2">
        <f t="shared" ca="1" si="6"/>
        <v>4.1425874390075723E-2</v>
      </c>
      <c r="G68" s="2">
        <f t="shared" ca="1" si="6"/>
        <v>3.5992655123074861E-2</v>
      </c>
      <c r="H68" s="145">
        <f t="shared" ca="1" si="6"/>
        <v>4.1425874390075723E-2</v>
      </c>
      <c r="I68" s="145">
        <f t="shared" ca="1" si="6"/>
        <v>0.10094824119200589</v>
      </c>
      <c r="J68" s="145">
        <f t="shared" ca="1" si="6"/>
        <v>0</v>
      </c>
      <c r="K68" s="145">
        <f t="shared" ca="1" si="6"/>
        <v>0</v>
      </c>
      <c r="L68" s="145">
        <f t="shared" ca="1" si="6"/>
        <v>0</v>
      </c>
      <c r="M68" s="145">
        <f t="shared" ca="1" si="6"/>
        <v>0</v>
      </c>
      <c r="N68" s="145">
        <f t="shared" ca="1" si="6"/>
        <v>0</v>
      </c>
      <c r="O68" s="145">
        <f t="shared" ref="O68:X77" ca="1" si="7">IFERROR(_xlfn.XLOOKUP($C68,$D$3:$D$40,O$3:O$40)*$Z68,0)</f>
        <v>0</v>
      </c>
      <c r="P68" s="145">
        <f t="shared" ca="1" si="7"/>
        <v>0</v>
      </c>
      <c r="Q68" s="145">
        <f t="shared" ca="1" si="7"/>
        <v>0</v>
      </c>
      <c r="R68" s="145">
        <f t="shared" ca="1" si="7"/>
        <v>0</v>
      </c>
      <c r="S68" s="145">
        <f t="shared" ca="1" si="7"/>
        <v>0</v>
      </c>
      <c r="T68" s="145">
        <f t="shared" ca="1" si="7"/>
        <v>0</v>
      </c>
      <c r="U68" s="145">
        <f t="shared" ca="1" si="7"/>
        <v>0</v>
      </c>
      <c r="V68" s="145">
        <f t="shared" ca="1" si="7"/>
        <v>0</v>
      </c>
      <c r="W68" s="145">
        <f t="shared" ca="1" si="7"/>
        <v>0</v>
      </c>
      <c r="X68" s="145">
        <f t="shared" ca="1" si="7"/>
        <v>0</v>
      </c>
      <c r="Y68" s="10">
        <f>IFERROR(_xlfn.XLOOKUP(D68,'2C 均值'!$A:$A,'2C 均值'!$E:$E),0)</f>
        <v>3.6278195488721812E-2</v>
      </c>
      <c r="Z68" s="10">
        <f t="array" aca="1" ref="Z68" ca="1">IF(OR($D68=0,$D68=""),"",_xlfn.LET(
        _xlpm.channel,$D68,
        _xlpm.factorName,$C68,
        _xlpm.factorNum,IF(_xlpm.factorName="","",VALUE(RIGHT(_xlpm.factorName,LEN(_xlpm.factorName)-6))),
        _xlpm.flMatrixStart,_xlfn.XMATCH("Rotation Method: Procrustes with Kaiser Normalization.",'2B FL'!$A:$A,0),
        _xlpm.channelRow,IFERROR(_xlfn.XMATCH(_xlpm.channel,OFFSET('2B FL'!$B$1,_xlpm.flMatrixStart+2,0,100,1),0),0),
        IF(OR(_xlpm.channelRow=0,_xlpm.factorNum=""),"",INDEX(OFFSET('2B FL'!$D$1,_xlpm.flMatrixStart+2,0,100,27),_xlpm.channelRow,_xlpm.factorNum))
    ))</f>
        <v>0.90894625561943931</v>
      </c>
      <c r="AA68" s="6"/>
      <c r="AB68" s="6"/>
      <c r="AC68" s="6"/>
      <c r="AD68" s="9"/>
      <c r="AE68" s="9"/>
      <c r="AF68" s="9"/>
      <c r="AG68" s="9"/>
      <c r="AH68" s="9"/>
      <c r="AI68" s="9"/>
      <c r="AJ68" s="9"/>
    </row>
    <row r="69" spans="3:36" ht="15.75" customHeight="1" x14ac:dyDescent="0.3">
      <c r="C69" s="87" t="str">
        <f>IF(OR($D69=0,$D69=""),"",_xlfn.LET(
    _xlpm.channel,$D69,
    _xlpm.rowNum,_xlfn.XMATCH(_xlpm.channel,'2B RotationRule'!$C:$C,0),
    _xlpm.factorRow,INDEX('2B RotationRule'!$E:$AE,_xlpm.rowNum,0),
    _xlpm.factorNum,_xlfn.XMATCH(1,_xlpm.factorRow,0),
    IF(ISERROR(_xlpm.factorNum),"","Factor"&amp;_xlpm.factorNum)
))</f>
        <v>Factor12</v>
      </c>
      <c r="D69" s="123" t="str">
        <f>'2B RotationRule'!C14</f>
        <v>dLevel_T2_12</v>
      </c>
      <c r="E69" s="2">
        <f t="shared" ca="1" si="6"/>
        <v>4.3410521715814165E-2</v>
      </c>
      <c r="F69" s="2">
        <f t="shared" ca="1" si="6"/>
        <v>1.8539084265974438E-2</v>
      </c>
      <c r="G69" s="2">
        <f t="shared" ca="1" si="6"/>
        <v>4.3410521715814165E-2</v>
      </c>
      <c r="H69" s="145">
        <f t="shared" ca="1" si="6"/>
        <v>1.8539084265974438E-2</v>
      </c>
      <c r="I69" s="145">
        <f t="shared" ca="1" si="6"/>
        <v>4.5910204917901848E-2</v>
      </c>
      <c r="J69" s="145">
        <f t="shared" ca="1" si="6"/>
        <v>0</v>
      </c>
      <c r="K69" s="145">
        <f t="shared" ca="1" si="6"/>
        <v>0</v>
      </c>
      <c r="L69" s="145">
        <f t="shared" ca="1" si="6"/>
        <v>0</v>
      </c>
      <c r="M69" s="145">
        <f t="shared" ca="1" si="6"/>
        <v>0</v>
      </c>
      <c r="N69" s="145">
        <f t="shared" ca="1" si="6"/>
        <v>0</v>
      </c>
      <c r="O69" s="145">
        <f t="shared" ca="1" si="7"/>
        <v>0</v>
      </c>
      <c r="P69" s="145">
        <f t="shared" ca="1" si="7"/>
        <v>0</v>
      </c>
      <c r="Q69" s="145">
        <f t="shared" ca="1" si="7"/>
        <v>0</v>
      </c>
      <c r="R69" s="145">
        <f t="shared" ca="1" si="7"/>
        <v>0</v>
      </c>
      <c r="S69" s="145">
        <f t="shared" ca="1" si="7"/>
        <v>0</v>
      </c>
      <c r="T69" s="145">
        <f t="shared" ca="1" si="7"/>
        <v>0</v>
      </c>
      <c r="U69" s="145">
        <f t="shared" ca="1" si="7"/>
        <v>0</v>
      </c>
      <c r="V69" s="145">
        <f t="shared" ca="1" si="7"/>
        <v>0</v>
      </c>
      <c r="W69" s="145">
        <f t="shared" ca="1" si="7"/>
        <v>0</v>
      </c>
      <c r="X69" s="145">
        <f t="shared" ca="1" si="7"/>
        <v>0</v>
      </c>
      <c r="Y69" s="10">
        <f>IFERROR(_xlfn.XLOOKUP(D69,'2C 均值'!$A:$A,'2C 均值'!$E:$E),0)</f>
        <v>1.635338345864662E-2</v>
      </c>
      <c r="Z69" s="10">
        <f t="array" aca="1" ref="Z69" ca="1">IF(OR($D69=0,$D69=""),"",_xlfn.LET(
        _xlpm.channel,$D69,
        _xlpm.factorName,$C69,
        _xlpm.factorNum,IF(_xlpm.factorName="","",VALUE(RIGHT(_xlpm.factorName,LEN(_xlpm.factorName)-6))),
        _xlpm.flMatrixStart,_xlfn.XMATCH("Rotation Method: Procrustes with Kaiser Normalization.",'2B FL'!$A:$A,0),
        _xlpm.channelRow,IFERROR(_xlfn.XMATCH(_xlpm.channel,OFFSET('2B FL'!$B$1,_xlpm.flMatrixStart+2,0,100,1),0),0),
        IF(OR(_xlpm.channelRow=0,_xlpm.factorNum=""),"",INDEX(OFFSET('2B FL'!$D$1,_xlpm.flMatrixStart+2,0,100,27),_xlpm.channelRow,_xlpm.factorNum))
    ))</f>
        <v>0.9417346658306911</v>
      </c>
      <c r="AA69" s="6"/>
      <c r="AB69" s="6"/>
      <c r="AC69" s="6"/>
      <c r="AD69" s="9"/>
      <c r="AE69" s="9"/>
      <c r="AF69" s="9"/>
      <c r="AG69" s="9"/>
      <c r="AH69" s="9"/>
      <c r="AI69" s="9"/>
      <c r="AJ69" s="9"/>
    </row>
    <row r="70" spans="3:36" ht="15.75" customHeight="1" x14ac:dyDescent="0.3">
      <c r="C70" s="87" t="str">
        <f>IF(OR($D70=0,$D70=""),"",_xlfn.LET(
    _xlpm.channel,$D70,
    _xlpm.rowNum,_xlfn.XMATCH(_xlpm.channel,'2B RotationRule'!$C:$C,0),
    _xlpm.factorRow,INDEX('2B RotationRule'!$E:$AE,_xlpm.rowNum,0),
    _xlpm.factorNum,_xlfn.XMATCH(1,_xlpm.factorRow,0),
    IF(ISERROR(_xlpm.factorNum),"","Factor"&amp;_xlpm.factorNum)
))</f>
        <v>Factor13</v>
      </c>
      <c r="D70" s="123" t="str">
        <f>'2B RotationRule'!C15</f>
        <v>dLevel_T2_13</v>
      </c>
      <c r="E70" s="2">
        <f t="shared" ca="1" si="6"/>
        <v>2.2459528219110368E-2</v>
      </c>
      <c r="F70" s="2">
        <f t="shared" ca="1" si="6"/>
        <v>-1.6497797800450527E-2</v>
      </c>
      <c r="G70" s="2">
        <f t="shared" ca="1" si="6"/>
        <v>2.2459528219110368E-2</v>
      </c>
      <c r="H70" s="145">
        <f t="shared" ca="1" si="6"/>
        <v>-1.6497797800450527E-2</v>
      </c>
      <c r="I70" s="145">
        <f t="shared" ca="1" si="6"/>
        <v>5.979254624537933E-2</v>
      </c>
      <c r="J70" s="145">
        <f t="shared" ca="1" si="6"/>
        <v>0</v>
      </c>
      <c r="K70" s="145">
        <f t="shared" ca="1" si="6"/>
        <v>0</v>
      </c>
      <c r="L70" s="145">
        <f t="shared" ca="1" si="6"/>
        <v>0</v>
      </c>
      <c r="M70" s="145">
        <f t="shared" ca="1" si="6"/>
        <v>0</v>
      </c>
      <c r="N70" s="145">
        <f t="shared" ca="1" si="6"/>
        <v>0</v>
      </c>
      <c r="O70" s="145">
        <f t="shared" ca="1" si="7"/>
        <v>0</v>
      </c>
      <c r="P70" s="145">
        <f t="shared" ca="1" si="7"/>
        <v>0</v>
      </c>
      <c r="Q70" s="145">
        <f t="shared" ca="1" si="7"/>
        <v>0</v>
      </c>
      <c r="R70" s="145">
        <f t="shared" ca="1" si="7"/>
        <v>0</v>
      </c>
      <c r="S70" s="145">
        <f t="shared" ca="1" si="7"/>
        <v>0</v>
      </c>
      <c r="T70" s="145">
        <f t="shared" ca="1" si="7"/>
        <v>0</v>
      </c>
      <c r="U70" s="145">
        <f t="shared" ca="1" si="7"/>
        <v>0</v>
      </c>
      <c r="V70" s="145">
        <f t="shared" ca="1" si="7"/>
        <v>0</v>
      </c>
      <c r="W70" s="145">
        <f t="shared" ca="1" si="7"/>
        <v>0</v>
      </c>
      <c r="X70" s="145">
        <f t="shared" ca="1" si="7"/>
        <v>0</v>
      </c>
      <c r="Y70" s="10">
        <f>IFERROR(_xlfn.XLOOKUP(D70,'2C 均值'!$A:$A,'2C 均值'!$E:$E),0)</f>
        <v>1.165413533834586E-2</v>
      </c>
      <c r="Z70" s="10">
        <f t="array" aca="1" ref="Z70" ca="1">IF(OR($D70=0,$D70=""),"",_xlfn.LET(
        _xlpm.channel,$D70,
        _xlpm.factorName,$C70,
        _xlpm.factorNum,IF(_xlpm.factorName="","",VALUE(RIGHT(_xlpm.factorName,LEN(_xlpm.factorName)-6))),
        _xlpm.flMatrixStart,_xlfn.XMATCH("Rotation Method: Procrustes with Kaiser Normalization.",'2B FL'!$A:$A,0),
        _xlpm.channelRow,IFERROR(_xlfn.XMATCH(_xlpm.channel,OFFSET('2B FL'!$B$1,_xlpm.flMatrixStart+2,0,100,1),0),0),
        IF(OR(_xlpm.channelRow=0,_xlpm.factorNum=""),"",INDEX(OFFSET('2B FL'!$D$1,_xlpm.flMatrixStart+2,0,100,27),_xlpm.channelRow,_xlpm.factorNum))
    ))</f>
        <v>0.95866516568724069</v>
      </c>
      <c r="AA70" s="6"/>
      <c r="AB70" s="6"/>
      <c r="AC70" s="6"/>
      <c r="AD70" s="9"/>
      <c r="AE70" s="9"/>
      <c r="AF70" s="9"/>
      <c r="AG70" s="9"/>
      <c r="AH70" s="9"/>
      <c r="AI70" s="9"/>
      <c r="AJ70" s="9"/>
    </row>
    <row r="71" spans="3:36" ht="15.75" customHeight="1" x14ac:dyDescent="0.3">
      <c r="C71" s="87" t="str">
        <f>IF(OR($D71=0,$D71=""),"",_xlfn.LET(
    _xlpm.channel,$D71,
    _xlpm.rowNum,_xlfn.XMATCH(_xlpm.channel,'2B RotationRule'!$C:$C,0),
    _xlpm.factorRow,INDEX('2B RotationRule'!$E:$AE,_xlpm.rowNum,0),
    _xlpm.factorNum,_xlfn.XMATCH(1,_xlpm.factorRow,0),
    IF(ISERROR(_xlpm.factorNum),"","Factor"&amp;_xlpm.factorNum)
))</f>
        <v>Factor14</v>
      </c>
      <c r="D71" s="123" t="str">
        <f>'2B RotationRule'!C16</f>
        <v>dLevel_T2_14</v>
      </c>
      <c r="E71" s="2">
        <f t="shared" ca="1" si="6"/>
        <v>2.188548323266587E-2</v>
      </c>
      <c r="F71" s="2">
        <f t="shared" ca="1" si="6"/>
        <v>2.8647437436370451E-2</v>
      </c>
      <c r="G71" s="2">
        <f t="shared" ca="1" si="6"/>
        <v>2.188548323266587E-2</v>
      </c>
      <c r="H71" s="145">
        <f t="shared" ca="1" si="6"/>
        <v>2.8647437436370451E-2</v>
      </c>
      <c r="I71" s="145">
        <f t="shared" ca="1" si="6"/>
        <v>9.6689717234283032E-2</v>
      </c>
      <c r="J71" s="145">
        <f t="shared" ca="1" si="6"/>
        <v>0</v>
      </c>
      <c r="K71" s="145">
        <f t="shared" ca="1" si="6"/>
        <v>0</v>
      </c>
      <c r="L71" s="145">
        <f t="shared" ca="1" si="6"/>
        <v>0</v>
      </c>
      <c r="M71" s="145">
        <f t="shared" ca="1" si="6"/>
        <v>0</v>
      </c>
      <c r="N71" s="145">
        <f t="shared" ca="1" si="6"/>
        <v>0</v>
      </c>
      <c r="O71" s="145">
        <f t="shared" ca="1" si="7"/>
        <v>0</v>
      </c>
      <c r="P71" s="145">
        <f t="shared" ca="1" si="7"/>
        <v>0</v>
      </c>
      <c r="Q71" s="145">
        <f t="shared" ca="1" si="7"/>
        <v>0</v>
      </c>
      <c r="R71" s="145">
        <f t="shared" ca="1" si="7"/>
        <v>0</v>
      </c>
      <c r="S71" s="145">
        <f t="shared" ca="1" si="7"/>
        <v>0</v>
      </c>
      <c r="T71" s="145">
        <f t="shared" ca="1" si="7"/>
        <v>0</v>
      </c>
      <c r="U71" s="145">
        <f t="shared" ca="1" si="7"/>
        <v>0</v>
      </c>
      <c r="V71" s="145">
        <f t="shared" ca="1" si="7"/>
        <v>0</v>
      </c>
      <c r="W71" s="145">
        <f t="shared" ca="1" si="7"/>
        <v>0</v>
      </c>
      <c r="X71" s="145">
        <f t="shared" ca="1" si="7"/>
        <v>0</v>
      </c>
      <c r="Y71" s="10">
        <f>IFERROR(_xlfn.XLOOKUP(D71,'2C 均值'!$A:$A,'2C 均值'!$E:$E),0)</f>
        <v>2.424812030075188E-2</v>
      </c>
      <c r="Z71" s="10">
        <f t="array" aca="1" ref="Z71" ca="1">IF(OR($D71=0,$D71=""),"",_xlfn.LET(
        _xlpm.channel,$D71,
        _xlpm.factorName,$C71,
        _xlpm.factorNum,IF(_xlpm.factorName="","",VALUE(RIGHT(_xlpm.factorName,LEN(_xlpm.factorName)-6))),
        _xlpm.flMatrixStart,_xlfn.XMATCH("Rotation Method: Procrustes with Kaiser Normalization.",'2B FL'!$A:$A,0),
        _xlpm.channelRow,IFERROR(_xlfn.XMATCH(_xlpm.channel,OFFSET('2B FL'!$B$1,_xlpm.flMatrixStart+2,0,100,1),0),0),
        IF(OR(_xlpm.channelRow=0,_xlpm.factorNum=""),"",INDEX(OFFSET('2B FL'!$D$1,_xlpm.flMatrixStart+2,0,100,27),_xlpm.channelRow,_xlpm.factorNum))
    ))</f>
        <v>0.93584513565213601</v>
      </c>
      <c r="AA71" s="6"/>
      <c r="AB71" s="6"/>
      <c r="AC71" s="6"/>
      <c r="AD71" s="9"/>
      <c r="AE71" s="9"/>
      <c r="AF71" s="9"/>
      <c r="AG71" s="9"/>
      <c r="AH71" s="9"/>
      <c r="AI71" s="9"/>
      <c r="AJ71" s="9"/>
    </row>
    <row r="72" spans="3:36" ht="15.75" customHeight="1" x14ac:dyDescent="0.3">
      <c r="C72" s="87" t="str">
        <f>IF(OR($D72=0,$D72=""),"",_xlfn.LET(
    _xlpm.channel,$D72,
    _xlpm.rowNum,_xlfn.XMATCH(_xlpm.channel,'2B RotationRule'!$C:$C,0),
    _xlpm.factorRow,INDEX('2B RotationRule'!$E:$AE,_xlpm.rowNum,0),
    _xlpm.factorNum,_xlfn.XMATCH(1,_xlpm.factorRow,0),
    IF(ISERROR(_xlpm.factorNum),"","Factor"&amp;_xlpm.factorNum)
))</f>
        <v>Factor15</v>
      </c>
      <c r="D72" s="123" t="str">
        <f>'2B RotationRule'!C17</f>
        <v>dLevel_T2_15</v>
      </c>
      <c r="E72" s="2">
        <f t="shared" ca="1" si="6"/>
        <v>2.1032086051352865E-2</v>
      </c>
      <c r="F72" s="2">
        <f t="shared" ca="1" si="6"/>
        <v>-2.8311082845046574E-3</v>
      </c>
      <c r="G72" s="2">
        <f t="shared" ca="1" si="6"/>
        <v>2.1032086051352865E-2</v>
      </c>
      <c r="H72" s="145">
        <f t="shared" ca="1" si="6"/>
        <v>-2.8311082845046574E-3</v>
      </c>
      <c r="I72" s="145">
        <f t="shared" ca="1" si="6"/>
        <v>8.9919760486629183E-2</v>
      </c>
      <c r="J72" s="145">
        <f t="shared" ca="1" si="6"/>
        <v>0</v>
      </c>
      <c r="K72" s="145">
        <f t="shared" ca="1" si="6"/>
        <v>0</v>
      </c>
      <c r="L72" s="145">
        <f t="shared" ca="1" si="6"/>
        <v>0</v>
      </c>
      <c r="M72" s="145">
        <f t="shared" ca="1" si="6"/>
        <v>0</v>
      </c>
      <c r="N72" s="145">
        <f t="shared" ca="1" si="6"/>
        <v>0</v>
      </c>
      <c r="O72" s="145">
        <f t="shared" ca="1" si="7"/>
        <v>0</v>
      </c>
      <c r="P72" s="145">
        <f t="shared" ca="1" si="7"/>
        <v>0</v>
      </c>
      <c r="Q72" s="145">
        <f t="shared" ca="1" si="7"/>
        <v>0</v>
      </c>
      <c r="R72" s="145">
        <f t="shared" ca="1" si="7"/>
        <v>0</v>
      </c>
      <c r="S72" s="145">
        <f t="shared" ca="1" si="7"/>
        <v>0</v>
      </c>
      <c r="T72" s="145">
        <f t="shared" ca="1" si="7"/>
        <v>0</v>
      </c>
      <c r="U72" s="145">
        <f t="shared" ca="1" si="7"/>
        <v>0</v>
      </c>
      <c r="V72" s="145">
        <f t="shared" ca="1" si="7"/>
        <v>0</v>
      </c>
      <c r="W72" s="145">
        <f t="shared" ca="1" si="7"/>
        <v>0</v>
      </c>
      <c r="X72" s="145">
        <f t="shared" ca="1" si="7"/>
        <v>0</v>
      </c>
      <c r="Y72" s="10">
        <f>IFERROR(_xlfn.XLOOKUP(D72,'2C 均值'!$A:$A,'2C 均值'!$E:$E),0)</f>
        <v>1.7105263157894741E-2</v>
      </c>
      <c r="Z72" s="10">
        <f t="array" aca="1" ref="Z72" ca="1">IF(OR($D72=0,$D72=""),"",_xlfn.LET(
        _xlpm.channel,$D72,
        _xlpm.factorName,$C72,
        _xlpm.factorNum,IF(_xlpm.factorName="","",VALUE(RIGHT(_xlpm.factorName,LEN(_xlpm.factorName)-6))),
        _xlpm.flMatrixStart,_xlfn.XMATCH("Rotation Method: Procrustes with Kaiser Normalization.",'2B FL'!$A:$A,0),
        _xlpm.channelRow,IFERROR(_xlfn.XMATCH(_xlpm.channel,OFFSET('2B FL'!$B$1,_xlpm.flMatrixStart+2,0,100,1),0),0),
        IF(OR(_xlpm.channelRow=0,_xlpm.factorNum=""),"",INDEX(OFFSET('2B FL'!$D$1,_xlpm.flMatrixStart+2,0,100,27),_xlpm.channelRow,_xlpm.factorNum))
    ))</f>
        <v>0.95007925393593828</v>
      </c>
      <c r="AA72" s="6"/>
      <c r="AB72" s="6"/>
      <c r="AC72" s="6"/>
      <c r="AD72" s="9"/>
      <c r="AE72" s="9"/>
      <c r="AF72" s="9"/>
      <c r="AG72" s="9"/>
      <c r="AH72" s="9"/>
      <c r="AI72" s="9"/>
      <c r="AJ72" s="9"/>
    </row>
    <row r="73" spans="3:36" ht="15.75" customHeight="1" x14ac:dyDescent="0.3">
      <c r="C73" s="87" t="str">
        <f>IF(OR($D73=0,$D73=""),"",_xlfn.LET(
    _xlpm.channel,$D73,
    _xlpm.rowNum,_xlfn.XMATCH(_xlpm.channel,'2B RotationRule'!$C:$C,0),
    _xlpm.factorRow,INDEX('2B RotationRule'!$E:$AE,_xlpm.rowNum,0),
    _xlpm.factorNum,_xlfn.XMATCH(1,_xlpm.factorRow,0),
    IF(ISERROR(_xlpm.factorNum),"","Factor"&amp;_xlpm.factorNum)
))</f>
        <v>Factor16</v>
      </c>
      <c r="D73" s="123" t="str">
        <f>'2B RotationRule'!C18</f>
        <v>dLevel_T2_16</v>
      </c>
      <c r="E73" s="2">
        <f t="shared" ca="1" si="6"/>
        <v>1.7508179240042599E-2</v>
      </c>
      <c r="F73" s="2">
        <f t="shared" ca="1" si="6"/>
        <v>1.5324587599407715E-2</v>
      </c>
      <c r="G73" s="2">
        <f t="shared" ca="1" si="6"/>
        <v>1.7508179240042599E-2</v>
      </c>
      <c r="H73" s="145">
        <f t="shared" ca="1" si="6"/>
        <v>1.5324587599407715E-2</v>
      </c>
      <c r="I73" s="145">
        <f t="shared" ca="1" si="6"/>
        <v>9.6392707623585372E-2</v>
      </c>
      <c r="J73" s="145">
        <f t="shared" ca="1" si="6"/>
        <v>0</v>
      </c>
      <c r="K73" s="145">
        <f t="shared" ca="1" si="6"/>
        <v>0</v>
      </c>
      <c r="L73" s="145">
        <f t="shared" ca="1" si="6"/>
        <v>0</v>
      </c>
      <c r="M73" s="145">
        <f t="shared" ca="1" si="6"/>
        <v>0</v>
      </c>
      <c r="N73" s="145">
        <f t="shared" ca="1" si="6"/>
        <v>0</v>
      </c>
      <c r="O73" s="145">
        <f t="shared" ca="1" si="7"/>
        <v>0</v>
      </c>
      <c r="P73" s="145">
        <f t="shared" ca="1" si="7"/>
        <v>0</v>
      </c>
      <c r="Q73" s="145">
        <f t="shared" ca="1" si="7"/>
        <v>0</v>
      </c>
      <c r="R73" s="145">
        <f t="shared" ca="1" si="7"/>
        <v>0</v>
      </c>
      <c r="S73" s="145">
        <f t="shared" ca="1" si="7"/>
        <v>0</v>
      </c>
      <c r="T73" s="145">
        <f t="shared" ca="1" si="7"/>
        <v>0</v>
      </c>
      <c r="U73" s="145">
        <f t="shared" ca="1" si="7"/>
        <v>0</v>
      </c>
      <c r="V73" s="145">
        <f t="shared" ca="1" si="7"/>
        <v>0</v>
      </c>
      <c r="W73" s="145">
        <f t="shared" ca="1" si="7"/>
        <v>0</v>
      </c>
      <c r="X73" s="145">
        <f t="shared" ca="1" si="7"/>
        <v>0</v>
      </c>
      <c r="Y73" s="10">
        <f>IFERROR(_xlfn.XLOOKUP(D73,'2C 均值'!$A:$A,'2C 均值'!$E:$E),0)</f>
        <v>1.9360902255639099E-2</v>
      </c>
      <c r="Z73" s="10">
        <f t="array" aca="1" ref="Z73" ca="1">IF(OR($D73=0,$D73=""),"",_xlfn.LET(
        _xlpm.channel,$D73,
        _xlpm.factorName,$C73,
        _xlpm.factorNum,IF(_xlpm.factorName="","",VALUE(RIGHT(_xlpm.factorName,LEN(_xlpm.factorName)-6))),
        _xlpm.flMatrixStart,_xlfn.XMATCH("Rotation Method: Procrustes with Kaiser Normalization.",'2B FL'!$A:$A,0),
        _xlpm.channelRow,IFERROR(_xlfn.XMATCH(_xlpm.channel,OFFSET('2B FL'!$B$1,_xlpm.flMatrixStart+2,0,100,1),0),0),
        IF(OR(_xlpm.channelRow=0,_xlpm.factorNum=""),"",INDEX(OFFSET('2B FL'!$D$1,_xlpm.flMatrixStart+2,0,100,27),_xlpm.channelRow,_xlpm.factorNum))
    ))</f>
        <v>0.94834636213288181</v>
      </c>
      <c r="AA73" s="6"/>
      <c r="AB73" s="6"/>
      <c r="AC73" s="6"/>
      <c r="AD73" s="9"/>
      <c r="AE73" s="9"/>
      <c r="AF73" s="9"/>
      <c r="AG73" s="9"/>
      <c r="AH73" s="9"/>
      <c r="AI73" s="9"/>
      <c r="AJ73" s="9"/>
    </row>
    <row r="74" spans="3:36" ht="15.75" customHeight="1" x14ac:dyDescent="0.3">
      <c r="C74" s="87" t="str">
        <f>IF(OR($D74=0,$D74=""),"",_xlfn.LET(
    _xlpm.channel,$D74,
    _xlpm.rowNum,_xlfn.XMATCH(_xlpm.channel,'2B RotationRule'!$C:$C,0),
    _xlpm.factorRow,INDEX('2B RotationRule'!$E:$AE,_xlpm.rowNum,0),
    _xlpm.factorNum,_xlfn.XMATCH(1,_xlpm.factorRow,0),
    IF(ISERROR(_xlpm.factorNum),"","Factor"&amp;_xlpm.factorNum)
))</f>
        <v>Factor17</v>
      </c>
      <c r="D74" s="123" t="str">
        <f>'2B RotationRule'!C19</f>
        <v>dLevel_T2_17</v>
      </c>
      <c r="E74" s="2">
        <f t="shared" ca="1" si="6"/>
        <v>6.230302292469749E-3</v>
      </c>
      <c r="F74" s="2">
        <f t="shared" ca="1" si="6"/>
        <v>1.3902272122107732E-2</v>
      </c>
      <c r="G74" s="2">
        <f t="shared" ca="1" si="6"/>
        <v>6.230302292469749E-3</v>
      </c>
      <c r="H74" s="145">
        <f t="shared" ca="1" si="6"/>
        <v>1.3902272122107732E-2</v>
      </c>
      <c r="I74" s="145">
        <f t="shared" ca="1" si="6"/>
        <v>0.10842933959102537</v>
      </c>
      <c r="J74" s="145">
        <f t="shared" ca="1" si="6"/>
        <v>0</v>
      </c>
      <c r="K74" s="145">
        <f t="shared" ca="1" si="6"/>
        <v>0</v>
      </c>
      <c r="L74" s="145">
        <f t="shared" ca="1" si="6"/>
        <v>0</v>
      </c>
      <c r="M74" s="145">
        <f t="shared" ca="1" si="6"/>
        <v>0</v>
      </c>
      <c r="N74" s="145">
        <f t="shared" ca="1" si="6"/>
        <v>0</v>
      </c>
      <c r="O74" s="145">
        <f t="shared" ca="1" si="7"/>
        <v>0</v>
      </c>
      <c r="P74" s="145">
        <f t="shared" ca="1" si="7"/>
        <v>0</v>
      </c>
      <c r="Q74" s="145">
        <f t="shared" ca="1" si="7"/>
        <v>0</v>
      </c>
      <c r="R74" s="145">
        <f t="shared" ca="1" si="7"/>
        <v>0</v>
      </c>
      <c r="S74" s="145">
        <f t="shared" ca="1" si="7"/>
        <v>0</v>
      </c>
      <c r="T74" s="145">
        <f t="shared" ca="1" si="7"/>
        <v>0</v>
      </c>
      <c r="U74" s="145">
        <f t="shared" ca="1" si="7"/>
        <v>0</v>
      </c>
      <c r="V74" s="145">
        <f t="shared" ca="1" si="7"/>
        <v>0</v>
      </c>
      <c r="W74" s="145">
        <f t="shared" ca="1" si="7"/>
        <v>0</v>
      </c>
      <c r="X74" s="145">
        <f t="shared" ca="1" si="7"/>
        <v>0</v>
      </c>
      <c r="Y74" s="10">
        <f>IFERROR(_xlfn.XLOOKUP(D74,'2C 均值'!$A:$A,'2C 均值'!$E:$E),0)</f>
        <v>2.4812030075187969E-2</v>
      </c>
      <c r="Z74" s="10">
        <f t="array" aca="1" ref="Z74" ca="1">IF(OR($D74=0,$D74=""),"",_xlfn.LET(
        _xlpm.channel,$D74,
        _xlpm.factorName,$C74,
        _xlpm.factorNum,IF(_xlpm.factorName="","",VALUE(RIGHT(_xlpm.factorName,LEN(_xlpm.factorName)-6))),
        _xlpm.flMatrixStart,_xlfn.XMATCH("Rotation Method: Procrustes with Kaiser Normalization.",'2B FL'!$A:$A,0),
        _xlpm.channelRow,IFERROR(_xlfn.XMATCH(_xlpm.channel,OFFSET('2B FL'!$B$1,_xlpm.flMatrixStart+2,0,100,1),0),0),
        IF(OR(_xlpm.channelRow=0,_xlpm.factorNum=""),"",INDEX(OFFSET('2B FL'!$D$1,_xlpm.flMatrixStart+2,0,100,27),_xlpm.channelRow,_xlpm.factorNum))
    ))</f>
        <v>0.93823321236480572</v>
      </c>
      <c r="AA74" s="6"/>
      <c r="AB74" s="6"/>
      <c r="AC74" s="6"/>
      <c r="AD74" s="9"/>
      <c r="AE74" s="9"/>
      <c r="AF74" s="9"/>
      <c r="AG74" s="9"/>
      <c r="AH74" s="9"/>
      <c r="AI74" s="9"/>
      <c r="AJ74" s="9"/>
    </row>
    <row r="75" spans="3:36" ht="15.75" customHeight="1" x14ac:dyDescent="0.3">
      <c r="C75" s="87" t="str">
        <f>IF(OR($D75=0,$D75=""),"",_xlfn.LET(
    _xlpm.channel,$D75,
    _xlpm.rowNum,_xlfn.XMATCH(_xlpm.channel,'2B RotationRule'!$C:$C,0),
    _xlpm.factorRow,INDEX('2B RotationRule'!$E:$AE,_xlpm.rowNum,0),
    _xlpm.factorNum,_xlfn.XMATCH(1,_xlpm.factorRow,0),
    IF(ISERROR(_xlpm.factorNum),"","Factor"&amp;_xlpm.factorNum)
))</f>
        <v>Factor18</v>
      </c>
      <c r="D75" s="123" t="str">
        <f>'2B RotationRule'!C20</f>
        <v>dLevel_T2_18</v>
      </c>
      <c r="E75" s="2">
        <f t="shared" ca="1" si="6"/>
        <v>7.8007291233681718E-3</v>
      </c>
      <c r="F75" s="2">
        <f t="shared" ca="1" si="6"/>
        <v>4.2891954582487075E-2</v>
      </c>
      <c r="G75" s="2">
        <f t="shared" ca="1" si="6"/>
        <v>7.8007291233681718E-3</v>
      </c>
      <c r="H75" s="145">
        <f t="shared" ca="1" si="6"/>
        <v>4.2891954582487075E-2</v>
      </c>
      <c r="I75" s="145">
        <f t="shared" ca="1" si="6"/>
        <v>0.15785885755682991</v>
      </c>
      <c r="J75" s="145">
        <f t="shared" ca="1" si="6"/>
        <v>0</v>
      </c>
      <c r="K75" s="145">
        <f t="shared" ca="1" si="6"/>
        <v>0</v>
      </c>
      <c r="L75" s="145">
        <f t="shared" ca="1" si="6"/>
        <v>0</v>
      </c>
      <c r="M75" s="145">
        <f t="shared" ca="1" si="6"/>
        <v>0</v>
      </c>
      <c r="N75" s="145">
        <f t="shared" ca="1" si="6"/>
        <v>0</v>
      </c>
      <c r="O75" s="145">
        <f t="shared" ca="1" si="7"/>
        <v>0</v>
      </c>
      <c r="P75" s="145">
        <f t="shared" ca="1" si="7"/>
        <v>0</v>
      </c>
      <c r="Q75" s="145">
        <f t="shared" ca="1" si="7"/>
        <v>0</v>
      </c>
      <c r="R75" s="145">
        <f t="shared" ca="1" si="7"/>
        <v>0</v>
      </c>
      <c r="S75" s="145">
        <f t="shared" ca="1" si="7"/>
        <v>0</v>
      </c>
      <c r="T75" s="145">
        <f t="shared" ca="1" si="7"/>
        <v>0</v>
      </c>
      <c r="U75" s="145">
        <f t="shared" ca="1" si="7"/>
        <v>0</v>
      </c>
      <c r="V75" s="145">
        <f t="shared" ca="1" si="7"/>
        <v>0</v>
      </c>
      <c r="W75" s="145">
        <f t="shared" ca="1" si="7"/>
        <v>0</v>
      </c>
      <c r="X75" s="145">
        <f t="shared" ca="1" si="7"/>
        <v>0</v>
      </c>
      <c r="Y75" s="10">
        <f>IFERROR(_xlfn.XLOOKUP(D75,'2C 均值'!$A:$A,'2C 均值'!$E:$E),0)</f>
        <v>6.5601503759398494E-2</v>
      </c>
      <c r="Z75" s="10">
        <f t="array" aca="1" ref="Z75" ca="1">IF(OR($D75=0,$D75=""),"",_xlfn.LET(
        _xlpm.channel,$D75,
        _xlpm.factorName,$C75,
        _xlpm.factorNum,IF(_xlpm.factorName="","",VALUE(RIGHT(_xlpm.factorName,LEN(_xlpm.factorName)-6))),
        _xlpm.flMatrixStart,_xlfn.XMATCH("Rotation Method: Procrustes with Kaiser Normalization.",'2B FL'!$A:$A,0),
        _xlpm.channelRow,IFERROR(_xlfn.XMATCH(_xlpm.channel,OFFSET('2B FL'!$B$1,_xlpm.flMatrixStart+2,0,100,1),0),0),
        IF(OR(_xlpm.channelRow=0,_xlpm.factorNum=""),"",INDEX(OFFSET('2B FL'!$D$1,_xlpm.flMatrixStart+2,0,100,27),_xlpm.channelRow,_xlpm.factorNum))
    ))</f>
        <v>0.79790124581555955</v>
      </c>
      <c r="AA75" s="6"/>
      <c r="AB75" s="6"/>
      <c r="AC75" s="6"/>
      <c r="AD75" s="9"/>
      <c r="AE75" s="9"/>
      <c r="AF75" s="9"/>
      <c r="AG75" s="9"/>
      <c r="AH75" s="9"/>
      <c r="AI75" s="9"/>
      <c r="AJ75" s="9"/>
    </row>
    <row r="76" spans="3:36" ht="15.75" customHeight="1" x14ac:dyDescent="0.3">
      <c r="C76" s="87" t="str">
        <f>IF(OR($D76=0,$D76=""),"",_xlfn.LET(
    _xlpm.channel,$D76,
    _xlpm.rowNum,_xlfn.XMATCH(_xlpm.channel,'2B RotationRule'!$C:$C,0),
    _xlpm.factorRow,INDEX('2B RotationRule'!$E:$AE,_xlpm.rowNum,0),
    _xlpm.factorNum,_xlfn.XMATCH(1,_xlpm.factorRow,0),
    IF(ISERROR(_xlpm.factorNum),"","Factor"&amp;_xlpm.factorNum)
))</f>
        <v>Factor19</v>
      </c>
      <c r="D76" s="123" t="str">
        <f>'2B RotationRule'!C21</f>
        <v>dLevel_T2_19</v>
      </c>
      <c r="E76" s="2">
        <f t="shared" ca="1" si="6"/>
        <v>1.2396297251691963E-2</v>
      </c>
      <c r="F76" s="2">
        <f t="shared" ca="1" si="6"/>
        <v>9.3778982453042638E-3</v>
      </c>
      <c r="G76" s="2">
        <f t="shared" ca="1" si="6"/>
        <v>1.2396297251691963E-2</v>
      </c>
      <c r="H76" s="145">
        <f t="shared" ca="1" si="6"/>
        <v>9.3778982453042638E-3</v>
      </c>
      <c r="I76" s="145">
        <f t="shared" ca="1" si="6"/>
        <v>5.8927415675882437E-2</v>
      </c>
      <c r="J76" s="145">
        <f t="shared" ca="1" si="6"/>
        <v>0</v>
      </c>
      <c r="K76" s="145">
        <f t="shared" ca="1" si="6"/>
        <v>0</v>
      </c>
      <c r="L76" s="145">
        <f t="shared" ca="1" si="6"/>
        <v>0</v>
      </c>
      <c r="M76" s="145">
        <f t="shared" ca="1" si="6"/>
        <v>0</v>
      </c>
      <c r="N76" s="145">
        <f t="shared" ca="1" si="6"/>
        <v>0</v>
      </c>
      <c r="O76" s="145">
        <f t="shared" ca="1" si="7"/>
        <v>0</v>
      </c>
      <c r="P76" s="145">
        <f t="shared" ca="1" si="7"/>
        <v>0</v>
      </c>
      <c r="Q76" s="145">
        <f t="shared" ca="1" si="7"/>
        <v>0</v>
      </c>
      <c r="R76" s="145">
        <f t="shared" ca="1" si="7"/>
        <v>0</v>
      </c>
      <c r="S76" s="145">
        <f t="shared" ca="1" si="7"/>
        <v>0</v>
      </c>
      <c r="T76" s="145">
        <f t="shared" ca="1" si="7"/>
        <v>0</v>
      </c>
      <c r="U76" s="145">
        <f t="shared" ca="1" si="7"/>
        <v>0</v>
      </c>
      <c r="V76" s="145">
        <f t="shared" ca="1" si="7"/>
        <v>0</v>
      </c>
      <c r="W76" s="145">
        <f t="shared" ca="1" si="7"/>
        <v>0</v>
      </c>
      <c r="X76" s="145">
        <f t="shared" ca="1" si="7"/>
        <v>0</v>
      </c>
      <c r="Y76" s="10">
        <f>IFERROR(_xlfn.XLOOKUP(D76,'2C 均值'!$A:$A,'2C 均值'!$E:$E),0)</f>
        <v>1.5977443609022559E-2</v>
      </c>
      <c r="Z76" s="10">
        <f t="array" aca="1" ref="Z76" ca="1">IF(OR($D76=0,$D76=""),"",_xlfn.LET(
        _xlpm.channel,$D76,
        _xlpm.factorName,$C76,
        _xlpm.factorNum,IF(_xlpm.factorName="","",VALUE(RIGHT(_xlpm.factorName,LEN(_xlpm.factorName)-6))),
        _xlpm.flMatrixStart,_xlfn.XMATCH("Rotation Method: Procrustes with Kaiser Normalization.",'2B FL'!$A:$A,0),
        _xlpm.channelRow,IFERROR(_xlfn.XMATCH(_xlpm.channel,OFFSET('2B FL'!$B$1,_xlpm.flMatrixStart+2,0,100,1),0),0),
        IF(OR(_xlpm.channelRow=0,_xlpm.factorNum=""),"",INDEX(OFFSET('2B FL'!$D$1,_xlpm.flMatrixStart+2,0,100,27),_xlpm.channelRow,_xlpm.factorNum))
    ))</f>
        <v>0.94561016899401928</v>
      </c>
      <c r="AA76" s="6"/>
      <c r="AB76" s="6"/>
      <c r="AC76" s="6"/>
      <c r="AD76" s="9"/>
      <c r="AE76" s="9"/>
      <c r="AF76" s="9"/>
      <c r="AG76" s="9"/>
      <c r="AH76" s="9"/>
      <c r="AI76" s="9"/>
      <c r="AJ76" s="9"/>
    </row>
    <row r="77" spans="3:36" ht="15.75" customHeight="1" x14ac:dyDescent="0.3">
      <c r="C77" s="87" t="str">
        <f>IF(OR($D77=0,$D77=""),"",_xlfn.LET(
    _xlpm.channel,$D77,
    _xlpm.rowNum,_xlfn.XMATCH(_xlpm.channel,'2B RotationRule'!$C:$C,0),
    _xlpm.factorRow,INDEX('2B RotationRule'!$E:$AE,_xlpm.rowNum,0),
    _xlpm.factorNum,_xlfn.XMATCH(1,_xlpm.factorRow,0),
    IF(ISERROR(_xlpm.factorNum),"","Factor"&amp;_xlpm.factorNum)
))</f>
        <v>Factor20</v>
      </c>
      <c r="D77" s="123" t="str">
        <f>'2B RotationRule'!C22</f>
        <v>dLevel_T2_21</v>
      </c>
      <c r="E77" s="2">
        <f t="shared" ca="1" si="6"/>
        <v>1.4966525435741271E-2</v>
      </c>
      <c r="F77" s="2">
        <f t="shared" ca="1" si="6"/>
        <v>2.3782160682035088E-2</v>
      </c>
      <c r="G77" s="2">
        <f t="shared" ca="1" si="6"/>
        <v>1.4966525435741271E-2</v>
      </c>
      <c r="H77" s="145">
        <f t="shared" ca="1" si="6"/>
        <v>2.3782160682035088E-2</v>
      </c>
      <c r="I77" s="145">
        <f t="shared" ca="1" si="6"/>
        <v>9.8710061382784361E-2</v>
      </c>
      <c r="J77" s="145">
        <f t="shared" ca="1" si="6"/>
        <v>0</v>
      </c>
      <c r="K77" s="145">
        <f t="shared" ca="1" si="6"/>
        <v>0</v>
      </c>
      <c r="L77" s="145">
        <f t="shared" ca="1" si="6"/>
        <v>0</v>
      </c>
      <c r="M77" s="145">
        <f t="shared" ca="1" si="6"/>
        <v>0</v>
      </c>
      <c r="N77" s="145">
        <f t="shared" ca="1" si="6"/>
        <v>0</v>
      </c>
      <c r="O77" s="145">
        <f t="shared" ca="1" si="7"/>
        <v>0</v>
      </c>
      <c r="P77" s="145">
        <f t="shared" ca="1" si="7"/>
        <v>0</v>
      </c>
      <c r="Q77" s="145">
        <f t="shared" ca="1" si="7"/>
        <v>0</v>
      </c>
      <c r="R77" s="145">
        <f t="shared" ca="1" si="7"/>
        <v>0</v>
      </c>
      <c r="S77" s="145">
        <f t="shared" ca="1" si="7"/>
        <v>0</v>
      </c>
      <c r="T77" s="145">
        <f t="shared" ca="1" si="7"/>
        <v>0</v>
      </c>
      <c r="U77" s="145">
        <f t="shared" ca="1" si="7"/>
        <v>0</v>
      </c>
      <c r="V77" s="145">
        <f t="shared" ca="1" si="7"/>
        <v>0</v>
      </c>
      <c r="W77" s="145">
        <f t="shared" ca="1" si="7"/>
        <v>0</v>
      </c>
      <c r="X77" s="145">
        <f t="shared" ca="1" si="7"/>
        <v>0</v>
      </c>
      <c r="Y77" s="10">
        <f>IFERROR(_xlfn.XLOOKUP(D77,'2C 均值'!$A:$A,'2C 均值'!$E:$E),0)</f>
        <v>3.6466165413533827E-2</v>
      </c>
      <c r="Z77" s="10">
        <f t="array" aca="1" ref="Z77" ca="1">IF(OR($D77=0,$D77=""),"",_xlfn.LET(
        _xlpm.channel,$D77,
        _xlpm.factorName,$C77,
        _xlpm.factorNum,IF(_xlpm.factorName="","",VALUE(RIGHT(_xlpm.factorName,LEN(_xlpm.factorName)-6))),
        _xlpm.flMatrixStart,_xlfn.XMATCH("Rotation Method: Procrustes with Kaiser Normalization.",'2B FL'!$A:$A,0),
        _xlpm.channelRow,IFERROR(_xlfn.XMATCH(_xlpm.channel,OFFSET('2B FL'!$B$1,_xlpm.flMatrixStart+2,0,100,1),0),0),
        IF(OR(_xlpm.channelRow=0,_xlpm.factorNum=""),"",INDEX(OFFSET('2B FL'!$D$1,_xlpm.flMatrixStart+2,0,100,27),_xlpm.channelRow,_xlpm.factorNum))
    ))</f>
        <v>0.90617179608283538</v>
      </c>
      <c r="AA77" s="6"/>
      <c r="AB77" s="6"/>
      <c r="AC77" s="6"/>
      <c r="AD77" s="9"/>
      <c r="AE77" s="9"/>
      <c r="AF77" s="9"/>
      <c r="AG77" s="9"/>
      <c r="AH77" s="9"/>
      <c r="AI77" s="9"/>
      <c r="AJ77" s="9"/>
    </row>
    <row r="78" spans="3:36" ht="15.75" customHeight="1" x14ac:dyDescent="0.3">
      <c r="C78" s="87" t="str">
        <f>IF(OR($D78=0,$D78=""),"",_xlfn.LET(
    _xlpm.channel,$D78,
    _xlpm.rowNum,_xlfn.XMATCH(_xlpm.channel,'2B RotationRule'!$C:$C,0),
    _xlpm.factorRow,INDEX('2B RotationRule'!$E:$AE,_xlpm.rowNum,0),
    _xlpm.factorNum,_xlfn.XMATCH(1,_xlpm.factorRow,0),
    IF(ISERROR(_xlpm.factorNum),"","Factor"&amp;_xlpm.factorNum)
))</f>
        <v>Factor21</v>
      </c>
      <c r="D78" s="123" t="str">
        <f>'2B RotationRule'!C23</f>
        <v>dLevel_T2_22</v>
      </c>
      <c r="E78" s="2">
        <f t="shared" ref="E78:N92" ca="1" si="8">IFERROR(_xlfn.XLOOKUP($C78,$D$3:$D$40,E$3:E$40)*$Z78,0)</f>
        <v>0.13754264469763572</v>
      </c>
      <c r="F78" s="2">
        <f t="shared" ca="1" si="8"/>
        <v>0.12246587239507523</v>
      </c>
      <c r="G78" s="2">
        <f t="shared" ca="1" si="8"/>
        <v>0.13754264469763572</v>
      </c>
      <c r="H78" s="145">
        <f t="shared" ca="1" si="8"/>
        <v>0.12246587239507523</v>
      </c>
      <c r="I78" s="145">
        <f t="shared" ca="1" si="8"/>
        <v>0.30625506612880987</v>
      </c>
      <c r="J78" s="145">
        <f t="shared" ca="1" si="8"/>
        <v>0</v>
      </c>
      <c r="K78" s="145">
        <f t="shared" ca="1" si="8"/>
        <v>0</v>
      </c>
      <c r="L78" s="145">
        <f t="shared" ca="1" si="8"/>
        <v>0</v>
      </c>
      <c r="M78" s="145">
        <f t="shared" ca="1" si="8"/>
        <v>0</v>
      </c>
      <c r="N78" s="145">
        <f t="shared" ca="1" si="8"/>
        <v>0</v>
      </c>
      <c r="O78" s="145">
        <f t="shared" ref="O78:X92" ca="1" si="9">IFERROR(_xlfn.XLOOKUP($C78,$D$3:$D$40,O$3:O$40)*$Z78,0)</f>
        <v>0</v>
      </c>
      <c r="P78" s="145">
        <f t="shared" ca="1" si="9"/>
        <v>0</v>
      </c>
      <c r="Q78" s="145">
        <f t="shared" ca="1" si="9"/>
        <v>0</v>
      </c>
      <c r="R78" s="145">
        <f t="shared" ca="1" si="9"/>
        <v>0</v>
      </c>
      <c r="S78" s="145">
        <f t="shared" ca="1" si="9"/>
        <v>0</v>
      </c>
      <c r="T78" s="145">
        <f t="shared" ca="1" si="9"/>
        <v>0</v>
      </c>
      <c r="U78" s="145">
        <f t="shared" ca="1" si="9"/>
        <v>0</v>
      </c>
      <c r="V78" s="145">
        <f t="shared" ca="1" si="9"/>
        <v>0</v>
      </c>
      <c r="W78" s="145">
        <f t="shared" ca="1" si="9"/>
        <v>0</v>
      </c>
      <c r="X78" s="145">
        <f t="shared" ca="1" si="9"/>
        <v>0</v>
      </c>
      <c r="Y78" s="10">
        <f>IFERROR(_xlfn.XLOOKUP(D78,'2C 均值'!$A:$A,'2C 均值'!$E:$E),0)</f>
        <v>7.3496240601503754E-2</v>
      </c>
      <c r="Z78" s="10">
        <f t="array" aca="1" ref="Z78" ca="1">IF(OR($D78=0,$D78=""),"",_xlfn.LET(
        _xlpm.channel,$D78,
        _xlpm.factorName,$C78,
        _xlpm.factorNum,IF(_xlpm.factorName="","",VALUE(RIGHT(_xlpm.factorName,LEN(_xlpm.factorName)-6))),
        _xlpm.flMatrixStart,_xlfn.XMATCH("Rotation Method: Procrustes with Kaiser Normalization.",'2B FL'!$A:$A,0),
        _xlpm.channelRow,IFERROR(_xlfn.XMATCH(_xlpm.channel,OFFSET('2B FL'!$B$1,_xlpm.flMatrixStart+2,0,100,1),0),0),
        IF(OR(_xlpm.channelRow=0,_xlpm.factorNum=""),"",INDEX(OFFSET('2B FL'!$D$1,_xlpm.flMatrixStart+2,0,100,27),_xlpm.channelRow,_xlpm.factorNum))
    ))</f>
        <v>0.96968330900337163</v>
      </c>
      <c r="AA78" s="6"/>
      <c r="AB78" s="6"/>
      <c r="AC78" s="6"/>
      <c r="AD78" s="9"/>
      <c r="AE78" s="9"/>
      <c r="AF78" s="9"/>
      <c r="AG78" s="9"/>
      <c r="AH78" s="9"/>
      <c r="AI78" s="9"/>
      <c r="AJ78" s="9"/>
    </row>
    <row r="79" spans="3:36" ht="15.75" customHeight="1" x14ac:dyDescent="0.3">
      <c r="C79" s="87" t="str">
        <f>IF(OR($D79=0,$D79=""),"",_xlfn.LET(
    _xlpm.channel,$D79,
    _xlpm.rowNum,_xlfn.XMATCH(_xlpm.channel,'2B RotationRule'!$C:$C,0),
    _xlpm.factorRow,INDEX('2B RotationRule'!$E:$AE,_xlpm.rowNum,0),
    _xlpm.factorNum,_xlfn.XMATCH(1,_xlpm.factorRow,0),
    IF(ISERROR(_xlpm.factorNum),"","Factor"&amp;_xlpm.factorNum)
))</f>
        <v>Factor22</v>
      </c>
      <c r="D79" s="123" t="str">
        <f>'2B RotationRule'!C24</f>
        <v>dLevel_T2_23</v>
      </c>
      <c r="E79" s="2">
        <f t="shared" ca="1" si="8"/>
        <v>1.3173218977312559E-2</v>
      </c>
      <c r="F79" s="2">
        <f t="shared" ca="1" si="8"/>
        <v>1.4612447626601967E-3</v>
      </c>
      <c r="G79" s="2">
        <f t="shared" ca="1" si="8"/>
        <v>1.3173218977312559E-2</v>
      </c>
      <c r="H79" s="145">
        <f t="shared" ca="1" si="8"/>
        <v>1.4612447626601967E-3</v>
      </c>
      <c r="I79" s="145">
        <f t="shared" ca="1" si="8"/>
        <v>7.6519553842996552E-2</v>
      </c>
      <c r="J79" s="145">
        <f t="shared" ca="1" si="8"/>
        <v>0</v>
      </c>
      <c r="K79" s="145">
        <f t="shared" ca="1" si="8"/>
        <v>0</v>
      </c>
      <c r="L79" s="145">
        <f t="shared" ca="1" si="8"/>
        <v>0</v>
      </c>
      <c r="M79" s="145">
        <f t="shared" ca="1" si="8"/>
        <v>0</v>
      </c>
      <c r="N79" s="145">
        <f t="shared" ca="1" si="8"/>
        <v>0</v>
      </c>
      <c r="O79" s="145">
        <f t="shared" ca="1" si="9"/>
        <v>0</v>
      </c>
      <c r="P79" s="145">
        <f t="shared" ca="1" si="9"/>
        <v>0</v>
      </c>
      <c r="Q79" s="145">
        <f t="shared" ca="1" si="9"/>
        <v>0</v>
      </c>
      <c r="R79" s="145">
        <f t="shared" ca="1" si="9"/>
        <v>0</v>
      </c>
      <c r="S79" s="145">
        <f t="shared" ca="1" si="9"/>
        <v>0</v>
      </c>
      <c r="T79" s="145">
        <f t="shared" ca="1" si="9"/>
        <v>0</v>
      </c>
      <c r="U79" s="145">
        <f t="shared" ca="1" si="9"/>
        <v>0</v>
      </c>
      <c r="V79" s="145">
        <f t="shared" ca="1" si="9"/>
        <v>0</v>
      </c>
      <c r="W79" s="145">
        <f t="shared" ca="1" si="9"/>
        <v>0</v>
      </c>
      <c r="X79" s="145">
        <f t="shared" ca="1" si="9"/>
        <v>0</v>
      </c>
      <c r="Y79" s="10">
        <f>IFERROR(_xlfn.XLOOKUP(D79,'2C 均值'!$A:$A,'2C 均值'!$E:$E),0)</f>
        <v>1.578947368421053E-2</v>
      </c>
      <c r="Z79" s="10">
        <f t="array" aca="1" ref="Z79" ca="1">IF(OR($D79=0,$D79=""),"",_xlfn.LET(
        _xlpm.channel,$D79,
        _xlpm.factorName,$C79,
        _xlpm.factorNum,IF(_xlpm.factorName="","",VALUE(RIGHT(_xlpm.factorName,LEN(_xlpm.factorName)-6))),
        _xlpm.flMatrixStart,_xlfn.XMATCH("Rotation Method: Procrustes with Kaiser Normalization.",'2B FL'!$A:$A,0),
        _xlpm.channelRow,IFERROR(_xlfn.XMATCH(_xlpm.channel,OFFSET('2B FL'!$B$1,_xlpm.flMatrixStart+2,0,100,1),0),0),
        IF(OR(_xlpm.channelRow=0,_xlpm.factorNum=""),"",INDEX(OFFSET('2B FL'!$D$1,_xlpm.flMatrixStart+2,0,100,27),_xlpm.channelRow,_xlpm.factorNum))
    ))</f>
        <v>0.94439519390159488</v>
      </c>
      <c r="AA79" s="6"/>
      <c r="AB79" s="6"/>
      <c r="AC79" s="6"/>
      <c r="AD79" s="9"/>
      <c r="AE79" s="9"/>
      <c r="AF79" s="9"/>
      <c r="AG79" s="9"/>
      <c r="AH79" s="9"/>
      <c r="AI79" s="9"/>
      <c r="AJ79" s="9"/>
    </row>
    <row r="80" spans="3:36" ht="15.75" customHeight="1" x14ac:dyDescent="0.3">
      <c r="C80" s="87" t="str">
        <f>IF(OR($D80=0,$D80=""),"",_xlfn.LET(
    _xlpm.channel,$D80,
    _xlpm.rowNum,_xlfn.XMATCH(_xlpm.channel,'2B RotationRule'!$C:$C,0),
    _xlpm.factorRow,INDEX('2B RotationRule'!$E:$AE,_xlpm.rowNum,0),
    _xlpm.factorNum,_xlfn.XMATCH(1,_xlpm.factorRow,0),
    IF(ISERROR(_xlpm.factorNum),"","Factor"&amp;_xlpm.factorNum)
))</f>
        <v>Factor23</v>
      </c>
      <c r="D80" s="123" t="str">
        <f>'2B RotationRule'!C25</f>
        <v>dLevel_T2_24</v>
      </c>
      <c r="E80" s="2">
        <f t="shared" ca="1" si="8"/>
        <v>1.5357173465037774E-2</v>
      </c>
      <c r="F80" s="2">
        <f t="shared" ca="1" si="8"/>
        <v>3.5522925177967672E-2</v>
      </c>
      <c r="G80" s="2">
        <f t="shared" ca="1" si="8"/>
        <v>1.5357173465037774E-2</v>
      </c>
      <c r="H80" s="145">
        <f t="shared" ca="1" si="8"/>
        <v>3.5522925177967672E-2</v>
      </c>
      <c r="I80" s="145">
        <f t="shared" ca="1" si="8"/>
        <v>0.17581137779495201</v>
      </c>
      <c r="J80" s="145">
        <f t="shared" ca="1" si="8"/>
        <v>0</v>
      </c>
      <c r="K80" s="145">
        <f t="shared" ca="1" si="8"/>
        <v>0</v>
      </c>
      <c r="L80" s="145">
        <f t="shared" ca="1" si="8"/>
        <v>0</v>
      </c>
      <c r="M80" s="145">
        <f t="shared" ca="1" si="8"/>
        <v>0</v>
      </c>
      <c r="N80" s="145">
        <f t="shared" ca="1" si="8"/>
        <v>0</v>
      </c>
      <c r="O80" s="145">
        <f t="shared" ca="1" si="9"/>
        <v>0</v>
      </c>
      <c r="P80" s="145">
        <f t="shared" ca="1" si="9"/>
        <v>0</v>
      </c>
      <c r="Q80" s="145">
        <f t="shared" ca="1" si="9"/>
        <v>0</v>
      </c>
      <c r="R80" s="145">
        <f t="shared" ca="1" si="9"/>
        <v>0</v>
      </c>
      <c r="S80" s="145">
        <f t="shared" ca="1" si="9"/>
        <v>0</v>
      </c>
      <c r="T80" s="145">
        <f t="shared" ca="1" si="9"/>
        <v>0</v>
      </c>
      <c r="U80" s="145">
        <f t="shared" ca="1" si="9"/>
        <v>0</v>
      </c>
      <c r="V80" s="145">
        <f t="shared" ca="1" si="9"/>
        <v>0</v>
      </c>
      <c r="W80" s="145">
        <f t="shared" ca="1" si="9"/>
        <v>0</v>
      </c>
      <c r="X80" s="145">
        <f t="shared" ca="1" si="9"/>
        <v>0</v>
      </c>
      <c r="Y80" s="10">
        <f>IFERROR(_xlfn.XLOOKUP(D80,'2C 均值'!$A:$A,'2C 均值'!$E:$E),0)</f>
        <v>6.0150375939849621E-2</v>
      </c>
      <c r="Z80" s="10">
        <f t="array" aca="1" ref="Z80" ca="1">IF(OR($D80=0,$D80=""),"",_xlfn.LET(
        _xlpm.channel,$D80,
        _xlpm.factorName,$C80,
        _xlpm.factorNum,IF(_xlpm.factorName="","",VALUE(RIGHT(_xlpm.factorName,LEN(_xlpm.factorName)-6))),
        _xlpm.flMatrixStart,_xlfn.XMATCH("Rotation Method: Procrustes with Kaiser Normalization.",'2B FL'!$A:$A,0),
        _xlpm.channelRow,IFERROR(_xlfn.XMATCH(_xlpm.channel,OFFSET('2B FL'!$B$1,_xlpm.flMatrixStart+2,0,100,1),0),0),
        IF(OR(_xlpm.channelRow=0,_xlpm.factorNum=""),"",INDEX(OFFSET('2B FL'!$D$1,_xlpm.flMatrixStart+2,0,100,27),_xlpm.channelRow,_xlpm.factorNum))
    ))</f>
        <v>0.8097886432752206</v>
      </c>
      <c r="AA80" s="6"/>
      <c r="AB80" s="6"/>
      <c r="AC80" s="6"/>
      <c r="AD80" s="9"/>
      <c r="AE80" s="9"/>
      <c r="AF80" s="9"/>
      <c r="AG80" s="9"/>
      <c r="AH80" s="9"/>
      <c r="AI80" s="9"/>
      <c r="AJ80" s="9"/>
    </row>
    <row r="81" spans="1:36" ht="15.75" customHeight="1" x14ac:dyDescent="0.3">
      <c r="C81" s="87" t="str">
        <f>IF(OR($D81=0,$D81=""),"",_xlfn.LET(
    _xlpm.channel,$D81,
    _xlpm.rowNum,_xlfn.XMATCH(_xlpm.channel,'2B RotationRule'!$C:$C,0),
    _xlpm.factorRow,INDEX('2B RotationRule'!$E:$AE,_xlpm.rowNum,0),
    _xlpm.factorNum,_xlfn.XMATCH(1,_xlpm.factorRow,0),
    IF(ISERROR(_xlpm.factorNum),"","Factor"&amp;_xlpm.factorNum)
))</f>
        <v>Factor24</v>
      </c>
      <c r="D81" s="123" t="str">
        <f>'2B RotationRule'!C26</f>
        <v>dLevel_T2_25</v>
      </c>
      <c r="E81" s="2">
        <f t="shared" ca="1" si="8"/>
        <v>1.4289936908023175E-2</v>
      </c>
      <c r="F81" s="2">
        <f t="shared" ca="1" si="8"/>
        <v>4.8558586883109597E-3</v>
      </c>
      <c r="G81" s="2">
        <f t="shared" ca="1" si="8"/>
        <v>1.4289936908023175E-2</v>
      </c>
      <c r="H81" s="145">
        <f t="shared" ca="1" si="8"/>
        <v>4.8558586883109597E-3</v>
      </c>
      <c r="I81" s="145">
        <f t="shared" ca="1" si="8"/>
        <v>8.1708891634000358E-2</v>
      </c>
      <c r="J81" s="145">
        <f t="shared" ca="1" si="8"/>
        <v>0</v>
      </c>
      <c r="K81" s="145">
        <f t="shared" ca="1" si="8"/>
        <v>0</v>
      </c>
      <c r="L81" s="145">
        <f t="shared" ca="1" si="8"/>
        <v>0</v>
      </c>
      <c r="M81" s="145">
        <f t="shared" ca="1" si="8"/>
        <v>0</v>
      </c>
      <c r="N81" s="145">
        <f t="shared" ca="1" si="8"/>
        <v>0</v>
      </c>
      <c r="O81" s="145">
        <f t="shared" ca="1" si="9"/>
        <v>0</v>
      </c>
      <c r="P81" s="145">
        <f t="shared" ca="1" si="9"/>
        <v>0</v>
      </c>
      <c r="Q81" s="145">
        <f t="shared" ca="1" si="9"/>
        <v>0</v>
      </c>
      <c r="R81" s="145">
        <f t="shared" ca="1" si="9"/>
        <v>0</v>
      </c>
      <c r="S81" s="145">
        <f t="shared" ca="1" si="9"/>
        <v>0</v>
      </c>
      <c r="T81" s="145">
        <f t="shared" ca="1" si="9"/>
        <v>0</v>
      </c>
      <c r="U81" s="145">
        <f t="shared" ca="1" si="9"/>
        <v>0</v>
      </c>
      <c r="V81" s="145">
        <f t="shared" ca="1" si="9"/>
        <v>0</v>
      </c>
      <c r="W81" s="145">
        <f t="shared" ca="1" si="9"/>
        <v>0</v>
      </c>
      <c r="X81" s="145">
        <f t="shared" ca="1" si="9"/>
        <v>0</v>
      </c>
      <c r="Y81" s="10">
        <f>IFERROR(_xlfn.XLOOKUP(D81,'2C 均值'!$A:$A,'2C 均值'!$E:$E),0)</f>
        <v>1.8045112781954888E-2</v>
      </c>
      <c r="Z81" s="10">
        <f t="array" aca="1" ref="Z81" ca="1">IF(OR($D81=0,$D81=""),"",_xlfn.LET(
        _xlpm.channel,$D81,
        _xlpm.factorName,$C81,
        _xlpm.factorNum,IF(_xlpm.factorName="","",VALUE(RIGHT(_xlpm.factorName,LEN(_xlpm.factorName)-6))),
        _xlpm.flMatrixStart,_xlfn.XMATCH("Rotation Method: Procrustes with Kaiser Normalization.",'2B FL'!$A:$A,0),
        _xlpm.channelRow,IFERROR(_xlfn.XMATCH(_xlpm.channel,OFFSET('2B FL'!$B$1,_xlpm.flMatrixStart+2,0,100,1),0),0),
        IF(OR(_xlpm.channelRow=0,_xlpm.factorNum=""),"",INDEX(OFFSET('2B FL'!$D$1,_xlpm.flMatrixStart+2,0,100,27),_xlpm.channelRow,_xlpm.factorNum))
    ))</f>
        <v>0.9442708750254043</v>
      </c>
      <c r="AA81" s="6"/>
      <c r="AB81" s="6"/>
      <c r="AC81" s="6"/>
      <c r="AD81" s="9"/>
      <c r="AE81" s="9"/>
      <c r="AF81" s="9"/>
      <c r="AG81" s="9"/>
      <c r="AH81" s="9"/>
      <c r="AI81" s="9"/>
      <c r="AJ81" s="9"/>
    </row>
    <row r="82" spans="1:36" ht="15.75" customHeight="1" x14ac:dyDescent="0.3">
      <c r="C82" s="87" t="str">
        <f>IF(OR($D82=0,$D82=""),"",_xlfn.LET(
    _xlpm.channel,$D82,
    _xlpm.rowNum,_xlfn.XMATCH(_xlpm.channel,'2B RotationRule'!$C:$C,0),
    _xlpm.factorRow,INDEX('2B RotationRule'!$E:$AE,_xlpm.rowNum,0),
    _xlpm.factorNum,_xlfn.XMATCH(1,_xlpm.factorRow,0),
    IF(ISERROR(_xlpm.factorNum),"","Factor"&amp;_xlpm.factorNum)
))</f>
        <v>Factor25</v>
      </c>
      <c r="D82" s="123" t="str">
        <f>'2B RotationRule'!C27</f>
        <v>dLevel_T2_26</v>
      </c>
      <c r="E82" s="2">
        <f t="shared" ca="1" si="8"/>
        <v>2.4749255114241704E-2</v>
      </c>
      <c r="F82" s="2">
        <f t="shared" ca="1" si="8"/>
        <v>5.7383835384054371E-3</v>
      </c>
      <c r="G82" s="2">
        <f t="shared" ca="1" si="8"/>
        <v>2.4749255114241704E-2</v>
      </c>
      <c r="H82" s="145">
        <f t="shared" ca="1" si="8"/>
        <v>5.7383835384054371E-3</v>
      </c>
      <c r="I82" s="145">
        <f t="shared" ca="1" si="8"/>
        <v>5.585474221441579E-2</v>
      </c>
      <c r="J82" s="145">
        <f t="shared" ca="1" si="8"/>
        <v>0</v>
      </c>
      <c r="K82" s="145">
        <f t="shared" ca="1" si="8"/>
        <v>0</v>
      </c>
      <c r="L82" s="145">
        <f t="shared" ca="1" si="8"/>
        <v>0</v>
      </c>
      <c r="M82" s="145">
        <f t="shared" ca="1" si="8"/>
        <v>0</v>
      </c>
      <c r="N82" s="145">
        <f t="shared" ca="1" si="8"/>
        <v>0</v>
      </c>
      <c r="O82" s="145">
        <f t="shared" ca="1" si="9"/>
        <v>0</v>
      </c>
      <c r="P82" s="145">
        <f t="shared" ca="1" si="9"/>
        <v>0</v>
      </c>
      <c r="Q82" s="145">
        <f t="shared" ca="1" si="9"/>
        <v>0</v>
      </c>
      <c r="R82" s="145">
        <f t="shared" ca="1" si="9"/>
        <v>0</v>
      </c>
      <c r="S82" s="145">
        <f t="shared" ca="1" si="9"/>
        <v>0</v>
      </c>
      <c r="T82" s="145">
        <f t="shared" ca="1" si="9"/>
        <v>0</v>
      </c>
      <c r="U82" s="145">
        <f t="shared" ca="1" si="9"/>
        <v>0</v>
      </c>
      <c r="V82" s="145">
        <f t="shared" ca="1" si="9"/>
        <v>0</v>
      </c>
      <c r="W82" s="145">
        <f t="shared" ca="1" si="9"/>
        <v>0</v>
      </c>
      <c r="X82" s="145">
        <f t="shared" ca="1" si="9"/>
        <v>0</v>
      </c>
      <c r="Y82" s="10">
        <f>IFERROR(_xlfn.XLOOKUP(D82,'2C 均值'!$A:$A,'2C 均值'!$E:$E),0)</f>
        <v>1.823308270676692E-2</v>
      </c>
      <c r="Z82" s="10">
        <f t="array" aca="1" ref="Z82" ca="1">IF(OR($D82=0,$D82=""),"",_xlfn.LET(
        _xlpm.channel,$D82,
        _xlpm.factorName,$C82,
        _xlpm.factorNum,IF(_xlpm.factorName="","",VALUE(RIGHT(_xlpm.factorName,LEN(_xlpm.factorName)-6))),
        _xlpm.flMatrixStart,_xlfn.XMATCH("Rotation Method: Procrustes with Kaiser Normalization.",'2B FL'!$A:$A,0),
        _xlpm.channelRow,IFERROR(_xlfn.XMATCH(_xlpm.channel,OFFSET('2B FL'!$B$1,_xlpm.flMatrixStart+2,0,100,1),0),0),
        IF(OR(_xlpm.channelRow=0,_xlpm.factorNum=""),"",INDEX(OFFSET('2B FL'!$D$1,_xlpm.flMatrixStart+2,0,100,27),_xlpm.channelRow,_xlpm.factorNum))
    ))</f>
        <v>0.94294519647967012</v>
      </c>
      <c r="AA82" s="6"/>
      <c r="AB82" s="6"/>
      <c r="AC82" s="6"/>
      <c r="AD82" s="9"/>
      <c r="AE82" s="9"/>
      <c r="AF82" s="9"/>
      <c r="AG82" s="9"/>
      <c r="AH82" s="9"/>
      <c r="AI82" s="9"/>
      <c r="AJ82" s="9"/>
    </row>
    <row r="83" spans="1:36" ht="15.75" customHeight="1" x14ac:dyDescent="0.3">
      <c r="C83" s="87" t="str">
        <f>IF(OR($D83=0,$D83=""),"",_xlfn.LET(
    _xlpm.channel,$D83,
    _xlpm.rowNum,_xlfn.XMATCH(_xlpm.channel,'2B RotationRule'!$C:$C,0),
    _xlpm.factorRow,INDEX('2B RotationRule'!$E:$AE,_xlpm.rowNum,0),
    _xlpm.factorNum,_xlfn.XMATCH(1,_xlpm.factorRow,0),
    IF(ISERROR(_xlpm.factorNum),"","Factor"&amp;_xlpm.factorNum)
))</f>
        <v>Factor26</v>
      </c>
      <c r="D83" s="123" t="str">
        <f>'2B RotationRule'!C28</f>
        <v>dLevel_T2_27</v>
      </c>
      <c r="E83" s="2">
        <f t="shared" ca="1" si="8"/>
        <v>1.1667721351060433E-2</v>
      </c>
      <c r="F83" s="2">
        <f t="shared" ca="1" si="8"/>
        <v>2.8194494999223777E-2</v>
      </c>
      <c r="G83" s="2">
        <f t="shared" ca="1" si="8"/>
        <v>1.1667721351060433E-2</v>
      </c>
      <c r="H83" s="145">
        <f t="shared" ca="1" si="8"/>
        <v>2.8194494999223777E-2</v>
      </c>
      <c r="I83" s="145">
        <f t="shared" ca="1" si="8"/>
        <v>9.765511123949748E-2</v>
      </c>
      <c r="J83" s="145">
        <f t="shared" ca="1" si="8"/>
        <v>0</v>
      </c>
      <c r="K83" s="145">
        <f t="shared" ca="1" si="8"/>
        <v>0</v>
      </c>
      <c r="L83" s="145">
        <f t="shared" ca="1" si="8"/>
        <v>0</v>
      </c>
      <c r="M83" s="145">
        <f t="shared" ca="1" si="8"/>
        <v>0</v>
      </c>
      <c r="N83" s="145">
        <f t="shared" ca="1" si="8"/>
        <v>0</v>
      </c>
      <c r="O83" s="145">
        <f t="shared" ca="1" si="9"/>
        <v>0</v>
      </c>
      <c r="P83" s="145">
        <f t="shared" ca="1" si="9"/>
        <v>0</v>
      </c>
      <c r="Q83" s="145">
        <f t="shared" ca="1" si="9"/>
        <v>0</v>
      </c>
      <c r="R83" s="145">
        <f t="shared" ca="1" si="9"/>
        <v>0</v>
      </c>
      <c r="S83" s="145">
        <f t="shared" ca="1" si="9"/>
        <v>0</v>
      </c>
      <c r="T83" s="145">
        <f t="shared" ca="1" si="9"/>
        <v>0</v>
      </c>
      <c r="U83" s="145">
        <f t="shared" ca="1" si="9"/>
        <v>0</v>
      </c>
      <c r="V83" s="145">
        <f t="shared" ca="1" si="9"/>
        <v>0</v>
      </c>
      <c r="W83" s="145">
        <f t="shared" ca="1" si="9"/>
        <v>0</v>
      </c>
      <c r="X83" s="145">
        <f t="shared" ca="1" si="9"/>
        <v>0</v>
      </c>
      <c r="Y83" s="10">
        <f>IFERROR(_xlfn.XLOOKUP(D83,'2C 均值'!$A:$A,'2C 均值'!$E:$E),0)</f>
        <v>2.8007518796992481E-2</v>
      </c>
      <c r="Z83" s="10">
        <f t="array" aca="1" ref="Z83" ca="1">IF(OR($D83=0,$D83=""),"",_xlfn.LET(
        _xlpm.channel,$D83,
        _xlpm.factorName,$C83,
        _xlpm.factorNum,IF(_xlpm.factorName="","",VALUE(RIGHT(_xlpm.factorName,LEN(_xlpm.factorName)-6))),
        _xlpm.flMatrixStart,_xlfn.XMATCH("Rotation Method: Procrustes with Kaiser Normalization.",'2B FL'!$A:$A,0),
        _xlpm.channelRow,IFERROR(_xlfn.XMATCH(_xlpm.channel,OFFSET('2B FL'!$B$1,_xlpm.flMatrixStart+2,0,100,1),0),0),
        IF(OR(_xlpm.channelRow=0,_xlpm.factorNum=""),"",INDEX(OFFSET('2B FL'!$D$1,_xlpm.flMatrixStart+2,0,100,27),_xlpm.channelRow,_xlpm.factorNum))
    ))</f>
        <v>0.93454143204421336</v>
      </c>
      <c r="AA83" s="6"/>
      <c r="AB83" s="6"/>
      <c r="AC83" s="6"/>
      <c r="AD83" s="9"/>
      <c r="AE83" s="9"/>
      <c r="AF83" s="9"/>
      <c r="AG83" s="9"/>
      <c r="AH83" s="9"/>
      <c r="AI83" s="9"/>
      <c r="AJ83" s="9"/>
    </row>
    <row r="84" spans="1:36" ht="15.75" customHeight="1" x14ac:dyDescent="0.3">
      <c r="C84" s="87" t="str">
        <f>IF(OR($D84=0,$D84=""),"",_xlfn.LET(
    _xlpm.channel,$D84,
    _xlpm.rowNum,_xlfn.XMATCH(_xlpm.channel,'2B RotationRule'!$C:$C,0),
    _xlpm.factorRow,INDEX('2B RotationRule'!$E:$AE,_xlpm.rowNum,0),
    _xlpm.factorNum,_xlfn.XMATCH(1,_xlpm.factorRow,0),
    IF(ISERROR(_xlpm.factorNum),"","Factor"&amp;_xlpm.factorNum)
))</f>
        <v>Factor27</v>
      </c>
      <c r="D84" s="123" t="str">
        <f>'2B RotationRule'!C29</f>
        <v>dLevel_T2_28</v>
      </c>
      <c r="E84" s="2">
        <f t="shared" ca="1" si="8"/>
        <v>1.0557439005567408E-2</v>
      </c>
      <c r="F84" s="2">
        <f t="shared" ca="1" si="8"/>
        <v>1.7145409595063898E-2</v>
      </c>
      <c r="G84" s="2">
        <f t="shared" ca="1" si="8"/>
        <v>1.0557439005567408E-2</v>
      </c>
      <c r="H84" s="145">
        <f t="shared" ca="1" si="8"/>
        <v>1.7145409595063898E-2</v>
      </c>
      <c r="I84" s="145">
        <f t="shared" ca="1" si="8"/>
        <v>0.10408698997333768</v>
      </c>
      <c r="J84" s="145">
        <f t="shared" ca="1" si="8"/>
        <v>0</v>
      </c>
      <c r="K84" s="145">
        <f t="shared" ca="1" si="8"/>
        <v>0</v>
      </c>
      <c r="L84" s="145">
        <f t="shared" ca="1" si="8"/>
        <v>0</v>
      </c>
      <c r="M84" s="145">
        <f t="shared" ca="1" si="8"/>
        <v>0</v>
      </c>
      <c r="N84" s="145">
        <f t="shared" ca="1" si="8"/>
        <v>0</v>
      </c>
      <c r="O84" s="145">
        <f t="shared" ca="1" si="9"/>
        <v>0</v>
      </c>
      <c r="P84" s="145">
        <f t="shared" ca="1" si="9"/>
        <v>0</v>
      </c>
      <c r="Q84" s="145">
        <f t="shared" ca="1" si="9"/>
        <v>0</v>
      </c>
      <c r="R84" s="145">
        <f t="shared" ca="1" si="9"/>
        <v>0</v>
      </c>
      <c r="S84" s="145">
        <f t="shared" ca="1" si="9"/>
        <v>0</v>
      </c>
      <c r="T84" s="145">
        <f t="shared" ca="1" si="9"/>
        <v>0</v>
      </c>
      <c r="U84" s="145">
        <f t="shared" ca="1" si="9"/>
        <v>0</v>
      </c>
      <c r="V84" s="145">
        <f t="shared" ca="1" si="9"/>
        <v>0</v>
      </c>
      <c r="W84" s="145">
        <f t="shared" ca="1" si="9"/>
        <v>0</v>
      </c>
      <c r="X84" s="145">
        <f t="shared" ca="1" si="9"/>
        <v>0</v>
      </c>
      <c r="Y84" s="10">
        <f>IFERROR(_xlfn.XLOOKUP(D84,'2C 均值'!$A:$A,'2C 均值'!$E:$E),0)</f>
        <v>2.7443609022556392E-2</v>
      </c>
      <c r="Z84" s="10">
        <f t="array" aca="1" ref="Z84" ca="1">IF(OR($D84=0,$D84=""),"",_xlfn.LET(
        _xlpm.channel,$D84,
        _xlpm.factorName,$C84,
        _xlpm.factorNum,IF(_xlpm.factorName="","",VALUE(RIGHT(_xlpm.factorName,LEN(_xlpm.factorName)-6))),
        _xlpm.flMatrixStart,_xlfn.XMATCH("Rotation Method: Procrustes with Kaiser Normalization.",'2B FL'!$A:$A,0),
        _xlpm.channelRow,IFERROR(_xlfn.XMATCH(_xlpm.channel,OFFSET('2B FL'!$B$1,_xlpm.flMatrixStart+2,0,100,1),0),0),
        IF(OR(_xlpm.channelRow=0,_xlpm.factorNum=""),"",INDEX(OFFSET('2B FL'!$D$1,_xlpm.flMatrixStart+2,0,100,27),_xlpm.channelRow,_xlpm.factorNum))
    ))</f>
        <v>0.93194562597511976</v>
      </c>
      <c r="AA84" s="6"/>
      <c r="AB84" s="6"/>
      <c r="AC84" s="6"/>
      <c r="AD84" s="9"/>
      <c r="AE84" s="9"/>
      <c r="AF84" s="9"/>
      <c r="AG84" s="9"/>
      <c r="AH84" s="9"/>
      <c r="AI84" s="9"/>
      <c r="AJ84" s="9"/>
    </row>
    <row r="85" spans="1:36" ht="15.75" customHeight="1" x14ac:dyDescent="0.3">
      <c r="C85" s="87" t="str">
        <f>IF(OR($D85=0,$D85=""),"",_xlfn.LET(
    _xlpm.channel,$D85,
    _xlpm.rowNum,_xlfn.XMATCH(_xlpm.channel,'2B RotationRule'!$C:$C,0),
    _xlpm.factorRow,INDEX('2B RotationRule'!$E:$AE,_xlpm.rowNum,0),
    _xlpm.factorNum,_xlfn.XMATCH(1,_xlpm.factorRow,0),
    IF(ISERROR(_xlpm.factorNum),"","Factor"&amp;_xlpm.factorNum)
))</f>
        <v/>
      </c>
      <c r="D85" s="123">
        <f>'2B RotationRule'!C30</f>
        <v>0</v>
      </c>
      <c r="E85" s="2">
        <f t="shared" ca="1" si="8"/>
        <v>0</v>
      </c>
      <c r="F85" s="2">
        <f t="shared" ca="1" si="8"/>
        <v>0</v>
      </c>
      <c r="G85" s="2">
        <f t="shared" ca="1" si="8"/>
        <v>0</v>
      </c>
      <c r="H85" s="145">
        <f t="shared" ca="1" si="8"/>
        <v>0</v>
      </c>
      <c r="I85" s="145">
        <f t="shared" ca="1" si="8"/>
        <v>0</v>
      </c>
      <c r="J85" s="145">
        <f t="shared" ca="1" si="8"/>
        <v>0</v>
      </c>
      <c r="K85" s="145">
        <f t="shared" ca="1" si="8"/>
        <v>0</v>
      </c>
      <c r="L85" s="145">
        <f t="shared" ca="1" si="8"/>
        <v>0</v>
      </c>
      <c r="M85" s="145">
        <f t="shared" ca="1" si="8"/>
        <v>0</v>
      </c>
      <c r="N85" s="145">
        <f t="shared" ca="1" si="8"/>
        <v>0</v>
      </c>
      <c r="O85" s="145">
        <f t="shared" ca="1" si="9"/>
        <v>0</v>
      </c>
      <c r="P85" s="145">
        <f t="shared" ca="1" si="9"/>
        <v>0</v>
      </c>
      <c r="Q85" s="145">
        <f t="shared" ca="1" si="9"/>
        <v>0</v>
      </c>
      <c r="R85" s="145">
        <f t="shared" ca="1" si="9"/>
        <v>0</v>
      </c>
      <c r="S85" s="145">
        <f t="shared" ca="1" si="9"/>
        <v>0</v>
      </c>
      <c r="T85" s="145">
        <f t="shared" ca="1" si="9"/>
        <v>0</v>
      </c>
      <c r="U85" s="145">
        <f t="shared" ca="1" si="9"/>
        <v>0</v>
      </c>
      <c r="V85" s="145">
        <f t="shared" ca="1" si="9"/>
        <v>0</v>
      </c>
      <c r="W85" s="145">
        <f t="shared" ca="1" si="9"/>
        <v>0</v>
      </c>
      <c r="X85" s="145">
        <f t="shared" ca="1" si="9"/>
        <v>0</v>
      </c>
      <c r="Y85" s="10">
        <f>IFERROR(_xlfn.XLOOKUP(D85,'2C 均值'!$A:$A,'2C 均值'!$E:$E),0)</f>
        <v>0</v>
      </c>
      <c r="Z85" s="10" t="str">
        <f t="array" aca="1" ref="Z85" ca="1">IF(OR($D85=0,$D85=""),"",_xlfn.LET(
        _xlpm.channel,$D85,
        _xlpm.factorName,$C85,
        _xlpm.factorNum,IF(_xlpm.factorName="","",VALUE(RIGHT(_xlpm.factorName,LEN(_xlpm.factorName)-6))),
        _xlpm.flMatrixStart,_xlfn.XMATCH("Rotation Method: Procrustes with Kaiser Normalization.",'2B FL'!$A:$A,0),
        _xlpm.channelRow,IFERROR(_xlfn.XMATCH(_xlpm.channel,OFFSET('2B FL'!$B$1,_xlpm.flMatrixStart+2,0,100,1),0),0),
        IF(OR(_xlpm.channelRow=0,_xlpm.factorNum=""),"",INDEX(OFFSET('2B FL'!$D$1,_xlpm.flMatrixStart+2,0,100,27),_xlpm.channelRow,_xlpm.factorNum))
    ))</f>
        <v/>
      </c>
      <c r="AA85" s="6"/>
      <c r="AB85" s="6"/>
      <c r="AC85" s="6"/>
      <c r="AD85" s="9"/>
      <c r="AE85" s="9"/>
      <c r="AF85" s="9"/>
      <c r="AG85" s="9"/>
      <c r="AH85" s="9"/>
      <c r="AI85" s="9"/>
      <c r="AJ85" s="9"/>
    </row>
    <row r="86" spans="1:36" ht="15.75" customHeight="1" x14ac:dyDescent="0.3">
      <c r="C86" s="87" t="str">
        <f>IF(OR($D86=0,$D86=""),"",_xlfn.LET(
    _xlpm.channel,$D86,
    _xlpm.rowNum,_xlfn.XMATCH(_xlpm.channel,'2B RotationRule'!$C:$C,0),
    _xlpm.factorRow,INDEX('2B RotationRule'!$E:$AE,_xlpm.rowNum,0),
    _xlpm.factorNum,_xlfn.XMATCH(1,_xlpm.factorRow,0),
    IF(ISERROR(_xlpm.factorNum),"","Factor"&amp;_xlpm.factorNum)
))</f>
        <v/>
      </c>
      <c r="D86" s="123">
        <f>'2B RotationRule'!C31</f>
        <v>0</v>
      </c>
      <c r="E86" s="2">
        <f t="shared" ca="1" si="8"/>
        <v>0</v>
      </c>
      <c r="F86" s="2">
        <f t="shared" ca="1" si="8"/>
        <v>0</v>
      </c>
      <c r="G86" s="2">
        <f t="shared" ca="1" si="8"/>
        <v>0</v>
      </c>
      <c r="H86" s="145">
        <f t="shared" ca="1" si="8"/>
        <v>0</v>
      </c>
      <c r="I86" s="145">
        <f t="shared" ca="1" si="8"/>
        <v>0</v>
      </c>
      <c r="J86" s="145">
        <f t="shared" ca="1" si="8"/>
        <v>0</v>
      </c>
      <c r="K86" s="145">
        <f t="shared" ca="1" si="8"/>
        <v>0</v>
      </c>
      <c r="L86" s="145">
        <f t="shared" ca="1" si="8"/>
        <v>0</v>
      </c>
      <c r="M86" s="145">
        <f t="shared" ca="1" si="8"/>
        <v>0</v>
      </c>
      <c r="N86" s="145">
        <f t="shared" ca="1" si="8"/>
        <v>0</v>
      </c>
      <c r="O86" s="145">
        <f t="shared" ca="1" si="9"/>
        <v>0</v>
      </c>
      <c r="P86" s="145">
        <f t="shared" ca="1" si="9"/>
        <v>0</v>
      </c>
      <c r="Q86" s="145">
        <f t="shared" ca="1" si="9"/>
        <v>0</v>
      </c>
      <c r="R86" s="145">
        <f t="shared" ca="1" si="9"/>
        <v>0</v>
      </c>
      <c r="S86" s="145">
        <f t="shared" ca="1" si="9"/>
        <v>0</v>
      </c>
      <c r="T86" s="145">
        <f t="shared" ca="1" si="9"/>
        <v>0</v>
      </c>
      <c r="U86" s="145">
        <f t="shared" ca="1" si="9"/>
        <v>0</v>
      </c>
      <c r="V86" s="145">
        <f t="shared" ca="1" si="9"/>
        <v>0</v>
      </c>
      <c r="W86" s="145">
        <f t="shared" ca="1" si="9"/>
        <v>0</v>
      </c>
      <c r="X86" s="145">
        <f t="shared" ca="1" si="9"/>
        <v>0</v>
      </c>
      <c r="Y86" s="10">
        <f>IFERROR(_xlfn.XLOOKUP(D86,'2C 均值'!$A:$A,'2C 均值'!$E:$E),0)</f>
        <v>0</v>
      </c>
      <c r="Z86" s="10" t="str">
        <f t="array" aca="1" ref="Z86" ca="1">IF(OR($D86=0,$D86=""),"",_xlfn.LET(
        _xlpm.channel,$D86,
        _xlpm.factorName,$C86,
        _xlpm.factorNum,IF(_xlpm.factorName="","",VALUE(RIGHT(_xlpm.factorName,LEN(_xlpm.factorName)-6))),
        _xlpm.flMatrixStart,_xlfn.XMATCH("Rotation Method: Procrustes with Kaiser Normalization.",'2B FL'!$A:$A,0),
        _xlpm.channelRow,IFERROR(_xlfn.XMATCH(_xlpm.channel,OFFSET('2B FL'!$B$1,_xlpm.flMatrixStart+2,0,100,1),0),0),
        IF(OR(_xlpm.channelRow=0,_xlpm.factorNum=""),"",INDEX(OFFSET('2B FL'!$D$1,_xlpm.flMatrixStart+2,0,100,27),_xlpm.channelRow,_xlpm.factorNum))
    ))</f>
        <v/>
      </c>
      <c r="AA86" s="6"/>
      <c r="AB86" s="6"/>
      <c r="AC86" s="6"/>
      <c r="AD86" s="9"/>
      <c r="AE86" s="9"/>
      <c r="AF86" s="9"/>
      <c r="AG86" s="9"/>
      <c r="AH86" s="9"/>
      <c r="AI86" s="9"/>
      <c r="AJ86" s="9"/>
    </row>
    <row r="87" spans="1:36" ht="15.75" customHeight="1" x14ac:dyDescent="0.3">
      <c r="C87" s="87" t="str">
        <f>IF(OR($D87=0,$D87=""),"",_xlfn.LET(
    _xlpm.channel,$D87,
    _xlpm.rowNum,_xlfn.XMATCH(_xlpm.channel,'2B RotationRule'!$C:$C,0),
    _xlpm.factorRow,INDEX('2B RotationRule'!$E:$AE,_xlpm.rowNum,0),
    _xlpm.factorNum,_xlfn.XMATCH(1,_xlpm.factorRow,0),
    IF(ISERROR(_xlpm.factorNum),"","Factor"&amp;_xlpm.factorNum)
))</f>
        <v/>
      </c>
      <c r="D87" s="123">
        <f>'2B RotationRule'!C32</f>
        <v>0</v>
      </c>
      <c r="E87" s="2">
        <f t="shared" ca="1" si="8"/>
        <v>0</v>
      </c>
      <c r="F87" s="2">
        <f t="shared" ca="1" si="8"/>
        <v>0</v>
      </c>
      <c r="G87" s="2">
        <f t="shared" ca="1" si="8"/>
        <v>0</v>
      </c>
      <c r="H87" s="145">
        <f t="shared" ca="1" si="8"/>
        <v>0</v>
      </c>
      <c r="I87" s="145">
        <f t="shared" ca="1" si="8"/>
        <v>0</v>
      </c>
      <c r="J87" s="145">
        <f t="shared" ca="1" si="8"/>
        <v>0</v>
      </c>
      <c r="K87" s="145">
        <f t="shared" ca="1" si="8"/>
        <v>0</v>
      </c>
      <c r="L87" s="145">
        <f t="shared" ca="1" si="8"/>
        <v>0</v>
      </c>
      <c r="M87" s="145">
        <f t="shared" ca="1" si="8"/>
        <v>0</v>
      </c>
      <c r="N87" s="145">
        <f t="shared" ca="1" si="8"/>
        <v>0</v>
      </c>
      <c r="O87" s="145">
        <f t="shared" ca="1" si="9"/>
        <v>0</v>
      </c>
      <c r="P87" s="145">
        <f t="shared" ca="1" si="9"/>
        <v>0</v>
      </c>
      <c r="Q87" s="145">
        <f t="shared" ca="1" si="9"/>
        <v>0</v>
      </c>
      <c r="R87" s="145">
        <f t="shared" ca="1" si="9"/>
        <v>0</v>
      </c>
      <c r="S87" s="145">
        <f t="shared" ca="1" si="9"/>
        <v>0</v>
      </c>
      <c r="T87" s="145">
        <f t="shared" ca="1" si="9"/>
        <v>0</v>
      </c>
      <c r="U87" s="145">
        <f t="shared" ca="1" si="9"/>
        <v>0</v>
      </c>
      <c r="V87" s="145">
        <f t="shared" ca="1" si="9"/>
        <v>0</v>
      </c>
      <c r="W87" s="145">
        <f t="shared" ca="1" si="9"/>
        <v>0</v>
      </c>
      <c r="X87" s="145">
        <f t="shared" ca="1" si="9"/>
        <v>0</v>
      </c>
      <c r="Y87" s="10">
        <f>IFERROR(_xlfn.XLOOKUP(D87,'2C 均值'!$A:$A,'2C 均值'!$E:$E),0)</f>
        <v>0</v>
      </c>
      <c r="Z87" s="10" t="str">
        <f t="array" aca="1" ref="Z87" ca="1">IF(OR($D87=0,$D87=""),"",_xlfn.LET(
        _xlpm.channel,$D87,
        _xlpm.factorName,$C87,
        _xlpm.factorNum,IF(_xlpm.factorName="","",VALUE(RIGHT(_xlpm.factorName,LEN(_xlpm.factorName)-6))),
        _xlpm.flMatrixStart,_xlfn.XMATCH("Rotation Method: Procrustes with Kaiser Normalization.",'2B FL'!$A:$A,0),
        _xlpm.channelRow,IFERROR(_xlfn.XMATCH(_xlpm.channel,OFFSET('2B FL'!$B$1,_xlpm.flMatrixStart+2,0,100,1),0),0),
        IF(OR(_xlpm.channelRow=0,_xlpm.factorNum=""),"",INDEX(OFFSET('2B FL'!$D$1,_xlpm.flMatrixStart+2,0,100,27),_xlpm.channelRow,_xlpm.factorNum))
    ))</f>
        <v/>
      </c>
      <c r="AA87" s="6"/>
      <c r="AB87" s="6"/>
      <c r="AC87" s="6"/>
      <c r="AD87" s="9"/>
      <c r="AE87" s="9"/>
      <c r="AF87" s="9"/>
      <c r="AG87" s="9"/>
      <c r="AH87" s="9"/>
      <c r="AI87" s="9"/>
      <c r="AJ87" s="9"/>
    </row>
    <row r="88" spans="1:36" ht="15.75" customHeight="1" x14ac:dyDescent="0.3">
      <c r="C88" s="87" t="str">
        <f>IF(OR($D88=0,$D88=""),"",_xlfn.LET(
    _xlpm.channel,$D88,
    _xlpm.rowNum,_xlfn.XMATCH(_xlpm.channel,'2B RotationRule'!$C:$C,0),
    _xlpm.factorRow,INDEX('2B RotationRule'!$E:$AE,_xlpm.rowNum,0),
    _xlpm.factorNum,_xlfn.XMATCH(1,_xlpm.factorRow,0),
    IF(ISERROR(_xlpm.factorNum),"","Factor"&amp;_xlpm.factorNum)
))</f>
        <v/>
      </c>
      <c r="D88" s="123">
        <f>'2B RotationRule'!C33</f>
        <v>0</v>
      </c>
      <c r="E88" s="2">
        <f t="shared" ca="1" si="8"/>
        <v>0</v>
      </c>
      <c r="F88" s="2">
        <f t="shared" ca="1" si="8"/>
        <v>0</v>
      </c>
      <c r="G88" s="2">
        <f t="shared" ca="1" si="8"/>
        <v>0</v>
      </c>
      <c r="H88" s="145">
        <f t="shared" ca="1" si="8"/>
        <v>0</v>
      </c>
      <c r="I88" s="145">
        <f t="shared" ca="1" si="8"/>
        <v>0</v>
      </c>
      <c r="J88" s="145">
        <f t="shared" ca="1" si="8"/>
        <v>0</v>
      </c>
      <c r="K88" s="145">
        <f t="shared" ca="1" si="8"/>
        <v>0</v>
      </c>
      <c r="L88" s="145">
        <f t="shared" ca="1" si="8"/>
        <v>0</v>
      </c>
      <c r="M88" s="145">
        <f t="shared" ca="1" si="8"/>
        <v>0</v>
      </c>
      <c r="N88" s="145">
        <f t="shared" ca="1" si="8"/>
        <v>0</v>
      </c>
      <c r="O88" s="145">
        <f t="shared" ca="1" si="9"/>
        <v>0</v>
      </c>
      <c r="P88" s="145">
        <f t="shared" ca="1" si="9"/>
        <v>0</v>
      </c>
      <c r="Q88" s="145">
        <f t="shared" ca="1" si="9"/>
        <v>0</v>
      </c>
      <c r="R88" s="145">
        <f t="shared" ca="1" si="9"/>
        <v>0</v>
      </c>
      <c r="S88" s="145">
        <f t="shared" ca="1" si="9"/>
        <v>0</v>
      </c>
      <c r="T88" s="145">
        <f t="shared" ca="1" si="9"/>
        <v>0</v>
      </c>
      <c r="U88" s="145">
        <f t="shared" ca="1" si="9"/>
        <v>0</v>
      </c>
      <c r="V88" s="145">
        <f t="shared" ca="1" si="9"/>
        <v>0</v>
      </c>
      <c r="W88" s="145">
        <f t="shared" ca="1" si="9"/>
        <v>0</v>
      </c>
      <c r="X88" s="145">
        <f t="shared" ca="1" si="9"/>
        <v>0</v>
      </c>
      <c r="Y88" s="10">
        <f>IFERROR(_xlfn.XLOOKUP(D88,'2C 均值'!$A:$A,'2C 均值'!$E:$E),0)</f>
        <v>0</v>
      </c>
      <c r="Z88" s="10" t="str">
        <f t="array" aca="1" ref="Z88" ca="1">IF(OR($D88=0,$D88=""),"",_xlfn.LET(
        _xlpm.channel,$D88,
        _xlpm.factorName,$C88,
        _xlpm.factorNum,IF(_xlpm.factorName="","",VALUE(RIGHT(_xlpm.factorName,LEN(_xlpm.factorName)-6))),
        _xlpm.flMatrixStart,_xlfn.XMATCH("Rotation Method: Procrustes with Kaiser Normalization.",'2B FL'!$A:$A,0),
        _xlpm.channelRow,IFERROR(_xlfn.XMATCH(_xlpm.channel,OFFSET('2B FL'!$B$1,_xlpm.flMatrixStart+2,0,100,1),0),0),
        IF(OR(_xlpm.channelRow=0,_xlpm.factorNum=""),"",INDEX(OFFSET('2B FL'!$D$1,_xlpm.flMatrixStart+2,0,100,27),_xlpm.channelRow,_xlpm.factorNum))
    ))</f>
        <v/>
      </c>
      <c r="AA88" s="6"/>
      <c r="AB88" s="6"/>
      <c r="AC88" s="6"/>
      <c r="AD88" s="9"/>
      <c r="AE88" s="9"/>
      <c r="AF88" s="9"/>
      <c r="AG88" s="9"/>
      <c r="AH88" s="9"/>
      <c r="AI88" s="9"/>
      <c r="AJ88" s="9"/>
    </row>
    <row r="89" spans="1:36" ht="15.75" customHeight="1" x14ac:dyDescent="0.3">
      <c r="C89" s="87" t="str">
        <f>IF(OR($D89=0,$D89=""),"",_xlfn.LET(
    _xlpm.channel,$D89,
    _xlpm.rowNum,_xlfn.XMATCH(_xlpm.channel,'2B RotationRule'!$C:$C,0),
    _xlpm.factorRow,INDEX('2B RotationRule'!$E:$AE,_xlpm.rowNum,0),
    _xlpm.factorNum,_xlfn.XMATCH(1,_xlpm.factorRow,0),
    IF(ISERROR(_xlpm.factorNum),"","Factor"&amp;_xlpm.factorNum)
))</f>
        <v/>
      </c>
      <c r="D89" s="123">
        <f>'2B RotationRule'!C34</f>
        <v>0</v>
      </c>
      <c r="E89" s="2">
        <f t="shared" ca="1" si="8"/>
        <v>0</v>
      </c>
      <c r="F89" s="2">
        <f t="shared" ca="1" si="8"/>
        <v>0</v>
      </c>
      <c r="G89" s="2">
        <f t="shared" ca="1" si="8"/>
        <v>0</v>
      </c>
      <c r="H89" s="145">
        <f t="shared" ca="1" si="8"/>
        <v>0</v>
      </c>
      <c r="I89" s="145">
        <f t="shared" ca="1" si="8"/>
        <v>0</v>
      </c>
      <c r="J89" s="145">
        <f t="shared" ca="1" si="8"/>
        <v>0</v>
      </c>
      <c r="K89" s="145">
        <f t="shared" ca="1" si="8"/>
        <v>0</v>
      </c>
      <c r="L89" s="145">
        <f t="shared" ca="1" si="8"/>
        <v>0</v>
      </c>
      <c r="M89" s="145">
        <f t="shared" ca="1" si="8"/>
        <v>0</v>
      </c>
      <c r="N89" s="145">
        <f t="shared" ca="1" si="8"/>
        <v>0</v>
      </c>
      <c r="O89" s="145">
        <f t="shared" ca="1" si="9"/>
        <v>0</v>
      </c>
      <c r="P89" s="145">
        <f t="shared" ca="1" si="9"/>
        <v>0</v>
      </c>
      <c r="Q89" s="145">
        <f t="shared" ca="1" si="9"/>
        <v>0</v>
      </c>
      <c r="R89" s="145">
        <f t="shared" ca="1" si="9"/>
        <v>0</v>
      </c>
      <c r="S89" s="145">
        <f t="shared" ca="1" si="9"/>
        <v>0</v>
      </c>
      <c r="T89" s="145">
        <f t="shared" ca="1" si="9"/>
        <v>0</v>
      </c>
      <c r="U89" s="145">
        <f t="shared" ca="1" si="9"/>
        <v>0</v>
      </c>
      <c r="V89" s="145">
        <f t="shared" ca="1" si="9"/>
        <v>0</v>
      </c>
      <c r="W89" s="145">
        <f t="shared" ca="1" si="9"/>
        <v>0</v>
      </c>
      <c r="X89" s="145">
        <f t="shared" ca="1" si="9"/>
        <v>0</v>
      </c>
      <c r="Y89" s="10">
        <f>IFERROR(_xlfn.XLOOKUP(D89,'2C 均值'!$A:$A,'2C 均值'!$E:$E),0)</f>
        <v>0</v>
      </c>
      <c r="Z89" s="10" t="str">
        <f t="array" aca="1" ref="Z89" ca="1">IF(OR($D89=0,$D89=""),"",_xlfn.LET(
        _xlpm.channel,$D89,
        _xlpm.factorName,$C89,
        _xlpm.factorNum,IF(_xlpm.factorName="","",VALUE(RIGHT(_xlpm.factorName,LEN(_xlpm.factorName)-6))),
        _xlpm.flMatrixStart,_xlfn.XMATCH("Rotation Method: Procrustes with Kaiser Normalization.",'2B FL'!$A:$A,0),
        _xlpm.channelRow,IFERROR(_xlfn.XMATCH(_xlpm.channel,OFFSET('2B FL'!$B$1,_xlpm.flMatrixStart+2,0,100,1),0),0),
        IF(OR(_xlpm.channelRow=0,_xlpm.factorNum=""),"",INDEX(OFFSET('2B FL'!$D$1,_xlpm.flMatrixStart+2,0,100,27),_xlpm.channelRow,_xlpm.factorNum))
    ))</f>
        <v/>
      </c>
      <c r="AA89" s="6"/>
      <c r="AB89" s="6"/>
      <c r="AC89" s="6"/>
      <c r="AD89" s="9"/>
      <c r="AE89" s="9"/>
      <c r="AF89" s="9"/>
      <c r="AG89" s="24"/>
      <c r="AH89" s="9"/>
      <c r="AI89" s="9"/>
      <c r="AJ89" s="9"/>
    </row>
    <row r="90" spans="1:36" ht="15.75" customHeight="1" x14ac:dyDescent="0.3">
      <c r="C90" s="87" t="str">
        <f>IF(OR($D90=0,$D90=""),"",_xlfn.LET(
    _xlpm.channel,$D90,
    _xlpm.rowNum,_xlfn.XMATCH(_xlpm.channel,'2B RotationRule'!$C:$C,0),
    _xlpm.factorRow,INDEX('2B RotationRule'!$E:$AE,_xlpm.rowNum,0),
    _xlpm.factorNum,_xlfn.XMATCH(1,_xlpm.factorRow,0),
    IF(ISERROR(_xlpm.factorNum),"","Factor"&amp;_xlpm.factorNum)
))</f>
        <v/>
      </c>
      <c r="D90" s="123">
        <f>'2B RotationRule'!C35</f>
        <v>0</v>
      </c>
      <c r="E90" s="2">
        <f t="shared" ca="1" si="8"/>
        <v>0</v>
      </c>
      <c r="F90" s="2">
        <f t="shared" ca="1" si="8"/>
        <v>0</v>
      </c>
      <c r="G90" s="2">
        <f t="shared" ca="1" si="8"/>
        <v>0</v>
      </c>
      <c r="H90" s="145">
        <f t="shared" ca="1" si="8"/>
        <v>0</v>
      </c>
      <c r="I90" s="145">
        <f t="shared" ca="1" si="8"/>
        <v>0</v>
      </c>
      <c r="J90" s="145">
        <f t="shared" ca="1" si="8"/>
        <v>0</v>
      </c>
      <c r="K90" s="145">
        <f t="shared" ca="1" si="8"/>
        <v>0</v>
      </c>
      <c r="L90" s="145">
        <f t="shared" ca="1" si="8"/>
        <v>0</v>
      </c>
      <c r="M90" s="145">
        <f t="shared" ca="1" si="8"/>
        <v>0</v>
      </c>
      <c r="N90" s="145">
        <f t="shared" ca="1" si="8"/>
        <v>0</v>
      </c>
      <c r="O90" s="145">
        <f t="shared" ca="1" si="9"/>
        <v>0</v>
      </c>
      <c r="P90" s="145">
        <f t="shared" ca="1" si="9"/>
        <v>0</v>
      </c>
      <c r="Q90" s="145">
        <f t="shared" ca="1" si="9"/>
        <v>0</v>
      </c>
      <c r="R90" s="145">
        <f t="shared" ca="1" si="9"/>
        <v>0</v>
      </c>
      <c r="S90" s="145">
        <f t="shared" ca="1" si="9"/>
        <v>0</v>
      </c>
      <c r="T90" s="145">
        <f t="shared" ca="1" si="9"/>
        <v>0</v>
      </c>
      <c r="U90" s="145">
        <f t="shared" ca="1" si="9"/>
        <v>0</v>
      </c>
      <c r="V90" s="145">
        <f t="shared" ca="1" si="9"/>
        <v>0</v>
      </c>
      <c r="W90" s="145">
        <f t="shared" ca="1" si="9"/>
        <v>0</v>
      </c>
      <c r="X90" s="145">
        <f t="shared" ca="1" si="9"/>
        <v>0</v>
      </c>
      <c r="Y90" s="10">
        <f>IFERROR(_xlfn.XLOOKUP(D90,'2C 均值'!$A:$A,'2C 均值'!$E:$E),0)</f>
        <v>0</v>
      </c>
      <c r="Z90" s="10" t="str">
        <f t="array" aca="1" ref="Z90" ca="1">IF(OR($D90=0,$D90=""),"",_xlfn.LET(
        _xlpm.channel,$D90,
        _xlpm.factorName,$C90,
        _xlpm.factorNum,IF(_xlpm.factorName="","",VALUE(RIGHT(_xlpm.factorName,LEN(_xlpm.factorName)-6))),
        _xlpm.flMatrixStart,_xlfn.XMATCH("Rotation Method: Procrustes with Kaiser Normalization.",'2B FL'!$A:$A,0),
        _xlpm.channelRow,IFERROR(_xlfn.XMATCH(_xlpm.channel,OFFSET('2B FL'!$B$1,_xlpm.flMatrixStart+2,0,100,1),0),0),
        IF(OR(_xlpm.channelRow=0,_xlpm.factorNum=""),"",INDEX(OFFSET('2B FL'!$D$1,_xlpm.flMatrixStart+2,0,100,27),_xlpm.channelRow,_xlpm.factorNum))
    ))</f>
        <v/>
      </c>
      <c r="AA90" s="6"/>
      <c r="AB90" s="6"/>
      <c r="AC90" s="6"/>
      <c r="AD90" s="9"/>
      <c r="AE90" s="9"/>
      <c r="AF90" s="9"/>
      <c r="AG90" s="24"/>
      <c r="AH90" s="9"/>
      <c r="AI90" s="9"/>
      <c r="AJ90" s="9"/>
    </row>
    <row r="91" spans="1:36" ht="15.75" customHeight="1" x14ac:dyDescent="0.3">
      <c r="C91" s="87" t="str">
        <f>IF(OR($D91=0,$D91=""),"",_xlfn.LET(
    _xlpm.channel,$D91,
    _xlpm.rowNum,_xlfn.XMATCH(_xlpm.channel,'2B RotationRule'!$C:$C,0),
    _xlpm.factorRow,INDEX('2B RotationRule'!$E:$AE,_xlpm.rowNum,0),
    _xlpm.factorNum,_xlfn.XMATCH(1,_xlpm.factorRow,0),
    IF(ISERROR(_xlpm.factorNum),"","Factor"&amp;_xlpm.factorNum)
))</f>
        <v/>
      </c>
      <c r="D91" s="123">
        <f>'2B RotationRule'!C36</f>
        <v>0</v>
      </c>
      <c r="E91" s="2">
        <f t="shared" ca="1" si="8"/>
        <v>0</v>
      </c>
      <c r="F91" s="2">
        <f t="shared" ca="1" si="8"/>
        <v>0</v>
      </c>
      <c r="G91" s="2">
        <f t="shared" ca="1" si="8"/>
        <v>0</v>
      </c>
      <c r="H91" s="145">
        <f t="shared" ca="1" si="8"/>
        <v>0</v>
      </c>
      <c r="I91" s="145">
        <f t="shared" ca="1" si="8"/>
        <v>0</v>
      </c>
      <c r="J91" s="145">
        <f t="shared" ca="1" si="8"/>
        <v>0</v>
      </c>
      <c r="K91" s="145">
        <f t="shared" ca="1" si="8"/>
        <v>0</v>
      </c>
      <c r="L91" s="145">
        <f t="shared" ca="1" si="8"/>
        <v>0</v>
      </c>
      <c r="M91" s="145">
        <f t="shared" ca="1" si="8"/>
        <v>0</v>
      </c>
      <c r="N91" s="145">
        <f t="shared" ca="1" si="8"/>
        <v>0</v>
      </c>
      <c r="O91" s="145">
        <f t="shared" ca="1" si="9"/>
        <v>0</v>
      </c>
      <c r="P91" s="145">
        <f t="shared" ca="1" si="9"/>
        <v>0</v>
      </c>
      <c r="Q91" s="145">
        <f t="shared" ca="1" si="9"/>
        <v>0</v>
      </c>
      <c r="R91" s="145">
        <f t="shared" ca="1" si="9"/>
        <v>0</v>
      </c>
      <c r="S91" s="145">
        <f t="shared" ca="1" si="9"/>
        <v>0</v>
      </c>
      <c r="T91" s="145">
        <f t="shared" ca="1" si="9"/>
        <v>0</v>
      </c>
      <c r="U91" s="145">
        <f t="shared" ca="1" si="9"/>
        <v>0</v>
      </c>
      <c r="V91" s="145">
        <f t="shared" ca="1" si="9"/>
        <v>0</v>
      </c>
      <c r="W91" s="145">
        <f t="shared" ca="1" si="9"/>
        <v>0</v>
      </c>
      <c r="X91" s="145">
        <f t="shared" ca="1" si="9"/>
        <v>0</v>
      </c>
      <c r="Y91" s="10">
        <f>IFERROR(_xlfn.XLOOKUP(D91,'2C 均值'!$A:$A,'2C 均值'!$E:$E),0)</f>
        <v>0</v>
      </c>
      <c r="Z91" s="10" t="str">
        <f t="array" aca="1" ref="Z91" ca="1">IF(OR($D91=0,$D91=""),"",_xlfn.LET(
        _xlpm.channel,$D91,
        _xlpm.factorName,$C91,
        _xlpm.factorNum,IF(_xlpm.factorName="","",VALUE(RIGHT(_xlpm.factorName,LEN(_xlpm.factorName)-6))),
        _xlpm.flMatrixStart,_xlfn.XMATCH("Rotation Method: Procrustes with Kaiser Normalization.",'2B FL'!$A:$A,0),
        _xlpm.channelRow,IFERROR(_xlfn.XMATCH(_xlpm.channel,OFFSET('2B FL'!$B$1,_xlpm.flMatrixStart+2,0,100,1),0),0),
        IF(OR(_xlpm.channelRow=0,_xlpm.factorNum=""),"",INDEX(OFFSET('2B FL'!$D$1,_xlpm.flMatrixStart+2,0,100,27),_xlpm.channelRow,_xlpm.factorNum))
    ))</f>
        <v/>
      </c>
      <c r="AA91" s="6"/>
      <c r="AB91" s="6"/>
      <c r="AC91" s="6"/>
      <c r="AD91" s="9"/>
      <c r="AE91" s="9"/>
      <c r="AF91" s="9"/>
      <c r="AG91" s="9"/>
      <c r="AH91" s="9"/>
      <c r="AI91" s="9"/>
      <c r="AJ91" s="9"/>
    </row>
    <row r="92" spans="1:36" ht="15.75" customHeight="1" x14ac:dyDescent="0.3">
      <c r="C92" s="87" t="str">
        <f>IF(OR($D92=0,$D92=""),"",_xlfn.LET(
    _xlpm.channel,$D92,
    _xlpm.rowNum,_xlfn.XMATCH(_xlpm.channel,'2B RotationRule'!$C:$C,0),
    _xlpm.factorRow,INDEX('2B RotationRule'!$E:$AE,_xlpm.rowNum,0),
    _xlpm.factorNum,_xlfn.XMATCH(1,_xlpm.factorRow,0),
    IF(ISERROR(_xlpm.factorNum),"","Factor"&amp;_xlpm.factorNum)
))</f>
        <v/>
      </c>
      <c r="D92" s="123">
        <f>'2B RotationRule'!C37</f>
        <v>0</v>
      </c>
      <c r="E92" s="2">
        <f t="shared" ca="1" si="8"/>
        <v>0</v>
      </c>
      <c r="F92" s="2">
        <f t="shared" ca="1" si="8"/>
        <v>0</v>
      </c>
      <c r="G92" s="2">
        <f t="shared" ca="1" si="8"/>
        <v>0</v>
      </c>
      <c r="H92" s="145">
        <f t="shared" ca="1" si="8"/>
        <v>0</v>
      </c>
      <c r="I92" s="145">
        <f t="shared" ca="1" si="8"/>
        <v>0</v>
      </c>
      <c r="J92" s="145">
        <f t="shared" ca="1" si="8"/>
        <v>0</v>
      </c>
      <c r="K92" s="145">
        <f t="shared" ca="1" si="8"/>
        <v>0</v>
      </c>
      <c r="L92" s="145">
        <f t="shared" ca="1" si="8"/>
        <v>0</v>
      </c>
      <c r="M92" s="145">
        <f t="shared" ca="1" si="8"/>
        <v>0</v>
      </c>
      <c r="N92" s="145">
        <f t="shared" ca="1" si="8"/>
        <v>0</v>
      </c>
      <c r="O92" s="145">
        <f t="shared" ca="1" si="9"/>
        <v>0</v>
      </c>
      <c r="P92" s="145">
        <f t="shared" ca="1" si="9"/>
        <v>0</v>
      </c>
      <c r="Q92" s="145">
        <f t="shared" ca="1" si="9"/>
        <v>0</v>
      </c>
      <c r="R92" s="145">
        <f t="shared" ca="1" si="9"/>
        <v>0</v>
      </c>
      <c r="S92" s="145">
        <f t="shared" ca="1" si="9"/>
        <v>0</v>
      </c>
      <c r="T92" s="145">
        <f t="shared" ca="1" si="9"/>
        <v>0</v>
      </c>
      <c r="U92" s="145">
        <f t="shared" ca="1" si="9"/>
        <v>0</v>
      </c>
      <c r="V92" s="145">
        <f t="shared" ca="1" si="9"/>
        <v>0</v>
      </c>
      <c r="W92" s="145">
        <f t="shared" ca="1" si="9"/>
        <v>0</v>
      </c>
      <c r="X92" s="145">
        <f t="shared" ca="1" si="9"/>
        <v>0</v>
      </c>
      <c r="Y92" s="10">
        <f>IFERROR(_xlfn.XLOOKUP(D92,'2C 均值'!$A:$A,'2C 均值'!$E:$E),0)</f>
        <v>0</v>
      </c>
      <c r="Z92" s="10" t="str">
        <f t="array" aca="1" ref="Z92" ca="1">IF(OR($D92=0,$D92=""),"",_xlfn.LET(
        _xlpm.channel,$D92,
        _xlpm.factorName,$C92,
        _xlpm.factorNum,IF(_xlpm.factorName="","",VALUE(RIGHT(_xlpm.factorName,LEN(_xlpm.factorName)-6))),
        _xlpm.flMatrixStart,_xlfn.XMATCH("Rotation Method: Procrustes with Kaiser Normalization.",'2B FL'!$A:$A,0),
        _xlpm.channelRow,IFERROR(_xlfn.XMATCH(_xlpm.channel,OFFSET('2B FL'!$B$1,_xlpm.flMatrixStart+2,0,100,1),0),0),
        IF(OR(_xlpm.channelRow=0,_xlpm.factorNum=""),"",INDEX(OFFSET('2B FL'!$D$1,_xlpm.flMatrixStart+2,0,100,27),_xlpm.channelRow,_xlpm.factorNum))
    ))</f>
        <v/>
      </c>
    </row>
    <row r="93" spans="1:36" x14ac:dyDescent="0.3">
      <c r="D93" s="30"/>
      <c r="E93" s="2"/>
      <c r="F93" s="2"/>
      <c r="G93" s="2"/>
      <c r="H93" s="2"/>
      <c r="I93" s="2"/>
      <c r="J93" s="2"/>
      <c r="K93" s="2"/>
      <c r="L93" s="2"/>
      <c r="M93" s="2"/>
      <c r="N93" s="2"/>
      <c r="O93" s="2"/>
      <c r="P93" s="2"/>
      <c r="Q93" s="2"/>
      <c r="R93" s="2"/>
      <c r="S93" s="2"/>
      <c r="T93" s="2"/>
      <c r="U93" s="10"/>
      <c r="V93" s="10"/>
      <c r="W93" s="18"/>
    </row>
    <row r="94" spans="1:36" x14ac:dyDescent="0.3">
      <c r="D94" s="30"/>
      <c r="E94" s="2"/>
      <c r="F94" s="2"/>
      <c r="G94" s="2"/>
      <c r="H94" s="2"/>
      <c r="I94" s="2"/>
      <c r="J94" s="2"/>
      <c r="K94" s="2"/>
      <c r="L94" s="2"/>
      <c r="M94" s="2"/>
      <c r="N94" s="2"/>
      <c r="O94" s="2"/>
      <c r="P94" s="2"/>
      <c r="Q94" s="2"/>
      <c r="R94" s="2"/>
      <c r="S94" s="2"/>
      <c r="T94" s="2"/>
      <c r="U94" s="10"/>
      <c r="V94" s="10"/>
      <c r="W94" s="18"/>
    </row>
    <row r="95" spans="1:36" x14ac:dyDescent="0.3">
      <c r="D95" s="19"/>
      <c r="E95" s="2"/>
      <c r="F95" s="2"/>
      <c r="G95" s="2"/>
      <c r="H95" s="2"/>
      <c r="I95" s="2"/>
      <c r="J95" s="2"/>
      <c r="K95" s="2"/>
      <c r="L95" s="2"/>
      <c r="M95" s="2"/>
      <c r="N95" s="2"/>
      <c r="O95" s="2"/>
      <c r="P95" s="2"/>
      <c r="Q95" s="2"/>
      <c r="R95" s="2"/>
      <c r="S95" s="2"/>
      <c r="T95" s="2"/>
      <c r="V95" s="10"/>
      <c r="W95" s="18"/>
    </row>
    <row r="96" spans="1:36" s="16" customFormat="1" ht="48.75" customHeight="1" x14ac:dyDescent="0.45">
      <c r="A96" s="218" t="s">
        <v>59</v>
      </c>
      <c r="B96" s="219"/>
      <c r="D96" s="20" t="s">
        <v>60</v>
      </c>
      <c r="E96" s="13" t="str">
        <f t="shared" ref="E96:X96" si="10">E57</f>
        <v>dLevel_ABA</v>
      </c>
      <c r="F96" s="13" t="str">
        <f t="shared" si="10"/>
        <v>dLevel_B6_T2B</v>
      </c>
      <c r="G96" s="13" t="str">
        <f t="shared" si="10"/>
        <v>dLevel_ABA</v>
      </c>
      <c r="H96" s="13" t="str">
        <f t="shared" si="10"/>
        <v>dLevel_B6_T2B</v>
      </c>
      <c r="I96" s="13" t="str">
        <f t="shared" si="10"/>
        <v>dLevel_B7_T2B</v>
      </c>
      <c r="J96" s="13" t="str">
        <f t="shared" si="10"/>
        <v/>
      </c>
      <c r="K96" s="13" t="str">
        <f t="shared" si="10"/>
        <v/>
      </c>
      <c r="L96" s="13" t="str">
        <f t="shared" si="10"/>
        <v/>
      </c>
      <c r="M96" s="13" t="str">
        <f t="shared" si="10"/>
        <v/>
      </c>
      <c r="N96" s="13" t="str">
        <f t="shared" si="10"/>
        <v/>
      </c>
      <c r="O96" s="13" t="str">
        <f t="shared" si="10"/>
        <v/>
      </c>
      <c r="P96" s="13" t="str">
        <f t="shared" si="10"/>
        <v/>
      </c>
      <c r="Q96" s="13" t="str">
        <f t="shared" si="10"/>
        <v/>
      </c>
      <c r="R96" s="13" t="str">
        <f t="shared" si="10"/>
        <v/>
      </c>
      <c r="S96" s="13" t="str">
        <f t="shared" si="10"/>
        <v/>
      </c>
      <c r="T96" s="13" t="str">
        <f t="shared" si="10"/>
        <v/>
      </c>
      <c r="U96" s="13" t="str">
        <f t="shared" si="10"/>
        <v/>
      </c>
      <c r="V96" s="13" t="str">
        <f t="shared" si="10"/>
        <v/>
      </c>
      <c r="W96" s="13" t="str">
        <f t="shared" si="10"/>
        <v/>
      </c>
      <c r="X96" s="13" t="str">
        <f t="shared" si="10"/>
        <v/>
      </c>
    </row>
    <row r="97" spans="3:24" ht="16.5" customHeight="1" x14ac:dyDescent="0.3">
      <c r="C97" s="69"/>
      <c r="D97" s="70" t="str">
        <f t="shared" ref="D97:D131" si="11">D58</f>
        <v>dLevel_T2_1</v>
      </c>
      <c r="E97" s="17">
        <f t="shared" ref="E97:X97" ca="1" si="12">IF(ABS(E58)&gt;0,IF(E58&gt;0.001,E58,_xlfn.MINIFS(E$58:E$92,E$58:E$92,"&gt;0")/3),0)</f>
        <v>3.1143650141715981E-2</v>
      </c>
      <c r="F97" s="17">
        <f t="shared" ca="1" si="12"/>
        <v>3.3519773102202367E-2</v>
      </c>
      <c r="G97" s="17">
        <f t="shared" ca="1" si="12"/>
        <v>3.1143650141715981E-2</v>
      </c>
      <c r="H97" s="17">
        <f t="shared" ca="1" si="12"/>
        <v>3.3519773102202367E-2</v>
      </c>
      <c r="I97" s="17">
        <f t="shared" ca="1" si="12"/>
        <v>0.14703683111654278</v>
      </c>
      <c r="J97" s="17">
        <f t="shared" ca="1" si="12"/>
        <v>0</v>
      </c>
      <c r="K97" s="17">
        <f t="shared" ca="1" si="12"/>
        <v>0</v>
      </c>
      <c r="L97" s="17">
        <f t="shared" ca="1" si="12"/>
        <v>0</v>
      </c>
      <c r="M97" s="17">
        <f t="shared" ca="1" si="12"/>
        <v>0</v>
      </c>
      <c r="N97" s="17">
        <f t="shared" ca="1" si="12"/>
        <v>0</v>
      </c>
      <c r="O97" s="17">
        <f t="shared" ca="1" si="12"/>
        <v>0</v>
      </c>
      <c r="P97" s="17">
        <f t="shared" ca="1" si="12"/>
        <v>0</v>
      </c>
      <c r="Q97" s="17">
        <f t="shared" ca="1" si="12"/>
        <v>0</v>
      </c>
      <c r="R97" s="17">
        <f t="shared" ca="1" si="12"/>
        <v>0</v>
      </c>
      <c r="S97" s="17">
        <f t="shared" ca="1" si="12"/>
        <v>0</v>
      </c>
      <c r="T97" s="17">
        <f t="shared" ca="1" si="12"/>
        <v>0</v>
      </c>
      <c r="U97" s="17">
        <f t="shared" ca="1" si="12"/>
        <v>0</v>
      </c>
      <c r="V97" s="17">
        <f t="shared" ca="1" si="12"/>
        <v>0</v>
      </c>
      <c r="W97" s="17">
        <f t="shared" ca="1" si="12"/>
        <v>0</v>
      </c>
      <c r="X97" s="17">
        <f t="shared" ca="1" si="12"/>
        <v>0</v>
      </c>
    </row>
    <row r="98" spans="3:24" ht="16.5" customHeight="1" x14ac:dyDescent="0.3">
      <c r="C98" s="69"/>
      <c r="D98" s="70" t="str">
        <f t="shared" si="11"/>
        <v>dLevel_T2_2</v>
      </c>
      <c r="E98" s="17">
        <f t="shared" ref="E98:X98" ca="1" si="13">IF(ABS(E59)&gt;0,IF(E59&gt;0.001,E59,_xlfn.MINIFS(E$58:E$92,E$58:E$92,"&gt;0")/3),0)</f>
        <v>1.7510518523839665E-2</v>
      </c>
      <c r="F98" s="17">
        <f t="shared" ca="1" si="13"/>
        <v>7.5860630697873396E-3</v>
      </c>
      <c r="G98" s="17">
        <f t="shared" ca="1" si="13"/>
        <v>1.7510518523839665E-2</v>
      </c>
      <c r="H98" s="17">
        <f t="shared" ca="1" si="13"/>
        <v>7.5860630697873396E-3</v>
      </c>
      <c r="I98" s="17">
        <f t="shared" ca="1" si="13"/>
        <v>0.1193107977114035</v>
      </c>
      <c r="J98" s="17">
        <f t="shared" ca="1" si="13"/>
        <v>0</v>
      </c>
      <c r="K98" s="17">
        <f t="shared" ca="1" si="13"/>
        <v>0</v>
      </c>
      <c r="L98" s="17">
        <f t="shared" ca="1" si="13"/>
        <v>0</v>
      </c>
      <c r="M98" s="17">
        <f t="shared" ca="1" si="13"/>
        <v>0</v>
      </c>
      <c r="N98" s="17">
        <f t="shared" ca="1" si="13"/>
        <v>0</v>
      </c>
      <c r="O98" s="17">
        <f t="shared" ca="1" si="13"/>
        <v>0</v>
      </c>
      <c r="P98" s="17">
        <f t="shared" ca="1" si="13"/>
        <v>0</v>
      </c>
      <c r="Q98" s="17">
        <f t="shared" ca="1" si="13"/>
        <v>0</v>
      </c>
      <c r="R98" s="17">
        <f t="shared" ca="1" si="13"/>
        <v>0</v>
      </c>
      <c r="S98" s="17">
        <f t="shared" ca="1" si="13"/>
        <v>0</v>
      </c>
      <c r="T98" s="17">
        <f t="shared" ca="1" si="13"/>
        <v>0</v>
      </c>
      <c r="U98" s="17">
        <f t="shared" ca="1" si="13"/>
        <v>0</v>
      </c>
      <c r="V98" s="17">
        <f t="shared" ca="1" si="13"/>
        <v>0</v>
      </c>
      <c r="W98" s="17">
        <f t="shared" ca="1" si="13"/>
        <v>0</v>
      </c>
      <c r="X98" s="17">
        <f t="shared" ca="1" si="13"/>
        <v>0</v>
      </c>
    </row>
    <row r="99" spans="3:24" ht="16.5" customHeight="1" x14ac:dyDescent="0.3">
      <c r="C99" s="69"/>
      <c r="D99" s="70" t="str">
        <f t="shared" si="11"/>
        <v>dLevel_T2_3</v>
      </c>
      <c r="E99" s="17">
        <f t="shared" ref="E99:X99" ca="1" si="14">IF(ABS(E60)&gt;0,IF(E60&gt;0.001,E60,_xlfn.MINIFS(E$58:E$92,E$58:E$92,"&gt;0")/3),0)</f>
        <v>1.507912222735616E-2</v>
      </c>
      <c r="F99" s="17">
        <f t="shared" ca="1" si="14"/>
        <v>7.9671891129792435E-3</v>
      </c>
      <c r="G99" s="17">
        <f t="shared" ca="1" si="14"/>
        <v>1.507912222735616E-2</v>
      </c>
      <c r="H99" s="17">
        <f t="shared" ca="1" si="14"/>
        <v>7.9671891129792435E-3</v>
      </c>
      <c r="I99" s="17">
        <f t="shared" ca="1" si="14"/>
        <v>0.10614739424167197</v>
      </c>
      <c r="J99" s="17">
        <f t="shared" ca="1" si="14"/>
        <v>0</v>
      </c>
      <c r="K99" s="17">
        <f t="shared" ca="1" si="14"/>
        <v>0</v>
      </c>
      <c r="L99" s="17">
        <f t="shared" ca="1" si="14"/>
        <v>0</v>
      </c>
      <c r="M99" s="17">
        <f t="shared" ca="1" si="14"/>
        <v>0</v>
      </c>
      <c r="N99" s="17">
        <f t="shared" ca="1" si="14"/>
        <v>0</v>
      </c>
      <c r="O99" s="17">
        <f t="shared" ca="1" si="14"/>
        <v>0</v>
      </c>
      <c r="P99" s="17">
        <f t="shared" ca="1" si="14"/>
        <v>0</v>
      </c>
      <c r="Q99" s="17">
        <f t="shared" ca="1" si="14"/>
        <v>0</v>
      </c>
      <c r="R99" s="17">
        <f t="shared" ca="1" si="14"/>
        <v>0</v>
      </c>
      <c r="S99" s="17">
        <f t="shared" ca="1" si="14"/>
        <v>0</v>
      </c>
      <c r="T99" s="17">
        <f t="shared" ca="1" si="14"/>
        <v>0</v>
      </c>
      <c r="U99" s="17">
        <f t="shared" ca="1" si="14"/>
        <v>0</v>
      </c>
      <c r="V99" s="17">
        <f t="shared" ca="1" si="14"/>
        <v>0</v>
      </c>
      <c r="W99" s="17">
        <f t="shared" ca="1" si="14"/>
        <v>0</v>
      </c>
      <c r="X99" s="17">
        <f t="shared" ca="1" si="14"/>
        <v>0</v>
      </c>
    </row>
    <row r="100" spans="3:24" ht="16.5" customHeight="1" x14ac:dyDescent="0.3">
      <c r="C100" s="69"/>
      <c r="D100" s="70" t="str">
        <f t="shared" si="11"/>
        <v>dLevel_T2_4</v>
      </c>
      <c r="E100" s="17">
        <f t="shared" ref="E100:X100" ca="1" si="15">IF(ABS(E61)&gt;0,IF(E61&gt;0.001,E61,_xlfn.MINIFS(E$58:E$92,E$58:E$92,"&gt;0")/3),0)</f>
        <v>3.2483483302511724E-2</v>
      </c>
      <c r="F100" s="17">
        <f t="shared" ca="1" si="15"/>
        <v>4.0201438142160782E-2</v>
      </c>
      <c r="G100" s="17">
        <f t="shared" ca="1" si="15"/>
        <v>3.2483483302511724E-2</v>
      </c>
      <c r="H100" s="17">
        <f t="shared" ca="1" si="15"/>
        <v>4.0201438142160782E-2</v>
      </c>
      <c r="I100" s="17">
        <f t="shared" ca="1" si="15"/>
        <v>0.15519877466486207</v>
      </c>
      <c r="J100" s="17">
        <f t="shared" ca="1" si="15"/>
        <v>0</v>
      </c>
      <c r="K100" s="17">
        <f t="shared" ca="1" si="15"/>
        <v>0</v>
      </c>
      <c r="L100" s="17">
        <f t="shared" ca="1" si="15"/>
        <v>0</v>
      </c>
      <c r="M100" s="17">
        <f t="shared" ca="1" si="15"/>
        <v>0</v>
      </c>
      <c r="N100" s="17">
        <f t="shared" ca="1" si="15"/>
        <v>0</v>
      </c>
      <c r="O100" s="17">
        <f t="shared" ca="1" si="15"/>
        <v>0</v>
      </c>
      <c r="P100" s="17">
        <f t="shared" ca="1" si="15"/>
        <v>0</v>
      </c>
      <c r="Q100" s="17">
        <f t="shared" ca="1" si="15"/>
        <v>0</v>
      </c>
      <c r="R100" s="17">
        <f t="shared" ca="1" si="15"/>
        <v>0</v>
      </c>
      <c r="S100" s="17">
        <f t="shared" ca="1" si="15"/>
        <v>0</v>
      </c>
      <c r="T100" s="17">
        <f t="shared" ca="1" si="15"/>
        <v>0</v>
      </c>
      <c r="U100" s="17">
        <f t="shared" ca="1" si="15"/>
        <v>0</v>
      </c>
      <c r="V100" s="17">
        <f t="shared" ca="1" si="15"/>
        <v>0</v>
      </c>
      <c r="W100" s="17">
        <f t="shared" ca="1" si="15"/>
        <v>0</v>
      </c>
      <c r="X100" s="17">
        <f t="shared" ca="1" si="15"/>
        <v>0</v>
      </c>
    </row>
    <row r="101" spans="3:24" ht="16.5" customHeight="1" x14ac:dyDescent="0.3">
      <c r="C101" s="69"/>
      <c r="D101" s="70" t="str">
        <f t="shared" si="11"/>
        <v>dLevel_T2_5</v>
      </c>
      <c r="E101" s="17">
        <f t="shared" ref="E101:X101" ca="1" si="16">IF(ABS(E62)&gt;0,IF(E62&gt;0.001,E62,_xlfn.MINIFS(E$58:E$92,E$58:E$92,"&gt;0")/3),0)</f>
        <v>1.51025813743968E-2</v>
      </c>
      <c r="F101" s="17">
        <f t="shared" ca="1" si="16"/>
        <v>4.3228615883236725E-2</v>
      </c>
      <c r="G101" s="17">
        <f t="shared" ca="1" si="16"/>
        <v>1.51025813743968E-2</v>
      </c>
      <c r="H101" s="17">
        <f t="shared" ca="1" si="16"/>
        <v>4.3228615883236725E-2</v>
      </c>
      <c r="I101" s="17">
        <f t="shared" ca="1" si="16"/>
        <v>0.11099652661321352</v>
      </c>
      <c r="J101" s="17">
        <f t="shared" ca="1" si="16"/>
        <v>0</v>
      </c>
      <c r="K101" s="17">
        <f t="shared" ca="1" si="16"/>
        <v>0</v>
      </c>
      <c r="L101" s="17">
        <f t="shared" ca="1" si="16"/>
        <v>0</v>
      </c>
      <c r="M101" s="17">
        <f t="shared" ca="1" si="16"/>
        <v>0</v>
      </c>
      <c r="N101" s="17">
        <f t="shared" ca="1" si="16"/>
        <v>0</v>
      </c>
      <c r="O101" s="17">
        <f t="shared" ca="1" si="16"/>
        <v>0</v>
      </c>
      <c r="P101" s="17">
        <f t="shared" ca="1" si="16"/>
        <v>0</v>
      </c>
      <c r="Q101" s="17">
        <f t="shared" ca="1" si="16"/>
        <v>0</v>
      </c>
      <c r="R101" s="17">
        <f t="shared" ca="1" si="16"/>
        <v>0</v>
      </c>
      <c r="S101" s="17">
        <f t="shared" ca="1" si="16"/>
        <v>0</v>
      </c>
      <c r="T101" s="17">
        <f t="shared" ca="1" si="16"/>
        <v>0</v>
      </c>
      <c r="U101" s="17">
        <f t="shared" ca="1" si="16"/>
        <v>0</v>
      </c>
      <c r="V101" s="17">
        <f t="shared" ca="1" si="16"/>
        <v>0</v>
      </c>
      <c r="W101" s="17">
        <f t="shared" ca="1" si="16"/>
        <v>0</v>
      </c>
      <c r="X101" s="17">
        <f t="shared" ca="1" si="16"/>
        <v>0</v>
      </c>
    </row>
    <row r="102" spans="3:24" ht="16.5" customHeight="1" x14ac:dyDescent="0.3">
      <c r="C102" s="69"/>
      <c r="D102" s="70" t="str">
        <f t="shared" si="11"/>
        <v>dLevel_T2_6</v>
      </c>
      <c r="E102" s="17">
        <f t="shared" ref="E102:X102" ca="1" si="17">IF(ABS(E63)&gt;0,IF(E63&gt;0.001,E63,_xlfn.MINIFS(E$58:E$92,E$58:E$92,"&gt;0")/3),0)</f>
        <v>2.9238221834168777E-2</v>
      </c>
      <c r="F102" s="17">
        <f t="shared" ca="1" si="17"/>
        <v>3.1483745358142155E-2</v>
      </c>
      <c r="G102" s="17">
        <f t="shared" ca="1" si="17"/>
        <v>2.9238221834168777E-2</v>
      </c>
      <c r="H102" s="17">
        <f t="shared" ca="1" si="17"/>
        <v>3.1483745358142155E-2</v>
      </c>
      <c r="I102" s="17">
        <f t="shared" ca="1" si="17"/>
        <v>9.7904406901759583E-2</v>
      </c>
      <c r="J102" s="17">
        <f t="shared" ca="1" si="17"/>
        <v>0</v>
      </c>
      <c r="K102" s="17">
        <f t="shared" ca="1" si="17"/>
        <v>0</v>
      </c>
      <c r="L102" s="17">
        <f t="shared" ca="1" si="17"/>
        <v>0</v>
      </c>
      <c r="M102" s="17">
        <f t="shared" ca="1" si="17"/>
        <v>0</v>
      </c>
      <c r="N102" s="17">
        <f t="shared" ca="1" si="17"/>
        <v>0</v>
      </c>
      <c r="O102" s="17">
        <f t="shared" ca="1" si="17"/>
        <v>0</v>
      </c>
      <c r="P102" s="17">
        <f t="shared" ca="1" si="17"/>
        <v>0</v>
      </c>
      <c r="Q102" s="17">
        <f t="shared" ca="1" si="17"/>
        <v>0</v>
      </c>
      <c r="R102" s="17">
        <f t="shared" ca="1" si="17"/>
        <v>0</v>
      </c>
      <c r="S102" s="17">
        <f t="shared" ca="1" si="17"/>
        <v>0</v>
      </c>
      <c r="T102" s="17">
        <f t="shared" ca="1" si="17"/>
        <v>0</v>
      </c>
      <c r="U102" s="17">
        <f t="shared" ca="1" si="17"/>
        <v>0</v>
      </c>
      <c r="V102" s="17">
        <f t="shared" ca="1" si="17"/>
        <v>0</v>
      </c>
      <c r="W102" s="17">
        <f t="shared" ca="1" si="17"/>
        <v>0</v>
      </c>
      <c r="X102" s="17">
        <f t="shared" ca="1" si="17"/>
        <v>0</v>
      </c>
    </row>
    <row r="103" spans="3:24" x14ac:dyDescent="0.3">
      <c r="C103" s="1"/>
      <c r="D103" s="70" t="str">
        <f t="shared" si="11"/>
        <v>dLevel_T2_7</v>
      </c>
      <c r="E103" s="17">
        <f t="shared" ref="E103:X103" ca="1" si="18">IF(ABS(E64)&gt;0,IF(E64&gt;0.001,E64,_xlfn.MINIFS(E$58:E$92,E$58:E$92,"&gt;0")/3),0)</f>
        <v>4.353071312904129E-2</v>
      </c>
      <c r="F103" s="17">
        <f t="shared" ca="1" si="18"/>
        <v>6.1115067215706406E-2</v>
      </c>
      <c r="G103" s="17">
        <f t="shared" ca="1" si="18"/>
        <v>4.353071312904129E-2</v>
      </c>
      <c r="H103" s="17">
        <f t="shared" ca="1" si="18"/>
        <v>6.1115067215706406E-2</v>
      </c>
      <c r="I103" s="17">
        <f t="shared" ca="1" si="18"/>
        <v>0.15915799619227963</v>
      </c>
      <c r="J103" s="17">
        <f t="shared" ca="1" si="18"/>
        <v>0</v>
      </c>
      <c r="K103" s="17">
        <f t="shared" ca="1" si="18"/>
        <v>0</v>
      </c>
      <c r="L103" s="17">
        <f t="shared" ca="1" si="18"/>
        <v>0</v>
      </c>
      <c r="M103" s="17">
        <f t="shared" ca="1" si="18"/>
        <v>0</v>
      </c>
      <c r="N103" s="17">
        <f t="shared" ca="1" si="18"/>
        <v>0</v>
      </c>
      <c r="O103" s="17">
        <f t="shared" ca="1" si="18"/>
        <v>0</v>
      </c>
      <c r="P103" s="17">
        <f t="shared" ca="1" si="18"/>
        <v>0</v>
      </c>
      <c r="Q103" s="17">
        <f t="shared" ca="1" si="18"/>
        <v>0</v>
      </c>
      <c r="R103" s="17">
        <f t="shared" ca="1" si="18"/>
        <v>0</v>
      </c>
      <c r="S103" s="17">
        <f t="shared" ca="1" si="18"/>
        <v>0</v>
      </c>
      <c r="T103" s="17">
        <f t="shared" ca="1" si="18"/>
        <v>0</v>
      </c>
      <c r="U103" s="17">
        <f t="shared" ca="1" si="18"/>
        <v>0</v>
      </c>
      <c r="V103" s="17">
        <f t="shared" ca="1" si="18"/>
        <v>0</v>
      </c>
      <c r="W103" s="17">
        <f t="shared" ca="1" si="18"/>
        <v>0</v>
      </c>
      <c r="X103" s="17">
        <f t="shared" ca="1" si="18"/>
        <v>0</v>
      </c>
    </row>
    <row r="104" spans="3:24" x14ac:dyDescent="0.3">
      <c r="C104" s="1"/>
      <c r="D104" s="70" t="str">
        <f t="shared" si="11"/>
        <v>dLevel_T2_8</v>
      </c>
      <c r="E104" s="17">
        <f t="shared" ref="E104:X104" ca="1" si="19">IF(ABS(E65)&gt;0,IF(E65&gt;0.001,E65,_xlfn.MINIFS(E$58:E$92,E$58:E$92,"&gt;0")/3),0)</f>
        <v>2.0511262507783897E-2</v>
      </c>
      <c r="F104" s="17">
        <f t="shared" ca="1" si="19"/>
        <v>4.4312363105880236E-2</v>
      </c>
      <c r="G104" s="17">
        <f t="shared" ca="1" si="19"/>
        <v>2.0511262507783897E-2</v>
      </c>
      <c r="H104" s="17">
        <f t="shared" ca="1" si="19"/>
        <v>4.4312363105880236E-2</v>
      </c>
      <c r="I104" s="17">
        <f t="shared" ca="1" si="19"/>
        <v>0.16483567174959984</v>
      </c>
      <c r="J104" s="17">
        <f t="shared" ca="1" si="19"/>
        <v>0</v>
      </c>
      <c r="K104" s="17">
        <f t="shared" ca="1" si="19"/>
        <v>0</v>
      </c>
      <c r="L104" s="17">
        <f t="shared" ca="1" si="19"/>
        <v>0</v>
      </c>
      <c r="M104" s="17">
        <f t="shared" ca="1" si="19"/>
        <v>0</v>
      </c>
      <c r="N104" s="17">
        <f t="shared" ca="1" si="19"/>
        <v>0</v>
      </c>
      <c r="O104" s="17">
        <f t="shared" ca="1" si="19"/>
        <v>0</v>
      </c>
      <c r="P104" s="17">
        <f t="shared" ca="1" si="19"/>
        <v>0</v>
      </c>
      <c r="Q104" s="17">
        <f t="shared" ca="1" si="19"/>
        <v>0</v>
      </c>
      <c r="R104" s="17">
        <f t="shared" ca="1" si="19"/>
        <v>0</v>
      </c>
      <c r="S104" s="17">
        <f t="shared" ca="1" si="19"/>
        <v>0</v>
      </c>
      <c r="T104" s="17">
        <f t="shared" ca="1" si="19"/>
        <v>0</v>
      </c>
      <c r="U104" s="17">
        <f t="shared" ca="1" si="19"/>
        <v>0</v>
      </c>
      <c r="V104" s="17">
        <f t="shared" ca="1" si="19"/>
        <v>0</v>
      </c>
      <c r="W104" s="17">
        <f t="shared" ca="1" si="19"/>
        <v>0</v>
      </c>
      <c r="X104" s="17">
        <f t="shared" ca="1" si="19"/>
        <v>0</v>
      </c>
    </row>
    <row r="105" spans="3:24" x14ac:dyDescent="0.3">
      <c r="C105" s="1"/>
      <c r="D105" s="70" t="str">
        <f t="shared" si="11"/>
        <v>dLevel_T2_9</v>
      </c>
      <c r="E105" s="17">
        <f t="shared" ref="E105:X105" ca="1" si="20">IF(ABS(E66)&gt;0,IF(E66&gt;0.001,E66,_xlfn.MINIFS(E$58:E$92,E$58:E$92,"&gt;0")/3),0)</f>
        <v>1.2685213405260512E-2</v>
      </c>
      <c r="F105" s="17">
        <f t="shared" ca="1" si="20"/>
        <v>3.1391979792815911E-2</v>
      </c>
      <c r="G105" s="17">
        <f t="shared" ca="1" si="20"/>
        <v>1.2685213405260512E-2</v>
      </c>
      <c r="H105" s="17">
        <f t="shared" ca="1" si="20"/>
        <v>3.1391979792815911E-2</v>
      </c>
      <c r="I105" s="17">
        <f t="shared" ca="1" si="20"/>
        <v>0.10822600293374787</v>
      </c>
      <c r="J105" s="17">
        <f t="shared" ca="1" si="20"/>
        <v>0</v>
      </c>
      <c r="K105" s="17">
        <f t="shared" ca="1" si="20"/>
        <v>0</v>
      </c>
      <c r="L105" s="17">
        <f t="shared" ca="1" si="20"/>
        <v>0</v>
      </c>
      <c r="M105" s="17">
        <f t="shared" ca="1" si="20"/>
        <v>0</v>
      </c>
      <c r="N105" s="17">
        <f t="shared" ca="1" si="20"/>
        <v>0</v>
      </c>
      <c r="O105" s="17">
        <f t="shared" ca="1" si="20"/>
        <v>0</v>
      </c>
      <c r="P105" s="17">
        <f t="shared" ca="1" si="20"/>
        <v>0</v>
      </c>
      <c r="Q105" s="17">
        <f t="shared" ca="1" si="20"/>
        <v>0</v>
      </c>
      <c r="R105" s="17">
        <f t="shared" ca="1" si="20"/>
        <v>0</v>
      </c>
      <c r="S105" s="17">
        <f t="shared" ca="1" si="20"/>
        <v>0</v>
      </c>
      <c r="T105" s="17">
        <f t="shared" ca="1" si="20"/>
        <v>0</v>
      </c>
      <c r="U105" s="17">
        <f t="shared" ca="1" si="20"/>
        <v>0</v>
      </c>
      <c r="V105" s="17">
        <f t="shared" ca="1" si="20"/>
        <v>0</v>
      </c>
      <c r="W105" s="17">
        <f t="shared" ca="1" si="20"/>
        <v>0</v>
      </c>
      <c r="X105" s="17">
        <f t="shared" ca="1" si="20"/>
        <v>0</v>
      </c>
    </row>
    <row r="106" spans="3:24" x14ac:dyDescent="0.3">
      <c r="C106" s="1"/>
      <c r="D106" s="70" t="str">
        <f t="shared" si="11"/>
        <v>dLevel_T2_10</v>
      </c>
      <c r="E106" s="17">
        <f t="shared" ref="E106:X106" ca="1" si="21">IF(ABS(E67)&gt;0,IF(E67&gt;0.001,E67,_xlfn.MINIFS(E$58:E$92,E$58:E$92,"&gt;0")/3),0)</f>
        <v>2.1053326780691814E-2</v>
      </c>
      <c r="F106" s="17">
        <f t="shared" ca="1" si="21"/>
        <v>2.1925164074788468E-2</v>
      </c>
      <c r="G106" s="17">
        <f t="shared" ca="1" si="21"/>
        <v>2.1053326780691814E-2</v>
      </c>
      <c r="H106" s="17">
        <f t="shared" ca="1" si="21"/>
        <v>2.1925164074788468E-2</v>
      </c>
      <c r="I106" s="17">
        <f t="shared" ca="1" si="21"/>
        <v>6.2482574529802444E-2</v>
      </c>
      <c r="J106" s="17">
        <f t="shared" ca="1" si="21"/>
        <v>0</v>
      </c>
      <c r="K106" s="17">
        <f t="shared" ca="1" si="21"/>
        <v>0</v>
      </c>
      <c r="L106" s="17">
        <f t="shared" ca="1" si="21"/>
        <v>0</v>
      </c>
      <c r="M106" s="17">
        <f t="shared" ca="1" si="21"/>
        <v>0</v>
      </c>
      <c r="N106" s="17">
        <f t="shared" ca="1" si="21"/>
        <v>0</v>
      </c>
      <c r="O106" s="17">
        <f t="shared" ca="1" si="21"/>
        <v>0</v>
      </c>
      <c r="P106" s="17">
        <f t="shared" ca="1" si="21"/>
        <v>0</v>
      </c>
      <c r="Q106" s="17">
        <f t="shared" ca="1" si="21"/>
        <v>0</v>
      </c>
      <c r="R106" s="17">
        <f t="shared" ca="1" si="21"/>
        <v>0</v>
      </c>
      <c r="S106" s="17">
        <f t="shared" ca="1" si="21"/>
        <v>0</v>
      </c>
      <c r="T106" s="17">
        <f t="shared" ca="1" si="21"/>
        <v>0</v>
      </c>
      <c r="U106" s="17">
        <f t="shared" ca="1" si="21"/>
        <v>0</v>
      </c>
      <c r="V106" s="17">
        <f t="shared" ca="1" si="21"/>
        <v>0</v>
      </c>
      <c r="W106" s="17">
        <f t="shared" ca="1" si="21"/>
        <v>0</v>
      </c>
      <c r="X106" s="17">
        <f t="shared" ca="1" si="21"/>
        <v>0</v>
      </c>
    </row>
    <row r="107" spans="3:24" x14ac:dyDescent="0.3">
      <c r="C107" s="1"/>
      <c r="D107" s="70" t="str">
        <f t="shared" si="11"/>
        <v>dLevel_T2_11</v>
      </c>
      <c r="E107" s="17">
        <f t="shared" ref="E107:X107" ca="1" si="22">IF(ABS(E68)&gt;0,IF(E68&gt;0.001,E68,_xlfn.MINIFS(E$58:E$92,E$58:E$92,"&gt;0")/3),0)</f>
        <v>3.5992655123074861E-2</v>
      </c>
      <c r="F107" s="17">
        <f t="shared" ca="1" si="22"/>
        <v>4.1425874390075723E-2</v>
      </c>
      <c r="G107" s="17">
        <f t="shared" ca="1" si="22"/>
        <v>3.5992655123074861E-2</v>
      </c>
      <c r="H107" s="17">
        <f t="shared" ca="1" si="22"/>
        <v>4.1425874390075723E-2</v>
      </c>
      <c r="I107" s="17">
        <f t="shared" ca="1" si="22"/>
        <v>0.10094824119200589</v>
      </c>
      <c r="J107" s="17">
        <f t="shared" ca="1" si="22"/>
        <v>0</v>
      </c>
      <c r="K107" s="17">
        <f t="shared" ca="1" si="22"/>
        <v>0</v>
      </c>
      <c r="L107" s="17">
        <f t="shared" ca="1" si="22"/>
        <v>0</v>
      </c>
      <c r="M107" s="17">
        <f t="shared" ca="1" si="22"/>
        <v>0</v>
      </c>
      <c r="N107" s="17">
        <f t="shared" ca="1" si="22"/>
        <v>0</v>
      </c>
      <c r="O107" s="17">
        <f t="shared" ca="1" si="22"/>
        <v>0</v>
      </c>
      <c r="P107" s="17">
        <f t="shared" ca="1" si="22"/>
        <v>0</v>
      </c>
      <c r="Q107" s="17">
        <f t="shared" ca="1" si="22"/>
        <v>0</v>
      </c>
      <c r="R107" s="17">
        <f t="shared" ca="1" si="22"/>
        <v>0</v>
      </c>
      <c r="S107" s="17">
        <f t="shared" ca="1" si="22"/>
        <v>0</v>
      </c>
      <c r="T107" s="17">
        <f t="shared" ca="1" si="22"/>
        <v>0</v>
      </c>
      <c r="U107" s="17">
        <f t="shared" ca="1" si="22"/>
        <v>0</v>
      </c>
      <c r="V107" s="17">
        <f t="shared" ca="1" si="22"/>
        <v>0</v>
      </c>
      <c r="W107" s="17">
        <f t="shared" ca="1" si="22"/>
        <v>0</v>
      </c>
      <c r="X107" s="17">
        <f t="shared" ca="1" si="22"/>
        <v>0</v>
      </c>
    </row>
    <row r="108" spans="3:24" x14ac:dyDescent="0.3">
      <c r="C108" s="1"/>
      <c r="D108" s="70" t="str">
        <f t="shared" si="11"/>
        <v>dLevel_T2_12</v>
      </c>
      <c r="E108" s="17">
        <f t="shared" ref="E108:X108" ca="1" si="23">IF(ABS(E69)&gt;0,IF(E69&gt;0.001,E69,_xlfn.MINIFS(E$58:E$92,E$58:E$92,"&gt;0")/3),0)</f>
        <v>4.3410521715814165E-2</v>
      </c>
      <c r="F108" s="17">
        <f t="shared" ca="1" si="23"/>
        <v>1.8539084265974438E-2</v>
      </c>
      <c r="G108" s="17">
        <f t="shared" ca="1" si="23"/>
        <v>4.3410521715814165E-2</v>
      </c>
      <c r="H108" s="17">
        <f t="shared" ca="1" si="23"/>
        <v>1.8539084265974438E-2</v>
      </c>
      <c r="I108" s="17">
        <f t="shared" ca="1" si="23"/>
        <v>4.5910204917901848E-2</v>
      </c>
      <c r="J108" s="17">
        <f t="shared" ca="1" si="23"/>
        <v>0</v>
      </c>
      <c r="K108" s="17">
        <f t="shared" ca="1" si="23"/>
        <v>0</v>
      </c>
      <c r="L108" s="17">
        <f t="shared" ca="1" si="23"/>
        <v>0</v>
      </c>
      <c r="M108" s="17">
        <f t="shared" ca="1" si="23"/>
        <v>0</v>
      </c>
      <c r="N108" s="17">
        <f t="shared" ca="1" si="23"/>
        <v>0</v>
      </c>
      <c r="O108" s="17">
        <f t="shared" ca="1" si="23"/>
        <v>0</v>
      </c>
      <c r="P108" s="17">
        <f t="shared" ca="1" si="23"/>
        <v>0</v>
      </c>
      <c r="Q108" s="17">
        <f t="shared" ca="1" si="23"/>
        <v>0</v>
      </c>
      <c r="R108" s="17">
        <f t="shared" ca="1" si="23"/>
        <v>0</v>
      </c>
      <c r="S108" s="17">
        <f t="shared" ca="1" si="23"/>
        <v>0</v>
      </c>
      <c r="T108" s="17">
        <f t="shared" ca="1" si="23"/>
        <v>0</v>
      </c>
      <c r="U108" s="17">
        <f t="shared" ca="1" si="23"/>
        <v>0</v>
      </c>
      <c r="V108" s="17">
        <f t="shared" ca="1" si="23"/>
        <v>0</v>
      </c>
      <c r="W108" s="17">
        <f t="shared" ca="1" si="23"/>
        <v>0</v>
      </c>
      <c r="X108" s="17">
        <f t="shared" ca="1" si="23"/>
        <v>0</v>
      </c>
    </row>
    <row r="109" spans="3:24" x14ac:dyDescent="0.3">
      <c r="C109" s="1"/>
      <c r="D109" s="70" t="str">
        <f t="shared" si="11"/>
        <v>dLevel_T2_13</v>
      </c>
      <c r="E109" s="17">
        <f t="shared" ref="E109:X109" ca="1" si="24">IF(ABS(E70)&gt;0,IF(E70&gt;0.001,E70,_xlfn.MINIFS(E$58:E$92,E$58:E$92,"&gt;0")/3),0)</f>
        <v>2.2459528219110368E-2</v>
      </c>
      <c r="F109" s="17">
        <f t="shared" ca="1" si="24"/>
        <v>4.8708158755339889E-4</v>
      </c>
      <c r="G109" s="17">
        <f t="shared" ca="1" si="24"/>
        <v>2.2459528219110368E-2</v>
      </c>
      <c r="H109" s="17">
        <f t="shared" ca="1" si="24"/>
        <v>4.8708158755339889E-4</v>
      </c>
      <c r="I109" s="17">
        <f t="shared" ca="1" si="24"/>
        <v>5.979254624537933E-2</v>
      </c>
      <c r="J109" s="17">
        <f t="shared" ca="1" si="24"/>
        <v>0</v>
      </c>
      <c r="K109" s="17">
        <f t="shared" ca="1" si="24"/>
        <v>0</v>
      </c>
      <c r="L109" s="17">
        <f t="shared" ca="1" si="24"/>
        <v>0</v>
      </c>
      <c r="M109" s="17">
        <f t="shared" ca="1" si="24"/>
        <v>0</v>
      </c>
      <c r="N109" s="17">
        <f t="shared" ca="1" si="24"/>
        <v>0</v>
      </c>
      <c r="O109" s="17">
        <f t="shared" ca="1" si="24"/>
        <v>0</v>
      </c>
      <c r="P109" s="17">
        <f t="shared" ca="1" si="24"/>
        <v>0</v>
      </c>
      <c r="Q109" s="17">
        <f t="shared" ca="1" si="24"/>
        <v>0</v>
      </c>
      <c r="R109" s="17">
        <f t="shared" ca="1" si="24"/>
        <v>0</v>
      </c>
      <c r="S109" s="17">
        <f t="shared" ca="1" si="24"/>
        <v>0</v>
      </c>
      <c r="T109" s="17">
        <f t="shared" ca="1" si="24"/>
        <v>0</v>
      </c>
      <c r="U109" s="17">
        <f t="shared" ca="1" si="24"/>
        <v>0</v>
      </c>
      <c r="V109" s="17">
        <f t="shared" ca="1" si="24"/>
        <v>0</v>
      </c>
      <c r="W109" s="17">
        <f t="shared" ca="1" si="24"/>
        <v>0</v>
      </c>
      <c r="X109" s="17">
        <f t="shared" ca="1" si="24"/>
        <v>0</v>
      </c>
    </row>
    <row r="110" spans="3:24" x14ac:dyDescent="0.3">
      <c r="C110" s="1"/>
      <c r="D110" s="70" t="str">
        <f t="shared" si="11"/>
        <v>dLevel_T2_14</v>
      </c>
      <c r="E110" s="17">
        <f t="shared" ref="E110:X110" ca="1" si="25">IF(ABS(E71)&gt;0,IF(E71&gt;0.001,E71,_xlfn.MINIFS(E$58:E$92,E$58:E$92,"&gt;0")/3),0)</f>
        <v>2.188548323266587E-2</v>
      </c>
      <c r="F110" s="17">
        <f t="shared" ca="1" si="25"/>
        <v>2.8647437436370451E-2</v>
      </c>
      <c r="G110" s="17">
        <f t="shared" ca="1" si="25"/>
        <v>2.188548323266587E-2</v>
      </c>
      <c r="H110" s="17">
        <f t="shared" ca="1" si="25"/>
        <v>2.8647437436370451E-2</v>
      </c>
      <c r="I110" s="17">
        <f t="shared" ca="1" si="25"/>
        <v>9.6689717234283032E-2</v>
      </c>
      <c r="J110" s="17">
        <f t="shared" ca="1" si="25"/>
        <v>0</v>
      </c>
      <c r="K110" s="17">
        <f t="shared" ca="1" si="25"/>
        <v>0</v>
      </c>
      <c r="L110" s="17">
        <f t="shared" ca="1" si="25"/>
        <v>0</v>
      </c>
      <c r="M110" s="17">
        <f t="shared" ca="1" si="25"/>
        <v>0</v>
      </c>
      <c r="N110" s="17">
        <f t="shared" ca="1" si="25"/>
        <v>0</v>
      </c>
      <c r="O110" s="17">
        <f t="shared" ca="1" si="25"/>
        <v>0</v>
      </c>
      <c r="P110" s="17">
        <f t="shared" ca="1" si="25"/>
        <v>0</v>
      </c>
      <c r="Q110" s="17">
        <f t="shared" ca="1" si="25"/>
        <v>0</v>
      </c>
      <c r="R110" s="17">
        <f t="shared" ca="1" si="25"/>
        <v>0</v>
      </c>
      <c r="S110" s="17">
        <f t="shared" ca="1" si="25"/>
        <v>0</v>
      </c>
      <c r="T110" s="17">
        <f t="shared" ca="1" si="25"/>
        <v>0</v>
      </c>
      <c r="U110" s="17">
        <f t="shared" ca="1" si="25"/>
        <v>0</v>
      </c>
      <c r="V110" s="17">
        <f t="shared" ca="1" si="25"/>
        <v>0</v>
      </c>
      <c r="W110" s="17">
        <f t="shared" ca="1" si="25"/>
        <v>0</v>
      </c>
      <c r="X110" s="17">
        <f t="shared" ca="1" si="25"/>
        <v>0</v>
      </c>
    </row>
    <row r="111" spans="3:24" x14ac:dyDescent="0.3">
      <c r="C111" s="1"/>
      <c r="D111" s="70" t="str">
        <f t="shared" si="11"/>
        <v>dLevel_T2_15</v>
      </c>
      <c r="E111" s="17">
        <f t="shared" ref="E111:X111" ca="1" si="26">IF(ABS(E72)&gt;0,IF(E72&gt;0.001,E72,_xlfn.MINIFS(E$58:E$92,E$58:E$92,"&gt;0")/3),0)</f>
        <v>2.1032086051352865E-2</v>
      </c>
      <c r="F111" s="17">
        <f t="shared" ca="1" si="26"/>
        <v>4.8708158755339889E-4</v>
      </c>
      <c r="G111" s="17">
        <f t="shared" ca="1" si="26"/>
        <v>2.1032086051352865E-2</v>
      </c>
      <c r="H111" s="17">
        <f t="shared" ca="1" si="26"/>
        <v>4.8708158755339889E-4</v>
      </c>
      <c r="I111" s="17">
        <f t="shared" ca="1" si="26"/>
        <v>8.9919760486629183E-2</v>
      </c>
      <c r="J111" s="17">
        <f t="shared" ca="1" si="26"/>
        <v>0</v>
      </c>
      <c r="K111" s="17">
        <f t="shared" ca="1" si="26"/>
        <v>0</v>
      </c>
      <c r="L111" s="17">
        <f t="shared" ca="1" si="26"/>
        <v>0</v>
      </c>
      <c r="M111" s="17">
        <f t="shared" ca="1" si="26"/>
        <v>0</v>
      </c>
      <c r="N111" s="17">
        <f t="shared" ca="1" si="26"/>
        <v>0</v>
      </c>
      <c r="O111" s="17">
        <f t="shared" ca="1" si="26"/>
        <v>0</v>
      </c>
      <c r="P111" s="17">
        <f t="shared" ca="1" si="26"/>
        <v>0</v>
      </c>
      <c r="Q111" s="17">
        <f t="shared" ca="1" si="26"/>
        <v>0</v>
      </c>
      <c r="R111" s="17">
        <f t="shared" ca="1" si="26"/>
        <v>0</v>
      </c>
      <c r="S111" s="17">
        <f t="shared" ca="1" si="26"/>
        <v>0</v>
      </c>
      <c r="T111" s="17">
        <f t="shared" ca="1" si="26"/>
        <v>0</v>
      </c>
      <c r="U111" s="17">
        <f t="shared" ca="1" si="26"/>
        <v>0</v>
      </c>
      <c r="V111" s="17">
        <f t="shared" ca="1" si="26"/>
        <v>0</v>
      </c>
      <c r="W111" s="17">
        <f t="shared" ca="1" si="26"/>
        <v>0</v>
      </c>
      <c r="X111" s="17">
        <f t="shared" ca="1" si="26"/>
        <v>0</v>
      </c>
    </row>
    <row r="112" spans="3:24" x14ac:dyDescent="0.3">
      <c r="C112" s="1"/>
      <c r="D112" s="70" t="str">
        <f t="shared" si="11"/>
        <v>dLevel_T2_16</v>
      </c>
      <c r="E112" s="17">
        <f t="shared" ref="E112:X112" ca="1" si="27">IF(ABS(E73)&gt;0,IF(E73&gt;0.001,E73,_xlfn.MINIFS(E$58:E$92,E$58:E$92,"&gt;0")/3),0)</f>
        <v>1.7508179240042599E-2</v>
      </c>
      <c r="F112" s="17">
        <f t="shared" ca="1" si="27"/>
        <v>1.5324587599407715E-2</v>
      </c>
      <c r="G112" s="17">
        <f t="shared" ca="1" si="27"/>
        <v>1.7508179240042599E-2</v>
      </c>
      <c r="H112" s="17">
        <f t="shared" ca="1" si="27"/>
        <v>1.5324587599407715E-2</v>
      </c>
      <c r="I112" s="17">
        <f t="shared" ca="1" si="27"/>
        <v>9.6392707623585372E-2</v>
      </c>
      <c r="J112" s="17">
        <f t="shared" ca="1" si="27"/>
        <v>0</v>
      </c>
      <c r="K112" s="17">
        <f t="shared" ca="1" si="27"/>
        <v>0</v>
      </c>
      <c r="L112" s="17">
        <f t="shared" ca="1" si="27"/>
        <v>0</v>
      </c>
      <c r="M112" s="17">
        <f t="shared" ca="1" si="27"/>
        <v>0</v>
      </c>
      <c r="N112" s="17">
        <f t="shared" ca="1" si="27"/>
        <v>0</v>
      </c>
      <c r="O112" s="17">
        <f t="shared" ca="1" si="27"/>
        <v>0</v>
      </c>
      <c r="P112" s="17">
        <f t="shared" ca="1" si="27"/>
        <v>0</v>
      </c>
      <c r="Q112" s="17">
        <f t="shared" ca="1" si="27"/>
        <v>0</v>
      </c>
      <c r="R112" s="17">
        <f t="shared" ca="1" si="27"/>
        <v>0</v>
      </c>
      <c r="S112" s="17">
        <f t="shared" ca="1" si="27"/>
        <v>0</v>
      </c>
      <c r="T112" s="17">
        <f t="shared" ca="1" si="27"/>
        <v>0</v>
      </c>
      <c r="U112" s="17">
        <f t="shared" ca="1" si="27"/>
        <v>0</v>
      </c>
      <c r="V112" s="17">
        <f t="shared" ca="1" si="27"/>
        <v>0</v>
      </c>
      <c r="W112" s="17">
        <f t="shared" ca="1" si="27"/>
        <v>0</v>
      </c>
      <c r="X112" s="17">
        <f t="shared" ca="1" si="27"/>
        <v>0</v>
      </c>
    </row>
    <row r="113" spans="3:24" x14ac:dyDescent="0.3">
      <c r="C113" s="1"/>
      <c r="D113" s="70" t="str">
        <f t="shared" si="11"/>
        <v>dLevel_T2_17</v>
      </c>
      <c r="E113" s="17">
        <f t="shared" ref="E113:X113" ca="1" si="28">IF(ABS(E74)&gt;0,IF(E74&gt;0.001,E74,_xlfn.MINIFS(E$58:E$92,E$58:E$92,"&gt;0")/3),0)</f>
        <v>6.230302292469749E-3</v>
      </c>
      <c r="F113" s="17">
        <f t="shared" ca="1" si="28"/>
        <v>1.3902272122107732E-2</v>
      </c>
      <c r="G113" s="17">
        <f t="shared" ca="1" si="28"/>
        <v>6.230302292469749E-3</v>
      </c>
      <c r="H113" s="17">
        <f t="shared" ca="1" si="28"/>
        <v>1.3902272122107732E-2</v>
      </c>
      <c r="I113" s="17">
        <f t="shared" ca="1" si="28"/>
        <v>0.10842933959102537</v>
      </c>
      <c r="J113" s="17">
        <f t="shared" ca="1" si="28"/>
        <v>0</v>
      </c>
      <c r="K113" s="17">
        <f t="shared" ca="1" si="28"/>
        <v>0</v>
      </c>
      <c r="L113" s="17">
        <f t="shared" ca="1" si="28"/>
        <v>0</v>
      </c>
      <c r="M113" s="17">
        <f t="shared" ca="1" si="28"/>
        <v>0</v>
      </c>
      <c r="N113" s="17">
        <f t="shared" ca="1" si="28"/>
        <v>0</v>
      </c>
      <c r="O113" s="17">
        <f t="shared" ca="1" si="28"/>
        <v>0</v>
      </c>
      <c r="P113" s="17">
        <f t="shared" ca="1" si="28"/>
        <v>0</v>
      </c>
      <c r="Q113" s="17">
        <f t="shared" ca="1" si="28"/>
        <v>0</v>
      </c>
      <c r="R113" s="17">
        <f t="shared" ca="1" si="28"/>
        <v>0</v>
      </c>
      <c r="S113" s="17">
        <f t="shared" ca="1" si="28"/>
        <v>0</v>
      </c>
      <c r="T113" s="17">
        <f t="shared" ca="1" si="28"/>
        <v>0</v>
      </c>
      <c r="U113" s="17">
        <f t="shared" ca="1" si="28"/>
        <v>0</v>
      </c>
      <c r="V113" s="17">
        <f t="shared" ca="1" si="28"/>
        <v>0</v>
      </c>
      <c r="W113" s="17">
        <f t="shared" ca="1" si="28"/>
        <v>0</v>
      </c>
      <c r="X113" s="17">
        <f t="shared" ca="1" si="28"/>
        <v>0</v>
      </c>
    </row>
    <row r="114" spans="3:24" x14ac:dyDescent="0.3">
      <c r="C114" s="1"/>
      <c r="D114" s="70" t="str">
        <f t="shared" si="11"/>
        <v>dLevel_T2_18</v>
      </c>
      <c r="E114" s="17">
        <f t="shared" ref="E114:X114" ca="1" si="29">IF(ABS(E75)&gt;0,IF(E75&gt;0.001,E75,_xlfn.MINIFS(E$58:E$92,E$58:E$92,"&gt;0")/3),0)</f>
        <v>7.8007291233681718E-3</v>
      </c>
      <c r="F114" s="17">
        <f t="shared" ca="1" si="29"/>
        <v>4.2891954582487075E-2</v>
      </c>
      <c r="G114" s="17">
        <f t="shared" ca="1" si="29"/>
        <v>7.8007291233681718E-3</v>
      </c>
      <c r="H114" s="17">
        <f t="shared" ca="1" si="29"/>
        <v>4.2891954582487075E-2</v>
      </c>
      <c r="I114" s="17">
        <f t="shared" ca="1" si="29"/>
        <v>0.15785885755682991</v>
      </c>
      <c r="J114" s="17">
        <f t="shared" ca="1" si="29"/>
        <v>0</v>
      </c>
      <c r="K114" s="17">
        <f t="shared" ca="1" si="29"/>
        <v>0</v>
      </c>
      <c r="L114" s="17">
        <f t="shared" ca="1" si="29"/>
        <v>0</v>
      </c>
      <c r="M114" s="17">
        <f t="shared" ca="1" si="29"/>
        <v>0</v>
      </c>
      <c r="N114" s="17">
        <f t="shared" ca="1" si="29"/>
        <v>0</v>
      </c>
      <c r="O114" s="17">
        <f t="shared" ca="1" si="29"/>
        <v>0</v>
      </c>
      <c r="P114" s="17">
        <f t="shared" ca="1" si="29"/>
        <v>0</v>
      </c>
      <c r="Q114" s="17">
        <f t="shared" ca="1" si="29"/>
        <v>0</v>
      </c>
      <c r="R114" s="17">
        <f t="shared" ca="1" si="29"/>
        <v>0</v>
      </c>
      <c r="S114" s="17">
        <f t="shared" ca="1" si="29"/>
        <v>0</v>
      </c>
      <c r="T114" s="17">
        <f t="shared" ca="1" si="29"/>
        <v>0</v>
      </c>
      <c r="U114" s="17">
        <f t="shared" ca="1" si="29"/>
        <v>0</v>
      </c>
      <c r="V114" s="17">
        <f t="shared" ca="1" si="29"/>
        <v>0</v>
      </c>
      <c r="W114" s="17">
        <f t="shared" ca="1" si="29"/>
        <v>0</v>
      </c>
      <c r="X114" s="17">
        <f t="shared" ca="1" si="29"/>
        <v>0</v>
      </c>
    </row>
    <row r="115" spans="3:24" x14ac:dyDescent="0.3">
      <c r="C115" s="1"/>
      <c r="D115" s="70" t="str">
        <f t="shared" si="11"/>
        <v>dLevel_T2_19</v>
      </c>
      <c r="E115" s="17">
        <f t="shared" ref="E115:X115" ca="1" si="30">IF(ABS(E76)&gt;0,IF(E76&gt;0.001,E76,_xlfn.MINIFS(E$58:E$92,E$58:E$92,"&gt;0")/3),0)</f>
        <v>1.2396297251691963E-2</v>
      </c>
      <c r="F115" s="17">
        <f t="shared" ca="1" si="30"/>
        <v>9.3778982453042638E-3</v>
      </c>
      <c r="G115" s="17">
        <f t="shared" ca="1" si="30"/>
        <v>1.2396297251691963E-2</v>
      </c>
      <c r="H115" s="17">
        <f t="shared" ca="1" si="30"/>
        <v>9.3778982453042638E-3</v>
      </c>
      <c r="I115" s="17">
        <f t="shared" ca="1" si="30"/>
        <v>5.8927415675882437E-2</v>
      </c>
      <c r="J115" s="17">
        <f t="shared" ca="1" si="30"/>
        <v>0</v>
      </c>
      <c r="K115" s="17">
        <f t="shared" ca="1" si="30"/>
        <v>0</v>
      </c>
      <c r="L115" s="17">
        <f t="shared" ca="1" si="30"/>
        <v>0</v>
      </c>
      <c r="M115" s="17">
        <f t="shared" ca="1" si="30"/>
        <v>0</v>
      </c>
      <c r="N115" s="17">
        <f t="shared" ca="1" si="30"/>
        <v>0</v>
      </c>
      <c r="O115" s="17">
        <f t="shared" ca="1" si="30"/>
        <v>0</v>
      </c>
      <c r="P115" s="17">
        <f t="shared" ca="1" si="30"/>
        <v>0</v>
      </c>
      <c r="Q115" s="17">
        <f t="shared" ca="1" si="30"/>
        <v>0</v>
      </c>
      <c r="R115" s="17">
        <f t="shared" ca="1" si="30"/>
        <v>0</v>
      </c>
      <c r="S115" s="17">
        <f t="shared" ca="1" si="30"/>
        <v>0</v>
      </c>
      <c r="T115" s="17">
        <f t="shared" ca="1" si="30"/>
        <v>0</v>
      </c>
      <c r="U115" s="17">
        <f t="shared" ca="1" si="30"/>
        <v>0</v>
      </c>
      <c r="V115" s="17">
        <f t="shared" ca="1" si="30"/>
        <v>0</v>
      </c>
      <c r="W115" s="17">
        <f t="shared" ca="1" si="30"/>
        <v>0</v>
      </c>
      <c r="X115" s="17">
        <f t="shared" ca="1" si="30"/>
        <v>0</v>
      </c>
    </row>
    <row r="116" spans="3:24" x14ac:dyDescent="0.3">
      <c r="C116" s="1"/>
      <c r="D116" s="70" t="str">
        <f t="shared" si="11"/>
        <v>dLevel_T2_21</v>
      </c>
      <c r="E116" s="17">
        <f t="shared" ref="E116:X116" ca="1" si="31">IF(ABS(E77)&gt;0,IF(E77&gt;0.001,E77,_xlfn.MINIFS(E$58:E$92,E$58:E$92,"&gt;0")/3),0)</f>
        <v>1.4966525435741271E-2</v>
      </c>
      <c r="F116" s="17">
        <f t="shared" ca="1" si="31"/>
        <v>2.3782160682035088E-2</v>
      </c>
      <c r="G116" s="17">
        <f t="shared" ca="1" si="31"/>
        <v>1.4966525435741271E-2</v>
      </c>
      <c r="H116" s="17">
        <f t="shared" ca="1" si="31"/>
        <v>2.3782160682035088E-2</v>
      </c>
      <c r="I116" s="17">
        <f t="shared" ca="1" si="31"/>
        <v>9.8710061382784361E-2</v>
      </c>
      <c r="J116" s="17">
        <f t="shared" ca="1" si="31"/>
        <v>0</v>
      </c>
      <c r="K116" s="17">
        <f t="shared" ca="1" si="31"/>
        <v>0</v>
      </c>
      <c r="L116" s="17">
        <f t="shared" ca="1" si="31"/>
        <v>0</v>
      </c>
      <c r="M116" s="17">
        <f t="shared" ca="1" si="31"/>
        <v>0</v>
      </c>
      <c r="N116" s="17">
        <f t="shared" ca="1" si="31"/>
        <v>0</v>
      </c>
      <c r="O116" s="17">
        <f t="shared" ca="1" si="31"/>
        <v>0</v>
      </c>
      <c r="P116" s="17">
        <f t="shared" ca="1" si="31"/>
        <v>0</v>
      </c>
      <c r="Q116" s="17">
        <f t="shared" ca="1" si="31"/>
        <v>0</v>
      </c>
      <c r="R116" s="17">
        <f t="shared" ca="1" si="31"/>
        <v>0</v>
      </c>
      <c r="S116" s="17">
        <f t="shared" ca="1" si="31"/>
        <v>0</v>
      </c>
      <c r="T116" s="17">
        <f t="shared" ca="1" si="31"/>
        <v>0</v>
      </c>
      <c r="U116" s="17">
        <f t="shared" ca="1" si="31"/>
        <v>0</v>
      </c>
      <c r="V116" s="17">
        <f t="shared" ca="1" si="31"/>
        <v>0</v>
      </c>
      <c r="W116" s="17">
        <f t="shared" ca="1" si="31"/>
        <v>0</v>
      </c>
      <c r="X116" s="17">
        <f t="shared" ca="1" si="31"/>
        <v>0</v>
      </c>
    </row>
    <row r="117" spans="3:24" x14ac:dyDescent="0.3">
      <c r="C117" s="1"/>
      <c r="D117" s="70" t="str">
        <f t="shared" si="11"/>
        <v>dLevel_T2_22</v>
      </c>
      <c r="E117" s="17">
        <f t="shared" ref="E117:X117" ca="1" si="32">IF(ABS(E78)&gt;0,IF(E78&gt;0.001,E78,_xlfn.MINIFS(E$58:E$92,E$58:E$92,"&gt;0")/3),0)</f>
        <v>0.13754264469763572</v>
      </c>
      <c r="F117" s="17">
        <f t="shared" ca="1" si="32"/>
        <v>0.12246587239507523</v>
      </c>
      <c r="G117" s="17">
        <f t="shared" ca="1" si="32"/>
        <v>0.13754264469763572</v>
      </c>
      <c r="H117" s="17">
        <f t="shared" ca="1" si="32"/>
        <v>0.12246587239507523</v>
      </c>
      <c r="I117" s="17">
        <f t="shared" ca="1" si="32"/>
        <v>0.30625506612880987</v>
      </c>
      <c r="J117" s="17">
        <f t="shared" ca="1" si="32"/>
        <v>0</v>
      </c>
      <c r="K117" s="17">
        <f t="shared" ca="1" si="32"/>
        <v>0</v>
      </c>
      <c r="L117" s="17">
        <f t="shared" ca="1" si="32"/>
        <v>0</v>
      </c>
      <c r="M117" s="17">
        <f t="shared" ca="1" si="32"/>
        <v>0</v>
      </c>
      <c r="N117" s="17">
        <f t="shared" ca="1" si="32"/>
        <v>0</v>
      </c>
      <c r="O117" s="17">
        <f t="shared" ca="1" si="32"/>
        <v>0</v>
      </c>
      <c r="P117" s="17">
        <f t="shared" ca="1" si="32"/>
        <v>0</v>
      </c>
      <c r="Q117" s="17">
        <f t="shared" ca="1" si="32"/>
        <v>0</v>
      </c>
      <c r="R117" s="17">
        <f t="shared" ca="1" si="32"/>
        <v>0</v>
      </c>
      <c r="S117" s="17">
        <f t="shared" ca="1" si="32"/>
        <v>0</v>
      </c>
      <c r="T117" s="17">
        <f t="shared" ca="1" si="32"/>
        <v>0</v>
      </c>
      <c r="U117" s="17">
        <f t="shared" ca="1" si="32"/>
        <v>0</v>
      </c>
      <c r="V117" s="17">
        <f t="shared" ca="1" si="32"/>
        <v>0</v>
      </c>
      <c r="W117" s="17">
        <f t="shared" ca="1" si="32"/>
        <v>0</v>
      </c>
      <c r="X117" s="17">
        <f t="shared" ca="1" si="32"/>
        <v>0</v>
      </c>
    </row>
    <row r="118" spans="3:24" x14ac:dyDescent="0.3">
      <c r="C118" s="1"/>
      <c r="D118" s="70" t="str">
        <f t="shared" si="11"/>
        <v>dLevel_T2_23</v>
      </c>
      <c r="E118" s="17">
        <f t="shared" ref="E118:X118" ca="1" si="33">IF(ABS(E79)&gt;0,IF(E79&gt;0.001,E79,_xlfn.MINIFS(E$58:E$92,E$58:E$92,"&gt;0")/3),0)</f>
        <v>1.3173218977312559E-2</v>
      </c>
      <c r="F118" s="17">
        <f t="shared" ca="1" si="33"/>
        <v>1.4612447626601967E-3</v>
      </c>
      <c r="G118" s="17">
        <f t="shared" ca="1" si="33"/>
        <v>1.3173218977312559E-2</v>
      </c>
      <c r="H118" s="17">
        <f t="shared" ca="1" si="33"/>
        <v>1.4612447626601967E-3</v>
      </c>
      <c r="I118" s="17">
        <f t="shared" ca="1" si="33"/>
        <v>7.6519553842996552E-2</v>
      </c>
      <c r="J118" s="17">
        <f t="shared" ca="1" si="33"/>
        <v>0</v>
      </c>
      <c r="K118" s="17">
        <f t="shared" ca="1" si="33"/>
        <v>0</v>
      </c>
      <c r="L118" s="17">
        <f t="shared" ca="1" si="33"/>
        <v>0</v>
      </c>
      <c r="M118" s="17">
        <f t="shared" ca="1" si="33"/>
        <v>0</v>
      </c>
      <c r="N118" s="17">
        <f t="shared" ca="1" si="33"/>
        <v>0</v>
      </c>
      <c r="O118" s="17">
        <f t="shared" ca="1" si="33"/>
        <v>0</v>
      </c>
      <c r="P118" s="17">
        <f t="shared" ca="1" si="33"/>
        <v>0</v>
      </c>
      <c r="Q118" s="17">
        <f t="shared" ca="1" si="33"/>
        <v>0</v>
      </c>
      <c r="R118" s="17">
        <f t="shared" ca="1" si="33"/>
        <v>0</v>
      </c>
      <c r="S118" s="17">
        <f t="shared" ca="1" si="33"/>
        <v>0</v>
      </c>
      <c r="T118" s="17">
        <f t="shared" ca="1" si="33"/>
        <v>0</v>
      </c>
      <c r="U118" s="17">
        <f t="shared" ca="1" si="33"/>
        <v>0</v>
      </c>
      <c r="V118" s="17">
        <f t="shared" ca="1" si="33"/>
        <v>0</v>
      </c>
      <c r="W118" s="17">
        <f t="shared" ca="1" si="33"/>
        <v>0</v>
      </c>
      <c r="X118" s="17">
        <f t="shared" ca="1" si="33"/>
        <v>0</v>
      </c>
    </row>
    <row r="119" spans="3:24" x14ac:dyDescent="0.3">
      <c r="C119" s="1"/>
      <c r="D119" s="70" t="str">
        <f t="shared" si="11"/>
        <v>dLevel_T2_24</v>
      </c>
      <c r="E119" s="17">
        <f t="shared" ref="E119:X119" ca="1" si="34">IF(ABS(E80)&gt;0,IF(E80&gt;0.001,E80,_xlfn.MINIFS(E$58:E$92,E$58:E$92,"&gt;0")/3),0)</f>
        <v>1.5357173465037774E-2</v>
      </c>
      <c r="F119" s="17">
        <f t="shared" ca="1" si="34"/>
        <v>3.5522925177967672E-2</v>
      </c>
      <c r="G119" s="17">
        <f t="shared" ca="1" si="34"/>
        <v>1.5357173465037774E-2</v>
      </c>
      <c r="H119" s="17">
        <f t="shared" ca="1" si="34"/>
        <v>3.5522925177967672E-2</v>
      </c>
      <c r="I119" s="17">
        <f t="shared" ca="1" si="34"/>
        <v>0.17581137779495201</v>
      </c>
      <c r="J119" s="17">
        <f t="shared" ca="1" si="34"/>
        <v>0</v>
      </c>
      <c r="K119" s="17">
        <f t="shared" ca="1" si="34"/>
        <v>0</v>
      </c>
      <c r="L119" s="17">
        <f t="shared" ca="1" si="34"/>
        <v>0</v>
      </c>
      <c r="M119" s="17">
        <f t="shared" ca="1" si="34"/>
        <v>0</v>
      </c>
      <c r="N119" s="17">
        <f t="shared" ca="1" si="34"/>
        <v>0</v>
      </c>
      <c r="O119" s="17">
        <f t="shared" ca="1" si="34"/>
        <v>0</v>
      </c>
      <c r="P119" s="17">
        <f t="shared" ca="1" si="34"/>
        <v>0</v>
      </c>
      <c r="Q119" s="17">
        <f t="shared" ca="1" si="34"/>
        <v>0</v>
      </c>
      <c r="R119" s="17">
        <f t="shared" ca="1" si="34"/>
        <v>0</v>
      </c>
      <c r="S119" s="17">
        <f t="shared" ca="1" si="34"/>
        <v>0</v>
      </c>
      <c r="T119" s="17">
        <f t="shared" ca="1" si="34"/>
        <v>0</v>
      </c>
      <c r="U119" s="17">
        <f t="shared" ca="1" si="34"/>
        <v>0</v>
      </c>
      <c r="V119" s="17">
        <f t="shared" ca="1" si="34"/>
        <v>0</v>
      </c>
      <c r="W119" s="17">
        <f t="shared" ca="1" si="34"/>
        <v>0</v>
      </c>
      <c r="X119" s="17">
        <f t="shared" ca="1" si="34"/>
        <v>0</v>
      </c>
    </row>
    <row r="120" spans="3:24" x14ac:dyDescent="0.3">
      <c r="C120" s="1"/>
      <c r="D120" s="70" t="str">
        <f t="shared" si="11"/>
        <v>dLevel_T2_25</v>
      </c>
      <c r="E120" s="17">
        <f t="shared" ref="E120:X120" ca="1" si="35">IF(ABS(E81)&gt;0,IF(E81&gt;0.001,E81,_xlfn.MINIFS(E$58:E$92,E$58:E$92,"&gt;0")/3),0)</f>
        <v>1.4289936908023175E-2</v>
      </c>
      <c r="F120" s="17">
        <f t="shared" ca="1" si="35"/>
        <v>4.8558586883109597E-3</v>
      </c>
      <c r="G120" s="17">
        <f t="shared" ca="1" si="35"/>
        <v>1.4289936908023175E-2</v>
      </c>
      <c r="H120" s="17">
        <f t="shared" ca="1" si="35"/>
        <v>4.8558586883109597E-3</v>
      </c>
      <c r="I120" s="17">
        <f t="shared" ca="1" si="35"/>
        <v>8.1708891634000358E-2</v>
      </c>
      <c r="J120" s="17">
        <f t="shared" ca="1" si="35"/>
        <v>0</v>
      </c>
      <c r="K120" s="17">
        <f t="shared" ca="1" si="35"/>
        <v>0</v>
      </c>
      <c r="L120" s="17">
        <f t="shared" ca="1" si="35"/>
        <v>0</v>
      </c>
      <c r="M120" s="17">
        <f t="shared" ca="1" si="35"/>
        <v>0</v>
      </c>
      <c r="N120" s="17">
        <f t="shared" ca="1" si="35"/>
        <v>0</v>
      </c>
      <c r="O120" s="17">
        <f t="shared" ca="1" si="35"/>
        <v>0</v>
      </c>
      <c r="P120" s="17">
        <f t="shared" ca="1" si="35"/>
        <v>0</v>
      </c>
      <c r="Q120" s="17">
        <f t="shared" ca="1" si="35"/>
        <v>0</v>
      </c>
      <c r="R120" s="17">
        <f t="shared" ca="1" si="35"/>
        <v>0</v>
      </c>
      <c r="S120" s="17">
        <f t="shared" ca="1" si="35"/>
        <v>0</v>
      </c>
      <c r="T120" s="17">
        <f t="shared" ca="1" si="35"/>
        <v>0</v>
      </c>
      <c r="U120" s="17">
        <f t="shared" ca="1" si="35"/>
        <v>0</v>
      </c>
      <c r="V120" s="17">
        <f t="shared" ca="1" si="35"/>
        <v>0</v>
      </c>
      <c r="W120" s="17">
        <f t="shared" ca="1" si="35"/>
        <v>0</v>
      </c>
      <c r="X120" s="17">
        <f t="shared" ca="1" si="35"/>
        <v>0</v>
      </c>
    </row>
    <row r="121" spans="3:24" x14ac:dyDescent="0.3">
      <c r="C121" s="1"/>
      <c r="D121" s="70" t="str">
        <f t="shared" si="11"/>
        <v>dLevel_T2_26</v>
      </c>
      <c r="E121" s="17">
        <f t="shared" ref="E121:X121" ca="1" si="36">IF(ABS(E82)&gt;0,IF(E82&gt;0.001,E82,_xlfn.MINIFS(E$58:E$92,E$58:E$92,"&gt;0")/3),0)</f>
        <v>2.4749255114241704E-2</v>
      </c>
      <c r="F121" s="17">
        <f t="shared" ca="1" si="36"/>
        <v>5.7383835384054371E-3</v>
      </c>
      <c r="G121" s="17">
        <f t="shared" ca="1" si="36"/>
        <v>2.4749255114241704E-2</v>
      </c>
      <c r="H121" s="17">
        <f t="shared" ca="1" si="36"/>
        <v>5.7383835384054371E-3</v>
      </c>
      <c r="I121" s="17">
        <f t="shared" ca="1" si="36"/>
        <v>5.585474221441579E-2</v>
      </c>
      <c r="J121" s="17">
        <f t="shared" ca="1" si="36"/>
        <v>0</v>
      </c>
      <c r="K121" s="17">
        <f t="shared" ca="1" si="36"/>
        <v>0</v>
      </c>
      <c r="L121" s="17">
        <f t="shared" ca="1" si="36"/>
        <v>0</v>
      </c>
      <c r="M121" s="17">
        <f t="shared" ca="1" si="36"/>
        <v>0</v>
      </c>
      <c r="N121" s="17">
        <f t="shared" ca="1" si="36"/>
        <v>0</v>
      </c>
      <c r="O121" s="17">
        <f t="shared" ca="1" si="36"/>
        <v>0</v>
      </c>
      <c r="P121" s="17">
        <f t="shared" ca="1" si="36"/>
        <v>0</v>
      </c>
      <c r="Q121" s="17">
        <f t="shared" ca="1" si="36"/>
        <v>0</v>
      </c>
      <c r="R121" s="17">
        <f t="shared" ca="1" si="36"/>
        <v>0</v>
      </c>
      <c r="S121" s="17">
        <f t="shared" ca="1" si="36"/>
        <v>0</v>
      </c>
      <c r="T121" s="17">
        <f t="shared" ca="1" si="36"/>
        <v>0</v>
      </c>
      <c r="U121" s="17">
        <f t="shared" ca="1" si="36"/>
        <v>0</v>
      </c>
      <c r="V121" s="17">
        <f t="shared" ca="1" si="36"/>
        <v>0</v>
      </c>
      <c r="W121" s="17">
        <f t="shared" ca="1" si="36"/>
        <v>0</v>
      </c>
      <c r="X121" s="17">
        <f t="shared" ca="1" si="36"/>
        <v>0</v>
      </c>
    </row>
    <row r="122" spans="3:24" x14ac:dyDescent="0.3">
      <c r="C122" s="1"/>
      <c r="D122" s="70" t="str">
        <f t="shared" si="11"/>
        <v>dLevel_T2_27</v>
      </c>
      <c r="E122" s="17">
        <f t="shared" ref="E122:X122" ca="1" si="37">IF(ABS(E83)&gt;0,IF(E83&gt;0.001,E83,_xlfn.MINIFS(E$58:E$92,E$58:E$92,"&gt;0")/3),0)</f>
        <v>1.1667721351060433E-2</v>
      </c>
      <c r="F122" s="17">
        <f t="shared" ca="1" si="37"/>
        <v>2.8194494999223777E-2</v>
      </c>
      <c r="G122" s="17">
        <f t="shared" ca="1" si="37"/>
        <v>1.1667721351060433E-2</v>
      </c>
      <c r="H122" s="17">
        <f t="shared" ca="1" si="37"/>
        <v>2.8194494999223777E-2</v>
      </c>
      <c r="I122" s="17">
        <f t="shared" ca="1" si="37"/>
        <v>9.765511123949748E-2</v>
      </c>
      <c r="J122" s="17">
        <f t="shared" ca="1" si="37"/>
        <v>0</v>
      </c>
      <c r="K122" s="17">
        <f t="shared" ca="1" si="37"/>
        <v>0</v>
      </c>
      <c r="L122" s="17">
        <f t="shared" ca="1" si="37"/>
        <v>0</v>
      </c>
      <c r="M122" s="17">
        <f t="shared" ca="1" si="37"/>
        <v>0</v>
      </c>
      <c r="N122" s="17">
        <f t="shared" ca="1" si="37"/>
        <v>0</v>
      </c>
      <c r="O122" s="17">
        <f t="shared" ca="1" si="37"/>
        <v>0</v>
      </c>
      <c r="P122" s="17">
        <f t="shared" ca="1" si="37"/>
        <v>0</v>
      </c>
      <c r="Q122" s="17">
        <f t="shared" ca="1" si="37"/>
        <v>0</v>
      </c>
      <c r="R122" s="17">
        <f t="shared" ca="1" si="37"/>
        <v>0</v>
      </c>
      <c r="S122" s="17">
        <f t="shared" ca="1" si="37"/>
        <v>0</v>
      </c>
      <c r="T122" s="17">
        <f t="shared" ca="1" si="37"/>
        <v>0</v>
      </c>
      <c r="U122" s="17">
        <f t="shared" ca="1" si="37"/>
        <v>0</v>
      </c>
      <c r="V122" s="17">
        <f t="shared" ca="1" si="37"/>
        <v>0</v>
      </c>
      <c r="W122" s="17">
        <f t="shared" ca="1" si="37"/>
        <v>0</v>
      </c>
      <c r="X122" s="17">
        <f t="shared" ca="1" si="37"/>
        <v>0</v>
      </c>
    </row>
    <row r="123" spans="3:24" x14ac:dyDescent="0.3">
      <c r="C123" s="1"/>
      <c r="D123" s="70" t="str">
        <f t="shared" si="11"/>
        <v>dLevel_T2_28</v>
      </c>
      <c r="E123" s="17">
        <f t="shared" ref="E123:X123" ca="1" si="38">IF(ABS(E84)&gt;0,IF(E84&gt;0.001,E84,_xlfn.MINIFS(E$58:E$92,E$58:E$92,"&gt;0")/3),0)</f>
        <v>1.0557439005567408E-2</v>
      </c>
      <c r="F123" s="17">
        <f t="shared" ca="1" si="38"/>
        <v>1.7145409595063898E-2</v>
      </c>
      <c r="G123" s="17">
        <f t="shared" ca="1" si="38"/>
        <v>1.0557439005567408E-2</v>
      </c>
      <c r="H123" s="17">
        <f t="shared" ca="1" si="38"/>
        <v>1.7145409595063898E-2</v>
      </c>
      <c r="I123" s="17">
        <f t="shared" ca="1" si="38"/>
        <v>0.10408698997333768</v>
      </c>
      <c r="J123" s="17">
        <f t="shared" ca="1" si="38"/>
        <v>0</v>
      </c>
      <c r="K123" s="17">
        <f t="shared" ca="1" si="38"/>
        <v>0</v>
      </c>
      <c r="L123" s="17">
        <f t="shared" ca="1" si="38"/>
        <v>0</v>
      </c>
      <c r="M123" s="17">
        <f t="shared" ca="1" si="38"/>
        <v>0</v>
      </c>
      <c r="N123" s="17">
        <f t="shared" ca="1" si="38"/>
        <v>0</v>
      </c>
      <c r="O123" s="17">
        <f t="shared" ca="1" si="38"/>
        <v>0</v>
      </c>
      <c r="P123" s="17">
        <f t="shared" ca="1" si="38"/>
        <v>0</v>
      </c>
      <c r="Q123" s="17">
        <f t="shared" ca="1" si="38"/>
        <v>0</v>
      </c>
      <c r="R123" s="17">
        <f t="shared" ca="1" si="38"/>
        <v>0</v>
      </c>
      <c r="S123" s="17">
        <f t="shared" ca="1" si="38"/>
        <v>0</v>
      </c>
      <c r="T123" s="17">
        <f t="shared" ca="1" si="38"/>
        <v>0</v>
      </c>
      <c r="U123" s="17">
        <f t="shared" ca="1" si="38"/>
        <v>0</v>
      </c>
      <c r="V123" s="17">
        <f t="shared" ca="1" si="38"/>
        <v>0</v>
      </c>
      <c r="W123" s="17">
        <f t="shared" ca="1" si="38"/>
        <v>0</v>
      </c>
      <c r="X123" s="17">
        <f t="shared" ca="1" si="38"/>
        <v>0</v>
      </c>
    </row>
    <row r="124" spans="3:24" x14ac:dyDescent="0.3">
      <c r="C124" s="1"/>
      <c r="D124" s="70">
        <f t="shared" si="11"/>
        <v>0</v>
      </c>
      <c r="E124" s="17">
        <f t="shared" ref="E124:X124" ca="1" si="39">IF(ABS(E85)&gt;0,IF(E85&gt;0.001,E85,_xlfn.MINIFS(E$58:E$92,E$58:E$92,"&gt;0")/3),0)</f>
        <v>0</v>
      </c>
      <c r="F124" s="17">
        <f t="shared" ca="1" si="39"/>
        <v>0</v>
      </c>
      <c r="G124" s="17">
        <f t="shared" ca="1" si="39"/>
        <v>0</v>
      </c>
      <c r="H124" s="17">
        <f t="shared" ca="1" si="39"/>
        <v>0</v>
      </c>
      <c r="I124" s="17">
        <f t="shared" ca="1" si="39"/>
        <v>0</v>
      </c>
      <c r="J124" s="17">
        <f t="shared" ca="1" si="39"/>
        <v>0</v>
      </c>
      <c r="K124" s="17">
        <f t="shared" ca="1" si="39"/>
        <v>0</v>
      </c>
      <c r="L124" s="17">
        <f t="shared" ca="1" si="39"/>
        <v>0</v>
      </c>
      <c r="M124" s="17">
        <f t="shared" ca="1" si="39"/>
        <v>0</v>
      </c>
      <c r="N124" s="17">
        <f t="shared" ca="1" si="39"/>
        <v>0</v>
      </c>
      <c r="O124" s="17">
        <f t="shared" ca="1" si="39"/>
        <v>0</v>
      </c>
      <c r="P124" s="17">
        <f t="shared" ca="1" si="39"/>
        <v>0</v>
      </c>
      <c r="Q124" s="17">
        <f t="shared" ca="1" si="39"/>
        <v>0</v>
      </c>
      <c r="R124" s="17">
        <f t="shared" ca="1" si="39"/>
        <v>0</v>
      </c>
      <c r="S124" s="17">
        <f t="shared" ca="1" si="39"/>
        <v>0</v>
      </c>
      <c r="T124" s="17">
        <f t="shared" ca="1" si="39"/>
        <v>0</v>
      </c>
      <c r="U124" s="17">
        <f t="shared" ca="1" si="39"/>
        <v>0</v>
      </c>
      <c r="V124" s="17">
        <f t="shared" ca="1" si="39"/>
        <v>0</v>
      </c>
      <c r="W124" s="17">
        <f t="shared" ca="1" si="39"/>
        <v>0</v>
      </c>
      <c r="X124" s="17">
        <f t="shared" ca="1" si="39"/>
        <v>0</v>
      </c>
    </row>
    <row r="125" spans="3:24" x14ac:dyDescent="0.3">
      <c r="C125" s="1"/>
      <c r="D125" s="70">
        <f t="shared" si="11"/>
        <v>0</v>
      </c>
      <c r="E125" s="17">
        <f t="shared" ref="E125:X125" ca="1" si="40">IF(ABS(E86)&gt;0,IF(E86&gt;0.001,E86,_xlfn.MINIFS(E$58:E$92,E$58:E$92,"&gt;0")/3),0)</f>
        <v>0</v>
      </c>
      <c r="F125" s="17">
        <f t="shared" ca="1" si="40"/>
        <v>0</v>
      </c>
      <c r="G125" s="17">
        <f t="shared" ca="1" si="40"/>
        <v>0</v>
      </c>
      <c r="H125" s="17">
        <f t="shared" ca="1" si="40"/>
        <v>0</v>
      </c>
      <c r="I125" s="17">
        <f t="shared" ca="1" si="40"/>
        <v>0</v>
      </c>
      <c r="J125" s="17">
        <f t="shared" ca="1" si="40"/>
        <v>0</v>
      </c>
      <c r="K125" s="17">
        <f t="shared" ca="1" si="40"/>
        <v>0</v>
      </c>
      <c r="L125" s="17">
        <f t="shared" ca="1" si="40"/>
        <v>0</v>
      </c>
      <c r="M125" s="17">
        <f t="shared" ca="1" si="40"/>
        <v>0</v>
      </c>
      <c r="N125" s="17">
        <f t="shared" ca="1" si="40"/>
        <v>0</v>
      </c>
      <c r="O125" s="17">
        <f t="shared" ca="1" si="40"/>
        <v>0</v>
      </c>
      <c r="P125" s="17">
        <f t="shared" ca="1" si="40"/>
        <v>0</v>
      </c>
      <c r="Q125" s="17">
        <f t="shared" ca="1" si="40"/>
        <v>0</v>
      </c>
      <c r="R125" s="17">
        <f t="shared" ca="1" si="40"/>
        <v>0</v>
      </c>
      <c r="S125" s="17">
        <f t="shared" ca="1" si="40"/>
        <v>0</v>
      </c>
      <c r="T125" s="17">
        <f t="shared" ca="1" si="40"/>
        <v>0</v>
      </c>
      <c r="U125" s="17">
        <f t="shared" ca="1" si="40"/>
        <v>0</v>
      </c>
      <c r="V125" s="17">
        <f t="shared" ca="1" si="40"/>
        <v>0</v>
      </c>
      <c r="W125" s="17">
        <f t="shared" ca="1" si="40"/>
        <v>0</v>
      </c>
      <c r="X125" s="17">
        <f t="shared" ca="1" si="40"/>
        <v>0</v>
      </c>
    </row>
    <row r="126" spans="3:24" x14ac:dyDescent="0.3">
      <c r="C126" s="1"/>
      <c r="D126" s="70">
        <f t="shared" si="11"/>
        <v>0</v>
      </c>
      <c r="E126" s="17">
        <f t="shared" ref="E126:X126" ca="1" si="41">IF(ABS(E87)&gt;0,IF(E87&gt;0.001,E87,_xlfn.MINIFS(E$58:E$92,E$58:E$92,"&gt;0")/3),0)</f>
        <v>0</v>
      </c>
      <c r="F126" s="17">
        <f t="shared" ca="1" si="41"/>
        <v>0</v>
      </c>
      <c r="G126" s="17">
        <f t="shared" ca="1" si="41"/>
        <v>0</v>
      </c>
      <c r="H126" s="17">
        <f t="shared" ca="1" si="41"/>
        <v>0</v>
      </c>
      <c r="I126" s="17">
        <f t="shared" ca="1" si="41"/>
        <v>0</v>
      </c>
      <c r="J126" s="17">
        <f t="shared" ca="1" si="41"/>
        <v>0</v>
      </c>
      <c r="K126" s="17">
        <f t="shared" ca="1" si="41"/>
        <v>0</v>
      </c>
      <c r="L126" s="17">
        <f t="shared" ca="1" si="41"/>
        <v>0</v>
      </c>
      <c r="M126" s="17">
        <f t="shared" ca="1" si="41"/>
        <v>0</v>
      </c>
      <c r="N126" s="17">
        <f t="shared" ca="1" si="41"/>
        <v>0</v>
      </c>
      <c r="O126" s="17">
        <f t="shared" ca="1" si="41"/>
        <v>0</v>
      </c>
      <c r="P126" s="17">
        <f t="shared" ca="1" si="41"/>
        <v>0</v>
      </c>
      <c r="Q126" s="17">
        <f t="shared" ca="1" si="41"/>
        <v>0</v>
      </c>
      <c r="R126" s="17">
        <f t="shared" ca="1" si="41"/>
        <v>0</v>
      </c>
      <c r="S126" s="17">
        <f t="shared" ca="1" si="41"/>
        <v>0</v>
      </c>
      <c r="T126" s="17">
        <f t="shared" ca="1" si="41"/>
        <v>0</v>
      </c>
      <c r="U126" s="17">
        <f t="shared" ca="1" si="41"/>
        <v>0</v>
      </c>
      <c r="V126" s="17">
        <f t="shared" ca="1" si="41"/>
        <v>0</v>
      </c>
      <c r="W126" s="17">
        <f t="shared" ca="1" si="41"/>
        <v>0</v>
      </c>
      <c r="X126" s="17">
        <f t="shared" ca="1" si="41"/>
        <v>0</v>
      </c>
    </row>
    <row r="127" spans="3:24" x14ac:dyDescent="0.3">
      <c r="C127" s="1"/>
      <c r="D127" s="70">
        <f t="shared" si="11"/>
        <v>0</v>
      </c>
      <c r="E127" s="17">
        <f t="shared" ref="E127:X127" ca="1" si="42">IF(ABS(E88)&gt;0,IF(E88&gt;0.001,E88,_xlfn.MINIFS(E$58:E$92,E$58:E$92,"&gt;0")/3),0)</f>
        <v>0</v>
      </c>
      <c r="F127" s="17">
        <f t="shared" ca="1" si="42"/>
        <v>0</v>
      </c>
      <c r="G127" s="17">
        <f t="shared" ca="1" si="42"/>
        <v>0</v>
      </c>
      <c r="H127" s="17">
        <f t="shared" ca="1" si="42"/>
        <v>0</v>
      </c>
      <c r="I127" s="17">
        <f t="shared" ca="1" si="42"/>
        <v>0</v>
      </c>
      <c r="J127" s="17">
        <f t="shared" ca="1" si="42"/>
        <v>0</v>
      </c>
      <c r="K127" s="17">
        <f t="shared" ca="1" si="42"/>
        <v>0</v>
      </c>
      <c r="L127" s="17">
        <f t="shared" ca="1" si="42"/>
        <v>0</v>
      </c>
      <c r="M127" s="17">
        <f t="shared" ca="1" si="42"/>
        <v>0</v>
      </c>
      <c r="N127" s="17">
        <f t="shared" ca="1" si="42"/>
        <v>0</v>
      </c>
      <c r="O127" s="17">
        <f t="shared" ca="1" si="42"/>
        <v>0</v>
      </c>
      <c r="P127" s="17">
        <f t="shared" ca="1" si="42"/>
        <v>0</v>
      </c>
      <c r="Q127" s="17">
        <f t="shared" ca="1" si="42"/>
        <v>0</v>
      </c>
      <c r="R127" s="17">
        <f t="shared" ca="1" si="42"/>
        <v>0</v>
      </c>
      <c r="S127" s="17">
        <f t="shared" ca="1" si="42"/>
        <v>0</v>
      </c>
      <c r="T127" s="17">
        <f t="shared" ca="1" si="42"/>
        <v>0</v>
      </c>
      <c r="U127" s="17">
        <f t="shared" ca="1" si="42"/>
        <v>0</v>
      </c>
      <c r="V127" s="17">
        <f t="shared" ca="1" si="42"/>
        <v>0</v>
      </c>
      <c r="W127" s="17">
        <f t="shared" ca="1" si="42"/>
        <v>0</v>
      </c>
      <c r="X127" s="17">
        <f t="shared" ca="1" si="42"/>
        <v>0</v>
      </c>
    </row>
    <row r="128" spans="3:24" x14ac:dyDescent="0.3">
      <c r="C128" s="1"/>
      <c r="D128" s="70">
        <f t="shared" si="11"/>
        <v>0</v>
      </c>
      <c r="E128" s="17">
        <f t="shared" ref="E128:X128" ca="1" si="43">IF(ABS(E89)&gt;0,IF(E89&gt;0.001,E89,_xlfn.MINIFS(E$58:E$92,E$58:E$92,"&gt;0")/3),0)</f>
        <v>0</v>
      </c>
      <c r="F128" s="17">
        <f t="shared" ca="1" si="43"/>
        <v>0</v>
      </c>
      <c r="G128" s="17">
        <f t="shared" ca="1" si="43"/>
        <v>0</v>
      </c>
      <c r="H128" s="17">
        <f t="shared" ca="1" si="43"/>
        <v>0</v>
      </c>
      <c r="I128" s="17">
        <f t="shared" ca="1" si="43"/>
        <v>0</v>
      </c>
      <c r="J128" s="17">
        <f t="shared" ca="1" si="43"/>
        <v>0</v>
      </c>
      <c r="K128" s="17">
        <f t="shared" ca="1" si="43"/>
        <v>0</v>
      </c>
      <c r="L128" s="17">
        <f t="shared" ca="1" si="43"/>
        <v>0</v>
      </c>
      <c r="M128" s="17">
        <f t="shared" ca="1" si="43"/>
        <v>0</v>
      </c>
      <c r="N128" s="17">
        <f t="shared" ca="1" si="43"/>
        <v>0</v>
      </c>
      <c r="O128" s="17">
        <f t="shared" ca="1" si="43"/>
        <v>0</v>
      </c>
      <c r="P128" s="17">
        <f t="shared" ca="1" si="43"/>
        <v>0</v>
      </c>
      <c r="Q128" s="17">
        <f t="shared" ca="1" si="43"/>
        <v>0</v>
      </c>
      <c r="R128" s="17">
        <f t="shared" ca="1" si="43"/>
        <v>0</v>
      </c>
      <c r="S128" s="17">
        <f t="shared" ca="1" si="43"/>
        <v>0</v>
      </c>
      <c r="T128" s="17">
        <f t="shared" ca="1" si="43"/>
        <v>0</v>
      </c>
      <c r="U128" s="17">
        <f t="shared" ca="1" si="43"/>
        <v>0</v>
      </c>
      <c r="V128" s="17">
        <f t="shared" ca="1" si="43"/>
        <v>0</v>
      </c>
      <c r="W128" s="17">
        <f t="shared" ca="1" si="43"/>
        <v>0</v>
      </c>
      <c r="X128" s="17">
        <f t="shared" ca="1" si="43"/>
        <v>0</v>
      </c>
    </row>
    <row r="129" spans="3:24" x14ac:dyDescent="0.3">
      <c r="C129" s="1"/>
      <c r="D129" s="70">
        <f t="shared" si="11"/>
        <v>0</v>
      </c>
      <c r="E129" s="17">
        <f t="shared" ref="E129:X129" ca="1" si="44">IF(ABS(E90)&gt;0,IF(E90&gt;0.001,E90,_xlfn.MINIFS(E$58:E$92,E$58:E$92,"&gt;0")/3),0)</f>
        <v>0</v>
      </c>
      <c r="F129" s="17">
        <f t="shared" ca="1" si="44"/>
        <v>0</v>
      </c>
      <c r="G129" s="17">
        <f t="shared" ca="1" si="44"/>
        <v>0</v>
      </c>
      <c r="H129" s="17">
        <f t="shared" ca="1" si="44"/>
        <v>0</v>
      </c>
      <c r="I129" s="17">
        <f t="shared" ca="1" si="44"/>
        <v>0</v>
      </c>
      <c r="J129" s="17">
        <f t="shared" ca="1" si="44"/>
        <v>0</v>
      </c>
      <c r="K129" s="17">
        <f t="shared" ca="1" si="44"/>
        <v>0</v>
      </c>
      <c r="L129" s="17">
        <f t="shared" ca="1" si="44"/>
        <v>0</v>
      </c>
      <c r="M129" s="17">
        <f t="shared" ca="1" si="44"/>
        <v>0</v>
      </c>
      <c r="N129" s="17">
        <f t="shared" ca="1" si="44"/>
        <v>0</v>
      </c>
      <c r="O129" s="17">
        <f t="shared" ca="1" si="44"/>
        <v>0</v>
      </c>
      <c r="P129" s="17">
        <f t="shared" ca="1" si="44"/>
        <v>0</v>
      </c>
      <c r="Q129" s="17">
        <f t="shared" ca="1" si="44"/>
        <v>0</v>
      </c>
      <c r="R129" s="17">
        <f t="shared" ca="1" si="44"/>
        <v>0</v>
      </c>
      <c r="S129" s="17">
        <f t="shared" ca="1" si="44"/>
        <v>0</v>
      </c>
      <c r="T129" s="17">
        <f t="shared" ca="1" si="44"/>
        <v>0</v>
      </c>
      <c r="U129" s="17">
        <f t="shared" ca="1" si="44"/>
        <v>0</v>
      </c>
      <c r="V129" s="17">
        <f t="shared" ca="1" si="44"/>
        <v>0</v>
      </c>
      <c r="W129" s="17">
        <f t="shared" ca="1" si="44"/>
        <v>0</v>
      </c>
      <c r="X129" s="17">
        <f t="shared" ca="1" si="44"/>
        <v>0</v>
      </c>
    </row>
    <row r="130" spans="3:24" x14ac:dyDescent="0.3">
      <c r="C130" s="1"/>
      <c r="D130" s="70">
        <f t="shared" si="11"/>
        <v>0</v>
      </c>
      <c r="E130" s="17">
        <f t="shared" ref="E130:X130" ca="1" si="45">IF(ABS(E91)&gt;0,IF(E91&gt;0.001,E91,_xlfn.MINIFS(E$58:E$92,E$58:E$92,"&gt;0")/3),0)</f>
        <v>0</v>
      </c>
      <c r="F130" s="17">
        <f t="shared" ca="1" si="45"/>
        <v>0</v>
      </c>
      <c r="G130" s="17">
        <f t="shared" ca="1" si="45"/>
        <v>0</v>
      </c>
      <c r="H130" s="17">
        <f t="shared" ca="1" si="45"/>
        <v>0</v>
      </c>
      <c r="I130" s="17">
        <f t="shared" ca="1" si="45"/>
        <v>0</v>
      </c>
      <c r="J130" s="17">
        <f t="shared" ca="1" si="45"/>
        <v>0</v>
      </c>
      <c r="K130" s="17">
        <f t="shared" ca="1" si="45"/>
        <v>0</v>
      </c>
      <c r="L130" s="17">
        <f t="shared" ca="1" si="45"/>
        <v>0</v>
      </c>
      <c r="M130" s="17">
        <f t="shared" ca="1" si="45"/>
        <v>0</v>
      </c>
      <c r="N130" s="17">
        <f t="shared" ca="1" si="45"/>
        <v>0</v>
      </c>
      <c r="O130" s="17">
        <f t="shared" ca="1" si="45"/>
        <v>0</v>
      </c>
      <c r="P130" s="17">
        <f t="shared" ca="1" si="45"/>
        <v>0</v>
      </c>
      <c r="Q130" s="17">
        <f t="shared" ca="1" si="45"/>
        <v>0</v>
      </c>
      <c r="R130" s="17">
        <f t="shared" ca="1" si="45"/>
        <v>0</v>
      </c>
      <c r="S130" s="17">
        <f t="shared" ca="1" si="45"/>
        <v>0</v>
      </c>
      <c r="T130" s="17">
        <f t="shared" ca="1" si="45"/>
        <v>0</v>
      </c>
      <c r="U130" s="17">
        <f t="shared" ca="1" si="45"/>
        <v>0</v>
      </c>
      <c r="V130" s="17">
        <f t="shared" ca="1" si="45"/>
        <v>0</v>
      </c>
      <c r="W130" s="17">
        <f t="shared" ca="1" si="45"/>
        <v>0</v>
      </c>
      <c r="X130" s="17">
        <f t="shared" ca="1" si="45"/>
        <v>0</v>
      </c>
    </row>
    <row r="131" spans="3:24" x14ac:dyDescent="0.3">
      <c r="C131" s="1"/>
      <c r="D131" s="70">
        <f t="shared" si="11"/>
        <v>0</v>
      </c>
      <c r="E131" s="17">
        <f t="shared" ref="E131:X131" ca="1" si="46">IF(ABS(E92)&gt;0,IF(E92&gt;0.001,E92,_xlfn.MINIFS(E$58:E$92,E$58:E$92,"&gt;0")/3),0)</f>
        <v>0</v>
      </c>
      <c r="F131" s="17">
        <f t="shared" ca="1" si="46"/>
        <v>0</v>
      </c>
      <c r="G131" s="17">
        <f t="shared" ca="1" si="46"/>
        <v>0</v>
      </c>
      <c r="H131" s="17">
        <f t="shared" ca="1" si="46"/>
        <v>0</v>
      </c>
      <c r="I131" s="17">
        <f t="shared" ca="1" si="46"/>
        <v>0</v>
      </c>
      <c r="J131" s="17">
        <f t="shared" ca="1" si="46"/>
        <v>0</v>
      </c>
      <c r="K131" s="17">
        <f t="shared" ca="1" si="46"/>
        <v>0</v>
      </c>
      <c r="L131" s="17">
        <f t="shared" ca="1" si="46"/>
        <v>0</v>
      </c>
      <c r="M131" s="17">
        <f t="shared" ca="1" si="46"/>
        <v>0</v>
      </c>
      <c r="N131" s="17">
        <f t="shared" ca="1" si="46"/>
        <v>0</v>
      </c>
      <c r="O131" s="17">
        <f t="shared" ca="1" si="46"/>
        <v>0</v>
      </c>
      <c r="P131" s="17">
        <f t="shared" ca="1" si="46"/>
        <v>0</v>
      </c>
      <c r="Q131" s="17">
        <f t="shared" ca="1" si="46"/>
        <v>0</v>
      </c>
      <c r="R131" s="17">
        <f t="shared" ca="1" si="46"/>
        <v>0</v>
      </c>
      <c r="S131" s="17">
        <f t="shared" ca="1" si="46"/>
        <v>0</v>
      </c>
      <c r="T131" s="17">
        <f t="shared" ca="1" si="46"/>
        <v>0</v>
      </c>
      <c r="U131" s="17">
        <f t="shared" ca="1" si="46"/>
        <v>0</v>
      </c>
      <c r="V131" s="17">
        <f t="shared" ca="1" si="46"/>
        <v>0</v>
      </c>
      <c r="W131" s="17">
        <f t="shared" ca="1" si="46"/>
        <v>0</v>
      </c>
      <c r="X131" s="17">
        <f t="shared" ca="1" si="46"/>
        <v>0</v>
      </c>
    </row>
    <row r="132" spans="3:24" x14ac:dyDescent="0.3">
      <c r="C132" s="1"/>
      <c r="D132" s="12"/>
      <c r="E132" s="17"/>
      <c r="F132" s="17"/>
      <c r="G132" s="17"/>
      <c r="H132" s="17"/>
      <c r="I132" s="17"/>
      <c r="J132" s="17"/>
      <c r="K132" s="17"/>
      <c r="L132" s="17"/>
      <c r="M132" s="17"/>
      <c r="N132" s="17"/>
      <c r="O132" s="2"/>
      <c r="P132" s="2"/>
      <c r="Q132" s="2"/>
      <c r="R132" s="2"/>
      <c r="S132" s="2"/>
      <c r="T132" s="2"/>
      <c r="W132" s="18"/>
    </row>
    <row r="133" spans="3:24" x14ac:dyDescent="0.3">
      <c r="C133" s="1"/>
      <c r="D133" s="12"/>
      <c r="E133" s="17"/>
      <c r="F133" s="17"/>
      <c r="G133" s="17"/>
      <c r="H133" s="17"/>
      <c r="I133" s="17"/>
      <c r="J133" s="17"/>
      <c r="K133" s="17"/>
      <c r="L133" s="17"/>
      <c r="M133" s="17"/>
      <c r="N133" s="17"/>
      <c r="O133" s="2"/>
      <c r="P133" s="2"/>
      <c r="Q133" s="2"/>
      <c r="R133" s="2"/>
      <c r="S133" s="2"/>
      <c r="T133" s="2"/>
      <c r="W133" s="18"/>
    </row>
    <row r="134" spans="3:24" x14ac:dyDescent="0.3">
      <c r="C134" s="1"/>
      <c r="D134" s="12"/>
      <c r="E134" s="17"/>
      <c r="F134" s="17"/>
      <c r="G134" s="17"/>
      <c r="H134" s="17"/>
      <c r="I134" s="17"/>
      <c r="J134" s="17"/>
      <c r="K134" s="17"/>
      <c r="L134" s="17"/>
      <c r="M134" s="17"/>
      <c r="N134" s="17"/>
      <c r="O134" s="2"/>
      <c r="P134" s="2"/>
      <c r="Q134" s="2"/>
      <c r="R134" s="2"/>
      <c r="S134" s="2"/>
      <c r="T134" s="2"/>
      <c r="W134" s="18"/>
    </row>
    <row r="135" spans="3:24" ht="22.5" customHeight="1" x14ac:dyDescent="0.3">
      <c r="D135" s="20" t="s">
        <v>61</v>
      </c>
      <c r="E135" s="13" t="str">
        <f t="shared" ref="E135:X135" si="47">E96</f>
        <v>dLevel_ABA</v>
      </c>
      <c r="F135" s="13" t="str">
        <f t="shared" si="47"/>
        <v>dLevel_B6_T2B</v>
      </c>
      <c r="G135" s="13" t="str">
        <f t="shared" si="47"/>
        <v>dLevel_ABA</v>
      </c>
      <c r="H135" s="13" t="str">
        <f t="shared" si="47"/>
        <v>dLevel_B6_T2B</v>
      </c>
      <c r="I135" s="13" t="str">
        <f t="shared" si="47"/>
        <v>dLevel_B7_T2B</v>
      </c>
      <c r="J135" s="13" t="str">
        <f t="shared" si="47"/>
        <v/>
      </c>
      <c r="K135" s="13" t="str">
        <f t="shared" si="47"/>
        <v/>
      </c>
      <c r="L135" s="13" t="str">
        <f t="shared" si="47"/>
        <v/>
      </c>
      <c r="M135" s="13" t="str">
        <f t="shared" si="47"/>
        <v/>
      </c>
      <c r="N135" s="13" t="str">
        <f t="shared" si="47"/>
        <v/>
      </c>
      <c r="O135" s="13" t="str">
        <f t="shared" si="47"/>
        <v/>
      </c>
      <c r="P135" s="13" t="str">
        <f t="shared" si="47"/>
        <v/>
      </c>
      <c r="Q135" s="13" t="str">
        <f t="shared" si="47"/>
        <v/>
      </c>
      <c r="R135" s="13" t="str">
        <f t="shared" si="47"/>
        <v/>
      </c>
      <c r="S135" s="13" t="str">
        <f t="shared" si="47"/>
        <v/>
      </c>
      <c r="T135" s="13" t="str">
        <f t="shared" si="47"/>
        <v/>
      </c>
      <c r="U135" s="13" t="str">
        <f t="shared" si="47"/>
        <v/>
      </c>
      <c r="V135" s="13" t="str">
        <f t="shared" si="47"/>
        <v/>
      </c>
      <c r="W135" s="13" t="str">
        <f t="shared" si="47"/>
        <v/>
      </c>
      <c r="X135" s="13" t="str">
        <f t="shared" si="47"/>
        <v/>
      </c>
    </row>
    <row r="136" spans="3:24" ht="16.5" customHeight="1" x14ac:dyDescent="0.3">
      <c r="C136" s="69"/>
      <c r="D136" s="70" t="str">
        <f t="shared" ref="D136:D170" si="48">D97</f>
        <v>dLevel_T2_1</v>
      </c>
      <c r="E136" s="144">
        <f t="shared" ref="E136:X136" ca="1" si="49">IFERROR(E97*$Y58/SUMPRODUCT(E$97:E$131,$Y$58:$Y$92),0)</f>
        <v>6.5971342719553058E-2</v>
      </c>
      <c r="F136" s="144">
        <f t="shared" ca="1" si="49"/>
        <v>5.7950023138094733E-2</v>
      </c>
      <c r="G136" s="144">
        <f t="shared" ca="1" si="49"/>
        <v>6.5971342719553058E-2</v>
      </c>
      <c r="H136" s="42">
        <f t="shared" ca="1" si="49"/>
        <v>5.7950023138094733E-2</v>
      </c>
      <c r="I136" s="42">
        <f t="shared" ca="1" si="49"/>
        <v>7.0041322408335382E-2</v>
      </c>
      <c r="J136" s="42">
        <f t="shared" ca="1" si="49"/>
        <v>0</v>
      </c>
      <c r="K136" s="42">
        <f t="shared" ca="1" si="49"/>
        <v>0</v>
      </c>
      <c r="L136" s="42">
        <f t="shared" ca="1" si="49"/>
        <v>0</v>
      </c>
      <c r="M136" s="42">
        <f t="shared" ca="1" si="49"/>
        <v>0</v>
      </c>
      <c r="N136" s="42">
        <f t="shared" ca="1" si="49"/>
        <v>0</v>
      </c>
      <c r="O136" s="42">
        <f t="shared" ca="1" si="49"/>
        <v>0</v>
      </c>
      <c r="P136" s="42">
        <f t="shared" ca="1" si="49"/>
        <v>0</v>
      </c>
      <c r="Q136" s="42">
        <f t="shared" ca="1" si="49"/>
        <v>0</v>
      </c>
      <c r="R136" s="42">
        <f t="shared" ca="1" si="49"/>
        <v>0</v>
      </c>
      <c r="S136" s="42">
        <f t="shared" ca="1" si="49"/>
        <v>0</v>
      </c>
      <c r="T136" s="42">
        <f t="shared" ca="1" si="49"/>
        <v>0</v>
      </c>
      <c r="U136" s="42">
        <f t="shared" ca="1" si="49"/>
        <v>0</v>
      </c>
      <c r="V136" s="42">
        <f t="shared" ca="1" si="49"/>
        <v>0</v>
      </c>
      <c r="W136" s="42">
        <f t="shared" ca="1" si="49"/>
        <v>0</v>
      </c>
      <c r="X136" s="42">
        <f t="shared" ca="1" si="49"/>
        <v>0</v>
      </c>
    </row>
    <row r="137" spans="3:24" ht="16.5" customHeight="1" x14ac:dyDescent="0.3">
      <c r="C137" s="69"/>
      <c r="D137" s="70" t="str">
        <f t="shared" si="48"/>
        <v>dLevel_T2_2</v>
      </c>
      <c r="E137" s="144">
        <f t="shared" ref="E137:X137" ca="1" si="50">IFERROR(E98*$Y59/SUMPRODUCT(E$97:E$131,$Y$58:$Y$92),0)</f>
        <v>1.8993091292241721E-2</v>
      </c>
      <c r="F137" s="144">
        <f t="shared" ca="1" si="50"/>
        <v>6.7155228358905606E-3</v>
      </c>
      <c r="G137" s="144">
        <f t="shared" ca="1" si="50"/>
        <v>1.8993091292241721E-2</v>
      </c>
      <c r="H137" s="42">
        <f t="shared" ca="1" si="50"/>
        <v>6.7155228358905606E-3</v>
      </c>
      <c r="I137" s="42">
        <f t="shared" ca="1" si="50"/>
        <v>2.9101728843080481E-2</v>
      </c>
      <c r="J137" s="42">
        <f t="shared" ca="1" si="50"/>
        <v>0</v>
      </c>
      <c r="K137" s="42">
        <f t="shared" ca="1" si="50"/>
        <v>0</v>
      </c>
      <c r="L137" s="42">
        <f t="shared" ca="1" si="50"/>
        <v>0</v>
      </c>
      <c r="M137" s="42">
        <f t="shared" ca="1" si="50"/>
        <v>0</v>
      </c>
      <c r="N137" s="42">
        <f t="shared" ca="1" si="50"/>
        <v>0</v>
      </c>
      <c r="O137" s="42">
        <f t="shared" ca="1" si="50"/>
        <v>0</v>
      </c>
      <c r="P137" s="42">
        <f t="shared" ca="1" si="50"/>
        <v>0</v>
      </c>
      <c r="Q137" s="42">
        <f t="shared" ca="1" si="50"/>
        <v>0</v>
      </c>
      <c r="R137" s="42">
        <f t="shared" ca="1" si="50"/>
        <v>0</v>
      </c>
      <c r="S137" s="42">
        <f t="shared" ca="1" si="50"/>
        <v>0</v>
      </c>
      <c r="T137" s="42">
        <f t="shared" ca="1" si="50"/>
        <v>0</v>
      </c>
      <c r="U137" s="42">
        <f t="shared" ca="1" si="50"/>
        <v>0</v>
      </c>
      <c r="V137" s="42">
        <f t="shared" ca="1" si="50"/>
        <v>0</v>
      </c>
      <c r="W137" s="42">
        <f t="shared" ca="1" si="50"/>
        <v>0</v>
      </c>
      <c r="X137" s="42">
        <f t="shared" ca="1" si="50"/>
        <v>0</v>
      </c>
    </row>
    <row r="138" spans="3:24" ht="16.5" customHeight="1" x14ac:dyDescent="0.3">
      <c r="C138" s="69"/>
      <c r="D138" s="70" t="str">
        <f t="shared" si="48"/>
        <v>dLevel_T2_3</v>
      </c>
      <c r="E138" s="144">
        <f t="shared" ref="E138:X138" ca="1" si="51">IFERROR(E99*$Y60/SUMPRODUCT(E$97:E$131,$Y$58:$Y$92),0)</f>
        <v>1.2507402944036784E-2</v>
      </c>
      <c r="F138" s="144">
        <f t="shared" ca="1" si="51"/>
        <v>5.3934038151143889E-3</v>
      </c>
      <c r="G138" s="144">
        <f t="shared" ca="1" si="51"/>
        <v>1.2507402944036784E-2</v>
      </c>
      <c r="H138" s="42">
        <f t="shared" ca="1" si="51"/>
        <v>5.3934038151143889E-3</v>
      </c>
      <c r="I138" s="42">
        <f t="shared" ca="1" si="51"/>
        <v>1.9798979625122927E-2</v>
      </c>
      <c r="J138" s="42">
        <f t="shared" ca="1" si="51"/>
        <v>0</v>
      </c>
      <c r="K138" s="42">
        <f t="shared" ca="1" si="51"/>
        <v>0</v>
      </c>
      <c r="L138" s="42">
        <f t="shared" ca="1" si="51"/>
        <v>0</v>
      </c>
      <c r="M138" s="42">
        <f t="shared" ca="1" si="51"/>
        <v>0</v>
      </c>
      <c r="N138" s="42">
        <f t="shared" ca="1" si="51"/>
        <v>0</v>
      </c>
      <c r="O138" s="42">
        <f t="shared" ca="1" si="51"/>
        <v>0</v>
      </c>
      <c r="P138" s="42">
        <f t="shared" ca="1" si="51"/>
        <v>0</v>
      </c>
      <c r="Q138" s="42">
        <f t="shared" ca="1" si="51"/>
        <v>0</v>
      </c>
      <c r="R138" s="42">
        <f t="shared" ca="1" si="51"/>
        <v>0</v>
      </c>
      <c r="S138" s="42">
        <f t="shared" ca="1" si="51"/>
        <v>0</v>
      </c>
      <c r="T138" s="42">
        <f t="shared" ca="1" si="51"/>
        <v>0</v>
      </c>
      <c r="U138" s="42">
        <f t="shared" ca="1" si="51"/>
        <v>0</v>
      </c>
      <c r="V138" s="42">
        <f t="shared" ca="1" si="51"/>
        <v>0</v>
      </c>
      <c r="W138" s="42">
        <f t="shared" ca="1" si="51"/>
        <v>0</v>
      </c>
      <c r="X138" s="42">
        <f t="shared" ca="1" si="51"/>
        <v>0</v>
      </c>
    </row>
    <row r="139" spans="3:24" ht="16.5" customHeight="1" x14ac:dyDescent="0.3">
      <c r="C139" s="69"/>
      <c r="D139" s="70" t="str">
        <f t="shared" si="48"/>
        <v>dLevel_T2_4</v>
      </c>
      <c r="E139" s="144">
        <f t="shared" ref="E139:X139" ca="1" si="52">IFERROR(E100*$Y61/SUMPRODUCT(E$97:E$131,$Y$58:$Y$92),0)</f>
        <v>8.3110270169688513E-2</v>
      </c>
      <c r="F139" s="144">
        <f t="shared" ca="1" si="52"/>
        <v>8.3946080216781446E-2</v>
      </c>
      <c r="G139" s="144">
        <f t="shared" ca="1" si="52"/>
        <v>8.3110270169688513E-2</v>
      </c>
      <c r="H139" s="42">
        <f t="shared" ca="1" si="52"/>
        <v>8.3946080216781446E-2</v>
      </c>
      <c r="I139" s="42">
        <f t="shared" ca="1" si="52"/>
        <v>8.9294103163286939E-2</v>
      </c>
      <c r="J139" s="42">
        <f t="shared" ca="1" si="52"/>
        <v>0</v>
      </c>
      <c r="K139" s="42">
        <f t="shared" ca="1" si="52"/>
        <v>0</v>
      </c>
      <c r="L139" s="42">
        <f t="shared" ca="1" si="52"/>
        <v>0</v>
      </c>
      <c r="M139" s="42">
        <f t="shared" ca="1" si="52"/>
        <v>0</v>
      </c>
      <c r="N139" s="42">
        <f t="shared" ca="1" si="52"/>
        <v>0</v>
      </c>
      <c r="O139" s="42">
        <f t="shared" ca="1" si="52"/>
        <v>0</v>
      </c>
      <c r="P139" s="42">
        <f t="shared" ca="1" si="52"/>
        <v>0</v>
      </c>
      <c r="Q139" s="42">
        <f t="shared" ca="1" si="52"/>
        <v>0</v>
      </c>
      <c r="R139" s="42">
        <f t="shared" ca="1" si="52"/>
        <v>0</v>
      </c>
      <c r="S139" s="42">
        <f t="shared" ca="1" si="52"/>
        <v>0</v>
      </c>
      <c r="T139" s="42">
        <f t="shared" ca="1" si="52"/>
        <v>0</v>
      </c>
      <c r="U139" s="42">
        <f t="shared" ca="1" si="52"/>
        <v>0</v>
      </c>
      <c r="V139" s="42">
        <f t="shared" ca="1" si="52"/>
        <v>0</v>
      </c>
      <c r="W139" s="42">
        <f t="shared" ca="1" si="52"/>
        <v>0</v>
      </c>
      <c r="X139" s="42">
        <f t="shared" ca="1" si="52"/>
        <v>0</v>
      </c>
    </row>
    <row r="140" spans="3:24" ht="16.5" customHeight="1" x14ac:dyDescent="0.3">
      <c r="C140" s="69"/>
      <c r="D140" s="70" t="str">
        <f t="shared" si="48"/>
        <v>dLevel_T2_5</v>
      </c>
      <c r="E140" s="144">
        <f t="shared" ref="E140:X140" ca="1" si="53">IFERROR(E101*$Y62/SUMPRODUCT(E$97:E$131,$Y$58:$Y$92),0)</f>
        <v>1.753760564144765E-2</v>
      </c>
      <c r="F140" s="144">
        <f t="shared" ca="1" si="53"/>
        <v>4.0969171175530401E-2</v>
      </c>
      <c r="G140" s="144">
        <f t="shared" ca="1" si="53"/>
        <v>1.753760564144765E-2</v>
      </c>
      <c r="H140" s="42">
        <f t="shared" ca="1" si="53"/>
        <v>4.0969171175530401E-2</v>
      </c>
      <c r="I140" s="42">
        <f t="shared" ca="1" si="53"/>
        <v>2.8984839226664186E-2</v>
      </c>
      <c r="J140" s="42">
        <f t="shared" ca="1" si="53"/>
        <v>0</v>
      </c>
      <c r="K140" s="42">
        <f t="shared" ca="1" si="53"/>
        <v>0</v>
      </c>
      <c r="L140" s="42">
        <f t="shared" ca="1" si="53"/>
        <v>0</v>
      </c>
      <c r="M140" s="42">
        <f t="shared" ca="1" si="53"/>
        <v>0</v>
      </c>
      <c r="N140" s="42">
        <f t="shared" ca="1" si="53"/>
        <v>0</v>
      </c>
      <c r="O140" s="42">
        <f t="shared" ca="1" si="53"/>
        <v>0</v>
      </c>
      <c r="P140" s="42">
        <f t="shared" ca="1" si="53"/>
        <v>0</v>
      </c>
      <c r="Q140" s="42">
        <f t="shared" ca="1" si="53"/>
        <v>0</v>
      </c>
      <c r="R140" s="42">
        <f t="shared" ca="1" si="53"/>
        <v>0</v>
      </c>
      <c r="S140" s="42">
        <f t="shared" ca="1" si="53"/>
        <v>0</v>
      </c>
      <c r="T140" s="42">
        <f t="shared" ca="1" si="53"/>
        <v>0</v>
      </c>
      <c r="U140" s="42">
        <f t="shared" ca="1" si="53"/>
        <v>0</v>
      </c>
      <c r="V140" s="42">
        <f t="shared" ca="1" si="53"/>
        <v>0</v>
      </c>
      <c r="W140" s="42">
        <f t="shared" ca="1" si="53"/>
        <v>0</v>
      </c>
      <c r="X140" s="42">
        <f t="shared" ca="1" si="53"/>
        <v>0</v>
      </c>
    </row>
    <row r="141" spans="3:24" ht="16.5" customHeight="1" x14ac:dyDescent="0.3">
      <c r="C141" s="69"/>
      <c r="D141" s="70" t="str">
        <f t="shared" si="48"/>
        <v>dLevel_T2_6</v>
      </c>
      <c r="E141" s="144">
        <f t="shared" ref="E141:X141" ca="1" si="54">IFERROR(E102*$Y63/SUMPRODUCT(E$97:E$131,$Y$58:$Y$92),0)</f>
        <v>3.1713750553025458E-2</v>
      </c>
      <c r="F141" s="144">
        <f t="shared" ca="1" si="54"/>
        <v>2.7870821658999744E-2</v>
      </c>
      <c r="G141" s="144">
        <f t="shared" ca="1" si="54"/>
        <v>3.1713750553025458E-2</v>
      </c>
      <c r="H141" s="42">
        <f t="shared" ca="1" si="54"/>
        <v>2.7870821658999744E-2</v>
      </c>
      <c r="I141" s="42">
        <f t="shared" ca="1" si="54"/>
        <v>2.3880382638035991E-2</v>
      </c>
      <c r="J141" s="42">
        <f t="shared" ca="1" si="54"/>
        <v>0</v>
      </c>
      <c r="K141" s="42">
        <f t="shared" ca="1" si="54"/>
        <v>0</v>
      </c>
      <c r="L141" s="42">
        <f t="shared" ca="1" si="54"/>
        <v>0</v>
      </c>
      <c r="M141" s="42">
        <f t="shared" ca="1" si="54"/>
        <v>0</v>
      </c>
      <c r="N141" s="42">
        <f t="shared" ca="1" si="54"/>
        <v>0</v>
      </c>
      <c r="O141" s="42">
        <f t="shared" ca="1" si="54"/>
        <v>0</v>
      </c>
      <c r="P141" s="42">
        <f t="shared" ca="1" si="54"/>
        <v>0</v>
      </c>
      <c r="Q141" s="42">
        <f t="shared" ca="1" si="54"/>
        <v>0</v>
      </c>
      <c r="R141" s="42">
        <f t="shared" ca="1" si="54"/>
        <v>0</v>
      </c>
      <c r="S141" s="42">
        <f t="shared" ca="1" si="54"/>
        <v>0</v>
      </c>
      <c r="T141" s="42">
        <f t="shared" ca="1" si="54"/>
        <v>0</v>
      </c>
      <c r="U141" s="42">
        <f t="shared" ca="1" si="54"/>
        <v>0</v>
      </c>
      <c r="V141" s="42">
        <f t="shared" ca="1" si="54"/>
        <v>0</v>
      </c>
      <c r="W141" s="42">
        <f t="shared" ca="1" si="54"/>
        <v>0</v>
      </c>
      <c r="X141" s="42">
        <f t="shared" ca="1" si="54"/>
        <v>0</v>
      </c>
    </row>
    <row r="142" spans="3:24" x14ac:dyDescent="0.3">
      <c r="C142" s="1"/>
      <c r="D142" s="70" t="str">
        <f t="shared" si="48"/>
        <v>dLevel_T2_7</v>
      </c>
      <c r="E142" s="144">
        <f t="shared" ref="E142:X142" ca="1" si="55">IFERROR(E103*$Y64/SUMPRODUCT(E$97:E$131,$Y$58:$Y$92),0)</f>
        <v>0.10582017740486382</v>
      </c>
      <c r="F142" s="144">
        <f t="shared" ca="1" si="55"/>
        <v>0.12125167010216173</v>
      </c>
      <c r="G142" s="144">
        <f t="shared" ca="1" si="55"/>
        <v>0.10582017740486382</v>
      </c>
      <c r="H142" s="42">
        <f t="shared" ca="1" si="55"/>
        <v>0.12125167010216173</v>
      </c>
      <c r="I142" s="42">
        <f t="shared" ca="1" si="55"/>
        <v>8.7004868998054319E-2</v>
      </c>
      <c r="J142" s="42">
        <f t="shared" ca="1" si="55"/>
        <v>0</v>
      </c>
      <c r="K142" s="42">
        <f t="shared" ca="1" si="55"/>
        <v>0</v>
      </c>
      <c r="L142" s="42">
        <f t="shared" ca="1" si="55"/>
        <v>0</v>
      </c>
      <c r="M142" s="42">
        <f t="shared" ca="1" si="55"/>
        <v>0</v>
      </c>
      <c r="N142" s="42">
        <f t="shared" ca="1" si="55"/>
        <v>0</v>
      </c>
      <c r="O142" s="42">
        <f t="shared" ca="1" si="55"/>
        <v>0</v>
      </c>
      <c r="P142" s="42">
        <f t="shared" ca="1" si="55"/>
        <v>0</v>
      </c>
      <c r="Q142" s="42">
        <f t="shared" ca="1" si="55"/>
        <v>0</v>
      </c>
      <c r="R142" s="42">
        <f t="shared" ca="1" si="55"/>
        <v>0</v>
      </c>
      <c r="S142" s="42">
        <f t="shared" ca="1" si="55"/>
        <v>0</v>
      </c>
      <c r="T142" s="42">
        <f t="shared" ca="1" si="55"/>
        <v>0</v>
      </c>
      <c r="U142" s="42">
        <f t="shared" ca="1" si="55"/>
        <v>0</v>
      </c>
      <c r="V142" s="42">
        <f t="shared" ca="1" si="55"/>
        <v>0</v>
      </c>
      <c r="W142" s="42">
        <f t="shared" ca="1" si="55"/>
        <v>0</v>
      </c>
      <c r="X142" s="42">
        <f t="shared" ca="1" si="55"/>
        <v>0</v>
      </c>
    </row>
    <row r="143" spans="3:24" x14ac:dyDescent="0.3">
      <c r="C143" s="1"/>
      <c r="D143" s="70" t="str">
        <f t="shared" si="48"/>
        <v>dLevel_T2_8</v>
      </c>
      <c r="E143" s="144">
        <f t="shared" ref="E143:X143" ca="1" si="56">IFERROR(E104*$Y65/SUMPRODUCT(E$97:E$131,$Y$58:$Y$92),0)</f>
        <v>4.6982331961307237E-2</v>
      </c>
      <c r="F143" s="144">
        <f t="shared" ca="1" si="56"/>
        <v>8.2838803843928263E-2</v>
      </c>
      <c r="G143" s="144">
        <f t="shared" ca="1" si="56"/>
        <v>4.6982331961307237E-2</v>
      </c>
      <c r="H143" s="42">
        <f t="shared" ca="1" si="56"/>
        <v>8.2838803843928263E-2</v>
      </c>
      <c r="I143" s="42">
        <f t="shared" ca="1" si="56"/>
        <v>8.4905489462278383E-2</v>
      </c>
      <c r="J143" s="42">
        <f t="shared" ca="1" si="56"/>
        <v>0</v>
      </c>
      <c r="K143" s="42">
        <f t="shared" ca="1" si="56"/>
        <v>0</v>
      </c>
      <c r="L143" s="42">
        <f t="shared" ca="1" si="56"/>
        <v>0</v>
      </c>
      <c r="M143" s="42">
        <f t="shared" ca="1" si="56"/>
        <v>0</v>
      </c>
      <c r="N143" s="42">
        <f t="shared" ca="1" si="56"/>
        <v>0</v>
      </c>
      <c r="O143" s="42">
        <f t="shared" ca="1" si="56"/>
        <v>0</v>
      </c>
      <c r="P143" s="42">
        <f t="shared" ca="1" si="56"/>
        <v>0</v>
      </c>
      <c r="Q143" s="42">
        <f t="shared" ca="1" si="56"/>
        <v>0</v>
      </c>
      <c r="R143" s="42">
        <f t="shared" ca="1" si="56"/>
        <v>0</v>
      </c>
      <c r="S143" s="42">
        <f t="shared" ca="1" si="56"/>
        <v>0</v>
      </c>
      <c r="T143" s="42">
        <f t="shared" ca="1" si="56"/>
        <v>0</v>
      </c>
      <c r="U143" s="42">
        <f t="shared" ca="1" si="56"/>
        <v>0</v>
      </c>
      <c r="V143" s="42">
        <f t="shared" ca="1" si="56"/>
        <v>0</v>
      </c>
      <c r="W143" s="42">
        <f t="shared" ca="1" si="56"/>
        <v>0</v>
      </c>
      <c r="X143" s="42">
        <f t="shared" ca="1" si="56"/>
        <v>0</v>
      </c>
    </row>
    <row r="144" spans="3:24" x14ac:dyDescent="0.3">
      <c r="C144" s="1"/>
      <c r="D144" s="70" t="str">
        <f t="shared" si="48"/>
        <v>dLevel_T2_9</v>
      </c>
      <c r="E144" s="144">
        <f t="shared" ref="E144:X144" ca="1" si="57">IFERROR(E105*$Y66/SUMPRODUCT(E$97:E$131,$Y$58:$Y$92),0)</f>
        <v>8.3364803382020881E-3</v>
      </c>
      <c r="F144" s="144">
        <f t="shared" ca="1" si="57"/>
        <v>1.6837220158924582E-2</v>
      </c>
      <c r="G144" s="144">
        <f t="shared" ca="1" si="57"/>
        <v>8.3364803382020881E-3</v>
      </c>
      <c r="H144" s="42">
        <f t="shared" ca="1" si="57"/>
        <v>1.6837220158924582E-2</v>
      </c>
      <c r="I144" s="42">
        <f t="shared" ca="1" si="57"/>
        <v>1.5994068911810773E-2</v>
      </c>
      <c r="J144" s="42">
        <f t="shared" ca="1" si="57"/>
        <v>0</v>
      </c>
      <c r="K144" s="42">
        <f t="shared" ca="1" si="57"/>
        <v>0</v>
      </c>
      <c r="L144" s="42">
        <f t="shared" ca="1" si="57"/>
        <v>0</v>
      </c>
      <c r="M144" s="42">
        <f t="shared" ca="1" si="57"/>
        <v>0</v>
      </c>
      <c r="N144" s="42">
        <f t="shared" ca="1" si="57"/>
        <v>0</v>
      </c>
      <c r="O144" s="42">
        <f t="shared" ca="1" si="57"/>
        <v>0</v>
      </c>
      <c r="P144" s="42">
        <f t="shared" ca="1" si="57"/>
        <v>0</v>
      </c>
      <c r="Q144" s="42">
        <f t="shared" ca="1" si="57"/>
        <v>0</v>
      </c>
      <c r="R144" s="42">
        <f t="shared" ca="1" si="57"/>
        <v>0</v>
      </c>
      <c r="S144" s="42">
        <f t="shared" ca="1" si="57"/>
        <v>0</v>
      </c>
      <c r="T144" s="42">
        <f t="shared" ca="1" si="57"/>
        <v>0</v>
      </c>
      <c r="U144" s="42">
        <f t="shared" ca="1" si="57"/>
        <v>0</v>
      </c>
      <c r="V144" s="42">
        <f t="shared" ca="1" si="57"/>
        <v>0</v>
      </c>
      <c r="W144" s="42">
        <f t="shared" ca="1" si="57"/>
        <v>0</v>
      </c>
      <c r="X144" s="42">
        <f t="shared" ca="1" si="57"/>
        <v>0</v>
      </c>
    </row>
    <row r="145" spans="3:24" x14ac:dyDescent="0.3">
      <c r="C145" s="1"/>
      <c r="D145" s="70" t="str">
        <f t="shared" si="48"/>
        <v>dLevel_T2_10</v>
      </c>
      <c r="E145" s="144">
        <f t="shared" ref="E145:X145" ca="1" si="58">IFERROR(E106*$Y67/SUMPRODUCT(E$97:E$131,$Y$58:$Y$92),0)</f>
        <v>1.5582116547556538E-2</v>
      </c>
      <c r="F145" s="144">
        <f t="shared" ca="1" si="58"/>
        <v>1.3243881952658958E-2</v>
      </c>
      <c r="G145" s="144">
        <f t="shared" ca="1" si="58"/>
        <v>1.5582116547556538E-2</v>
      </c>
      <c r="H145" s="42">
        <f t="shared" ca="1" si="58"/>
        <v>1.3243881952658958E-2</v>
      </c>
      <c r="I145" s="42">
        <f t="shared" ca="1" si="58"/>
        <v>1.0399369853728703E-2</v>
      </c>
      <c r="J145" s="42">
        <f t="shared" ca="1" si="58"/>
        <v>0</v>
      </c>
      <c r="K145" s="42">
        <f t="shared" ca="1" si="58"/>
        <v>0</v>
      </c>
      <c r="L145" s="42">
        <f t="shared" ca="1" si="58"/>
        <v>0</v>
      </c>
      <c r="M145" s="42">
        <f t="shared" ca="1" si="58"/>
        <v>0</v>
      </c>
      <c r="N145" s="42">
        <f t="shared" ca="1" si="58"/>
        <v>0</v>
      </c>
      <c r="O145" s="42">
        <f t="shared" ca="1" si="58"/>
        <v>0</v>
      </c>
      <c r="P145" s="42">
        <f t="shared" ca="1" si="58"/>
        <v>0</v>
      </c>
      <c r="Q145" s="42">
        <f t="shared" ca="1" si="58"/>
        <v>0</v>
      </c>
      <c r="R145" s="42">
        <f t="shared" ca="1" si="58"/>
        <v>0</v>
      </c>
      <c r="S145" s="42">
        <f t="shared" ca="1" si="58"/>
        <v>0</v>
      </c>
      <c r="T145" s="42">
        <f t="shared" ca="1" si="58"/>
        <v>0</v>
      </c>
      <c r="U145" s="42">
        <f t="shared" ca="1" si="58"/>
        <v>0</v>
      </c>
      <c r="V145" s="42">
        <f t="shared" ca="1" si="58"/>
        <v>0</v>
      </c>
      <c r="W145" s="42">
        <f t="shared" ca="1" si="58"/>
        <v>0</v>
      </c>
      <c r="X145" s="42">
        <f t="shared" ca="1" si="58"/>
        <v>0</v>
      </c>
    </row>
    <row r="146" spans="3:24" x14ac:dyDescent="0.3">
      <c r="C146" s="1"/>
      <c r="D146" s="70" t="str">
        <f t="shared" si="48"/>
        <v>dLevel_T2_11</v>
      </c>
      <c r="E146" s="144">
        <f t="shared" ref="E146:X146" ca="1" si="59">IFERROR(E107*$Y68/SUMPRODUCT(E$97:E$131,$Y$58:$Y$92),0)</f>
        <v>4.4321956357664109E-2</v>
      </c>
      <c r="F146" s="144">
        <f t="shared" ca="1" si="59"/>
        <v>4.1633550863937156E-2</v>
      </c>
      <c r="G146" s="144">
        <f t="shared" ca="1" si="59"/>
        <v>4.4321956357664109E-2</v>
      </c>
      <c r="H146" s="42">
        <f t="shared" ca="1" si="59"/>
        <v>4.1633550863937156E-2</v>
      </c>
      <c r="I146" s="42">
        <f t="shared" ca="1" si="59"/>
        <v>2.7954143145983993E-2</v>
      </c>
      <c r="J146" s="42">
        <f t="shared" ca="1" si="59"/>
        <v>0</v>
      </c>
      <c r="K146" s="42">
        <f t="shared" ca="1" si="59"/>
        <v>0</v>
      </c>
      <c r="L146" s="42">
        <f t="shared" ca="1" si="59"/>
        <v>0</v>
      </c>
      <c r="M146" s="42">
        <f t="shared" ca="1" si="59"/>
        <v>0</v>
      </c>
      <c r="N146" s="42">
        <f t="shared" ca="1" si="59"/>
        <v>0</v>
      </c>
      <c r="O146" s="42">
        <f t="shared" ca="1" si="59"/>
        <v>0</v>
      </c>
      <c r="P146" s="42">
        <f t="shared" ca="1" si="59"/>
        <v>0</v>
      </c>
      <c r="Q146" s="42">
        <f t="shared" ca="1" si="59"/>
        <v>0</v>
      </c>
      <c r="R146" s="42">
        <f t="shared" ca="1" si="59"/>
        <v>0</v>
      </c>
      <c r="S146" s="42">
        <f t="shared" ca="1" si="59"/>
        <v>0</v>
      </c>
      <c r="T146" s="42">
        <f t="shared" ca="1" si="59"/>
        <v>0</v>
      </c>
      <c r="U146" s="42">
        <f t="shared" ca="1" si="59"/>
        <v>0</v>
      </c>
      <c r="V146" s="42">
        <f t="shared" ca="1" si="59"/>
        <v>0</v>
      </c>
      <c r="W146" s="42">
        <f t="shared" ca="1" si="59"/>
        <v>0</v>
      </c>
      <c r="X146" s="42">
        <f t="shared" ca="1" si="59"/>
        <v>0</v>
      </c>
    </row>
    <row r="147" spans="3:24" x14ac:dyDescent="0.3">
      <c r="C147" s="1"/>
      <c r="D147" s="70" t="str">
        <f t="shared" si="48"/>
        <v>dLevel_T2_12</v>
      </c>
      <c r="E147" s="144">
        <f t="shared" ref="E147:X147" ca="1" si="60">IFERROR(E108*$Y69/SUMPRODUCT(E$97:E$131,$Y$58:$Y$92),0)</f>
        <v>2.4096944955977508E-2</v>
      </c>
      <c r="F147" s="144">
        <f t="shared" ca="1" si="60"/>
        <v>8.3988918859891609E-3</v>
      </c>
      <c r="G147" s="144">
        <f t="shared" ca="1" si="60"/>
        <v>2.4096944955977508E-2</v>
      </c>
      <c r="H147" s="42">
        <f t="shared" ca="1" si="60"/>
        <v>8.3988918859891609E-3</v>
      </c>
      <c r="I147" s="42">
        <f t="shared" ca="1" si="60"/>
        <v>5.7308442145018951E-3</v>
      </c>
      <c r="J147" s="42">
        <f t="shared" ca="1" si="60"/>
        <v>0</v>
      </c>
      <c r="K147" s="42">
        <f t="shared" ca="1" si="60"/>
        <v>0</v>
      </c>
      <c r="L147" s="42">
        <f t="shared" ca="1" si="60"/>
        <v>0</v>
      </c>
      <c r="M147" s="42">
        <f t="shared" ca="1" si="60"/>
        <v>0</v>
      </c>
      <c r="N147" s="42">
        <f t="shared" ca="1" si="60"/>
        <v>0</v>
      </c>
      <c r="O147" s="42">
        <f t="shared" ca="1" si="60"/>
        <v>0</v>
      </c>
      <c r="P147" s="42">
        <f t="shared" ca="1" si="60"/>
        <v>0</v>
      </c>
      <c r="Q147" s="42">
        <f t="shared" ca="1" si="60"/>
        <v>0</v>
      </c>
      <c r="R147" s="42">
        <f t="shared" ca="1" si="60"/>
        <v>0</v>
      </c>
      <c r="S147" s="42">
        <f t="shared" ca="1" si="60"/>
        <v>0</v>
      </c>
      <c r="T147" s="42">
        <f t="shared" ca="1" si="60"/>
        <v>0</v>
      </c>
      <c r="U147" s="42">
        <f t="shared" ca="1" si="60"/>
        <v>0</v>
      </c>
      <c r="V147" s="42">
        <f t="shared" ca="1" si="60"/>
        <v>0</v>
      </c>
      <c r="W147" s="42">
        <f t="shared" ca="1" si="60"/>
        <v>0</v>
      </c>
      <c r="X147" s="42">
        <f t="shared" ca="1" si="60"/>
        <v>0</v>
      </c>
    </row>
    <row r="148" spans="3:24" x14ac:dyDescent="0.3">
      <c r="C148" s="1"/>
      <c r="D148" s="70" t="str">
        <f t="shared" si="48"/>
        <v>dLevel_T2_13</v>
      </c>
      <c r="E148" s="144">
        <f t="shared" ref="E148:X148" ca="1" si="61">IFERROR(E109*$Y70/SUMPRODUCT(E$97:E$131,$Y$58:$Y$92),0)</f>
        <v>8.884644323407109E-3</v>
      </c>
      <c r="F148" s="144">
        <f t="shared" ca="1" si="61"/>
        <v>1.5725623084150185E-4</v>
      </c>
      <c r="G148" s="144">
        <f t="shared" ca="1" si="61"/>
        <v>8.884644323407109E-3</v>
      </c>
      <c r="H148" s="42">
        <f t="shared" ca="1" si="61"/>
        <v>1.5725623084150185E-4</v>
      </c>
      <c r="I148" s="42">
        <f t="shared" ca="1" si="61"/>
        <v>5.3189861154019922E-3</v>
      </c>
      <c r="J148" s="42">
        <f t="shared" ca="1" si="61"/>
        <v>0</v>
      </c>
      <c r="K148" s="42">
        <f t="shared" ca="1" si="61"/>
        <v>0</v>
      </c>
      <c r="L148" s="42">
        <f t="shared" ca="1" si="61"/>
        <v>0</v>
      </c>
      <c r="M148" s="42">
        <f t="shared" ca="1" si="61"/>
        <v>0</v>
      </c>
      <c r="N148" s="42">
        <f t="shared" ca="1" si="61"/>
        <v>0</v>
      </c>
      <c r="O148" s="42">
        <f t="shared" ca="1" si="61"/>
        <v>0</v>
      </c>
      <c r="P148" s="42">
        <f t="shared" ca="1" si="61"/>
        <v>0</v>
      </c>
      <c r="Q148" s="42">
        <f t="shared" ca="1" si="61"/>
        <v>0</v>
      </c>
      <c r="R148" s="42">
        <f t="shared" ca="1" si="61"/>
        <v>0</v>
      </c>
      <c r="S148" s="42">
        <f t="shared" ca="1" si="61"/>
        <v>0</v>
      </c>
      <c r="T148" s="42">
        <f t="shared" ca="1" si="61"/>
        <v>0</v>
      </c>
      <c r="U148" s="42">
        <f t="shared" ca="1" si="61"/>
        <v>0</v>
      </c>
      <c r="V148" s="42">
        <f t="shared" ca="1" si="61"/>
        <v>0</v>
      </c>
      <c r="W148" s="42">
        <f t="shared" ca="1" si="61"/>
        <v>0</v>
      </c>
      <c r="X148" s="42">
        <f t="shared" ca="1" si="61"/>
        <v>0</v>
      </c>
    </row>
    <row r="149" spans="3:24" x14ac:dyDescent="0.3">
      <c r="C149" s="1"/>
      <c r="D149" s="70" t="str">
        <f t="shared" si="48"/>
        <v>dLevel_T2_14</v>
      </c>
      <c r="E149" s="144">
        <f t="shared" ref="E149:X149" ca="1" si="62">IFERROR(E110*$Y71/SUMPRODUCT(E$97:E$131,$Y$58:$Y$92),0)</f>
        <v>1.8013312290201325E-2</v>
      </c>
      <c r="F149" s="144">
        <f t="shared" ca="1" si="62"/>
        <v>1.9243760789149637E-2</v>
      </c>
      <c r="G149" s="144">
        <f t="shared" ca="1" si="62"/>
        <v>1.8013312290201325E-2</v>
      </c>
      <c r="H149" s="42">
        <f t="shared" ca="1" si="62"/>
        <v>1.9243760789149637E-2</v>
      </c>
      <c r="I149" s="42">
        <f t="shared" ca="1" si="62"/>
        <v>1.7896170944854708E-2</v>
      </c>
      <c r="J149" s="42">
        <f t="shared" ca="1" si="62"/>
        <v>0</v>
      </c>
      <c r="K149" s="42">
        <f t="shared" ca="1" si="62"/>
        <v>0</v>
      </c>
      <c r="L149" s="42">
        <f t="shared" ca="1" si="62"/>
        <v>0</v>
      </c>
      <c r="M149" s="42">
        <f t="shared" ca="1" si="62"/>
        <v>0</v>
      </c>
      <c r="N149" s="42">
        <f t="shared" ca="1" si="62"/>
        <v>0</v>
      </c>
      <c r="O149" s="42">
        <f t="shared" ca="1" si="62"/>
        <v>0</v>
      </c>
      <c r="P149" s="42">
        <f t="shared" ca="1" si="62"/>
        <v>0</v>
      </c>
      <c r="Q149" s="42">
        <f t="shared" ca="1" si="62"/>
        <v>0</v>
      </c>
      <c r="R149" s="42">
        <f t="shared" ca="1" si="62"/>
        <v>0</v>
      </c>
      <c r="S149" s="42">
        <f t="shared" ca="1" si="62"/>
        <v>0</v>
      </c>
      <c r="T149" s="42">
        <f t="shared" ca="1" si="62"/>
        <v>0</v>
      </c>
      <c r="U149" s="42">
        <f t="shared" ca="1" si="62"/>
        <v>0</v>
      </c>
      <c r="V149" s="42">
        <f t="shared" ca="1" si="62"/>
        <v>0</v>
      </c>
      <c r="W149" s="42">
        <f t="shared" ca="1" si="62"/>
        <v>0</v>
      </c>
      <c r="X149" s="42">
        <f t="shared" ca="1" si="62"/>
        <v>0</v>
      </c>
    </row>
    <row r="150" spans="3:24" x14ac:dyDescent="0.3">
      <c r="C150" s="1"/>
      <c r="D150" s="70" t="str">
        <f t="shared" si="48"/>
        <v>dLevel_T2_15</v>
      </c>
      <c r="E150" s="144">
        <f t="shared" ref="E150:X150" ca="1" si="63">IFERROR(E111*$Y72/SUMPRODUCT(E$97:E$131,$Y$58:$Y$92),0)</f>
        <v>1.2211569063647915E-2</v>
      </c>
      <c r="F150" s="144">
        <f t="shared" ca="1" si="63"/>
        <v>2.3081156462220452E-4</v>
      </c>
      <c r="G150" s="144">
        <f t="shared" ca="1" si="63"/>
        <v>1.2211569063647915E-2</v>
      </c>
      <c r="H150" s="42">
        <f t="shared" ca="1" si="63"/>
        <v>2.3081156462220452E-4</v>
      </c>
      <c r="I150" s="42">
        <f t="shared" ca="1" si="63"/>
        <v>1.174050161987155E-2</v>
      </c>
      <c r="J150" s="42">
        <f t="shared" ca="1" si="63"/>
        <v>0</v>
      </c>
      <c r="K150" s="42">
        <f t="shared" ca="1" si="63"/>
        <v>0</v>
      </c>
      <c r="L150" s="42">
        <f t="shared" ca="1" si="63"/>
        <v>0</v>
      </c>
      <c r="M150" s="42">
        <f t="shared" ca="1" si="63"/>
        <v>0</v>
      </c>
      <c r="N150" s="42">
        <f t="shared" ca="1" si="63"/>
        <v>0</v>
      </c>
      <c r="O150" s="42">
        <f t="shared" ca="1" si="63"/>
        <v>0</v>
      </c>
      <c r="P150" s="42">
        <f t="shared" ca="1" si="63"/>
        <v>0</v>
      </c>
      <c r="Q150" s="42">
        <f t="shared" ca="1" si="63"/>
        <v>0</v>
      </c>
      <c r="R150" s="42">
        <f t="shared" ca="1" si="63"/>
        <v>0</v>
      </c>
      <c r="S150" s="42">
        <f t="shared" ca="1" si="63"/>
        <v>0</v>
      </c>
      <c r="T150" s="42">
        <f t="shared" ca="1" si="63"/>
        <v>0</v>
      </c>
      <c r="U150" s="42">
        <f t="shared" ca="1" si="63"/>
        <v>0</v>
      </c>
      <c r="V150" s="42">
        <f t="shared" ca="1" si="63"/>
        <v>0</v>
      </c>
      <c r="W150" s="42">
        <f t="shared" ca="1" si="63"/>
        <v>0</v>
      </c>
      <c r="X150" s="42">
        <f t="shared" ca="1" si="63"/>
        <v>0</v>
      </c>
    </row>
    <row r="151" spans="3:24" x14ac:dyDescent="0.3">
      <c r="C151" s="1"/>
      <c r="D151" s="70" t="str">
        <f t="shared" si="48"/>
        <v>dLevel_T2_16</v>
      </c>
      <c r="E151" s="144">
        <f t="shared" ref="E151:X151" ca="1" si="64">IFERROR(E112*$Y73/SUMPRODUCT(E$97:E$131,$Y$58:$Y$92),0)</f>
        <v>1.1506041509069564E-2</v>
      </c>
      <c r="F151" s="144">
        <f t="shared" ca="1" si="64"/>
        <v>8.2194068981594533E-3</v>
      </c>
      <c r="G151" s="144">
        <f t="shared" ca="1" si="64"/>
        <v>1.1506041509069564E-2</v>
      </c>
      <c r="H151" s="42">
        <f t="shared" ca="1" si="64"/>
        <v>8.2194068981594533E-3</v>
      </c>
      <c r="I151" s="42">
        <f t="shared" ca="1" si="64"/>
        <v>1.4245297493537052E-2</v>
      </c>
      <c r="J151" s="42">
        <f t="shared" ca="1" si="64"/>
        <v>0</v>
      </c>
      <c r="K151" s="42">
        <f t="shared" ca="1" si="64"/>
        <v>0</v>
      </c>
      <c r="L151" s="42">
        <f t="shared" ca="1" si="64"/>
        <v>0</v>
      </c>
      <c r="M151" s="42">
        <f t="shared" ca="1" si="64"/>
        <v>0</v>
      </c>
      <c r="N151" s="42">
        <f t="shared" ca="1" si="64"/>
        <v>0</v>
      </c>
      <c r="O151" s="42">
        <f t="shared" ca="1" si="64"/>
        <v>0</v>
      </c>
      <c r="P151" s="42">
        <f t="shared" ca="1" si="64"/>
        <v>0</v>
      </c>
      <c r="Q151" s="42">
        <f t="shared" ca="1" si="64"/>
        <v>0</v>
      </c>
      <c r="R151" s="42">
        <f t="shared" ca="1" si="64"/>
        <v>0</v>
      </c>
      <c r="S151" s="42">
        <f t="shared" ca="1" si="64"/>
        <v>0</v>
      </c>
      <c r="T151" s="42">
        <f t="shared" ca="1" si="64"/>
        <v>0</v>
      </c>
      <c r="U151" s="42">
        <f t="shared" ca="1" si="64"/>
        <v>0</v>
      </c>
      <c r="V151" s="42">
        <f t="shared" ca="1" si="64"/>
        <v>0</v>
      </c>
      <c r="W151" s="42">
        <f t="shared" ca="1" si="64"/>
        <v>0</v>
      </c>
      <c r="X151" s="42">
        <f t="shared" ca="1" si="64"/>
        <v>0</v>
      </c>
    </row>
    <row r="152" spans="3:24" x14ac:dyDescent="0.3">
      <c r="C152" s="1"/>
      <c r="D152" s="70" t="str">
        <f t="shared" si="48"/>
        <v>dLevel_T2_17</v>
      </c>
      <c r="E152" s="144">
        <f t="shared" ref="E152:X152" ca="1" si="65">IFERROR(E113*$Y74/SUMPRODUCT(E$97:E$131,$Y$58:$Y$92),0)</f>
        <v>5.2472381798137268E-3</v>
      </c>
      <c r="F152" s="144">
        <f t="shared" ca="1" si="65"/>
        <v>9.5559567640293216E-3</v>
      </c>
      <c r="G152" s="144">
        <f t="shared" ca="1" si="65"/>
        <v>5.2472381798137268E-3</v>
      </c>
      <c r="H152" s="42">
        <f t="shared" ca="1" si="65"/>
        <v>9.5559567640293216E-3</v>
      </c>
      <c r="I152" s="42">
        <f t="shared" ca="1" si="65"/>
        <v>2.0535763913493078E-2</v>
      </c>
      <c r="J152" s="42">
        <f t="shared" ca="1" si="65"/>
        <v>0</v>
      </c>
      <c r="K152" s="42">
        <f t="shared" ca="1" si="65"/>
        <v>0</v>
      </c>
      <c r="L152" s="42">
        <f t="shared" ca="1" si="65"/>
        <v>0</v>
      </c>
      <c r="M152" s="42">
        <f t="shared" ca="1" si="65"/>
        <v>0</v>
      </c>
      <c r="N152" s="42">
        <f t="shared" ca="1" si="65"/>
        <v>0</v>
      </c>
      <c r="O152" s="42">
        <f t="shared" ca="1" si="65"/>
        <v>0</v>
      </c>
      <c r="P152" s="42">
        <f t="shared" ca="1" si="65"/>
        <v>0</v>
      </c>
      <c r="Q152" s="42">
        <f t="shared" ca="1" si="65"/>
        <v>0</v>
      </c>
      <c r="R152" s="42">
        <f t="shared" ca="1" si="65"/>
        <v>0</v>
      </c>
      <c r="S152" s="42">
        <f t="shared" ca="1" si="65"/>
        <v>0</v>
      </c>
      <c r="T152" s="42">
        <f t="shared" ca="1" si="65"/>
        <v>0</v>
      </c>
      <c r="U152" s="42">
        <f t="shared" ca="1" si="65"/>
        <v>0</v>
      </c>
      <c r="V152" s="42">
        <f t="shared" ca="1" si="65"/>
        <v>0</v>
      </c>
      <c r="W152" s="42">
        <f t="shared" ca="1" si="65"/>
        <v>0</v>
      </c>
      <c r="X152" s="42">
        <f t="shared" ca="1" si="65"/>
        <v>0</v>
      </c>
    </row>
    <row r="153" spans="3:24" x14ac:dyDescent="0.3">
      <c r="C153" s="1"/>
      <c r="D153" s="70" t="str">
        <f t="shared" si="48"/>
        <v>dLevel_T2_18</v>
      </c>
      <c r="E153" s="144">
        <f t="shared" ref="E153:X153" ca="1" si="66">IFERROR(E114*$Y75/SUMPRODUCT(E$97:E$131,$Y$58:$Y$92),0)</f>
        <v>1.7370341316103106E-2</v>
      </c>
      <c r="F153" s="144">
        <f t="shared" ca="1" si="66"/>
        <v>7.7949929046645203E-2</v>
      </c>
      <c r="G153" s="144">
        <f t="shared" ca="1" si="66"/>
        <v>1.7370341316103106E-2</v>
      </c>
      <c r="H153" s="42">
        <f t="shared" ca="1" si="66"/>
        <v>7.7949929046645203E-2</v>
      </c>
      <c r="I153" s="42">
        <f t="shared" ca="1" si="66"/>
        <v>7.9046837874153397E-2</v>
      </c>
      <c r="J153" s="42">
        <f t="shared" ca="1" si="66"/>
        <v>0</v>
      </c>
      <c r="K153" s="42">
        <f t="shared" ca="1" si="66"/>
        <v>0</v>
      </c>
      <c r="L153" s="42">
        <f t="shared" ca="1" si="66"/>
        <v>0</v>
      </c>
      <c r="M153" s="42">
        <f t="shared" ca="1" si="66"/>
        <v>0</v>
      </c>
      <c r="N153" s="42">
        <f t="shared" ca="1" si="66"/>
        <v>0</v>
      </c>
      <c r="O153" s="42">
        <f t="shared" ca="1" si="66"/>
        <v>0</v>
      </c>
      <c r="P153" s="42">
        <f t="shared" ca="1" si="66"/>
        <v>0</v>
      </c>
      <c r="Q153" s="42">
        <f t="shared" ca="1" si="66"/>
        <v>0</v>
      </c>
      <c r="R153" s="42">
        <f t="shared" ca="1" si="66"/>
        <v>0</v>
      </c>
      <c r="S153" s="42">
        <f t="shared" ca="1" si="66"/>
        <v>0</v>
      </c>
      <c r="T153" s="42">
        <f t="shared" ca="1" si="66"/>
        <v>0</v>
      </c>
      <c r="U153" s="42">
        <f t="shared" ca="1" si="66"/>
        <v>0</v>
      </c>
      <c r="V153" s="42">
        <f t="shared" ca="1" si="66"/>
        <v>0</v>
      </c>
      <c r="W153" s="42">
        <f t="shared" ca="1" si="66"/>
        <v>0</v>
      </c>
      <c r="X153" s="42">
        <f t="shared" ca="1" si="66"/>
        <v>0</v>
      </c>
    </row>
    <row r="154" spans="3:24" x14ac:dyDescent="0.3">
      <c r="C154" s="1"/>
      <c r="D154" s="70" t="str">
        <f t="shared" si="48"/>
        <v>dLevel_T2_19</v>
      </c>
      <c r="E154" s="144">
        <f t="shared" ref="E154:X154" ca="1" si="67">IFERROR(E115*$Y76/SUMPRODUCT(E$97:E$131,$Y$58:$Y$92),0)</f>
        <v>6.722930707808732E-3</v>
      </c>
      <c r="F154" s="144">
        <f t="shared" ca="1" si="67"/>
        <v>4.1508677979370037E-3</v>
      </c>
      <c r="G154" s="144">
        <f t="shared" ca="1" si="67"/>
        <v>6.722930707808732E-3</v>
      </c>
      <c r="H154" s="42">
        <f t="shared" ca="1" si="67"/>
        <v>4.1508677979370037E-3</v>
      </c>
      <c r="I154" s="42">
        <f t="shared" ca="1" si="67"/>
        <v>7.186649093450472E-3</v>
      </c>
      <c r="J154" s="42">
        <f t="shared" ca="1" si="67"/>
        <v>0</v>
      </c>
      <c r="K154" s="42">
        <f t="shared" ca="1" si="67"/>
        <v>0</v>
      </c>
      <c r="L154" s="42">
        <f t="shared" ca="1" si="67"/>
        <v>0</v>
      </c>
      <c r="M154" s="42">
        <f t="shared" ca="1" si="67"/>
        <v>0</v>
      </c>
      <c r="N154" s="42">
        <f t="shared" ca="1" si="67"/>
        <v>0</v>
      </c>
      <c r="O154" s="42">
        <f t="shared" ca="1" si="67"/>
        <v>0</v>
      </c>
      <c r="P154" s="42">
        <f t="shared" ca="1" si="67"/>
        <v>0</v>
      </c>
      <c r="Q154" s="42">
        <f t="shared" ca="1" si="67"/>
        <v>0</v>
      </c>
      <c r="R154" s="42">
        <f t="shared" ca="1" si="67"/>
        <v>0</v>
      </c>
      <c r="S154" s="42">
        <f t="shared" ca="1" si="67"/>
        <v>0</v>
      </c>
      <c r="T154" s="42">
        <f t="shared" ca="1" si="67"/>
        <v>0</v>
      </c>
      <c r="U154" s="42">
        <f t="shared" ca="1" si="67"/>
        <v>0</v>
      </c>
      <c r="V154" s="42">
        <f t="shared" ca="1" si="67"/>
        <v>0</v>
      </c>
      <c r="W154" s="42">
        <f t="shared" ca="1" si="67"/>
        <v>0</v>
      </c>
      <c r="X154" s="42">
        <f t="shared" ca="1" si="67"/>
        <v>0</v>
      </c>
    </row>
    <row r="155" spans="3:24" x14ac:dyDescent="0.3">
      <c r="C155" s="1"/>
      <c r="D155" s="70" t="str">
        <f t="shared" si="48"/>
        <v>dLevel_T2_21</v>
      </c>
      <c r="E155" s="144">
        <f t="shared" ref="E155:X155" ca="1" si="68">IFERROR(E116*$Y77/SUMPRODUCT(E$97:E$131,$Y$58:$Y$92),0)</f>
        <v>1.8525521643088579E-2</v>
      </c>
      <c r="F155" s="144">
        <f t="shared" ca="1" si="68"/>
        <v>2.4025226946938368E-2</v>
      </c>
      <c r="G155" s="144">
        <f t="shared" ca="1" si="68"/>
        <v>1.8525521643088579E-2</v>
      </c>
      <c r="H155" s="42">
        <f t="shared" ca="1" si="68"/>
        <v>2.4025226946938368E-2</v>
      </c>
      <c r="I155" s="42">
        <f t="shared" ca="1" si="68"/>
        <v>2.7475985021833023E-2</v>
      </c>
      <c r="J155" s="42">
        <f t="shared" ca="1" si="68"/>
        <v>0</v>
      </c>
      <c r="K155" s="42">
        <f t="shared" ca="1" si="68"/>
        <v>0</v>
      </c>
      <c r="L155" s="42">
        <f t="shared" ca="1" si="68"/>
        <v>0</v>
      </c>
      <c r="M155" s="42">
        <f t="shared" ca="1" si="68"/>
        <v>0</v>
      </c>
      <c r="N155" s="42">
        <f t="shared" ca="1" si="68"/>
        <v>0</v>
      </c>
      <c r="O155" s="42">
        <f t="shared" ca="1" si="68"/>
        <v>0</v>
      </c>
      <c r="P155" s="42">
        <f t="shared" ca="1" si="68"/>
        <v>0</v>
      </c>
      <c r="Q155" s="42">
        <f t="shared" ca="1" si="68"/>
        <v>0</v>
      </c>
      <c r="R155" s="42">
        <f t="shared" ca="1" si="68"/>
        <v>0</v>
      </c>
      <c r="S155" s="42">
        <f t="shared" ca="1" si="68"/>
        <v>0</v>
      </c>
      <c r="T155" s="42">
        <f t="shared" ca="1" si="68"/>
        <v>0</v>
      </c>
      <c r="U155" s="42">
        <f t="shared" ca="1" si="68"/>
        <v>0</v>
      </c>
      <c r="V155" s="42">
        <f t="shared" ca="1" si="68"/>
        <v>0</v>
      </c>
      <c r="W155" s="42">
        <f t="shared" ca="1" si="68"/>
        <v>0</v>
      </c>
      <c r="X155" s="42">
        <f t="shared" ca="1" si="68"/>
        <v>0</v>
      </c>
    </row>
    <row r="156" spans="3:24" x14ac:dyDescent="0.3">
      <c r="C156" s="1"/>
      <c r="D156" s="70" t="str">
        <f t="shared" si="48"/>
        <v>dLevel_T2_22</v>
      </c>
      <c r="E156" s="144">
        <f t="shared" ref="E156:X156" ca="1" si="69">IFERROR(E117*$Y78/SUMPRODUCT(E$97:E$131,$Y$58:$Y$92),0)</f>
        <v>0.34313250111083393</v>
      </c>
      <c r="F156" s="144">
        <f t="shared" ca="1" si="69"/>
        <v>0.24934823462148153</v>
      </c>
      <c r="G156" s="144">
        <f t="shared" ca="1" si="69"/>
        <v>0.34313250111083393</v>
      </c>
      <c r="H156" s="42">
        <f t="shared" ca="1" si="69"/>
        <v>0.24934823462148153</v>
      </c>
      <c r="I156" s="42">
        <f t="shared" ca="1" si="69"/>
        <v>0.1718106805351739</v>
      </c>
      <c r="J156" s="42">
        <f t="shared" ca="1" si="69"/>
        <v>0</v>
      </c>
      <c r="K156" s="42">
        <f t="shared" ca="1" si="69"/>
        <v>0</v>
      </c>
      <c r="L156" s="42">
        <f t="shared" ca="1" si="69"/>
        <v>0</v>
      </c>
      <c r="M156" s="42">
        <f t="shared" ca="1" si="69"/>
        <v>0</v>
      </c>
      <c r="N156" s="42">
        <f t="shared" ca="1" si="69"/>
        <v>0</v>
      </c>
      <c r="O156" s="42">
        <f t="shared" ca="1" si="69"/>
        <v>0</v>
      </c>
      <c r="P156" s="42">
        <f t="shared" ca="1" si="69"/>
        <v>0</v>
      </c>
      <c r="Q156" s="42">
        <f t="shared" ca="1" si="69"/>
        <v>0</v>
      </c>
      <c r="R156" s="42">
        <f t="shared" ca="1" si="69"/>
        <v>0</v>
      </c>
      <c r="S156" s="42">
        <f t="shared" ca="1" si="69"/>
        <v>0</v>
      </c>
      <c r="T156" s="42">
        <f t="shared" ca="1" si="69"/>
        <v>0</v>
      </c>
      <c r="U156" s="42">
        <f t="shared" ca="1" si="69"/>
        <v>0</v>
      </c>
      <c r="V156" s="42">
        <f t="shared" ca="1" si="69"/>
        <v>0</v>
      </c>
      <c r="W156" s="42">
        <f t="shared" ca="1" si="69"/>
        <v>0</v>
      </c>
      <c r="X156" s="42">
        <f t="shared" ca="1" si="69"/>
        <v>0</v>
      </c>
    </row>
    <row r="157" spans="3:24" x14ac:dyDescent="0.3">
      <c r="C157" s="1"/>
      <c r="D157" s="70" t="str">
        <f t="shared" si="48"/>
        <v>dLevel_T2_23</v>
      </c>
      <c r="E157" s="144">
        <f t="shared" ref="E157:X157" ca="1" si="70">IFERROR(E118*$Y79/SUMPRODUCT(E$97:E$131,$Y$58:$Y$92),0)</f>
        <v>7.060231229819326E-3</v>
      </c>
      <c r="F157" s="144">
        <f t="shared" ca="1" si="70"/>
        <v>6.3917048664610481E-4</v>
      </c>
      <c r="G157" s="144">
        <f t="shared" ca="1" si="70"/>
        <v>7.060231229819326E-3</v>
      </c>
      <c r="H157" s="42">
        <f t="shared" ca="1" si="70"/>
        <v>6.3917048664610481E-4</v>
      </c>
      <c r="I157" s="42">
        <f t="shared" ca="1" si="70"/>
        <v>9.2223549698465523E-3</v>
      </c>
      <c r="J157" s="42">
        <f t="shared" ca="1" si="70"/>
        <v>0</v>
      </c>
      <c r="K157" s="42">
        <f t="shared" ca="1" si="70"/>
        <v>0</v>
      </c>
      <c r="L157" s="42">
        <f t="shared" ca="1" si="70"/>
        <v>0</v>
      </c>
      <c r="M157" s="42">
        <f t="shared" ca="1" si="70"/>
        <v>0</v>
      </c>
      <c r="N157" s="42">
        <f t="shared" ca="1" si="70"/>
        <v>0</v>
      </c>
      <c r="O157" s="42">
        <f t="shared" ca="1" si="70"/>
        <v>0</v>
      </c>
      <c r="P157" s="42">
        <f t="shared" ca="1" si="70"/>
        <v>0</v>
      </c>
      <c r="Q157" s="42">
        <f t="shared" ca="1" si="70"/>
        <v>0</v>
      </c>
      <c r="R157" s="42">
        <f t="shared" ca="1" si="70"/>
        <v>0</v>
      </c>
      <c r="S157" s="42">
        <f t="shared" ca="1" si="70"/>
        <v>0</v>
      </c>
      <c r="T157" s="42">
        <f t="shared" ca="1" si="70"/>
        <v>0</v>
      </c>
      <c r="U157" s="42">
        <f t="shared" ca="1" si="70"/>
        <v>0</v>
      </c>
      <c r="V157" s="42">
        <f t="shared" ca="1" si="70"/>
        <v>0</v>
      </c>
      <c r="W157" s="42">
        <f t="shared" ca="1" si="70"/>
        <v>0</v>
      </c>
      <c r="X157" s="42">
        <f t="shared" ca="1" si="70"/>
        <v>0</v>
      </c>
    </row>
    <row r="158" spans="3:24" x14ac:dyDescent="0.3">
      <c r="C158" s="1"/>
      <c r="D158" s="70" t="str">
        <f t="shared" si="48"/>
        <v>dLevel_T2_24</v>
      </c>
      <c r="E158" s="144">
        <f t="shared" ref="E158:X158" ca="1" si="71">IFERROR(E119*$Y80/SUMPRODUCT(E$97:E$131,$Y$58:$Y$92),0)</f>
        <v>3.1355158164554926E-2</v>
      </c>
      <c r="F158" s="144">
        <f t="shared" ca="1" si="71"/>
        <v>5.9193382709866058E-2</v>
      </c>
      <c r="G158" s="144">
        <f t="shared" ca="1" si="71"/>
        <v>3.1355158164554926E-2</v>
      </c>
      <c r="H158" s="42">
        <f t="shared" ca="1" si="71"/>
        <v>5.9193382709866058E-2</v>
      </c>
      <c r="I158" s="42">
        <f t="shared" ca="1" si="71"/>
        <v>8.0721100615462671E-2</v>
      </c>
      <c r="J158" s="42">
        <f t="shared" ca="1" si="71"/>
        <v>0</v>
      </c>
      <c r="K158" s="42">
        <f t="shared" ca="1" si="71"/>
        <v>0</v>
      </c>
      <c r="L158" s="42">
        <f t="shared" ca="1" si="71"/>
        <v>0</v>
      </c>
      <c r="M158" s="42">
        <f t="shared" ca="1" si="71"/>
        <v>0</v>
      </c>
      <c r="N158" s="42">
        <f t="shared" ca="1" si="71"/>
        <v>0</v>
      </c>
      <c r="O158" s="42">
        <f t="shared" ca="1" si="71"/>
        <v>0</v>
      </c>
      <c r="P158" s="42">
        <f t="shared" ca="1" si="71"/>
        <v>0</v>
      </c>
      <c r="Q158" s="42">
        <f t="shared" ca="1" si="71"/>
        <v>0</v>
      </c>
      <c r="R158" s="42">
        <f t="shared" ca="1" si="71"/>
        <v>0</v>
      </c>
      <c r="S158" s="42">
        <f t="shared" ca="1" si="71"/>
        <v>0</v>
      </c>
      <c r="T158" s="42">
        <f t="shared" ca="1" si="71"/>
        <v>0</v>
      </c>
      <c r="U158" s="42">
        <f t="shared" ca="1" si="71"/>
        <v>0</v>
      </c>
      <c r="V158" s="42">
        <f t="shared" ca="1" si="71"/>
        <v>0</v>
      </c>
      <c r="W158" s="42">
        <f t="shared" ca="1" si="71"/>
        <v>0</v>
      </c>
      <c r="X158" s="42">
        <f t="shared" ca="1" si="71"/>
        <v>0</v>
      </c>
    </row>
    <row r="159" spans="3:24" x14ac:dyDescent="0.3">
      <c r="C159" s="1"/>
      <c r="D159" s="70" t="str">
        <f t="shared" si="48"/>
        <v>dLevel_T2_25</v>
      </c>
      <c r="E159" s="144">
        <f t="shared" ref="E159:X159" ca="1" si="72">IFERROR(E120*$Y81/SUMPRODUCT(E$97:E$131,$Y$58:$Y$92),0)</f>
        <v>8.7528456899827467E-3</v>
      </c>
      <c r="F159" s="144">
        <f t="shared" ca="1" si="72"/>
        <v>2.42745804532303E-3</v>
      </c>
      <c r="G159" s="144">
        <f t="shared" ca="1" si="72"/>
        <v>8.7528456899827467E-3</v>
      </c>
      <c r="H159" s="42">
        <f t="shared" ca="1" si="72"/>
        <v>2.42745804532303E-3</v>
      </c>
      <c r="I159" s="42">
        <f t="shared" ca="1" si="72"/>
        <v>1.1254615734469474E-2</v>
      </c>
      <c r="J159" s="42">
        <f t="shared" ca="1" si="72"/>
        <v>0</v>
      </c>
      <c r="K159" s="42">
        <f t="shared" ca="1" si="72"/>
        <v>0</v>
      </c>
      <c r="L159" s="42">
        <f t="shared" ca="1" si="72"/>
        <v>0</v>
      </c>
      <c r="M159" s="42">
        <f t="shared" ca="1" si="72"/>
        <v>0</v>
      </c>
      <c r="N159" s="42">
        <f t="shared" ca="1" si="72"/>
        <v>0</v>
      </c>
      <c r="O159" s="42">
        <f t="shared" ca="1" si="72"/>
        <v>0</v>
      </c>
      <c r="P159" s="42">
        <f t="shared" ca="1" si="72"/>
        <v>0</v>
      </c>
      <c r="Q159" s="42">
        <f t="shared" ca="1" si="72"/>
        <v>0</v>
      </c>
      <c r="R159" s="42">
        <f t="shared" ca="1" si="72"/>
        <v>0</v>
      </c>
      <c r="S159" s="42">
        <f t="shared" ca="1" si="72"/>
        <v>0</v>
      </c>
      <c r="T159" s="42">
        <f t="shared" ca="1" si="72"/>
        <v>0</v>
      </c>
      <c r="U159" s="42">
        <f t="shared" ca="1" si="72"/>
        <v>0</v>
      </c>
      <c r="V159" s="42">
        <f t="shared" ca="1" si="72"/>
        <v>0</v>
      </c>
      <c r="W159" s="42">
        <f t="shared" ca="1" si="72"/>
        <v>0</v>
      </c>
      <c r="X159" s="42">
        <f t="shared" ca="1" si="72"/>
        <v>0</v>
      </c>
    </row>
    <row r="160" spans="3:24" x14ac:dyDescent="0.3">
      <c r="C160" s="1"/>
      <c r="D160" s="70" t="str">
        <f t="shared" si="48"/>
        <v>dLevel_T2_26</v>
      </c>
      <c r="E160" s="144">
        <f t="shared" ref="E160:X160" ca="1" si="73">IFERROR(E121*$Y82/SUMPRODUCT(E$97:E$131,$Y$58:$Y$92),0)</f>
        <v>1.5317277989395176E-2</v>
      </c>
      <c r="F160" s="144">
        <f t="shared" ca="1" si="73"/>
        <v>2.8985164271240729E-3</v>
      </c>
      <c r="G160" s="144">
        <f t="shared" ca="1" si="73"/>
        <v>1.5317277989395176E-2</v>
      </c>
      <c r="H160" s="42">
        <f t="shared" ca="1" si="73"/>
        <v>2.8985164271240729E-3</v>
      </c>
      <c r="I160" s="42">
        <f t="shared" ca="1" si="73"/>
        <v>7.7735949050341084E-3</v>
      </c>
      <c r="J160" s="42">
        <f t="shared" ca="1" si="73"/>
        <v>0</v>
      </c>
      <c r="K160" s="42">
        <f t="shared" ca="1" si="73"/>
        <v>0</v>
      </c>
      <c r="L160" s="42">
        <f t="shared" ca="1" si="73"/>
        <v>0</v>
      </c>
      <c r="M160" s="42">
        <f t="shared" ca="1" si="73"/>
        <v>0</v>
      </c>
      <c r="N160" s="42">
        <f t="shared" ca="1" si="73"/>
        <v>0</v>
      </c>
      <c r="O160" s="42">
        <f t="shared" ca="1" si="73"/>
        <v>0</v>
      </c>
      <c r="P160" s="42">
        <f t="shared" ca="1" si="73"/>
        <v>0</v>
      </c>
      <c r="Q160" s="42">
        <f t="shared" ca="1" si="73"/>
        <v>0</v>
      </c>
      <c r="R160" s="42">
        <f t="shared" ca="1" si="73"/>
        <v>0</v>
      </c>
      <c r="S160" s="42">
        <f t="shared" ca="1" si="73"/>
        <v>0</v>
      </c>
      <c r="T160" s="42">
        <f t="shared" ca="1" si="73"/>
        <v>0</v>
      </c>
      <c r="U160" s="42">
        <f t="shared" ca="1" si="73"/>
        <v>0</v>
      </c>
      <c r="V160" s="42">
        <f t="shared" ca="1" si="73"/>
        <v>0</v>
      </c>
      <c r="W160" s="42">
        <f t="shared" ca="1" si="73"/>
        <v>0</v>
      </c>
      <c r="X160" s="42">
        <f t="shared" ca="1" si="73"/>
        <v>0</v>
      </c>
    </row>
    <row r="161" spans="3:24" x14ac:dyDescent="0.3">
      <c r="C161" s="1"/>
      <c r="D161" s="70" t="str">
        <f t="shared" si="48"/>
        <v>dLevel_T2_27</v>
      </c>
      <c r="E161" s="144">
        <f t="shared" ref="E161:X161" ca="1" si="74">IFERROR(E122*$Y83/SUMPRODUCT(E$97:E$131,$Y$58:$Y$92),0)</f>
        <v>1.1092260103455263E-2</v>
      </c>
      <c r="F161" s="144">
        <f t="shared" ca="1" si="74"/>
        <v>2.187585562188412E-2</v>
      </c>
      <c r="G161" s="144">
        <f t="shared" ca="1" si="74"/>
        <v>1.1092260103455263E-2</v>
      </c>
      <c r="H161" s="42">
        <f t="shared" ca="1" si="74"/>
        <v>2.187585562188412E-2</v>
      </c>
      <c r="I161" s="42">
        <f t="shared" ca="1" si="74"/>
        <v>2.0877157448296234E-2</v>
      </c>
      <c r="J161" s="42">
        <f t="shared" ca="1" si="74"/>
        <v>0</v>
      </c>
      <c r="K161" s="42">
        <f t="shared" ca="1" si="74"/>
        <v>0</v>
      </c>
      <c r="L161" s="42">
        <f t="shared" ca="1" si="74"/>
        <v>0</v>
      </c>
      <c r="M161" s="42">
        <f t="shared" ca="1" si="74"/>
        <v>0</v>
      </c>
      <c r="N161" s="42">
        <f t="shared" ca="1" si="74"/>
        <v>0</v>
      </c>
      <c r="O161" s="42">
        <f t="shared" ca="1" si="74"/>
        <v>0</v>
      </c>
      <c r="P161" s="42">
        <f t="shared" ca="1" si="74"/>
        <v>0</v>
      </c>
      <c r="Q161" s="42">
        <f t="shared" ca="1" si="74"/>
        <v>0</v>
      </c>
      <c r="R161" s="42">
        <f t="shared" ca="1" si="74"/>
        <v>0</v>
      </c>
      <c r="S161" s="42">
        <f t="shared" ca="1" si="74"/>
        <v>0</v>
      </c>
      <c r="T161" s="42">
        <f t="shared" ca="1" si="74"/>
        <v>0</v>
      </c>
      <c r="U161" s="42">
        <f t="shared" ca="1" si="74"/>
        <v>0</v>
      </c>
      <c r="V161" s="42">
        <f t="shared" ca="1" si="74"/>
        <v>0</v>
      </c>
      <c r="W161" s="42">
        <f t="shared" ca="1" si="74"/>
        <v>0</v>
      </c>
      <c r="X161" s="42">
        <f t="shared" ca="1" si="74"/>
        <v>0</v>
      </c>
    </row>
    <row r="162" spans="3:24" x14ac:dyDescent="0.3">
      <c r="C162" s="1"/>
      <c r="D162" s="70" t="str">
        <f t="shared" si="48"/>
        <v>dLevel_T2_28</v>
      </c>
      <c r="E162" s="144">
        <f t="shared" ref="E162:X162" ca="1" si="75">IFERROR(E123*$Y84/SUMPRODUCT(E$97:E$131,$Y$58:$Y$92),0)</f>
        <v>9.8346557932542829E-3</v>
      </c>
      <c r="F162" s="144">
        <f t="shared" ca="1" si="75"/>
        <v>1.303512440134136E-2</v>
      </c>
      <c r="G162" s="144">
        <f t="shared" ca="1" si="75"/>
        <v>9.8346557932542829E-3</v>
      </c>
      <c r="H162" s="42">
        <f t="shared" ca="1" si="75"/>
        <v>1.303512440134136E-2</v>
      </c>
      <c r="I162" s="42">
        <f t="shared" ca="1" si="75"/>
        <v>2.1804163224237914E-2</v>
      </c>
      <c r="J162" s="42">
        <f t="shared" ca="1" si="75"/>
        <v>0</v>
      </c>
      <c r="K162" s="42">
        <f t="shared" ca="1" si="75"/>
        <v>0</v>
      </c>
      <c r="L162" s="42">
        <f t="shared" ca="1" si="75"/>
        <v>0</v>
      </c>
      <c r="M162" s="42">
        <f t="shared" ca="1" si="75"/>
        <v>0</v>
      </c>
      <c r="N162" s="42">
        <f t="shared" ca="1" si="75"/>
        <v>0</v>
      </c>
      <c r="O162" s="42">
        <f t="shared" ca="1" si="75"/>
        <v>0</v>
      </c>
      <c r="P162" s="42">
        <f t="shared" ca="1" si="75"/>
        <v>0</v>
      </c>
      <c r="Q162" s="42">
        <f t="shared" ca="1" si="75"/>
        <v>0</v>
      </c>
      <c r="R162" s="42">
        <f t="shared" ca="1" si="75"/>
        <v>0</v>
      </c>
      <c r="S162" s="42">
        <f t="shared" ca="1" si="75"/>
        <v>0</v>
      </c>
      <c r="T162" s="42">
        <f t="shared" ca="1" si="75"/>
        <v>0</v>
      </c>
      <c r="U162" s="42">
        <f t="shared" ca="1" si="75"/>
        <v>0</v>
      </c>
      <c r="V162" s="42">
        <f t="shared" ca="1" si="75"/>
        <v>0</v>
      </c>
      <c r="W162" s="42">
        <f t="shared" ca="1" si="75"/>
        <v>0</v>
      </c>
      <c r="X162" s="42">
        <f t="shared" ca="1" si="75"/>
        <v>0</v>
      </c>
    </row>
    <row r="163" spans="3:24" x14ac:dyDescent="0.3">
      <c r="C163" s="1"/>
      <c r="D163" s="70">
        <f t="shared" si="48"/>
        <v>0</v>
      </c>
      <c r="E163" s="42">
        <f t="shared" ref="E163:X163" ca="1" si="76">IFERROR(E124*$Y85/SUMPRODUCT(E$97:E$131,$Y$58:$Y$92),0)</f>
        <v>0</v>
      </c>
      <c r="F163" s="42">
        <f t="shared" ca="1" si="76"/>
        <v>0</v>
      </c>
      <c r="G163" s="42">
        <f t="shared" ca="1" si="76"/>
        <v>0</v>
      </c>
      <c r="H163" s="42">
        <f t="shared" ca="1" si="76"/>
        <v>0</v>
      </c>
      <c r="I163" s="42">
        <f t="shared" ca="1" si="76"/>
        <v>0</v>
      </c>
      <c r="J163" s="42">
        <f t="shared" ca="1" si="76"/>
        <v>0</v>
      </c>
      <c r="K163" s="42">
        <f t="shared" ca="1" si="76"/>
        <v>0</v>
      </c>
      <c r="L163" s="42">
        <f t="shared" ca="1" si="76"/>
        <v>0</v>
      </c>
      <c r="M163" s="42">
        <f t="shared" ca="1" si="76"/>
        <v>0</v>
      </c>
      <c r="N163" s="42">
        <f t="shared" ca="1" si="76"/>
        <v>0</v>
      </c>
      <c r="O163" s="42">
        <f t="shared" ca="1" si="76"/>
        <v>0</v>
      </c>
      <c r="P163" s="42">
        <f t="shared" ca="1" si="76"/>
        <v>0</v>
      </c>
      <c r="Q163" s="42">
        <f t="shared" ca="1" si="76"/>
        <v>0</v>
      </c>
      <c r="R163" s="42">
        <f t="shared" ca="1" si="76"/>
        <v>0</v>
      </c>
      <c r="S163" s="42">
        <f t="shared" ca="1" si="76"/>
        <v>0</v>
      </c>
      <c r="T163" s="42">
        <f t="shared" ca="1" si="76"/>
        <v>0</v>
      </c>
      <c r="U163" s="42">
        <f t="shared" ca="1" si="76"/>
        <v>0</v>
      </c>
      <c r="V163" s="42">
        <f t="shared" ca="1" si="76"/>
        <v>0</v>
      </c>
      <c r="W163" s="42">
        <f t="shared" ca="1" si="76"/>
        <v>0</v>
      </c>
      <c r="X163" s="42">
        <f t="shared" ca="1" si="76"/>
        <v>0</v>
      </c>
    </row>
    <row r="164" spans="3:24" x14ac:dyDescent="0.3">
      <c r="C164" s="1"/>
      <c r="D164" s="70">
        <f t="shared" si="48"/>
        <v>0</v>
      </c>
      <c r="E164" s="42">
        <f t="shared" ref="E164:X164" ca="1" si="77">IFERROR(E125*$Y86/SUMPRODUCT(E$97:E$131,$Y$58:$Y$92),0)</f>
        <v>0</v>
      </c>
      <c r="F164" s="42">
        <f t="shared" ca="1" si="77"/>
        <v>0</v>
      </c>
      <c r="G164" s="42">
        <f t="shared" ca="1" si="77"/>
        <v>0</v>
      </c>
      <c r="H164" s="42">
        <f t="shared" ca="1" si="77"/>
        <v>0</v>
      </c>
      <c r="I164" s="42">
        <f t="shared" ca="1" si="77"/>
        <v>0</v>
      </c>
      <c r="J164" s="42">
        <f t="shared" ca="1" si="77"/>
        <v>0</v>
      </c>
      <c r="K164" s="42">
        <f t="shared" ca="1" si="77"/>
        <v>0</v>
      </c>
      <c r="L164" s="42">
        <f t="shared" ca="1" si="77"/>
        <v>0</v>
      </c>
      <c r="M164" s="42">
        <f t="shared" ca="1" si="77"/>
        <v>0</v>
      </c>
      <c r="N164" s="42">
        <f t="shared" ca="1" si="77"/>
        <v>0</v>
      </c>
      <c r="O164" s="42">
        <f t="shared" ca="1" si="77"/>
        <v>0</v>
      </c>
      <c r="P164" s="42">
        <f t="shared" ca="1" si="77"/>
        <v>0</v>
      </c>
      <c r="Q164" s="42">
        <f t="shared" ca="1" si="77"/>
        <v>0</v>
      </c>
      <c r="R164" s="42">
        <f t="shared" ca="1" si="77"/>
        <v>0</v>
      </c>
      <c r="S164" s="42">
        <f t="shared" ca="1" si="77"/>
        <v>0</v>
      </c>
      <c r="T164" s="42">
        <f t="shared" ca="1" si="77"/>
        <v>0</v>
      </c>
      <c r="U164" s="42">
        <f t="shared" ca="1" si="77"/>
        <v>0</v>
      </c>
      <c r="V164" s="42">
        <f t="shared" ca="1" si="77"/>
        <v>0</v>
      </c>
      <c r="W164" s="42">
        <f t="shared" ca="1" si="77"/>
        <v>0</v>
      </c>
      <c r="X164" s="42">
        <f t="shared" ca="1" si="77"/>
        <v>0</v>
      </c>
    </row>
    <row r="165" spans="3:24" x14ac:dyDescent="0.3">
      <c r="C165" s="1"/>
      <c r="D165" s="70">
        <f t="shared" si="48"/>
        <v>0</v>
      </c>
      <c r="E165" s="42">
        <f t="shared" ref="E165:X165" ca="1" si="78">IFERROR(E126*$Y87/SUMPRODUCT(E$97:E$131,$Y$58:$Y$92),0)</f>
        <v>0</v>
      </c>
      <c r="F165" s="42">
        <f t="shared" ca="1" si="78"/>
        <v>0</v>
      </c>
      <c r="G165" s="42">
        <f t="shared" ca="1" si="78"/>
        <v>0</v>
      </c>
      <c r="H165" s="42">
        <f t="shared" ca="1" si="78"/>
        <v>0</v>
      </c>
      <c r="I165" s="42">
        <f t="shared" ca="1" si="78"/>
        <v>0</v>
      </c>
      <c r="J165" s="42">
        <f t="shared" ca="1" si="78"/>
        <v>0</v>
      </c>
      <c r="K165" s="42">
        <f t="shared" ca="1" si="78"/>
        <v>0</v>
      </c>
      <c r="L165" s="42">
        <f t="shared" ca="1" si="78"/>
        <v>0</v>
      </c>
      <c r="M165" s="42">
        <f t="shared" ca="1" si="78"/>
        <v>0</v>
      </c>
      <c r="N165" s="42">
        <f t="shared" ca="1" si="78"/>
        <v>0</v>
      </c>
      <c r="O165" s="42">
        <f t="shared" ca="1" si="78"/>
        <v>0</v>
      </c>
      <c r="P165" s="42">
        <f t="shared" ca="1" si="78"/>
        <v>0</v>
      </c>
      <c r="Q165" s="42">
        <f t="shared" ca="1" si="78"/>
        <v>0</v>
      </c>
      <c r="R165" s="42">
        <f t="shared" ca="1" si="78"/>
        <v>0</v>
      </c>
      <c r="S165" s="42">
        <f t="shared" ca="1" si="78"/>
        <v>0</v>
      </c>
      <c r="T165" s="42">
        <f t="shared" ca="1" si="78"/>
        <v>0</v>
      </c>
      <c r="U165" s="42">
        <f t="shared" ca="1" si="78"/>
        <v>0</v>
      </c>
      <c r="V165" s="42">
        <f t="shared" ca="1" si="78"/>
        <v>0</v>
      </c>
      <c r="W165" s="42">
        <f t="shared" ca="1" si="78"/>
        <v>0</v>
      </c>
      <c r="X165" s="42">
        <f t="shared" ca="1" si="78"/>
        <v>0</v>
      </c>
    </row>
    <row r="166" spans="3:24" x14ac:dyDescent="0.3">
      <c r="C166" s="1"/>
      <c r="D166" s="70">
        <f t="shared" si="48"/>
        <v>0</v>
      </c>
      <c r="E166" s="42">
        <f t="shared" ref="E166:X166" ca="1" si="79">IFERROR(E127*$Y88/SUMPRODUCT(E$97:E$131,$Y$58:$Y$92),0)</f>
        <v>0</v>
      </c>
      <c r="F166" s="42">
        <f t="shared" ca="1" si="79"/>
        <v>0</v>
      </c>
      <c r="G166" s="42">
        <f t="shared" ca="1" si="79"/>
        <v>0</v>
      </c>
      <c r="H166" s="42">
        <f t="shared" ca="1" si="79"/>
        <v>0</v>
      </c>
      <c r="I166" s="42">
        <f t="shared" ca="1" si="79"/>
        <v>0</v>
      </c>
      <c r="J166" s="42">
        <f t="shared" ca="1" si="79"/>
        <v>0</v>
      </c>
      <c r="K166" s="42">
        <f t="shared" ca="1" si="79"/>
        <v>0</v>
      </c>
      <c r="L166" s="42">
        <f t="shared" ca="1" si="79"/>
        <v>0</v>
      </c>
      <c r="M166" s="42">
        <f t="shared" ca="1" si="79"/>
        <v>0</v>
      </c>
      <c r="N166" s="42">
        <f t="shared" ca="1" si="79"/>
        <v>0</v>
      </c>
      <c r="O166" s="42">
        <f t="shared" ca="1" si="79"/>
        <v>0</v>
      </c>
      <c r="P166" s="42">
        <f t="shared" ca="1" si="79"/>
        <v>0</v>
      </c>
      <c r="Q166" s="42">
        <f t="shared" ca="1" si="79"/>
        <v>0</v>
      </c>
      <c r="R166" s="42">
        <f t="shared" ca="1" si="79"/>
        <v>0</v>
      </c>
      <c r="S166" s="42">
        <f t="shared" ca="1" si="79"/>
        <v>0</v>
      </c>
      <c r="T166" s="42">
        <f t="shared" ca="1" si="79"/>
        <v>0</v>
      </c>
      <c r="U166" s="42">
        <f t="shared" ca="1" si="79"/>
        <v>0</v>
      </c>
      <c r="V166" s="42">
        <f t="shared" ca="1" si="79"/>
        <v>0</v>
      </c>
      <c r="W166" s="42">
        <f t="shared" ca="1" si="79"/>
        <v>0</v>
      </c>
      <c r="X166" s="42">
        <f t="shared" ca="1" si="79"/>
        <v>0</v>
      </c>
    </row>
    <row r="167" spans="3:24" x14ac:dyDescent="0.3">
      <c r="C167" s="1"/>
      <c r="D167" s="70">
        <f t="shared" si="48"/>
        <v>0</v>
      </c>
      <c r="E167" s="42">
        <f t="shared" ref="E167:X167" ca="1" si="80">IFERROR(E128*$Y89/SUMPRODUCT(E$97:E$131,$Y$58:$Y$92),0)</f>
        <v>0</v>
      </c>
      <c r="F167" s="42">
        <f t="shared" ca="1" si="80"/>
        <v>0</v>
      </c>
      <c r="G167" s="42">
        <f t="shared" ca="1" si="80"/>
        <v>0</v>
      </c>
      <c r="H167" s="42">
        <f t="shared" ca="1" si="80"/>
        <v>0</v>
      </c>
      <c r="I167" s="42">
        <f t="shared" ca="1" si="80"/>
        <v>0</v>
      </c>
      <c r="J167" s="42">
        <f t="shared" ca="1" si="80"/>
        <v>0</v>
      </c>
      <c r="K167" s="42">
        <f t="shared" ca="1" si="80"/>
        <v>0</v>
      </c>
      <c r="L167" s="42">
        <f t="shared" ca="1" si="80"/>
        <v>0</v>
      </c>
      <c r="M167" s="42">
        <f t="shared" ca="1" si="80"/>
        <v>0</v>
      </c>
      <c r="N167" s="42">
        <f t="shared" ca="1" si="80"/>
        <v>0</v>
      </c>
      <c r="O167" s="42">
        <f t="shared" ca="1" si="80"/>
        <v>0</v>
      </c>
      <c r="P167" s="42">
        <f t="shared" ca="1" si="80"/>
        <v>0</v>
      </c>
      <c r="Q167" s="42">
        <f t="shared" ca="1" si="80"/>
        <v>0</v>
      </c>
      <c r="R167" s="42">
        <f t="shared" ca="1" si="80"/>
        <v>0</v>
      </c>
      <c r="S167" s="42">
        <f t="shared" ca="1" si="80"/>
        <v>0</v>
      </c>
      <c r="T167" s="42">
        <f t="shared" ca="1" si="80"/>
        <v>0</v>
      </c>
      <c r="U167" s="42">
        <f t="shared" ca="1" si="80"/>
        <v>0</v>
      </c>
      <c r="V167" s="42">
        <f t="shared" ca="1" si="80"/>
        <v>0</v>
      </c>
      <c r="W167" s="42">
        <f t="shared" ca="1" si="80"/>
        <v>0</v>
      </c>
      <c r="X167" s="42">
        <f t="shared" ca="1" si="80"/>
        <v>0</v>
      </c>
    </row>
    <row r="168" spans="3:24" x14ac:dyDescent="0.3">
      <c r="C168" s="1"/>
      <c r="D168" s="70">
        <f t="shared" si="48"/>
        <v>0</v>
      </c>
      <c r="E168" s="42">
        <f t="shared" ref="E168:X168" ca="1" si="81">IFERROR(E129*$Y90/SUMPRODUCT(E$97:E$131,$Y$58:$Y$92),0)</f>
        <v>0</v>
      </c>
      <c r="F168" s="42">
        <f t="shared" ca="1" si="81"/>
        <v>0</v>
      </c>
      <c r="G168" s="42">
        <f t="shared" ca="1" si="81"/>
        <v>0</v>
      </c>
      <c r="H168" s="42">
        <f t="shared" ca="1" si="81"/>
        <v>0</v>
      </c>
      <c r="I168" s="42">
        <f t="shared" ca="1" si="81"/>
        <v>0</v>
      </c>
      <c r="J168" s="42">
        <f t="shared" ca="1" si="81"/>
        <v>0</v>
      </c>
      <c r="K168" s="42">
        <f t="shared" ca="1" si="81"/>
        <v>0</v>
      </c>
      <c r="L168" s="42">
        <f t="shared" ca="1" si="81"/>
        <v>0</v>
      </c>
      <c r="M168" s="42">
        <f t="shared" ca="1" si="81"/>
        <v>0</v>
      </c>
      <c r="N168" s="42">
        <f t="shared" ca="1" si="81"/>
        <v>0</v>
      </c>
      <c r="O168" s="42">
        <f t="shared" ca="1" si="81"/>
        <v>0</v>
      </c>
      <c r="P168" s="42">
        <f t="shared" ca="1" si="81"/>
        <v>0</v>
      </c>
      <c r="Q168" s="42">
        <f t="shared" ca="1" si="81"/>
        <v>0</v>
      </c>
      <c r="R168" s="42">
        <f t="shared" ca="1" si="81"/>
        <v>0</v>
      </c>
      <c r="S168" s="42">
        <f t="shared" ca="1" si="81"/>
        <v>0</v>
      </c>
      <c r="T168" s="42">
        <f t="shared" ca="1" si="81"/>
        <v>0</v>
      </c>
      <c r="U168" s="42">
        <f t="shared" ca="1" si="81"/>
        <v>0</v>
      </c>
      <c r="V168" s="42">
        <f t="shared" ca="1" si="81"/>
        <v>0</v>
      </c>
      <c r="W168" s="42">
        <f t="shared" ca="1" si="81"/>
        <v>0</v>
      </c>
      <c r="X168" s="42">
        <f t="shared" ca="1" si="81"/>
        <v>0</v>
      </c>
    </row>
    <row r="169" spans="3:24" x14ac:dyDescent="0.3">
      <c r="C169" s="1"/>
      <c r="D169" s="70">
        <f t="shared" si="48"/>
        <v>0</v>
      </c>
      <c r="E169" s="42">
        <f t="shared" ref="E169:X169" ca="1" si="82">IFERROR(E130*$Y91/SUMPRODUCT(E$97:E$131,$Y$58:$Y$92),0)</f>
        <v>0</v>
      </c>
      <c r="F169" s="42">
        <f t="shared" ca="1" si="82"/>
        <v>0</v>
      </c>
      <c r="G169" s="42">
        <f t="shared" ca="1" si="82"/>
        <v>0</v>
      </c>
      <c r="H169" s="42">
        <f t="shared" ca="1" si="82"/>
        <v>0</v>
      </c>
      <c r="I169" s="42">
        <f t="shared" ca="1" si="82"/>
        <v>0</v>
      </c>
      <c r="J169" s="42">
        <f t="shared" ca="1" si="82"/>
        <v>0</v>
      </c>
      <c r="K169" s="42">
        <f t="shared" ca="1" si="82"/>
        <v>0</v>
      </c>
      <c r="L169" s="42">
        <f t="shared" ca="1" si="82"/>
        <v>0</v>
      </c>
      <c r="M169" s="42">
        <f t="shared" ca="1" si="82"/>
        <v>0</v>
      </c>
      <c r="N169" s="42">
        <f t="shared" ca="1" si="82"/>
        <v>0</v>
      </c>
      <c r="O169" s="42">
        <f t="shared" ca="1" si="82"/>
        <v>0</v>
      </c>
      <c r="P169" s="42">
        <f t="shared" ca="1" si="82"/>
        <v>0</v>
      </c>
      <c r="Q169" s="42">
        <f t="shared" ca="1" si="82"/>
        <v>0</v>
      </c>
      <c r="R169" s="42">
        <f t="shared" ca="1" si="82"/>
        <v>0</v>
      </c>
      <c r="S169" s="42">
        <f t="shared" ca="1" si="82"/>
        <v>0</v>
      </c>
      <c r="T169" s="42">
        <f t="shared" ca="1" si="82"/>
        <v>0</v>
      </c>
      <c r="U169" s="42">
        <f t="shared" ca="1" si="82"/>
        <v>0</v>
      </c>
      <c r="V169" s="42">
        <f t="shared" ca="1" si="82"/>
        <v>0</v>
      </c>
      <c r="W169" s="42">
        <f t="shared" ca="1" si="82"/>
        <v>0</v>
      </c>
      <c r="X169" s="42">
        <f t="shared" ca="1" si="82"/>
        <v>0</v>
      </c>
    </row>
    <row r="170" spans="3:24" x14ac:dyDescent="0.3">
      <c r="C170" s="1"/>
      <c r="D170" s="70">
        <f t="shared" si="48"/>
        <v>0</v>
      </c>
      <c r="E170" s="42">
        <f t="shared" ref="E170:X170" ca="1" si="83">IFERROR(E131*$Y92/SUMPRODUCT(E$97:E$131,$Y$58:$Y$92),0)</f>
        <v>0</v>
      </c>
      <c r="F170" s="42">
        <f t="shared" ca="1" si="83"/>
        <v>0</v>
      </c>
      <c r="G170" s="42">
        <f t="shared" ca="1" si="83"/>
        <v>0</v>
      </c>
      <c r="H170" s="42">
        <f t="shared" ca="1" si="83"/>
        <v>0</v>
      </c>
      <c r="I170" s="42">
        <f t="shared" ca="1" si="83"/>
        <v>0</v>
      </c>
      <c r="J170" s="42">
        <f t="shared" ca="1" si="83"/>
        <v>0</v>
      </c>
      <c r="K170" s="42">
        <f t="shared" ca="1" si="83"/>
        <v>0</v>
      </c>
      <c r="L170" s="42">
        <f t="shared" ca="1" si="83"/>
        <v>0</v>
      </c>
      <c r="M170" s="42">
        <f t="shared" ca="1" si="83"/>
        <v>0</v>
      </c>
      <c r="N170" s="42">
        <f t="shared" ca="1" si="83"/>
        <v>0</v>
      </c>
      <c r="O170" s="42">
        <f t="shared" ca="1" si="83"/>
        <v>0</v>
      </c>
      <c r="P170" s="42">
        <f t="shared" ca="1" si="83"/>
        <v>0</v>
      </c>
      <c r="Q170" s="42">
        <f t="shared" ca="1" si="83"/>
        <v>0</v>
      </c>
      <c r="R170" s="42">
        <f t="shared" ca="1" si="83"/>
        <v>0</v>
      </c>
      <c r="S170" s="42">
        <f t="shared" ca="1" si="83"/>
        <v>0</v>
      </c>
      <c r="T170" s="42">
        <f t="shared" ca="1" si="83"/>
        <v>0</v>
      </c>
      <c r="U170" s="42">
        <f t="shared" ca="1" si="83"/>
        <v>0</v>
      </c>
      <c r="V170" s="42">
        <f t="shared" ca="1" si="83"/>
        <v>0</v>
      </c>
      <c r="W170" s="42">
        <f t="shared" ca="1" si="83"/>
        <v>0</v>
      </c>
      <c r="X170" s="42">
        <f t="shared" ca="1" si="83"/>
        <v>0</v>
      </c>
    </row>
    <row r="171" spans="3:24" ht="16.5" customHeight="1" x14ac:dyDescent="0.45">
      <c r="D171" s="12"/>
      <c r="E171" s="14"/>
      <c r="F171" s="14"/>
      <c r="G171" s="14"/>
      <c r="H171" s="14"/>
      <c r="I171" s="14"/>
      <c r="J171" s="14"/>
      <c r="K171" s="14"/>
      <c r="L171" s="14"/>
      <c r="M171" s="14"/>
      <c r="N171" s="14"/>
      <c r="O171" s="14"/>
      <c r="P171" s="14"/>
      <c r="Q171" s="14"/>
      <c r="R171" s="14"/>
      <c r="S171" s="14"/>
      <c r="T171" s="14"/>
      <c r="U171" s="7"/>
    </row>
  </sheetData>
  <mergeCells count="5">
    <mergeCell ref="A4:A7"/>
    <mergeCell ref="A96:B96"/>
    <mergeCell ref="A8:A11"/>
    <mergeCell ref="B8:B11"/>
    <mergeCell ref="B4:B7"/>
  </mergeCells>
  <phoneticPr fontId="52" type="noConversion"/>
  <conditionalFormatting sqref="C42:C44 D41 D44 E45:N45">
    <cfRule type="colorScale" priority="33">
      <colorScale>
        <cfvo type="min"/>
        <cfvo type="percentile" val="50"/>
        <cfvo type="max"/>
        <color rgb="FFF8696B"/>
        <color rgb="FFFFEB84"/>
        <color rgb="FF63BE7B"/>
      </colorScale>
    </cfRule>
  </conditionalFormatting>
  <conditionalFormatting sqref="D93:D94">
    <cfRule type="colorScale" priority="13">
      <colorScale>
        <cfvo type="min"/>
        <cfvo type="percentile" val="50"/>
        <cfvo type="max"/>
        <color rgb="FFF8696B"/>
        <color rgb="FFFFEB84"/>
        <color rgb="FF63BE7B"/>
      </colorScale>
    </cfRule>
  </conditionalFormatting>
  <conditionalFormatting sqref="D131:D134 D95">
    <cfRule type="colorScale" priority="560">
      <colorScale>
        <cfvo type="min"/>
        <cfvo type="percentile" val="50"/>
        <cfvo type="max"/>
        <color rgb="FFF8696B"/>
        <color rgb="FFFFEB84"/>
        <color rgb="FF63BE7B"/>
      </colorScale>
    </cfRule>
  </conditionalFormatting>
  <conditionalFormatting sqref="D170">
    <cfRule type="colorScale" priority="14">
      <colorScale>
        <cfvo type="min"/>
        <cfvo type="percentile" val="50"/>
        <cfvo type="max"/>
        <color rgb="FFF8696B"/>
        <color rgb="FFFFEB84"/>
        <color rgb="FF63BE7B"/>
      </colorScale>
    </cfRule>
  </conditionalFormatting>
  <conditionalFormatting sqref="E44">
    <cfRule type="cellIs" dxfId="22" priority="1" operator="equal">
      <formula>0</formula>
    </cfRule>
  </conditionalFormatting>
  <conditionalFormatting sqref="E42:N43 G43:X43">
    <cfRule type="cellIs" dxfId="21" priority="6" operator="equal">
      <formula>0</formula>
    </cfRule>
  </conditionalFormatting>
  <conditionalFormatting sqref="E3:X40">
    <cfRule type="cellIs" dxfId="20" priority="2" operator="equal">
      <formula>0</formula>
    </cfRule>
  </conditionalFormatting>
  <conditionalFormatting sqref="E46:X46">
    <cfRule type="cellIs" dxfId="19" priority="4" operator="equal">
      <formula>0</formula>
    </cfRule>
  </conditionalFormatting>
  <conditionalFormatting sqref="E58:Z92">
    <cfRule type="cellIs" dxfId="18" priority="8" operator="equal">
      <formula>0</formula>
    </cfRule>
  </conditionalFormatting>
  <conditionalFormatting sqref="H1:X2">
    <cfRule type="cellIs" dxfId="17" priority="3" operator="equal">
      <formula>0</formula>
    </cfRule>
  </conditionalFormatting>
  <conditionalFormatting sqref="L97:X106 H97:L108 D102:K106 D107:X131">
    <cfRule type="cellIs" dxfId="16" priority="10" operator="equal">
      <formula>0</formula>
    </cfRule>
  </conditionalFormatting>
  <conditionalFormatting sqref="L136:X143 H136:K144 D141:K143 D144:X170">
    <cfRule type="cellIs" dxfId="15" priority="9" operator="equal">
      <formula>0</formula>
    </cfRule>
  </conditionalFormatting>
  <conditionalFormatting sqref="N45">
    <cfRule type="colorScale" priority="12">
      <colorScale>
        <cfvo type="min"/>
        <cfvo type="percentile" val="50"/>
        <cfvo type="max"/>
        <color rgb="FFF8696B"/>
        <color rgb="FFFFEB84"/>
        <color rgb="FF63BE7B"/>
      </colorScale>
    </cfRule>
  </conditionalFormatting>
  <pageMargins left="0.7" right="0.7" top="0.75" bottom="0.75" header="0.3" footer="0.3"/>
  <pageSetup paperSize="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tabColor theme="1" tint="4.9989318521683403E-2"/>
  </sheetPr>
  <dimension ref="B1:V44"/>
  <sheetViews>
    <sheetView zoomScale="70" zoomScaleNormal="70" workbookViewId="0">
      <selection activeCell="B32" sqref="B32"/>
    </sheetView>
  </sheetViews>
  <sheetFormatPr defaultColWidth="9.1640625" defaultRowHeight="14" x14ac:dyDescent="0.3"/>
  <cols>
    <col min="1" max="1" width="9.1640625" style="56" customWidth="1"/>
    <col min="2" max="2" width="41.75" style="54" customWidth="1"/>
    <col min="3" max="7" width="9.4140625" style="54" customWidth="1"/>
    <col min="8" max="10" width="9.4140625" style="56" customWidth="1"/>
    <col min="11" max="11" width="9.1640625" style="56" customWidth="1"/>
    <col min="12" max="12" width="10.75" style="56" customWidth="1"/>
    <col min="13" max="18" width="9.1640625" style="56" customWidth="1"/>
    <col min="19" max="16384" width="9.1640625" style="56"/>
  </cols>
  <sheetData>
    <row r="1" spans="2:22" ht="66" customHeight="1" x14ac:dyDescent="0.3">
      <c r="B1" s="55" t="s">
        <v>296</v>
      </c>
      <c r="C1" s="55"/>
      <c r="D1" s="55"/>
      <c r="E1" s="55"/>
      <c r="F1" s="55"/>
      <c r="G1" s="55"/>
      <c r="H1" s="55"/>
      <c r="I1" s="55"/>
      <c r="J1" s="55"/>
      <c r="K1" s="55"/>
      <c r="L1" s="55"/>
    </row>
    <row r="2" spans="2:22" ht="33" customHeight="1" x14ac:dyDescent="0.35">
      <c r="B2" s="57"/>
      <c r="C2" s="58" t="str">
        <f t="array" ref="C2:V2">TRANSPOSE(IF('2D Mapping'!D3:D22="","",'2D Mapping'!D3:D22))</f>
        <v>ABA</v>
      </c>
      <c r="D2" s="58" t="str">
        <v>B6</v>
      </c>
      <c r="E2" s="58" t="str">
        <v>ABA1</v>
      </c>
      <c r="F2" s="58" t="str">
        <v>B61</v>
      </c>
      <c r="G2" s="58" t="str">
        <v>B7</v>
      </c>
      <c r="H2" s="58" t="str">
        <v/>
      </c>
      <c r="I2" s="58" t="str">
        <v/>
      </c>
      <c r="J2" s="58" t="str">
        <v/>
      </c>
      <c r="K2" s="58" t="str">
        <v/>
      </c>
      <c r="L2" s="58" t="str">
        <v/>
      </c>
      <c r="M2" s="56" t="str">
        <v/>
      </c>
      <c r="N2" s="56" t="str">
        <v/>
      </c>
      <c r="O2" s="56" t="str">
        <v/>
      </c>
      <c r="P2" s="56" t="str">
        <v/>
      </c>
      <c r="Q2" s="56" t="str">
        <v/>
      </c>
      <c r="R2" s="56" t="str">
        <v/>
      </c>
      <c r="S2" s="56" t="str">
        <v/>
      </c>
      <c r="T2" s="56" t="str">
        <v/>
      </c>
      <c r="U2" s="56" t="str">
        <v/>
      </c>
      <c r="V2" s="56" t="str">
        <v/>
      </c>
    </row>
    <row r="3" spans="2:22" x14ac:dyDescent="0.3">
      <c r="B3" s="59" t="s">
        <v>297</v>
      </c>
      <c r="C3" s="60">
        <f>'2E.Analysis_MIA'!E49</f>
        <v>8.1144592124561918E-2</v>
      </c>
      <c r="D3" s="60">
        <f>'2E.Analysis_MIA'!F49</f>
        <v>4.0791301848915038E-2</v>
      </c>
      <c r="E3" s="60">
        <f>'2E.Analysis_MIA'!G49</f>
        <v>8.1144592124561918E-2</v>
      </c>
      <c r="F3" s="60">
        <f>'2E.Analysis_MIA'!H49</f>
        <v>4.0791301848915038E-2</v>
      </c>
      <c r="G3" s="60">
        <f>'2E.Analysis_MIA'!I49</f>
        <v>7.5052008146849314E-2</v>
      </c>
      <c r="H3" s="60" t="str">
        <f>'2E.Analysis_MIA'!J49</f>
        <v/>
      </c>
      <c r="I3" s="60" t="str">
        <f>'2E.Analysis_MIA'!K49</f>
        <v/>
      </c>
      <c r="J3" s="60" t="str">
        <f>'2E.Analysis_MIA'!L49</f>
        <v/>
      </c>
      <c r="K3" s="60" t="str">
        <f>'2E.Analysis_MIA'!M49</f>
        <v/>
      </c>
      <c r="L3" s="60" t="str">
        <f>'2E.Analysis_MIA'!N49</f>
        <v/>
      </c>
    </row>
    <row r="4" spans="2:22" x14ac:dyDescent="0.3">
      <c r="B4" s="61" t="s">
        <v>298</v>
      </c>
      <c r="C4" s="60">
        <f>'2E.Analysis_MIA'!E50</f>
        <v>0.17900578381528764</v>
      </c>
      <c r="D4" s="60">
        <f>'2E.Analysis_MIA'!F50</f>
        <v>0.16184027709845339</v>
      </c>
      <c r="E4" s="60">
        <f>'2E.Analysis_MIA'!G50</f>
        <v>0.17900578381528764</v>
      </c>
      <c r="F4" s="60">
        <f>'2E.Analysis_MIA'!H50</f>
        <v>0.16184027709845339</v>
      </c>
      <c r="G4" s="60">
        <f>'2E.Analysis_MIA'!I50</f>
        <v>0.11442167606367698</v>
      </c>
      <c r="H4" s="60" t="str">
        <f>'2E.Analysis_MIA'!J50</f>
        <v/>
      </c>
      <c r="I4" s="60" t="str">
        <f>'2E.Analysis_MIA'!K50</f>
        <v/>
      </c>
      <c r="J4" s="60" t="str">
        <f>'2E.Analysis_MIA'!L50</f>
        <v/>
      </c>
      <c r="K4" s="60" t="str">
        <f>'2E.Analysis_MIA'!M50</f>
        <v/>
      </c>
      <c r="L4" s="60" t="str">
        <f>'2E.Analysis_MIA'!N50</f>
        <v/>
      </c>
    </row>
    <row r="5" spans="2:22" x14ac:dyDescent="0.35">
      <c r="B5" s="62" t="s">
        <v>299</v>
      </c>
      <c r="C5" s="63">
        <f>'2E.Analysis_MIA'!E48</f>
        <v>0.26015037593984958</v>
      </c>
      <c r="D5" s="63">
        <f>'2E.Analysis_MIA'!F48</f>
        <v>0.20263157894736841</v>
      </c>
      <c r="E5" s="63">
        <f>'2E.Analysis_MIA'!G48</f>
        <v>0.26015037593984958</v>
      </c>
      <c r="F5" s="63">
        <f>'2E.Analysis_MIA'!H48</f>
        <v>0.20263157894736841</v>
      </c>
      <c r="G5" s="63">
        <f>'2E.Analysis_MIA'!I48</f>
        <v>0.18947368421052629</v>
      </c>
      <c r="H5" s="63" t="str">
        <f>'2E.Analysis_MIA'!J48</f>
        <v/>
      </c>
      <c r="I5" s="63" t="str">
        <f>'2E.Analysis_MIA'!K48</f>
        <v/>
      </c>
      <c r="J5" s="63" t="str">
        <f>'2E.Analysis_MIA'!L48</f>
        <v/>
      </c>
      <c r="K5" s="63" t="str">
        <f>'2E.Analysis_MIA'!M48</f>
        <v/>
      </c>
      <c r="L5" s="63" t="str">
        <f>'2E.Analysis_MIA'!N48</f>
        <v/>
      </c>
    </row>
    <row r="6" spans="2:22" x14ac:dyDescent="0.3">
      <c r="C6" s="64"/>
      <c r="D6" s="64"/>
      <c r="E6" s="64"/>
      <c r="F6" s="64"/>
      <c r="G6" s="64"/>
      <c r="H6" s="64"/>
      <c r="I6" s="64"/>
      <c r="J6" s="64"/>
    </row>
    <row r="7" spans="2:22" x14ac:dyDescent="0.25">
      <c r="B7" s="65"/>
      <c r="C7" s="65"/>
      <c r="D7" s="65"/>
      <c r="E7" s="65"/>
      <c r="F7" s="65"/>
      <c r="G7" s="65"/>
      <c r="H7" s="65"/>
      <c r="I7" s="65"/>
      <c r="J7" s="65"/>
      <c r="K7" s="65"/>
      <c r="L7" s="65"/>
    </row>
    <row r="8" spans="2:22" ht="16.5" customHeight="1" x14ac:dyDescent="0.3">
      <c r="B8" s="66" t="s">
        <v>300</v>
      </c>
      <c r="C8" s="55"/>
      <c r="D8" s="55"/>
      <c r="E8" s="55"/>
      <c r="F8" s="55"/>
      <c r="G8" s="55"/>
      <c r="H8" s="55"/>
      <c r="I8" s="55"/>
      <c r="J8" s="55"/>
      <c r="K8" s="55"/>
      <c r="L8" s="55"/>
    </row>
    <row r="9" spans="2:22" ht="33.75" customHeight="1" x14ac:dyDescent="0.35">
      <c r="B9" s="67" t="s">
        <v>301</v>
      </c>
      <c r="C9" s="58" t="str">
        <f t="shared" ref="C9:L9" si="0">C2</f>
        <v>ABA</v>
      </c>
      <c r="D9" s="58" t="str">
        <f t="shared" si="0"/>
        <v>B6</v>
      </c>
      <c r="E9" s="58" t="str">
        <f t="shared" si="0"/>
        <v>ABA1</v>
      </c>
      <c r="F9" s="58" t="str">
        <f t="shared" si="0"/>
        <v>B61</v>
      </c>
      <c r="G9" s="58" t="str">
        <f t="shared" si="0"/>
        <v>B7</v>
      </c>
      <c r="H9" s="58" t="str">
        <f t="shared" si="0"/>
        <v/>
      </c>
      <c r="I9" s="58" t="str">
        <f t="shared" si="0"/>
        <v/>
      </c>
      <c r="J9" s="58" t="str">
        <f t="shared" si="0"/>
        <v/>
      </c>
      <c r="K9" s="58" t="str">
        <f t="shared" si="0"/>
        <v/>
      </c>
      <c r="L9" s="58" t="str">
        <f t="shared" si="0"/>
        <v/>
      </c>
    </row>
    <row r="10" spans="2:22" ht="16.5" customHeight="1" x14ac:dyDescent="0.3">
      <c r="B10" s="68" t="str">
        <f>'2D Mapping'!H2</f>
        <v>T2_1</v>
      </c>
      <c r="C10" s="71">
        <f ca="1">'2E.Analysis_MIA'!E136</f>
        <v>6.5971342719553058E-2</v>
      </c>
      <c r="D10" s="71">
        <f ca="1">'2E.Analysis_MIA'!F136</f>
        <v>5.7950023138094733E-2</v>
      </c>
      <c r="E10" s="71">
        <f ca="1">'2E.Analysis_MIA'!G136</f>
        <v>6.5971342719553058E-2</v>
      </c>
      <c r="F10" s="71">
        <f ca="1">'2E.Analysis_MIA'!H136</f>
        <v>5.7950023138094733E-2</v>
      </c>
      <c r="G10" s="71">
        <f ca="1">'2E.Analysis_MIA'!I136</f>
        <v>7.0041322408335382E-2</v>
      </c>
      <c r="H10" s="71">
        <f ca="1">'2E.Analysis_MIA'!J136</f>
        <v>0</v>
      </c>
      <c r="I10" s="71">
        <f ca="1">'2E.Analysis_MIA'!K136</f>
        <v>0</v>
      </c>
      <c r="J10" s="71">
        <f ca="1">'2E.Analysis_MIA'!L136</f>
        <v>0</v>
      </c>
      <c r="K10" s="71">
        <f ca="1">'2E.Analysis_MIA'!M136</f>
        <v>0</v>
      </c>
      <c r="L10" s="71">
        <f ca="1">'2E.Analysis_MIA'!N136</f>
        <v>0</v>
      </c>
    </row>
    <row r="11" spans="2:22" ht="16.5" customHeight="1" x14ac:dyDescent="0.3">
      <c r="B11" s="68" t="str">
        <f>'2D Mapping'!H3</f>
        <v>T2_2</v>
      </c>
      <c r="C11" s="71">
        <f ca="1">'2E.Analysis_MIA'!E137</f>
        <v>1.8993091292241721E-2</v>
      </c>
      <c r="D11" s="71">
        <f ca="1">'2E.Analysis_MIA'!F137</f>
        <v>6.7155228358905606E-3</v>
      </c>
      <c r="E11" s="71">
        <f ca="1">'2E.Analysis_MIA'!G137</f>
        <v>1.8993091292241721E-2</v>
      </c>
      <c r="F11" s="71">
        <f ca="1">'2E.Analysis_MIA'!H137</f>
        <v>6.7155228358905606E-3</v>
      </c>
      <c r="G11" s="71">
        <f ca="1">'2E.Analysis_MIA'!I137</f>
        <v>2.9101728843080481E-2</v>
      </c>
      <c r="H11" s="71">
        <f ca="1">'2E.Analysis_MIA'!J137</f>
        <v>0</v>
      </c>
      <c r="I11" s="71">
        <f ca="1">'2E.Analysis_MIA'!K137</f>
        <v>0</v>
      </c>
      <c r="J11" s="71">
        <f ca="1">'2E.Analysis_MIA'!L137</f>
        <v>0</v>
      </c>
      <c r="K11" s="71">
        <f ca="1">'2E.Analysis_MIA'!M137</f>
        <v>0</v>
      </c>
      <c r="L11" s="71">
        <f ca="1">'2E.Analysis_MIA'!N137</f>
        <v>0</v>
      </c>
    </row>
    <row r="12" spans="2:22" ht="16.5" customHeight="1" x14ac:dyDescent="0.3">
      <c r="B12" s="68" t="str">
        <f>'2D Mapping'!H4</f>
        <v>T2_3</v>
      </c>
      <c r="C12" s="71">
        <f ca="1">'2E.Analysis_MIA'!E138</f>
        <v>1.2507402944036784E-2</v>
      </c>
      <c r="D12" s="71">
        <f ca="1">'2E.Analysis_MIA'!F138</f>
        <v>5.3934038151143889E-3</v>
      </c>
      <c r="E12" s="71">
        <f ca="1">'2E.Analysis_MIA'!G138</f>
        <v>1.2507402944036784E-2</v>
      </c>
      <c r="F12" s="71">
        <f ca="1">'2E.Analysis_MIA'!H138</f>
        <v>5.3934038151143889E-3</v>
      </c>
      <c r="G12" s="71">
        <f ca="1">'2E.Analysis_MIA'!I138</f>
        <v>1.9798979625122927E-2</v>
      </c>
      <c r="H12" s="71">
        <f ca="1">'2E.Analysis_MIA'!J138</f>
        <v>0</v>
      </c>
      <c r="I12" s="71">
        <f ca="1">'2E.Analysis_MIA'!K138</f>
        <v>0</v>
      </c>
      <c r="J12" s="71">
        <f ca="1">'2E.Analysis_MIA'!L138</f>
        <v>0</v>
      </c>
      <c r="K12" s="71">
        <f ca="1">'2E.Analysis_MIA'!M138</f>
        <v>0</v>
      </c>
      <c r="L12" s="71">
        <f ca="1">'2E.Analysis_MIA'!N138</f>
        <v>0</v>
      </c>
    </row>
    <row r="13" spans="2:22" ht="16.5" customHeight="1" x14ac:dyDescent="0.3">
      <c r="B13" s="68" t="str">
        <f>'2D Mapping'!H5</f>
        <v>T2_4</v>
      </c>
      <c r="C13" s="71">
        <f ca="1">'2E.Analysis_MIA'!E139</f>
        <v>8.3110270169688513E-2</v>
      </c>
      <c r="D13" s="71">
        <f ca="1">'2E.Analysis_MIA'!F139</f>
        <v>8.3946080216781446E-2</v>
      </c>
      <c r="E13" s="71">
        <f ca="1">'2E.Analysis_MIA'!G139</f>
        <v>8.3110270169688513E-2</v>
      </c>
      <c r="F13" s="71">
        <f ca="1">'2E.Analysis_MIA'!H139</f>
        <v>8.3946080216781446E-2</v>
      </c>
      <c r="G13" s="71">
        <f ca="1">'2E.Analysis_MIA'!I139</f>
        <v>8.9294103163286939E-2</v>
      </c>
      <c r="H13" s="71">
        <f ca="1">'2E.Analysis_MIA'!J139</f>
        <v>0</v>
      </c>
      <c r="I13" s="71">
        <f ca="1">'2E.Analysis_MIA'!K139</f>
        <v>0</v>
      </c>
      <c r="J13" s="71">
        <f ca="1">'2E.Analysis_MIA'!L139</f>
        <v>0</v>
      </c>
      <c r="K13" s="71">
        <f ca="1">'2E.Analysis_MIA'!M139</f>
        <v>0</v>
      </c>
      <c r="L13" s="71">
        <f ca="1">'2E.Analysis_MIA'!N139</f>
        <v>0</v>
      </c>
    </row>
    <row r="14" spans="2:22" ht="16.5" customHeight="1" x14ac:dyDescent="0.3">
      <c r="B14" s="68" t="str">
        <f>'2D Mapping'!H6</f>
        <v>T2_5</v>
      </c>
      <c r="C14" s="71">
        <f ca="1">'2E.Analysis_MIA'!E140</f>
        <v>1.753760564144765E-2</v>
      </c>
      <c r="D14" s="71">
        <f ca="1">'2E.Analysis_MIA'!F140</f>
        <v>4.0969171175530401E-2</v>
      </c>
      <c r="E14" s="71">
        <f ca="1">'2E.Analysis_MIA'!G140</f>
        <v>1.753760564144765E-2</v>
      </c>
      <c r="F14" s="71">
        <f ca="1">'2E.Analysis_MIA'!H140</f>
        <v>4.0969171175530401E-2</v>
      </c>
      <c r="G14" s="71">
        <f ca="1">'2E.Analysis_MIA'!I140</f>
        <v>2.8984839226664186E-2</v>
      </c>
      <c r="H14" s="71">
        <f ca="1">'2E.Analysis_MIA'!J140</f>
        <v>0</v>
      </c>
      <c r="I14" s="71">
        <f ca="1">'2E.Analysis_MIA'!K140</f>
        <v>0</v>
      </c>
      <c r="J14" s="71">
        <f ca="1">'2E.Analysis_MIA'!L140</f>
        <v>0</v>
      </c>
      <c r="K14" s="71">
        <f ca="1">'2E.Analysis_MIA'!M140</f>
        <v>0</v>
      </c>
      <c r="L14" s="71">
        <f ca="1">'2E.Analysis_MIA'!N140</f>
        <v>0</v>
      </c>
    </row>
    <row r="15" spans="2:22" ht="16.5" customHeight="1" x14ac:dyDescent="0.3">
      <c r="B15" s="68" t="str">
        <f>'2D Mapping'!H7</f>
        <v>T2_6</v>
      </c>
      <c r="C15" s="71">
        <f ca="1">'2E.Analysis_MIA'!E141</f>
        <v>3.1713750553025458E-2</v>
      </c>
      <c r="D15" s="71">
        <f ca="1">'2E.Analysis_MIA'!F141</f>
        <v>2.7870821658999744E-2</v>
      </c>
      <c r="E15" s="71">
        <f ca="1">'2E.Analysis_MIA'!G141</f>
        <v>3.1713750553025458E-2</v>
      </c>
      <c r="F15" s="71">
        <f ca="1">'2E.Analysis_MIA'!H141</f>
        <v>2.7870821658999744E-2</v>
      </c>
      <c r="G15" s="71">
        <f ca="1">'2E.Analysis_MIA'!I141</f>
        <v>2.3880382638035991E-2</v>
      </c>
      <c r="H15" s="71">
        <f ca="1">'2E.Analysis_MIA'!J141</f>
        <v>0</v>
      </c>
      <c r="I15" s="71">
        <f ca="1">'2E.Analysis_MIA'!K141</f>
        <v>0</v>
      </c>
      <c r="J15" s="71">
        <f ca="1">'2E.Analysis_MIA'!L141</f>
        <v>0</v>
      </c>
      <c r="K15" s="71">
        <f ca="1">'2E.Analysis_MIA'!M141</f>
        <v>0</v>
      </c>
      <c r="L15" s="71">
        <f ca="1">'2E.Analysis_MIA'!N141</f>
        <v>0</v>
      </c>
    </row>
    <row r="16" spans="2:22" ht="16.5" customHeight="1" x14ac:dyDescent="0.3">
      <c r="B16" s="68" t="str">
        <f>'2D Mapping'!H8</f>
        <v>T2_7</v>
      </c>
      <c r="C16" s="71">
        <f ca="1">'2E.Analysis_MIA'!E142</f>
        <v>0.10582017740486382</v>
      </c>
      <c r="D16" s="71">
        <f ca="1">'2E.Analysis_MIA'!F142</f>
        <v>0.12125167010216173</v>
      </c>
      <c r="E16" s="71">
        <f ca="1">'2E.Analysis_MIA'!G142</f>
        <v>0.10582017740486382</v>
      </c>
      <c r="F16" s="71">
        <f ca="1">'2E.Analysis_MIA'!H142</f>
        <v>0.12125167010216173</v>
      </c>
      <c r="G16" s="71">
        <f ca="1">'2E.Analysis_MIA'!I142</f>
        <v>8.7004868998054319E-2</v>
      </c>
      <c r="H16" s="71">
        <f ca="1">'2E.Analysis_MIA'!J142</f>
        <v>0</v>
      </c>
      <c r="I16" s="71">
        <f ca="1">'2E.Analysis_MIA'!K142</f>
        <v>0</v>
      </c>
      <c r="J16" s="71">
        <f ca="1">'2E.Analysis_MIA'!L142</f>
        <v>0</v>
      </c>
      <c r="K16" s="71">
        <f ca="1">'2E.Analysis_MIA'!M142</f>
        <v>0</v>
      </c>
      <c r="L16" s="71">
        <f ca="1">'2E.Analysis_MIA'!N142</f>
        <v>0</v>
      </c>
    </row>
    <row r="17" spans="2:12" ht="16.5" customHeight="1" x14ac:dyDescent="0.3">
      <c r="B17" s="68" t="str">
        <f>'2D Mapping'!H9</f>
        <v>T2_8</v>
      </c>
      <c r="C17" s="71">
        <f ca="1">'2E.Analysis_MIA'!E143</f>
        <v>4.6982331961307237E-2</v>
      </c>
      <c r="D17" s="71">
        <f ca="1">'2E.Analysis_MIA'!F143</f>
        <v>8.2838803843928263E-2</v>
      </c>
      <c r="E17" s="71">
        <f ca="1">'2E.Analysis_MIA'!G143</f>
        <v>4.6982331961307237E-2</v>
      </c>
      <c r="F17" s="71">
        <f ca="1">'2E.Analysis_MIA'!H143</f>
        <v>8.2838803843928263E-2</v>
      </c>
      <c r="G17" s="71">
        <f ca="1">'2E.Analysis_MIA'!I143</f>
        <v>8.4905489462278383E-2</v>
      </c>
      <c r="H17" s="71">
        <f ca="1">'2E.Analysis_MIA'!J143</f>
        <v>0</v>
      </c>
      <c r="I17" s="71">
        <f ca="1">'2E.Analysis_MIA'!K143</f>
        <v>0</v>
      </c>
      <c r="J17" s="71">
        <f ca="1">'2E.Analysis_MIA'!L143</f>
        <v>0</v>
      </c>
      <c r="K17" s="71">
        <f ca="1">'2E.Analysis_MIA'!M143</f>
        <v>0</v>
      </c>
      <c r="L17" s="71">
        <f ca="1">'2E.Analysis_MIA'!N143</f>
        <v>0</v>
      </c>
    </row>
    <row r="18" spans="2:12" ht="16.5" customHeight="1" x14ac:dyDescent="0.3">
      <c r="B18" s="68" t="str">
        <f>'2D Mapping'!H10</f>
        <v>T2_9</v>
      </c>
      <c r="C18" s="71">
        <f ca="1">'2E.Analysis_MIA'!E144</f>
        <v>8.3364803382020881E-3</v>
      </c>
      <c r="D18" s="71">
        <f ca="1">'2E.Analysis_MIA'!F144</f>
        <v>1.6837220158924582E-2</v>
      </c>
      <c r="E18" s="71">
        <f ca="1">'2E.Analysis_MIA'!G144</f>
        <v>8.3364803382020881E-3</v>
      </c>
      <c r="F18" s="71">
        <f ca="1">'2E.Analysis_MIA'!H144</f>
        <v>1.6837220158924582E-2</v>
      </c>
      <c r="G18" s="71">
        <f ca="1">'2E.Analysis_MIA'!I144</f>
        <v>1.5994068911810773E-2</v>
      </c>
      <c r="H18" s="71">
        <f ca="1">'2E.Analysis_MIA'!J144</f>
        <v>0</v>
      </c>
      <c r="I18" s="71">
        <f ca="1">'2E.Analysis_MIA'!K144</f>
        <v>0</v>
      </c>
      <c r="J18" s="71">
        <f ca="1">'2E.Analysis_MIA'!L144</f>
        <v>0</v>
      </c>
      <c r="K18" s="71">
        <f ca="1">'2E.Analysis_MIA'!M144</f>
        <v>0</v>
      </c>
      <c r="L18" s="71">
        <f ca="1">'2E.Analysis_MIA'!N144</f>
        <v>0</v>
      </c>
    </row>
    <row r="19" spans="2:12" ht="16.5" customHeight="1" x14ac:dyDescent="0.3">
      <c r="B19" s="68" t="str">
        <f>'2D Mapping'!H11</f>
        <v>T2_10</v>
      </c>
      <c r="C19" s="71">
        <f ca="1">'2E.Analysis_MIA'!E145</f>
        <v>1.5582116547556538E-2</v>
      </c>
      <c r="D19" s="71">
        <f ca="1">'2E.Analysis_MIA'!F145</f>
        <v>1.3243881952658958E-2</v>
      </c>
      <c r="E19" s="71">
        <f ca="1">'2E.Analysis_MIA'!G145</f>
        <v>1.5582116547556538E-2</v>
      </c>
      <c r="F19" s="71">
        <f ca="1">'2E.Analysis_MIA'!H145</f>
        <v>1.3243881952658958E-2</v>
      </c>
      <c r="G19" s="71">
        <f ca="1">'2E.Analysis_MIA'!I145</f>
        <v>1.0399369853728703E-2</v>
      </c>
      <c r="H19" s="71">
        <f ca="1">'2E.Analysis_MIA'!J145</f>
        <v>0</v>
      </c>
      <c r="I19" s="71">
        <f ca="1">'2E.Analysis_MIA'!K145</f>
        <v>0</v>
      </c>
      <c r="J19" s="71">
        <f ca="1">'2E.Analysis_MIA'!L145</f>
        <v>0</v>
      </c>
      <c r="K19" s="71">
        <f ca="1">'2E.Analysis_MIA'!M145</f>
        <v>0</v>
      </c>
      <c r="L19" s="71">
        <f ca="1">'2E.Analysis_MIA'!N145</f>
        <v>0</v>
      </c>
    </row>
    <row r="20" spans="2:12" ht="16.5" customHeight="1" x14ac:dyDescent="0.3">
      <c r="B20" s="68" t="str">
        <f>'2D Mapping'!H12</f>
        <v>T2_11</v>
      </c>
      <c r="C20" s="71">
        <f ca="1">'2E.Analysis_MIA'!E146</f>
        <v>4.4321956357664109E-2</v>
      </c>
      <c r="D20" s="71">
        <f ca="1">'2E.Analysis_MIA'!F146</f>
        <v>4.1633550863937156E-2</v>
      </c>
      <c r="E20" s="71">
        <f ca="1">'2E.Analysis_MIA'!G146</f>
        <v>4.4321956357664109E-2</v>
      </c>
      <c r="F20" s="71">
        <f ca="1">'2E.Analysis_MIA'!H146</f>
        <v>4.1633550863937156E-2</v>
      </c>
      <c r="G20" s="71">
        <f ca="1">'2E.Analysis_MIA'!I146</f>
        <v>2.7954143145983993E-2</v>
      </c>
      <c r="H20" s="71">
        <f ca="1">'2E.Analysis_MIA'!J146</f>
        <v>0</v>
      </c>
      <c r="I20" s="71">
        <f ca="1">'2E.Analysis_MIA'!K146</f>
        <v>0</v>
      </c>
      <c r="J20" s="71">
        <f ca="1">'2E.Analysis_MIA'!L146</f>
        <v>0</v>
      </c>
      <c r="K20" s="71">
        <f ca="1">'2E.Analysis_MIA'!M146</f>
        <v>0</v>
      </c>
      <c r="L20" s="71">
        <f ca="1">'2E.Analysis_MIA'!N146</f>
        <v>0</v>
      </c>
    </row>
    <row r="21" spans="2:12" ht="16.5" customHeight="1" x14ac:dyDescent="0.3">
      <c r="B21" s="68" t="str">
        <f>'2D Mapping'!H13</f>
        <v>T2_12</v>
      </c>
      <c r="C21" s="71">
        <f ca="1">'2E.Analysis_MIA'!E147</f>
        <v>2.4096944955977508E-2</v>
      </c>
      <c r="D21" s="71">
        <f ca="1">'2E.Analysis_MIA'!F147</f>
        <v>8.3988918859891609E-3</v>
      </c>
      <c r="E21" s="71">
        <f ca="1">'2E.Analysis_MIA'!G147</f>
        <v>2.4096944955977508E-2</v>
      </c>
      <c r="F21" s="71">
        <f ca="1">'2E.Analysis_MIA'!H147</f>
        <v>8.3988918859891609E-3</v>
      </c>
      <c r="G21" s="71">
        <f ca="1">'2E.Analysis_MIA'!I147</f>
        <v>5.7308442145018951E-3</v>
      </c>
      <c r="H21" s="71">
        <f ca="1">'2E.Analysis_MIA'!J147</f>
        <v>0</v>
      </c>
      <c r="I21" s="71">
        <f ca="1">'2E.Analysis_MIA'!K147</f>
        <v>0</v>
      </c>
      <c r="J21" s="71">
        <f ca="1">'2E.Analysis_MIA'!L147</f>
        <v>0</v>
      </c>
      <c r="K21" s="71">
        <f ca="1">'2E.Analysis_MIA'!M147</f>
        <v>0</v>
      </c>
      <c r="L21" s="71">
        <f ca="1">'2E.Analysis_MIA'!N147</f>
        <v>0</v>
      </c>
    </row>
    <row r="22" spans="2:12" ht="16.5" customHeight="1" x14ac:dyDescent="0.3">
      <c r="B22" s="68" t="str">
        <f>'2D Mapping'!H14</f>
        <v>T2_13</v>
      </c>
      <c r="C22" s="71">
        <f ca="1">'2E.Analysis_MIA'!E148</f>
        <v>8.884644323407109E-3</v>
      </c>
      <c r="D22" s="71">
        <f ca="1">'2E.Analysis_MIA'!F148</f>
        <v>1.5725623084150185E-4</v>
      </c>
      <c r="E22" s="71">
        <f ca="1">'2E.Analysis_MIA'!G148</f>
        <v>8.884644323407109E-3</v>
      </c>
      <c r="F22" s="71">
        <f ca="1">'2E.Analysis_MIA'!H148</f>
        <v>1.5725623084150185E-4</v>
      </c>
      <c r="G22" s="71">
        <f ca="1">'2E.Analysis_MIA'!I148</f>
        <v>5.3189861154019922E-3</v>
      </c>
      <c r="H22" s="71">
        <f ca="1">'2E.Analysis_MIA'!J148</f>
        <v>0</v>
      </c>
      <c r="I22" s="71">
        <f ca="1">'2E.Analysis_MIA'!K148</f>
        <v>0</v>
      </c>
      <c r="J22" s="71">
        <f ca="1">'2E.Analysis_MIA'!L148</f>
        <v>0</v>
      </c>
      <c r="K22" s="71">
        <f ca="1">'2E.Analysis_MIA'!M148</f>
        <v>0</v>
      </c>
      <c r="L22" s="71">
        <f ca="1">'2E.Analysis_MIA'!N148</f>
        <v>0</v>
      </c>
    </row>
    <row r="23" spans="2:12" ht="16.5" customHeight="1" x14ac:dyDescent="0.3">
      <c r="B23" s="68" t="str">
        <f>'2D Mapping'!H15</f>
        <v>T2_14</v>
      </c>
      <c r="C23" s="71">
        <f ca="1">'2E.Analysis_MIA'!E149</f>
        <v>1.8013312290201325E-2</v>
      </c>
      <c r="D23" s="71">
        <f ca="1">'2E.Analysis_MIA'!F149</f>
        <v>1.9243760789149637E-2</v>
      </c>
      <c r="E23" s="71">
        <f ca="1">'2E.Analysis_MIA'!G149</f>
        <v>1.8013312290201325E-2</v>
      </c>
      <c r="F23" s="71">
        <f ca="1">'2E.Analysis_MIA'!H149</f>
        <v>1.9243760789149637E-2</v>
      </c>
      <c r="G23" s="71">
        <f ca="1">'2E.Analysis_MIA'!I149</f>
        <v>1.7896170944854708E-2</v>
      </c>
      <c r="H23" s="71">
        <f ca="1">'2E.Analysis_MIA'!J149</f>
        <v>0</v>
      </c>
      <c r="I23" s="71">
        <f ca="1">'2E.Analysis_MIA'!K149</f>
        <v>0</v>
      </c>
      <c r="J23" s="71">
        <f ca="1">'2E.Analysis_MIA'!L149</f>
        <v>0</v>
      </c>
      <c r="K23" s="71">
        <f ca="1">'2E.Analysis_MIA'!M149</f>
        <v>0</v>
      </c>
      <c r="L23" s="71">
        <f ca="1">'2E.Analysis_MIA'!N149</f>
        <v>0</v>
      </c>
    </row>
    <row r="24" spans="2:12" ht="16.5" customHeight="1" x14ac:dyDescent="0.3">
      <c r="B24" s="68" t="str">
        <f>'2D Mapping'!H16</f>
        <v>T2_15</v>
      </c>
      <c r="C24" s="71">
        <f ca="1">'2E.Analysis_MIA'!E150</f>
        <v>1.2211569063647915E-2</v>
      </c>
      <c r="D24" s="71">
        <f ca="1">'2E.Analysis_MIA'!F150</f>
        <v>2.3081156462220452E-4</v>
      </c>
      <c r="E24" s="71">
        <f ca="1">'2E.Analysis_MIA'!G150</f>
        <v>1.2211569063647915E-2</v>
      </c>
      <c r="F24" s="71">
        <f ca="1">'2E.Analysis_MIA'!H150</f>
        <v>2.3081156462220452E-4</v>
      </c>
      <c r="G24" s="71">
        <f ca="1">'2E.Analysis_MIA'!I150</f>
        <v>1.174050161987155E-2</v>
      </c>
      <c r="H24" s="71">
        <f ca="1">'2E.Analysis_MIA'!J150</f>
        <v>0</v>
      </c>
      <c r="I24" s="71">
        <f ca="1">'2E.Analysis_MIA'!K150</f>
        <v>0</v>
      </c>
      <c r="J24" s="71">
        <f ca="1">'2E.Analysis_MIA'!L150</f>
        <v>0</v>
      </c>
      <c r="K24" s="71">
        <f ca="1">'2E.Analysis_MIA'!M150</f>
        <v>0</v>
      </c>
      <c r="L24" s="71">
        <f ca="1">'2E.Analysis_MIA'!N150</f>
        <v>0</v>
      </c>
    </row>
    <row r="25" spans="2:12" ht="16.5" customHeight="1" x14ac:dyDescent="0.3">
      <c r="B25" s="68" t="str">
        <f>'2D Mapping'!H17</f>
        <v>T2_16</v>
      </c>
      <c r="C25" s="71">
        <f ca="1">'2E.Analysis_MIA'!E151</f>
        <v>1.1506041509069564E-2</v>
      </c>
      <c r="D25" s="71">
        <f ca="1">'2E.Analysis_MIA'!F151</f>
        <v>8.2194068981594533E-3</v>
      </c>
      <c r="E25" s="71">
        <f ca="1">'2E.Analysis_MIA'!G151</f>
        <v>1.1506041509069564E-2</v>
      </c>
      <c r="F25" s="71">
        <f ca="1">'2E.Analysis_MIA'!H151</f>
        <v>8.2194068981594533E-3</v>
      </c>
      <c r="G25" s="71">
        <f ca="1">'2E.Analysis_MIA'!I151</f>
        <v>1.4245297493537052E-2</v>
      </c>
      <c r="H25" s="71">
        <f ca="1">'2E.Analysis_MIA'!J151</f>
        <v>0</v>
      </c>
      <c r="I25" s="71">
        <f ca="1">'2E.Analysis_MIA'!K151</f>
        <v>0</v>
      </c>
      <c r="J25" s="71">
        <f ca="1">'2E.Analysis_MIA'!L151</f>
        <v>0</v>
      </c>
      <c r="K25" s="71">
        <f ca="1">'2E.Analysis_MIA'!M151</f>
        <v>0</v>
      </c>
      <c r="L25" s="71">
        <f ca="1">'2E.Analysis_MIA'!N151</f>
        <v>0</v>
      </c>
    </row>
    <row r="26" spans="2:12" ht="16.5" customHeight="1" x14ac:dyDescent="0.3">
      <c r="B26" s="68" t="str">
        <f>'2D Mapping'!H18</f>
        <v>T2_17</v>
      </c>
      <c r="C26" s="71">
        <f ca="1">'2E.Analysis_MIA'!E152</f>
        <v>5.2472381798137268E-3</v>
      </c>
      <c r="D26" s="71">
        <f ca="1">'2E.Analysis_MIA'!F152</f>
        <v>9.5559567640293216E-3</v>
      </c>
      <c r="E26" s="71">
        <f ca="1">'2E.Analysis_MIA'!G152</f>
        <v>5.2472381798137268E-3</v>
      </c>
      <c r="F26" s="71">
        <f ca="1">'2E.Analysis_MIA'!H152</f>
        <v>9.5559567640293216E-3</v>
      </c>
      <c r="G26" s="71">
        <f ca="1">'2E.Analysis_MIA'!I152</f>
        <v>2.0535763913493078E-2</v>
      </c>
      <c r="H26" s="71">
        <f ca="1">'2E.Analysis_MIA'!J152</f>
        <v>0</v>
      </c>
      <c r="I26" s="71">
        <f ca="1">'2E.Analysis_MIA'!K152</f>
        <v>0</v>
      </c>
      <c r="J26" s="71">
        <f ca="1">'2E.Analysis_MIA'!L152</f>
        <v>0</v>
      </c>
      <c r="K26" s="71">
        <f ca="1">'2E.Analysis_MIA'!M152</f>
        <v>0</v>
      </c>
      <c r="L26" s="71">
        <f ca="1">'2E.Analysis_MIA'!N152</f>
        <v>0</v>
      </c>
    </row>
    <row r="27" spans="2:12" ht="16.5" customHeight="1" x14ac:dyDescent="0.3">
      <c r="B27" s="68" t="str">
        <f>'2D Mapping'!H19</f>
        <v>T2_18</v>
      </c>
      <c r="C27" s="71">
        <f ca="1">'2E.Analysis_MIA'!E153</f>
        <v>1.7370341316103106E-2</v>
      </c>
      <c r="D27" s="71">
        <f ca="1">'2E.Analysis_MIA'!F153</f>
        <v>7.7949929046645203E-2</v>
      </c>
      <c r="E27" s="71">
        <f ca="1">'2E.Analysis_MIA'!G153</f>
        <v>1.7370341316103106E-2</v>
      </c>
      <c r="F27" s="71">
        <f ca="1">'2E.Analysis_MIA'!H153</f>
        <v>7.7949929046645203E-2</v>
      </c>
      <c r="G27" s="71">
        <f ca="1">'2E.Analysis_MIA'!I153</f>
        <v>7.9046837874153397E-2</v>
      </c>
      <c r="H27" s="71">
        <f ca="1">'2E.Analysis_MIA'!J153</f>
        <v>0</v>
      </c>
      <c r="I27" s="71">
        <f ca="1">'2E.Analysis_MIA'!K153</f>
        <v>0</v>
      </c>
      <c r="J27" s="71">
        <f ca="1">'2E.Analysis_MIA'!L153</f>
        <v>0</v>
      </c>
      <c r="K27" s="71">
        <f ca="1">'2E.Analysis_MIA'!M153</f>
        <v>0</v>
      </c>
      <c r="L27" s="71">
        <f ca="1">'2E.Analysis_MIA'!N153</f>
        <v>0</v>
      </c>
    </row>
    <row r="28" spans="2:12" ht="16.5" customHeight="1" x14ac:dyDescent="0.3">
      <c r="B28" s="68" t="str">
        <f>'2D Mapping'!H20</f>
        <v>T2_19</v>
      </c>
      <c r="C28" s="71">
        <f ca="1">'2E.Analysis_MIA'!E154</f>
        <v>6.722930707808732E-3</v>
      </c>
      <c r="D28" s="71">
        <f ca="1">'2E.Analysis_MIA'!F154</f>
        <v>4.1508677979370037E-3</v>
      </c>
      <c r="E28" s="71">
        <f ca="1">'2E.Analysis_MIA'!G154</f>
        <v>6.722930707808732E-3</v>
      </c>
      <c r="F28" s="71">
        <f ca="1">'2E.Analysis_MIA'!H154</f>
        <v>4.1508677979370037E-3</v>
      </c>
      <c r="G28" s="71">
        <f ca="1">'2E.Analysis_MIA'!I154</f>
        <v>7.186649093450472E-3</v>
      </c>
      <c r="H28" s="71">
        <f ca="1">'2E.Analysis_MIA'!J154</f>
        <v>0</v>
      </c>
      <c r="I28" s="71">
        <f ca="1">'2E.Analysis_MIA'!K154</f>
        <v>0</v>
      </c>
      <c r="J28" s="71">
        <f ca="1">'2E.Analysis_MIA'!L154</f>
        <v>0</v>
      </c>
      <c r="K28" s="71">
        <f ca="1">'2E.Analysis_MIA'!M154</f>
        <v>0</v>
      </c>
      <c r="L28" s="71">
        <f ca="1">'2E.Analysis_MIA'!N154</f>
        <v>0</v>
      </c>
    </row>
    <row r="29" spans="2:12" ht="16.5" customHeight="1" x14ac:dyDescent="0.3">
      <c r="B29" s="68" t="str">
        <f>'2D Mapping'!H21</f>
        <v>T2_20</v>
      </c>
      <c r="C29" s="71">
        <f ca="1">'2E.Analysis_MIA'!E155</f>
        <v>1.8525521643088579E-2</v>
      </c>
      <c r="D29" s="71">
        <f ca="1">'2E.Analysis_MIA'!F155</f>
        <v>2.4025226946938368E-2</v>
      </c>
      <c r="E29" s="71">
        <f ca="1">'2E.Analysis_MIA'!G155</f>
        <v>1.8525521643088579E-2</v>
      </c>
      <c r="F29" s="71">
        <f ca="1">'2E.Analysis_MIA'!H155</f>
        <v>2.4025226946938368E-2</v>
      </c>
      <c r="G29" s="71">
        <f ca="1">'2E.Analysis_MIA'!I155</f>
        <v>2.7475985021833023E-2</v>
      </c>
      <c r="H29" s="71">
        <f ca="1">'2E.Analysis_MIA'!J155</f>
        <v>0</v>
      </c>
      <c r="I29" s="71">
        <f ca="1">'2E.Analysis_MIA'!K155</f>
        <v>0</v>
      </c>
      <c r="J29" s="71">
        <f ca="1">'2E.Analysis_MIA'!L155</f>
        <v>0</v>
      </c>
      <c r="K29" s="71">
        <f ca="1">'2E.Analysis_MIA'!M155</f>
        <v>0</v>
      </c>
      <c r="L29" s="71">
        <f ca="1">'2E.Analysis_MIA'!N155</f>
        <v>0</v>
      </c>
    </row>
    <row r="30" spans="2:12" ht="16.5" customHeight="1" x14ac:dyDescent="0.3">
      <c r="B30" s="68" t="str">
        <f>'2D Mapping'!H22</f>
        <v>T2_21</v>
      </c>
      <c r="C30" s="71">
        <f ca="1">'2E.Analysis_MIA'!E156</f>
        <v>0.34313250111083393</v>
      </c>
      <c r="D30" s="71">
        <f ca="1">'2E.Analysis_MIA'!F156</f>
        <v>0.24934823462148153</v>
      </c>
      <c r="E30" s="71">
        <f ca="1">'2E.Analysis_MIA'!G156</f>
        <v>0.34313250111083393</v>
      </c>
      <c r="F30" s="71">
        <f ca="1">'2E.Analysis_MIA'!H156</f>
        <v>0.24934823462148153</v>
      </c>
      <c r="G30" s="71">
        <f ca="1">'2E.Analysis_MIA'!I156</f>
        <v>0.1718106805351739</v>
      </c>
      <c r="H30" s="71">
        <f ca="1">'2E.Analysis_MIA'!J156</f>
        <v>0</v>
      </c>
      <c r="I30" s="71">
        <f ca="1">'2E.Analysis_MIA'!K156</f>
        <v>0</v>
      </c>
      <c r="J30" s="71">
        <f ca="1">'2E.Analysis_MIA'!L156</f>
        <v>0</v>
      </c>
      <c r="K30" s="71">
        <f ca="1">'2E.Analysis_MIA'!M156</f>
        <v>0</v>
      </c>
      <c r="L30" s="71">
        <f ca="1">'2E.Analysis_MIA'!N156</f>
        <v>0</v>
      </c>
    </row>
    <row r="31" spans="2:12" ht="16.5" customHeight="1" x14ac:dyDescent="0.3">
      <c r="B31" s="68" t="str">
        <f>'2D Mapping'!H23</f>
        <v>T2_22</v>
      </c>
      <c r="C31" s="71">
        <f ca="1">'2E.Analysis_MIA'!E157</f>
        <v>7.060231229819326E-3</v>
      </c>
      <c r="D31" s="71">
        <f ca="1">'2E.Analysis_MIA'!F157</f>
        <v>6.3917048664610481E-4</v>
      </c>
      <c r="E31" s="71">
        <f ca="1">'2E.Analysis_MIA'!G157</f>
        <v>7.060231229819326E-3</v>
      </c>
      <c r="F31" s="71">
        <f ca="1">'2E.Analysis_MIA'!H157</f>
        <v>6.3917048664610481E-4</v>
      </c>
      <c r="G31" s="71">
        <f ca="1">'2E.Analysis_MIA'!I157</f>
        <v>9.2223549698465523E-3</v>
      </c>
      <c r="H31" s="71">
        <f ca="1">'2E.Analysis_MIA'!J157</f>
        <v>0</v>
      </c>
      <c r="I31" s="71">
        <f ca="1">'2E.Analysis_MIA'!K157</f>
        <v>0</v>
      </c>
      <c r="J31" s="71">
        <f ca="1">'2E.Analysis_MIA'!L157</f>
        <v>0</v>
      </c>
      <c r="K31" s="71">
        <f ca="1">'2E.Analysis_MIA'!M157</f>
        <v>0</v>
      </c>
      <c r="L31" s="71">
        <f ca="1">'2E.Analysis_MIA'!N157</f>
        <v>0</v>
      </c>
    </row>
    <row r="32" spans="2:12" ht="16.5" customHeight="1" x14ac:dyDescent="0.3">
      <c r="B32" s="68" t="str">
        <f>'2D Mapping'!H24</f>
        <v>T2_23</v>
      </c>
      <c r="C32" s="71">
        <f ca="1">'2E.Analysis_MIA'!E158</f>
        <v>3.1355158164554926E-2</v>
      </c>
      <c r="D32" s="71">
        <f ca="1">'2E.Analysis_MIA'!F158</f>
        <v>5.9193382709866058E-2</v>
      </c>
      <c r="E32" s="71">
        <f ca="1">'2E.Analysis_MIA'!G158</f>
        <v>3.1355158164554926E-2</v>
      </c>
      <c r="F32" s="71">
        <f ca="1">'2E.Analysis_MIA'!H158</f>
        <v>5.9193382709866058E-2</v>
      </c>
      <c r="G32" s="71">
        <f ca="1">'2E.Analysis_MIA'!I158</f>
        <v>8.0721100615462671E-2</v>
      </c>
      <c r="H32" s="71">
        <f ca="1">'2E.Analysis_MIA'!J158</f>
        <v>0</v>
      </c>
      <c r="I32" s="71">
        <f ca="1">'2E.Analysis_MIA'!K158</f>
        <v>0</v>
      </c>
      <c r="J32" s="71">
        <f ca="1">'2E.Analysis_MIA'!L158</f>
        <v>0</v>
      </c>
      <c r="K32" s="71">
        <f ca="1">'2E.Analysis_MIA'!M158</f>
        <v>0</v>
      </c>
      <c r="L32" s="71">
        <f ca="1">'2E.Analysis_MIA'!N158</f>
        <v>0</v>
      </c>
    </row>
    <row r="33" spans="2:12" ht="16.5" customHeight="1" x14ac:dyDescent="0.3">
      <c r="B33" s="68" t="str">
        <f>'2D Mapping'!H25</f>
        <v>T2_24</v>
      </c>
      <c r="C33" s="71">
        <f ca="1">'2E.Analysis_MIA'!E159</f>
        <v>8.7528456899827467E-3</v>
      </c>
      <c r="D33" s="71">
        <f ca="1">'2E.Analysis_MIA'!F159</f>
        <v>2.42745804532303E-3</v>
      </c>
      <c r="E33" s="71">
        <f ca="1">'2E.Analysis_MIA'!G159</f>
        <v>8.7528456899827467E-3</v>
      </c>
      <c r="F33" s="71">
        <f ca="1">'2E.Analysis_MIA'!H159</f>
        <v>2.42745804532303E-3</v>
      </c>
      <c r="G33" s="71">
        <f ca="1">'2E.Analysis_MIA'!I159</f>
        <v>1.1254615734469474E-2</v>
      </c>
      <c r="H33" s="71">
        <f ca="1">'2E.Analysis_MIA'!J159</f>
        <v>0</v>
      </c>
      <c r="I33" s="71">
        <f ca="1">'2E.Analysis_MIA'!K159</f>
        <v>0</v>
      </c>
      <c r="J33" s="71">
        <f ca="1">'2E.Analysis_MIA'!L159</f>
        <v>0</v>
      </c>
      <c r="K33" s="71">
        <f ca="1">'2E.Analysis_MIA'!M159</f>
        <v>0</v>
      </c>
      <c r="L33" s="71">
        <f ca="1">'2E.Analysis_MIA'!N159</f>
        <v>0</v>
      </c>
    </row>
    <row r="34" spans="2:12" ht="16.5" customHeight="1" x14ac:dyDescent="0.3">
      <c r="B34" s="68" t="str">
        <f>'2D Mapping'!H26</f>
        <v>T2_25</v>
      </c>
      <c r="C34" s="71">
        <f ca="1">'2E.Analysis_MIA'!E160</f>
        <v>1.5317277989395176E-2</v>
      </c>
      <c r="D34" s="71">
        <f ca="1">'2E.Analysis_MIA'!F160</f>
        <v>2.8985164271240729E-3</v>
      </c>
      <c r="E34" s="71">
        <f ca="1">'2E.Analysis_MIA'!G160</f>
        <v>1.5317277989395176E-2</v>
      </c>
      <c r="F34" s="71">
        <f ca="1">'2E.Analysis_MIA'!H160</f>
        <v>2.8985164271240729E-3</v>
      </c>
      <c r="G34" s="71">
        <f ca="1">'2E.Analysis_MIA'!I160</f>
        <v>7.7735949050341084E-3</v>
      </c>
      <c r="H34" s="71">
        <f ca="1">'2E.Analysis_MIA'!J160</f>
        <v>0</v>
      </c>
      <c r="I34" s="71">
        <f ca="1">'2E.Analysis_MIA'!K160</f>
        <v>0</v>
      </c>
      <c r="J34" s="71">
        <f ca="1">'2E.Analysis_MIA'!L160</f>
        <v>0</v>
      </c>
      <c r="K34" s="71">
        <f ca="1">'2E.Analysis_MIA'!M160</f>
        <v>0</v>
      </c>
      <c r="L34" s="71">
        <f ca="1">'2E.Analysis_MIA'!N160</f>
        <v>0</v>
      </c>
    </row>
    <row r="35" spans="2:12" ht="16.5" customHeight="1" x14ac:dyDescent="0.3">
      <c r="B35" s="68" t="str">
        <f>'2D Mapping'!H27</f>
        <v>T2_26</v>
      </c>
      <c r="C35" s="71">
        <f ca="1">'2E.Analysis_MIA'!E161</f>
        <v>1.1092260103455263E-2</v>
      </c>
      <c r="D35" s="71">
        <f ca="1">'2E.Analysis_MIA'!F161</f>
        <v>2.187585562188412E-2</v>
      </c>
      <c r="E35" s="71">
        <f ca="1">'2E.Analysis_MIA'!G161</f>
        <v>1.1092260103455263E-2</v>
      </c>
      <c r="F35" s="71">
        <f ca="1">'2E.Analysis_MIA'!H161</f>
        <v>2.187585562188412E-2</v>
      </c>
      <c r="G35" s="71">
        <f ca="1">'2E.Analysis_MIA'!I161</f>
        <v>2.0877157448296234E-2</v>
      </c>
      <c r="H35" s="71">
        <f ca="1">'2E.Analysis_MIA'!J161</f>
        <v>0</v>
      </c>
      <c r="I35" s="71">
        <f ca="1">'2E.Analysis_MIA'!K161</f>
        <v>0</v>
      </c>
      <c r="J35" s="71">
        <f ca="1">'2E.Analysis_MIA'!L161</f>
        <v>0</v>
      </c>
      <c r="K35" s="71">
        <f ca="1">'2E.Analysis_MIA'!M161</f>
        <v>0</v>
      </c>
      <c r="L35" s="71">
        <f ca="1">'2E.Analysis_MIA'!N161</f>
        <v>0</v>
      </c>
    </row>
    <row r="36" spans="2:12" ht="16.5" customHeight="1" x14ac:dyDescent="0.3">
      <c r="B36" s="68" t="str">
        <f>'2D Mapping'!H28</f>
        <v>T2_27</v>
      </c>
      <c r="C36" s="71">
        <f ca="1">'2E.Analysis_MIA'!E162</f>
        <v>9.8346557932542829E-3</v>
      </c>
      <c r="D36" s="71">
        <f ca="1">'2E.Analysis_MIA'!F162</f>
        <v>1.303512440134136E-2</v>
      </c>
      <c r="E36" s="71">
        <f ca="1">'2E.Analysis_MIA'!G162</f>
        <v>9.8346557932542829E-3</v>
      </c>
      <c r="F36" s="71">
        <f ca="1">'2E.Analysis_MIA'!H162</f>
        <v>1.303512440134136E-2</v>
      </c>
      <c r="G36" s="71">
        <f ca="1">'2E.Analysis_MIA'!I162</f>
        <v>2.1804163224237914E-2</v>
      </c>
      <c r="H36" s="71">
        <f ca="1">'2E.Analysis_MIA'!J162</f>
        <v>0</v>
      </c>
      <c r="I36" s="71">
        <f ca="1">'2E.Analysis_MIA'!K162</f>
        <v>0</v>
      </c>
      <c r="J36" s="71">
        <f ca="1">'2E.Analysis_MIA'!L162</f>
        <v>0</v>
      </c>
      <c r="K36" s="71">
        <f ca="1">'2E.Analysis_MIA'!M162</f>
        <v>0</v>
      </c>
      <c r="L36" s="71">
        <f ca="1">'2E.Analysis_MIA'!N162</f>
        <v>0</v>
      </c>
    </row>
    <row r="37" spans="2:12" ht="16.5" customHeight="1" x14ac:dyDescent="0.3">
      <c r="B37" s="68">
        <f>'2D Mapping'!H29</f>
        <v>0</v>
      </c>
      <c r="C37" s="71">
        <f ca="1">'2E.Analysis_MIA'!E163</f>
        <v>0</v>
      </c>
      <c r="D37" s="71">
        <f ca="1">'2E.Analysis_MIA'!F163</f>
        <v>0</v>
      </c>
      <c r="E37" s="71">
        <f ca="1">'2E.Analysis_MIA'!G163</f>
        <v>0</v>
      </c>
      <c r="F37" s="71">
        <f ca="1">'2E.Analysis_MIA'!H163</f>
        <v>0</v>
      </c>
      <c r="G37" s="71">
        <f ca="1">'2E.Analysis_MIA'!I163</f>
        <v>0</v>
      </c>
      <c r="H37" s="71">
        <f ca="1">'2E.Analysis_MIA'!J163</f>
        <v>0</v>
      </c>
      <c r="I37" s="71">
        <f ca="1">'2E.Analysis_MIA'!K163</f>
        <v>0</v>
      </c>
      <c r="J37" s="71">
        <f ca="1">'2E.Analysis_MIA'!L163</f>
        <v>0</v>
      </c>
      <c r="K37" s="71">
        <f ca="1">'2E.Analysis_MIA'!M163</f>
        <v>0</v>
      </c>
      <c r="L37" s="71">
        <f ca="1">'2E.Analysis_MIA'!N163</f>
        <v>0</v>
      </c>
    </row>
    <row r="38" spans="2:12" ht="16.5" customHeight="1" x14ac:dyDescent="0.3">
      <c r="B38" s="68">
        <f>'2D Mapping'!H30</f>
        <v>0</v>
      </c>
      <c r="C38" s="71">
        <f ca="1">'2E.Analysis_MIA'!E164</f>
        <v>0</v>
      </c>
      <c r="D38" s="71">
        <f ca="1">'2E.Analysis_MIA'!F164</f>
        <v>0</v>
      </c>
      <c r="E38" s="71">
        <f ca="1">'2E.Analysis_MIA'!G164</f>
        <v>0</v>
      </c>
      <c r="F38" s="71">
        <f ca="1">'2E.Analysis_MIA'!H164</f>
        <v>0</v>
      </c>
      <c r="G38" s="71">
        <f ca="1">'2E.Analysis_MIA'!I164</f>
        <v>0</v>
      </c>
      <c r="H38" s="71">
        <f ca="1">'2E.Analysis_MIA'!J164</f>
        <v>0</v>
      </c>
      <c r="I38" s="71">
        <f ca="1">'2E.Analysis_MIA'!K164</f>
        <v>0</v>
      </c>
      <c r="J38" s="71">
        <f ca="1">'2E.Analysis_MIA'!L164</f>
        <v>0</v>
      </c>
      <c r="K38" s="71">
        <f ca="1">'2E.Analysis_MIA'!M164</f>
        <v>0</v>
      </c>
      <c r="L38" s="71">
        <f ca="1">'2E.Analysis_MIA'!N164</f>
        <v>0</v>
      </c>
    </row>
    <row r="39" spans="2:12" ht="16.5" customHeight="1" x14ac:dyDescent="0.3">
      <c r="B39" s="68">
        <f>'2D Mapping'!H31</f>
        <v>0</v>
      </c>
      <c r="C39" s="71">
        <f ca="1">'2E.Analysis_MIA'!E165</f>
        <v>0</v>
      </c>
      <c r="D39" s="71">
        <f ca="1">'2E.Analysis_MIA'!F165</f>
        <v>0</v>
      </c>
      <c r="E39" s="71">
        <f ca="1">'2E.Analysis_MIA'!G165</f>
        <v>0</v>
      </c>
      <c r="F39" s="71">
        <f ca="1">'2E.Analysis_MIA'!H165</f>
        <v>0</v>
      </c>
      <c r="G39" s="71">
        <f ca="1">'2E.Analysis_MIA'!I165</f>
        <v>0</v>
      </c>
      <c r="H39" s="71">
        <f ca="1">'2E.Analysis_MIA'!J165</f>
        <v>0</v>
      </c>
      <c r="I39" s="71">
        <f ca="1">'2E.Analysis_MIA'!K165</f>
        <v>0</v>
      </c>
      <c r="J39" s="71">
        <f ca="1">'2E.Analysis_MIA'!L165</f>
        <v>0</v>
      </c>
      <c r="K39" s="71">
        <f ca="1">'2E.Analysis_MIA'!M165</f>
        <v>0</v>
      </c>
      <c r="L39" s="71">
        <f ca="1">'2E.Analysis_MIA'!N165</f>
        <v>0</v>
      </c>
    </row>
    <row r="40" spans="2:12" ht="16.5" customHeight="1" x14ac:dyDescent="0.3">
      <c r="B40" s="68">
        <f>'2D Mapping'!H32</f>
        <v>0</v>
      </c>
      <c r="C40" s="71">
        <f ca="1">'2E.Analysis_MIA'!E166</f>
        <v>0</v>
      </c>
      <c r="D40" s="71">
        <f ca="1">'2E.Analysis_MIA'!F166</f>
        <v>0</v>
      </c>
      <c r="E40" s="71">
        <f ca="1">'2E.Analysis_MIA'!G166</f>
        <v>0</v>
      </c>
      <c r="F40" s="71">
        <f ca="1">'2E.Analysis_MIA'!H166</f>
        <v>0</v>
      </c>
      <c r="G40" s="71">
        <f ca="1">'2E.Analysis_MIA'!I166</f>
        <v>0</v>
      </c>
      <c r="H40" s="71">
        <f ca="1">'2E.Analysis_MIA'!J166</f>
        <v>0</v>
      </c>
      <c r="I40" s="71">
        <f ca="1">'2E.Analysis_MIA'!K166</f>
        <v>0</v>
      </c>
      <c r="J40" s="71">
        <f ca="1">'2E.Analysis_MIA'!L166</f>
        <v>0</v>
      </c>
      <c r="K40" s="71">
        <f ca="1">'2E.Analysis_MIA'!M166</f>
        <v>0</v>
      </c>
      <c r="L40" s="71">
        <f ca="1">'2E.Analysis_MIA'!N166</f>
        <v>0</v>
      </c>
    </row>
    <row r="41" spans="2:12" ht="16.5" customHeight="1" x14ac:dyDescent="0.3">
      <c r="B41" s="68">
        <f>'2D Mapping'!H33</f>
        <v>0</v>
      </c>
      <c r="C41" s="71">
        <f ca="1">'2E.Analysis_MIA'!E167</f>
        <v>0</v>
      </c>
      <c r="D41" s="71">
        <f ca="1">'2E.Analysis_MIA'!F167</f>
        <v>0</v>
      </c>
      <c r="E41" s="71">
        <f ca="1">'2E.Analysis_MIA'!G167</f>
        <v>0</v>
      </c>
      <c r="F41" s="71">
        <f ca="1">'2E.Analysis_MIA'!H167</f>
        <v>0</v>
      </c>
      <c r="G41" s="71">
        <f ca="1">'2E.Analysis_MIA'!I167</f>
        <v>0</v>
      </c>
      <c r="H41" s="71">
        <f ca="1">'2E.Analysis_MIA'!J167</f>
        <v>0</v>
      </c>
      <c r="I41" s="71">
        <f ca="1">'2E.Analysis_MIA'!K167</f>
        <v>0</v>
      </c>
      <c r="J41" s="71">
        <f ca="1">'2E.Analysis_MIA'!L167</f>
        <v>0</v>
      </c>
      <c r="K41" s="71">
        <f ca="1">'2E.Analysis_MIA'!M167</f>
        <v>0</v>
      </c>
      <c r="L41" s="71">
        <f ca="1">'2E.Analysis_MIA'!N167</f>
        <v>0</v>
      </c>
    </row>
    <row r="42" spans="2:12" ht="16.5" customHeight="1" x14ac:dyDescent="0.3">
      <c r="B42" s="68">
        <f>'2D Mapping'!H34</f>
        <v>0</v>
      </c>
      <c r="C42" s="71">
        <f ca="1">'2E.Analysis_MIA'!E168</f>
        <v>0</v>
      </c>
      <c r="D42" s="71">
        <f ca="1">'2E.Analysis_MIA'!F168</f>
        <v>0</v>
      </c>
      <c r="E42" s="71">
        <f ca="1">'2E.Analysis_MIA'!G168</f>
        <v>0</v>
      </c>
      <c r="F42" s="71">
        <f ca="1">'2E.Analysis_MIA'!H168</f>
        <v>0</v>
      </c>
      <c r="G42" s="71">
        <f ca="1">'2E.Analysis_MIA'!I168</f>
        <v>0</v>
      </c>
      <c r="H42" s="71">
        <f ca="1">'2E.Analysis_MIA'!J168</f>
        <v>0</v>
      </c>
      <c r="I42" s="71">
        <f ca="1">'2E.Analysis_MIA'!K168</f>
        <v>0</v>
      </c>
      <c r="J42" s="71">
        <f ca="1">'2E.Analysis_MIA'!L168</f>
        <v>0</v>
      </c>
      <c r="K42" s="71">
        <f ca="1">'2E.Analysis_MIA'!M168</f>
        <v>0</v>
      </c>
      <c r="L42" s="71">
        <f ca="1">'2E.Analysis_MIA'!N168</f>
        <v>0</v>
      </c>
    </row>
    <row r="43" spans="2:12" ht="16.5" customHeight="1" x14ac:dyDescent="0.3">
      <c r="B43" s="68">
        <f>'2D Mapping'!H35</f>
        <v>0</v>
      </c>
      <c r="C43" s="71">
        <f ca="1">'2E.Analysis_MIA'!E169</f>
        <v>0</v>
      </c>
      <c r="D43" s="71">
        <f ca="1">'2E.Analysis_MIA'!F169</f>
        <v>0</v>
      </c>
      <c r="E43" s="71">
        <f ca="1">'2E.Analysis_MIA'!G169</f>
        <v>0</v>
      </c>
      <c r="F43" s="71">
        <f ca="1">'2E.Analysis_MIA'!H169</f>
        <v>0</v>
      </c>
      <c r="G43" s="71">
        <f ca="1">'2E.Analysis_MIA'!I169</f>
        <v>0</v>
      </c>
      <c r="H43" s="71">
        <f ca="1">'2E.Analysis_MIA'!J169</f>
        <v>0</v>
      </c>
      <c r="I43" s="71">
        <f ca="1">'2E.Analysis_MIA'!K169</f>
        <v>0</v>
      </c>
      <c r="J43" s="71">
        <f ca="1">'2E.Analysis_MIA'!L169</f>
        <v>0</v>
      </c>
      <c r="K43" s="71">
        <f ca="1">'2E.Analysis_MIA'!M169</f>
        <v>0</v>
      </c>
      <c r="L43" s="71">
        <f ca="1">'2E.Analysis_MIA'!N169</f>
        <v>0</v>
      </c>
    </row>
    <row r="44" spans="2:12" ht="16.5" customHeight="1" x14ac:dyDescent="0.3">
      <c r="B44" s="68">
        <f>'2D Mapping'!H36</f>
        <v>0</v>
      </c>
      <c r="C44" s="71">
        <f ca="1">'2E.Analysis_MIA'!E170</f>
        <v>0</v>
      </c>
      <c r="D44" s="71">
        <f ca="1">'2E.Analysis_MIA'!F170</f>
        <v>0</v>
      </c>
      <c r="E44" s="71">
        <f ca="1">'2E.Analysis_MIA'!G170</f>
        <v>0</v>
      </c>
      <c r="F44" s="71">
        <f ca="1">'2E.Analysis_MIA'!H170</f>
        <v>0</v>
      </c>
      <c r="G44" s="71">
        <f ca="1">'2E.Analysis_MIA'!I170</f>
        <v>0</v>
      </c>
      <c r="H44" s="71">
        <f ca="1">'2E.Analysis_MIA'!J170</f>
        <v>0</v>
      </c>
      <c r="I44" s="71">
        <f ca="1">'2E.Analysis_MIA'!K170</f>
        <v>0</v>
      </c>
      <c r="J44" s="71">
        <f ca="1">'2E.Analysis_MIA'!L170</f>
        <v>0</v>
      </c>
      <c r="K44" s="71">
        <f ca="1">'2E.Analysis_MIA'!M170</f>
        <v>0</v>
      </c>
      <c r="L44" s="71">
        <f ca="1">'2E.Analysis_MIA'!N170</f>
        <v>0</v>
      </c>
    </row>
  </sheetData>
  <phoneticPr fontId="52" type="noConversion"/>
  <conditionalFormatting sqref="B10:L44">
    <cfRule type="cellIs" dxfId="14" priority="1" operator="equal">
      <formula>0</formula>
    </cfRule>
  </conditionalFormatting>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
  <dimension ref="A1:BT26"/>
  <sheetViews>
    <sheetView zoomScale="80" zoomScaleNormal="80" workbookViewId="0">
      <selection activeCell="C2" sqref="C2"/>
    </sheetView>
  </sheetViews>
  <sheetFormatPr defaultRowHeight="14" x14ac:dyDescent="0.3"/>
  <cols>
    <col min="1" max="1" width="36.1640625" customWidth="1"/>
    <col min="2" max="7" width="8.83203125" customWidth="1"/>
    <col min="8" max="8" width="7.4140625" customWidth="1"/>
    <col min="9" max="13" width="8.83203125" customWidth="1"/>
    <col min="16" max="16" width="6.4140625" customWidth="1"/>
  </cols>
  <sheetData>
    <row r="1" spans="1:72" s="16" customFormat="1" ht="58.5" customHeight="1" x14ac:dyDescent="0.35">
      <c r="A1" s="227" t="s">
        <v>296</v>
      </c>
      <c r="B1" s="226" t="s">
        <v>301</v>
      </c>
      <c r="C1" s="223"/>
      <c r="D1" s="222"/>
      <c r="E1" s="223"/>
      <c r="F1" s="222"/>
      <c r="G1" s="223"/>
      <c r="H1" s="222"/>
      <c r="I1" s="223"/>
      <c r="J1" s="222"/>
      <c r="K1" s="223"/>
      <c r="L1" s="222"/>
      <c r="M1" s="223"/>
      <c r="N1" s="222"/>
      <c r="O1" s="223"/>
      <c r="P1" s="222"/>
      <c r="Q1" s="223"/>
      <c r="R1" s="222"/>
      <c r="S1" s="223"/>
      <c r="T1" s="222"/>
      <c r="U1" s="223"/>
      <c r="V1" s="222"/>
      <c r="W1" s="223"/>
      <c r="X1" s="222"/>
      <c r="Y1" s="223"/>
      <c r="Z1" s="222"/>
      <c r="AA1" s="223"/>
      <c r="AB1" s="222"/>
      <c r="AC1" s="223"/>
      <c r="AD1" s="222"/>
      <c r="AE1" s="223"/>
      <c r="AF1" s="222"/>
      <c r="AG1" s="223"/>
      <c r="AH1" s="222"/>
      <c r="AI1" s="223"/>
      <c r="AJ1" s="222"/>
      <c r="AK1" s="223"/>
      <c r="AL1" s="222"/>
      <c r="AM1" s="223"/>
      <c r="AN1" s="222"/>
      <c r="AO1" s="223"/>
      <c r="AP1" s="222"/>
      <c r="AQ1" s="223"/>
      <c r="AR1" s="222"/>
      <c r="AS1" s="223"/>
      <c r="AT1" s="222"/>
      <c r="AU1" s="223"/>
      <c r="AV1" s="222"/>
      <c r="AW1" s="223"/>
      <c r="AX1" s="222"/>
      <c r="AY1" s="223"/>
      <c r="AZ1" s="222"/>
      <c r="BA1" s="223"/>
      <c r="BB1" s="222"/>
      <c r="BC1" s="223"/>
      <c r="BD1" s="222"/>
      <c r="BE1" s="223"/>
      <c r="BF1" s="222"/>
      <c r="BG1" s="223"/>
      <c r="BH1" s="222"/>
      <c r="BI1" s="223"/>
      <c r="BJ1" s="222"/>
      <c r="BK1" s="223"/>
      <c r="BL1" s="222"/>
      <c r="BM1" s="223"/>
      <c r="BN1" s="222"/>
      <c r="BO1" s="223"/>
      <c r="BP1" s="222"/>
      <c r="BQ1" s="223"/>
      <c r="BR1" s="222"/>
      <c r="BS1" s="223"/>
      <c r="BT1" s="25"/>
    </row>
    <row r="2" spans="1:72" ht="15.75" customHeight="1" x14ac:dyDescent="0.35">
      <c r="A2" s="225"/>
      <c r="B2" s="72">
        <v>0</v>
      </c>
      <c r="C2" s="73">
        <v>1</v>
      </c>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3"/>
      <c r="BR2" s="43"/>
      <c r="BS2" s="44"/>
      <c r="BT2" s="25"/>
    </row>
    <row r="3" spans="1:72" ht="15.75" customHeight="1" x14ac:dyDescent="0.35">
      <c r="A3" s="228"/>
      <c r="B3" s="45"/>
      <c r="C3" s="46"/>
      <c r="D3" s="46"/>
      <c r="E3" s="46"/>
      <c r="F3" s="46"/>
      <c r="G3" s="46"/>
      <c r="H3" s="46"/>
      <c r="I3" s="46"/>
      <c r="J3" s="46"/>
      <c r="K3" s="46"/>
      <c r="L3" s="46"/>
      <c r="M3" s="46"/>
      <c r="N3" s="46"/>
      <c r="O3" s="46"/>
      <c r="P3" s="46"/>
      <c r="Q3" s="46"/>
      <c r="R3" s="46"/>
      <c r="S3" s="46"/>
      <c r="T3" s="46"/>
      <c r="U3" s="46"/>
      <c r="V3" s="46"/>
      <c r="W3" s="46"/>
      <c r="X3" s="46"/>
      <c r="Y3" s="46"/>
      <c r="Z3" s="46"/>
      <c r="AA3" s="46"/>
      <c r="AB3" s="46"/>
      <c r="AC3" s="46"/>
      <c r="AD3" s="46"/>
      <c r="AE3" s="46"/>
      <c r="AF3" s="46"/>
      <c r="AG3" s="46"/>
      <c r="AH3" s="46"/>
      <c r="AI3" s="46"/>
      <c r="AJ3" s="46"/>
      <c r="AK3" s="46"/>
      <c r="AL3" s="46"/>
      <c r="AM3" s="46"/>
      <c r="AN3" s="46"/>
      <c r="AO3" s="46"/>
      <c r="AP3" s="46"/>
      <c r="AQ3" s="46"/>
      <c r="AR3" s="46"/>
      <c r="AS3" s="46"/>
      <c r="AT3" s="46"/>
      <c r="AU3" s="46"/>
      <c r="AV3" s="46"/>
      <c r="AW3" s="46"/>
      <c r="AX3" s="46"/>
      <c r="AY3" s="46"/>
      <c r="AZ3" s="46"/>
      <c r="BA3" s="46"/>
      <c r="BB3" s="46"/>
      <c r="BC3" s="46"/>
      <c r="BD3" s="46"/>
      <c r="BE3" s="46"/>
      <c r="BF3" s="46"/>
      <c r="BG3" s="46"/>
      <c r="BH3" s="46"/>
      <c r="BI3" s="46"/>
      <c r="BJ3" s="46"/>
      <c r="BK3" s="46"/>
      <c r="BL3" s="46"/>
      <c r="BM3" s="46"/>
      <c r="BN3" s="46"/>
      <c r="BO3" s="46"/>
      <c r="BP3" s="46"/>
      <c r="BQ3" s="46"/>
      <c r="BR3" s="46"/>
      <c r="BS3" s="47"/>
      <c r="BT3" s="25"/>
    </row>
    <row r="4" spans="1:72" ht="15.5" customHeight="1" x14ac:dyDescent="0.3">
      <c r="A4" s="48"/>
      <c r="B4" s="33"/>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4"/>
      <c r="AV4" s="34"/>
      <c r="AW4" s="34"/>
      <c r="AX4" s="34"/>
      <c r="AY4" s="34"/>
      <c r="AZ4" s="34"/>
      <c r="BA4" s="34"/>
      <c r="BB4" s="34"/>
      <c r="BC4" s="34"/>
      <c r="BD4" s="34"/>
      <c r="BE4" s="34"/>
      <c r="BF4" s="34"/>
      <c r="BG4" s="34"/>
      <c r="BH4" s="34"/>
      <c r="BI4" s="34"/>
      <c r="BJ4" s="34"/>
      <c r="BK4" s="34"/>
      <c r="BL4" s="34"/>
      <c r="BM4" s="34"/>
      <c r="BN4" s="34"/>
      <c r="BO4" s="34"/>
      <c r="BP4" s="34"/>
      <c r="BQ4" s="34"/>
      <c r="BR4" s="34"/>
      <c r="BS4" s="35"/>
      <c r="BT4" s="25"/>
    </row>
    <row r="5" spans="1:72" ht="15.5" customHeight="1" x14ac:dyDescent="0.3">
      <c r="A5" s="49"/>
      <c r="B5" s="36"/>
      <c r="C5" s="37"/>
      <c r="D5" s="37"/>
      <c r="E5" s="37"/>
      <c r="F5" s="37"/>
      <c r="G5" s="37"/>
      <c r="H5" s="37"/>
      <c r="I5" s="37"/>
      <c r="J5" s="37"/>
      <c r="K5" s="37"/>
      <c r="L5" s="37"/>
      <c r="M5" s="37"/>
      <c r="N5" s="37"/>
      <c r="O5" s="37"/>
      <c r="P5" s="37"/>
      <c r="Q5" s="37"/>
      <c r="R5" s="37"/>
      <c r="S5" s="37"/>
      <c r="T5" s="37"/>
      <c r="U5" s="37"/>
      <c r="V5" s="37"/>
      <c r="W5" s="37"/>
      <c r="X5" s="37"/>
      <c r="Y5" s="37"/>
      <c r="Z5" s="37"/>
      <c r="AA5" s="37"/>
      <c r="AB5" s="37"/>
      <c r="AC5" s="37"/>
      <c r="AD5" s="37"/>
      <c r="AE5" s="37"/>
      <c r="AF5" s="37"/>
      <c r="AG5" s="37"/>
      <c r="AH5" s="37"/>
      <c r="AI5" s="37"/>
      <c r="AJ5" s="37"/>
      <c r="AK5" s="37"/>
      <c r="AL5" s="37"/>
      <c r="AM5" s="37"/>
      <c r="AN5" s="37"/>
      <c r="AO5" s="37"/>
      <c r="AP5" s="37"/>
      <c r="AQ5" s="37"/>
      <c r="AR5" s="37"/>
      <c r="AS5" s="37"/>
      <c r="AT5" s="37"/>
      <c r="AU5" s="37"/>
      <c r="AV5" s="37"/>
      <c r="AW5" s="37"/>
      <c r="AX5" s="37"/>
      <c r="AY5" s="37"/>
      <c r="AZ5" s="37"/>
      <c r="BA5" s="37"/>
      <c r="BB5" s="37"/>
      <c r="BC5" s="37"/>
      <c r="BD5" s="37"/>
      <c r="BE5" s="37"/>
      <c r="BF5" s="37"/>
      <c r="BG5" s="37"/>
      <c r="BH5" s="37"/>
      <c r="BI5" s="37"/>
      <c r="BJ5" s="37"/>
      <c r="BK5" s="37"/>
      <c r="BL5" s="37"/>
      <c r="BM5" s="37"/>
      <c r="BN5" s="37"/>
      <c r="BO5" s="37"/>
      <c r="BP5" s="37"/>
      <c r="BQ5" s="37"/>
      <c r="BR5" s="37"/>
      <c r="BS5" s="38"/>
      <c r="BT5" s="25"/>
    </row>
    <row r="6" spans="1:72" ht="15.5" customHeight="1" x14ac:dyDescent="0.3">
      <c r="A6" s="49"/>
      <c r="B6" s="36"/>
      <c r="C6" s="37"/>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37"/>
      <c r="AH6" s="37"/>
      <c r="AI6" s="37"/>
      <c r="AJ6" s="37"/>
      <c r="AK6" s="37"/>
      <c r="AL6" s="37"/>
      <c r="AM6" s="37"/>
      <c r="AN6" s="37"/>
      <c r="AO6" s="37"/>
      <c r="AP6" s="37"/>
      <c r="AQ6" s="37"/>
      <c r="AR6" s="37"/>
      <c r="AS6" s="37"/>
      <c r="AT6" s="37"/>
      <c r="AU6" s="37"/>
      <c r="AV6" s="37"/>
      <c r="AW6" s="37"/>
      <c r="AX6" s="37"/>
      <c r="AY6" s="37"/>
      <c r="AZ6" s="37"/>
      <c r="BA6" s="37"/>
      <c r="BB6" s="37"/>
      <c r="BC6" s="37"/>
      <c r="BD6" s="37"/>
      <c r="BE6" s="37"/>
      <c r="BF6" s="37"/>
      <c r="BG6" s="37"/>
      <c r="BH6" s="37"/>
      <c r="BI6" s="37"/>
      <c r="BJ6" s="37"/>
      <c r="BK6" s="37"/>
      <c r="BL6" s="37"/>
      <c r="BM6" s="37"/>
      <c r="BN6" s="37"/>
      <c r="BO6" s="37"/>
      <c r="BP6" s="37"/>
      <c r="BQ6" s="37"/>
      <c r="BR6" s="37"/>
      <c r="BS6" s="38"/>
      <c r="BT6" s="25"/>
    </row>
    <row r="7" spans="1:72" ht="15.5" customHeight="1" x14ac:dyDescent="0.3">
      <c r="A7" s="49"/>
      <c r="B7" s="36"/>
      <c r="C7" s="37"/>
      <c r="D7" s="37"/>
      <c r="E7" s="37"/>
      <c r="F7" s="37"/>
      <c r="G7" s="37"/>
      <c r="H7" s="37"/>
      <c r="I7" s="37"/>
      <c r="J7" s="37"/>
      <c r="K7" s="37"/>
      <c r="L7" s="37"/>
      <c r="M7" s="37"/>
      <c r="N7" s="37"/>
      <c r="O7" s="37"/>
      <c r="P7" s="37"/>
      <c r="Q7" s="37"/>
      <c r="R7" s="37"/>
      <c r="S7" s="37"/>
      <c r="T7" s="37"/>
      <c r="U7" s="37"/>
      <c r="V7" s="37"/>
      <c r="W7" s="37"/>
      <c r="X7" s="37"/>
      <c r="Y7" s="37"/>
      <c r="Z7" s="37"/>
      <c r="AA7" s="37"/>
      <c r="AB7" s="37"/>
      <c r="AC7" s="37"/>
      <c r="AD7" s="37"/>
      <c r="AE7" s="37"/>
      <c r="AF7" s="37"/>
      <c r="AG7" s="37"/>
      <c r="AH7" s="37"/>
      <c r="AI7" s="37"/>
      <c r="AJ7" s="37"/>
      <c r="AK7" s="37"/>
      <c r="AL7" s="37"/>
      <c r="AM7" s="37"/>
      <c r="AN7" s="37"/>
      <c r="AO7" s="37"/>
      <c r="AP7" s="37"/>
      <c r="AQ7" s="37"/>
      <c r="AR7" s="37"/>
      <c r="AS7" s="37"/>
      <c r="AT7" s="37"/>
      <c r="AU7" s="37"/>
      <c r="AV7" s="37"/>
      <c r="AW7" s="37"/>
      <c r="AX7" s="37"/>
      <c r="AY7" s="37"/>
      <c r="AZ7" s="37"/>
      <c r="BA7" s="37"/>
      <c r="BB7" s="37"/>
      <c r="BC7" s="37"/>
      <c r="BD7" s="37"/>
      <c r="BE7" s="37"/>
      <c r="BF7" s="37"/>
      <c r="BG7" s="37"/>
      <c r="BH7" s="37"/>
      <c r="BI7" s="37"/>
      <c r="BJ7" s="37"/>
      <c r="BK7" s="37"/>
      <c r="BL7" s="37"/>
      <c r="BM7" s="37"/>
      <c r="BN7" s="37"/>
      <c r="BO7" s="37"/>
      <c r="BP7" s="37"/>
      <c r="BQ7" s="37"/>
      <c r="BR7" s="37"/>
      <c r="BS7" s="38"/>
      <c r="BT7" s="25"/>
    </row>
    <row r="8" spans="1:72" ht="45" customHeight="1" x14ac:dyDescent="0.3">
      <c r="A8" s="49"/>
      <c r="B8" s="36"/>
      <c r="C8" s="37"/>
      <c r="D8" s="37"/>
      <c r="E8" s="37"/>
      <c r="F8" s="37"/>
      <c r="G8" s="37"/>
      <c r="H8" s="37"/>
      <c r="I8" s="37"/>
      <c r="J8" s="37"/>
      <c r="K8" s="37"/>
      <c r="L8" s="37"/>
      <c r="M8" s="37"/>
      <c r="N8" s="37"/>
      <c r="O8" s="37"/>
      <c r="P8" s="37"/>
      <c r="Q8" s="37"/>
      <c r="R8" s="37"/>
      <c r="S8" s="37"/>
      <c r="T8" s="37"/>
      <c r="U8" s="37"/>
      <c r="V8" s="37"/>
      <c r="W8" s="37"/>
      <c r="X8" s="37"/>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7"/>
      <c r="AY8" s="37"/>
      <c r="AZ8" s="37"/>
      <c r="BA8" s="37"/>
      <c r="BB8" s="37"/>
      <c r="BC8" s="37"/>
      <c r="BD8" s="37"/>
      <c r="BE8" s="37"/>
      <c r="BF8" s="37"/>
      <c r="BG8" s="37"/>
      <c r="BH8" s="37"/>
      <c r="BI8" s="37"/>
      <c r="BJ8" s="37"/>
      <c r="BK8" s="37"/>
      <c r="BL8" s="37"/>
      <c r="BM8" s="37"/>
      <c r="BN8" s="37"/>
      <c r="BO8" s="37"/>
      <c r="BP8" s="37"/>
      <c r="BQ8" s="37"/>
      <c r="BR8" s="37"/>
      <c r="BS8" s="38"/>
      <c r="BT8" s="25"/>
    </row>
    <row r="9" spans="1:72" ht="30" customHeight="1" x14ac:dyDescent="0.3">
      <c r="A9" s="49"/>
      <c r="B9" s="36"/>
      <c r="C9" s="37"/>
      <c r="D9" s="37"/>
      <c r="E9" s="37"/>
      <c r="F9" s="37"/>
      <c r="G9" s="37"/>
      <c r="H9" s="37"/>
      <c r="I9" s="37"/>
      <c r="J9" s="37"/>
      <c r="K9" s="37"/>
      <c r="L9" s="37"/>
      <c r="M9" s="37"/>
      <c r="N9" s="37"/>
      <c r="O9" s="37"/>
      <c r="P9" s="37"/>
      <c r="Q9" s="37"/>
      <c r="R9" s="37"/>
      <c r="S9" s="37"/>
      <c r="T9" s="37"/>
      <c r="U9" s="37"/>
      <c r="V9" s="37"/>
      <c r="W9" s="37"/>
      <c r="X9" s="37"/>
      <c r="Y9" s="37"/>
      <c r="Z9" s="37"/>
      <c r="AA9" s="37"/>
      <c r="AB9" s="37"/>
      <c r="AC9" s="37"/>
      <c r="AD9" s="37"/>
      <c r="AE9" s="37"/>
      <c r="AF9" s="37"/>
      <c r="AG9" s="37"/>
      <c r="AH9" s="37"/>
      <c r="AI9" s="37"/>
      <c r="AJ9" s="37"/>
      <c r="AK9" s="37"/>
      <c r="AL9" s="37"/>
      <c r="AM9" s="37"/>
      <c r="AN9" s="37"/>
      <c r="AO9" s="37"/>
      <c r="AP9" s="37"/>
      <c r="AQ9" s="37"/>
      <c r="AR9" s="37"/>
      <c r="AS9" s="37"/>
      <c r="AT9" s="37"/>
      <c r="AU9" s="37"/>
      <c r="AV9" s="37"/>
      <c r="AW9" s="37"/>
      <c r="AX9" s="37"/>
      <c r="AY9" s="37"/>
      <c r="AZ9" s="37"/>
      <c r="BA9" s="37"/>
      <c r="BB9" s="37"/>
      <c r="BC9" s="37"/>
      <c r="BD9" s="37"/>
      <c r="BE9" s="37"/>
      <c r="BF9" s="37"/>
      <c r="BG9" s="37"/>
      <c r="BH9" s="37"/>
      <c r="BI9" s="37"/>
      <c r="BJ9" s="37"/>
      <c r="BK9" s="37"/>
      <c r="BL9" s="37"/>
      <c r="BM9" s="37"/>
      <c r="BN9" s="37"/>
      <c r="BO9" s="37"/>
      <c r="BP9" s="37"/>
      <c r="BQ9" s="37"/>
      <c r="BR9" s="37"/>
      <c r="BS9" s="38"/>
      <c r="BT9" s="25"/>
    </row>
    <row r="10" spans="1:72" ht="30" customHeight="1" x14ac:dyDescent="0.3">
      <c r="A10" s="49"/>
      <c r="B10" s="36"/>
      <c r="C10" s="37"/>
      <c r="D10" s="37"/>
      <c r="E10" s="37"/>
      <c r="F10" s="37"/>
      <c r="G10" s="37"/>
      <c r="H10" s="37"/>
      <c r="I10" s="37"/>
      <c r="J10" s="37"/>
      <c r="K10" s="37"/>
      <c r="L10" s="37"/>
      <c r="M10" s="37"/>
      <c r="N10" s="37"/>
      <c r="O10" s="37"/>
      <c r="P10" s="37"/>
      <c r="Q10" s="37"/>
      <c r="R10" s="37"/>
      <c r="S10" s="37"/>
      <c r="T10" s="37"/>
      <c r="U10" s="37"/>
      <c r="V10" s="37"/>
      <c r="W10" s="37"/>
      <c r="X10" s="37"/>
      <c r="Y10" s="37"/>
      <c r="Z10" s="37"/>
      <c r="AA10" s="37"/>
      <c r="AB10" s="37"/>
      <c r="AC10" s="37"/>
      <c r="AD10" s="37"/>
      <c r="AE10" s="37"/>
      <c r="AF10" s="37"/>
      <c r="AG10" s="37"/>
      <c r="AH10" s="37"/>
      <c r="AI10" s="37"/>
      <c r="AJ10" s="37"/>
      <c r="AK10" s="37"/>
      <c r="AL10" s="37"/>
      <c r="AM10" s="37"/>
      <c r="AN10" s="37"/>
      <c r="AO10" s="37"/>
      <c r="AP10" s="37"/>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8"/>
      <c r="BT10" s="25"/>
    </row>
    <row r="11" spans="1:72" ht="15.5" customHeight="1" x14ac:dyDescent="0.3">
      <c r="A11" s="49"/>
      <c r="B11" s="36"/>
      <c r="C11" s="37"/>
      <c r="D11" s="37"/>
      <c r="E11" s="37"/>
      <c r="F11" s="37"/>
      <c r="G11" s="37"/>
      <c r="H11" s="37"/>
      <c r="I11" s="37"/>
      <c r="J11" s="37"/>
      <c r="K11" s="37"/>
      <c r="L11" s="37"/>
      <c r="M11" s="37"/>
      <c r="N11" s="37"/>
      <c r="O11" s="37"/>
      <c r="P11" s="37"/>
      <c r="Q11" s="37"/>
      <c r="R11" s="37"/>
      <c r="S11" s="37"/>
      <c r="T11" s="37"/>
      <c r="U11" s="37"/>
      <c r="V11" s="37"/>
      <c r="W11" s="37"/>
      <c r="X11" s="37"/>
      <c r="Y11" s="37"/>
      <c r="Z11" s="37"/>
      <c r="AA11" s="37"/>
      <c r="AB11" s="37"/>
      <c r="AC11" s="37"/>
      <c r="AD11" s="37"/>
      <c r="AE11" s="37"/>
      <c r="AF11" s="37"/>
      <c r="AG11" s="37"/>
      <c r="AH11" s="37"/>
      <c r="AI11" s="37"/>
      <c r="AJ11" s="37"/>
      <c r="AK11" s="37"/>
      <c r="AL11" s="37"/>
      <c r="AM11" s="37"/>
      <c r="AN11" s="37"/>
      <c r="AO11" s="37"/>
      <c r="AP11" s="37"/>
      <c r="AQ11" s="37"/>
      <c r="AR11" s="37"/>
      <c r="AS11" s="37"/>
      <c r="AT11" s="37"/>
      <c r="AU11" s="37"/>
      <c r="AV11" s="37"/>
      <c r="AW11" s="37"/>
      <c r="AX11" s="37"/>
      <c r="AY11" s="37"/>
      <c r="AZ11" s="37"/>
      <c r="BA11" s="37"/>
      <c r="BB11" s="37"/>
      <c r="BC11" s="37"/>
      <c r="BD11" s="37"/>
      <c r="BE11" s="37"/>
      <c r="BF11" s="37"/>
      <c r="BG11" s="37"/>
      <c r="BH11" s="37"/>
      <c r="BI11" s="37"/>
      <c r="BJ11" s="37"/>
      <c r="BK11" s="37"/>
      <c r="BL11" s="37"/>
      <c r="BM11" s="37"/>
      <c r="BN11" s="37"/>
      <c r="BO11" s="37"/>
      <c r="BP11" s="37"/>
      <c r="BQ11" s="37"/>
      <c r="BR11" s="37"/>
      <c r="BS11" s="38"/>
      <c r="BT11" s="25"/>
    </row>
    <row r="12" spans="1:72" ht="15.5" customHeight="1" x14ac:dyDescent="0.3">
      <c r="A12" s="49"/>
      <c r="B12" s="36"/>
      <c r="C12" s="37"/>
      <c r="D12" s="37"/>
      <c r="E12" s="37"/>
      <c r="F12" s="37"/>
      <c r="G12" s="37"/>
      <c r="H12" s="37"/>
      <c r="I12" s="37"/>
      <c r="J12" s="37"/>
      <c r="K12" s="37"/>
      <c r="L12" s="37"/>
      <c r="M12" s="37"/>
      <c r="N12" s="37"/>
      <c r="O12" s="37"/>
      <c r="P12" s="37"/>
      <c r="Q12" s="37"/>
      <c r="R12" s="37"/>
      <c r="S12" s="37"/>
      <c r="T12" s="37"/>
      <c r="U12" s="37"/>
      <c r="V12" s="37"/>
      <c r="W12" s="37"/>
      <c r="X12" s="37"/>
      <c r="Y12" s="37"/>
      <c r="Z12" s="37"/>
      <c r="AA12" s="37"/>
      <c r="AB12" s="37"/>
      <c r="AC12" s="37"/>
      <c r="AD12" s="37"/>
      <c r="AE12" s="37"/>
      <c r="AF12" s="37"/>
      <c r="AG12" s="37"/>
      <c r="AH12" s="37"/>
      <c r="AI12" s="37"/>
      <c r="AJ12" s="37"/>
      <c r="AK12" s="37"/>
      <c r="AL12" s="37"/>
      <c r="AM12" s="37"/>
      <c r="AN12" s="37"/>
      <c r="AO12" s="37"/>
      <c r="AP12" s="37"/>
      <c r="AQ12" s="37"/>
      <c r="AR12" s="37"/>
      <c r="AS12" s="37"/>
      <c r="AT12" s="37"/>
      <c r="AU12" s="37"/>
      <c r="AV12" s="37"/>
      <c r="AW12" s="37"/>
      <c r="AX12" s="37"/>
      <c r="AY12" s="37"/>
      <c r="AZ12" s="37"/>
      <c r="BA12" s="37"/>
      <c r="BB12" s="37"/>
      <c r="BC12" s="37"/>
      <c r="BD12" s="37"/>
      <c r="BE12" s="37"/>
      <c r="BF12" s="37"/>
      <c r="BG12" s="37"/>
      <c r="BH12" s="37"/>
      <c r="BI12" s="37"/>
      <c r="BJ12" s="37"/>
      <c r="BK12" s="37"/>
      <c r="BL12" s="37"/>
      <c r="BM12" s="37"/>
      <c r="BN12" s="37"/>
      <c r="BO12" s="37"/>
      <c r="BP12" s="37"/>
      <c r="BQ12" s="37"/>
      <c r="BR12" s="37"/>
      <c r="BS12" s="38"/>
      <c r="BT12" s="25"/>
    </row>
    <row r="13" spans="1:72" ht="15.5" customHeight="1" x14ac:dyDescent="0.3">
      <c r="A13" s="50"/>
      <c r="B13" s="39"/>
      <c r="C13" s="40"/>
      <c r="D13" s="40"/>
      <c r="E13" s="40"/>
      <c r="F13" s="40"/>
      <c r="G13" s="40"/>
      <c r="H13" s="40"/>
      <c r="I13" s="40"/>
      <c r="J13" s="40"/>
      <c r="K13" s="40"/>
      <c r="L13" s="40"/>
      <c r="M13" s="40"/>
      <c r="N13" s="40"/>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s="40"/>
      <c r="BE13" s="40"/>
      <c r="BF13" s="40"/>
      <c r="BG13" s="40"/>
      <c r="BH13" s="40"/>
      <c r="BI13" s="40"/>
      <c r="BJ13" s="40"/>
      <c r="BK13" s="40"/>
      <c r="BL13" s="40"/>
      <c r="BM13" s="40"/>
      <c r="BN13" s="40"/>
      <c r="BO13" s="40"/>
      <c r="BP13" s="40"/>
      <c r="BQ13" s="40"/>
      <c r="BR13" s="40"/>
      <c r="BS13" s="41"/>
      <c r="BT13" s="25"/>
    </row>
    <row r="14" spans="1:72" ht="15" customHeight="1" x14ac:dyDescent="0.3">
      <c r="A14" s="51"/>
      <c r="B14" s="52"/>
      <c r="C14" s="52"/>
      <c r="D14" s="52"/>
      <c r="E14" s="52"/>
      <c r="F14" s="52"/>
      <c r="G14" s="52"/>
      <c r="H14" s="52"/>
      <c r="I14" s="52"/>
      <c r="J14" s="52"/>
      <c r="K14" s="52"/>
      <c r="L14" s="52"/>
      <c r="M14" s="52"/>
      <c r="N14" s="52"/>
      <c r="O14" s="52"/>
      <c r="P14" s="52"/>
      <c r="Q14" s="52"/>
      <c r="R14" s="52"/>
      <c r="S14" s="52"/>
      <c r="T14" s="52"/>
      <c r="U14" s="52"/>
      <c r="V14" s="52"/>
      <c r="W14" s="52"/>
      <c r="X14" s="52"/>
      <c r="Y14" s="52"/>
      <c r="Z14" s="52"/>
      <c r="AA14" s="52"/>
      <c r="AB14" s="52"/>
      <c r="AC14" s="52"/>
      <c r="AD14" s="52"/>
      <c r="AE14" s="52"/>
      <c r="AF14" s="52"/>
      <c r="AG14" s="52"/>
      <c r="AH14" s="52"/>
      <c r="AI14" s="52"/>
      <c r="AJ14" s="52"/>
      <c r="AK14" s="52"/>
      <c r="AL14" s="52"/>
      <c r="AM14" s="52"/>
      <c r="AN14" s="52"/>
      <c r="AO14" s="52"/>
      <c r="AP14" s="52"/>
      <c r="AQ14" s="52"/>
      <c r="AR14" s="52"/>
      <c r="AS14" s="52"/>
      <c r="AT14" s="52"/>
      <c r="AU14" s="52"/>
      <c r="AV14" s="52"/>
      <c r="AW14" s="52"/>
      <c r="AX14" s="52"/>
      <c r="AY14" s="52"/>
      <c r="AZ14" s="52"/>
      <c r="BA14" s="52"/>
      <c r="BB14" s="52"/>
      <c r="BC14" s="52"/>
      <c r="BD14" s="52"/>
      <c r="BE14" s="52"/>
      <c r="BF14" s="25"/>
    </row>
    <row r="16" spans="1:72" ht="15.5" customHeight="1" x14ac:dyDescent="0.3">
      <c r="A16" s="48">
        <f t="shared" ref="A16:A25" si="0">A4</f>
        <v>0</v>
      </c>
      <c r="C16" s="11">
        <f t="shared" ref="C16:C25" si="1">C4-B4</f>
        <v>0</v>
      </c>
      <c r="E16" s="11">
        <f t="shared" ref="E16:E25" si="2">E4-D4</f>
        <v>0</v>
      </c>
      <c r="G16" s="11">
        <f t="shared" ref="G16:G25" si="3">G4-F4</f>
        <v>0</v>
      </c>
      <c r="I16" s="11">
        <f t="shared" ref="I16:I25" si="4">I4-H4</f>
        <v>0</v>
      </c>
      <c r="K16" s="11">
        <f t="shared" ref="K16:K25" si="5">K4-J4</f>
        <v>0</v>
      </c>
      <c r="M16" s="11">
        <f t="shared" ref="M16:M25" si="6">M4-L4</f>
        <v>0</v>
      </c>
      <c r="O16" s="11">
        <f t="shared" ref="O16:O25" si="7">O4-N4</f>
        <v>0</v>
      </c>
      <c r="Q16" s="11">
        <f t="shared" ref="Q16:Q25" si="8">Q4-P4</f>
        <v>0</v>
      </c>
      <c r="S16" s="11">
        <f t="shared" ref="S16:S25" si="9">S4-R4</f>
        <v>0</v>
      </c>
      <c r="U16" s="11">
        <f t="shared" ref="U16:U25" si="10">U4-T4</f>
        <v>0</v>
      </c>
      <c r="W16" s="11">
        <f t="shared" ref="W16:W25" si="11">W4-V4</f>
        <v>0</v>
      </c>
      <c r="Y16" s="11">
        <f t="shared" ref="Y16:Y25" si="12">Y4-X4</f>
        <v>0</v>
      </c>
      <c r="AA16" s="11">
        <f t="shared" ref="AA16:AA25" si="13">AA4-Z4</f>
        <v>0</v>
      </c>
      <c r="AC16" s="11">
        <f t="shared" ref="AC16:AC25" si="14">AC4-AB4</f>
        <v>0</v>
      </c>
      <c r="AE16" s="11">
        <f t="shared" ref="AE16:AE25" si="15">AE4-AD4</f>
        <v>0</v>
      </c>
      <c r="AG16" s="11">
        <f t="shared" ref="AG16:AG25" si="16">AG4-AF4</f>
        <v>0</v>
      </c>
      <c r="AI16" s="11">
        <f t="shared" ref="AI16:AI25" si="17">AI4-AH4</f>
        <v>0</v>
      </c>
      <c r="AK16" s="11">
        <f t="shared" ref="AK16:AK25" si="18">AK4-AJ4</f>
        <v>0</v>
      </c>
      <c r="AM16" s="11">
        <f t="shared" ref="AM16:AM25" si="19">AM4-AL4</f>
        <v>0</v>
      </c>
      <c r="AO16" s="11">
        <f t="shared" ref="AO16:AO25" si="20">AO4-AN4</f>
        <v>0</v>
      </c>
      <c r="AQ16" s="11">
        <f t="shared" ref="AQ16:AQ25" si="21">AQ4-AP4</f>
        <v>0</v>
      </c>
      <c r="AS16" s="11">
        <f t="shared" ref="AS16:AS25" si="22">AS4-AR4</f>
        <v>0</v>
      </c>
      <c r="AU16" s="11">
        <f t="shared" ref="AU16:AU25" si="23">AU4-AT4</f>
        <v>0</v>
      </c>
      <c r="AW16" s="11">
        <f t="shared" ref="AW16:AW25" si="24">AW4-AV4</f>
        <v>0</v>
      </c>
      <c r="AY16" s="11">
        <f t="shared" ref="AY16:AY25" si="25">AY4-AX4</f>
        <v>0</v>
      </c>
      <c r="BA16" s="11">
        <f t="shared" ref="BA16:BA25" si="26">BA4-AZ4</f>
        <v>0</v>
      </c>
      <c r="BC16" s="11">
        <f t="shared" ref="BC16:BC25" si="27">BC4-BB4</f>
        <v>0</v>
      </c>
      <c r="BE16" s="11">
        <f t="shared" ref="BE16:BE25" si="28">BE4-BD4</f>
        <v>0</v>
      </c>
      <c r="BG16" s="11">
        <f t="shared" ref="BG16:BG25" si="29">BG4-BF4</f>
        <v>0</v>
      </c>
      <c r="BI16" s="11">
        <f t="shared" ref="BI16:BI25" si="30">BI4-BH4</f>
        <v>0</v>
      </c>
      <c r="BK16" s="11">
        <f t="shared" ref="BK16:BK25" si="31">BK4-BJ4</f>
        <v>0</v>
      </c>
      <c r="BM16" s="11">
        <f t="shared" ref="BM16:BM25" si="32">BM4-BL4</f>
        <v>0</v>
      </c>
      <c r="BO16" s="11">
        <f t="shared" ref="BO16:BO25" si="33">BO4-BN4</f>
        <v>0</v>
      </c>
      <c r="BQ16" s="11">
        <f t="shared" ref="BQ16:BQ25" si="34">BQ4-BP4</f>
        <v>0</v>
      </c>
      <c r="BS16" s="11">
        <f t="shared" ref="BS16:BS25" si="35">BS4-BR4</f>
        <v>0</v>
      </c>
    </row>
    <row r="17" spans="1:71" ht="15.5" customHeight="1" x14ac:dyDescent="0.3">
      <c r="A17" s="48">
        <f t="shared" si="0"/>
        <v>0</v>
      </c>
      <c r="C17" s="11">
        <f t="shared" si="1"/>
        <v>0</v>
      </c>
      <c r="E17" s="11">
        <f t="shared" si="2"/>
        <v>0</v>
      </c>
      <c r="G17" s="11">
        <f t="shared" si="3"/>
        <v>0</v>
      </c>
      <c r="I17" s="11">
        <f t="shared" si="4"/>
        <v>0</v>
      </c>
      <c r="K17" s="11">
        <f t="shared" si="5"/>
        <v>0</v>
      </c>
      <c r="M17" s="11">
        <f t="shared" si="6"/>
        <v>0</v>
      </c>
      <c r="O17" s="11">
        <f t="shared" si="7"/>
        <v>0</v>
      </c>
      <c r="Q17" s="11">
        <f t="shared" si="8"/>
        <v>0</v>
      </c>
      <c r="S17" s="11">
        <f t="shared" si="9"/>
        <v>0</v>
      </c>
      <c r="U17" s="11">
        <f t="shared" si="10"/>
        <v>0</v>
      </c>
      <c r="W17" s="11">
        <f t="shared" si="11"/>
        <v>0</v>
      </c>
      <c r="Y17" s="11">
        <f t="shared" si="12"/>
        <v>0</v>
      </c>
      <c r="AA17" s="11">
        <f t="shared" si="13"/>
        <v>0</v>
      </c>
      <c r="AC17" s="11">
        <f t="shared" si="14"/>
        <v>0</v>
      </c>
      <c r="AE17" s="11">
        <f t="shared" si="15"/>
        <v>0</v>
      </c>
      <c r="AG17" s="11">
        <f t="shared" si="16"/>
        <v>0</v>
      </c>
      <c r="AI17" s="11">
        <f t="shared" si="17"/>
        <v>0</v>
      </c>
      <c r="AK17" s="11">
        <f t="shared" si="18"/>
        <v>0</v>
      </c>
      <c r="AM17" s="11">
        <f t="shared" si="19"/>
        <v>0</v>
      </c>
      <c r="AO17" s="11">
        <f t="shared" si="20"/>
        <v>0</v>
      </c>
      <c r="AQ17" s="11">
        <f t="shared" si="21"/>
        <v>0</v>
      </c>
      <c r="AS17" s="11">
        <f t="shared" si="22"/>
        <v>0</v>
      </c>
      <c r="AU17" s="11">
        <f t="shared" si="23"/>
        <v>0</v>
      </c>
      <c r="AW17" s="11">
        <f t="shared" si="24"/>
        <v>0</v>
      </c>
      <c r="AY17" s="11">
        <f t="shared" si="25"/>
        <v>0</v>
      </c>
      <c r="BA17" s="11">
        <f t="shared" si="26"/>
        <v>0</v>
      </c>
      <c r="BC17" s="11">
        <f t="shared" si="27"/>
        <v>0</v>
      </c>
      <c r="BE17" s="11">
        <f t="shared" si="28"/>
        <v>0</v>
      </c>
      <c r="BG17" s="11">
        <f t="shared" si="29"/>
        <v>0</v>
      </c>
      <c r="BI17" s="11">
        <f t="shared" si="30"/>
        <v>0</v>
      </c>
      <c r="BK17" s="11">
        <f t="shared" si="31"/>
        <v>0</v>
      </c>
      <c r="BM17" s="11">
        <f t="shared" si="32"/>
        <v>0</v>
      </c>
      <c r="BO17" s="11">
        <f t="shared" si="33"/>
        <v>0</v>
      </c>
      <c r="BQ17" s="11">
        <f t="shared" si="34"/>
        <v>0</v>
      </c>
      <c r="BS17" s="11">
        <f t="shared" si="35"/>
        <v>0</v>
      </c>
    </row>
    <row r="18" spans="1:71" ht="15.5" customHeight="1" x14ac:dyDescent="0.3">
      <c r="A18" s="48">
        <f t="shared" si="0"/>
        <v>0</v>
      </c>
      <c r="C18" s="11">
        <f t="shared" si="1"/>
        <v>0</v>
      </c>
      <c r="E18" s="11">
        <f t="shared" si="2"/>
        <v>0</v>
      </c>
      <c r="G18" s="11">
        <f t="shared" si="3"/>
        <v>0</v>
      </c>
      <c r="I18" s="11">
        <f t="shared" si="4"/>
        <v>0</v>
      </c>
      <c r="K18" s="11">
        <f t="shared" si="5"/>
        <v>0</v>
      </c>
      <c r="M18" s="11">
        <f t="shared" si="6"/>
        <v>0</v>
      </c>
      <c r="O18" s="11">
        <f t="shared" si="7"/>
        <v>0</v>
      </c>
      <c r="Q18" s="11">
        <f t="shared" si="8"/>
        <v>0</v>
      </c>
      <c r="S18" s="11">
        <f t="shared" si="9"/>
        <v>0</v>
      </c>
      <c r="U18" s="11">
        <f t="shared" si="10"/>
        <v>0</v>
      </c>
      <c r="W18" s="11">
        <f t="shared" si="11"/>
        <v>0</v>
      </c>
      <c r="Y18" s="11">
        <f t="shared" si="12"/>
        <v>0</v>
      </c>
      <c r="AA18" s="11">
        <f t="shared" si="13"/>
        <v>0</v>
      </c>
      <c r="AC18" s="11">
        <f t="shared" si="14"/>
        <v>0</v>
      </c>
      <c r="AE18" s="11">
        <f t="shared" si="15"/>
        <v>0</v>
      </c>
      <c r="AG18" s="11">
        <f t="shared" si="16"/>
        <v>0</v>
      </c>
      <c r="AI18" s="11">
        <f t="shared" si="17"/>
        <v>0</v>
      </c>
      <c r="AK18" s="11">
        <f t="shared" si="18"/>
        <v>0</v>
      </c>
      <c r="AM18" s="11">
        <f t="shared" si="19"/>
        <v>0</v>
      </c>
      <c r="AO18" s="11">
        <f t="shared" si="20"/>
        <v>0</v>
      </c>
      <c r="AQ18" s="11">
        <f t="shared" si="21"/>
        <v>0</v>
      </c>
      <c r="AS18" s="11">
        <f t="shared" si="22"/>
        <v>0</v>
      </c>
      <c r="AU18" s="11">
        <f t="shared" si="23"/>
        <v>0</v>
      </c>
      <c r="AW18" s="11">
        <f t="shared" si="24"/>
        <v>0</v>
      </c>
      <c r="AY18" s="11">
        <f t="shared" si="25"/>
        <v>0</v>
      </c>
      <c r="BA18" s="11">
        <f t="shared" si="26"/>
        <v>0</v>
      </c>
      <c r="BC18" s="11">
        <f t="shared" si="27"/>
        <v>0</v>
      </c>
      <c r="BE18" s="11">
        <f t="shared" si="28"/>
        <v>0</v>
      </c>
      <c r="BG18" s="11">
        <f t="shared" si="29"/>
        <v>0</v>
      </c>
      <c r="BI18" s="11">
        <f t="shared" si="30"/>
        <v>0</v>
      </c>
      <c r="BK18" s="11">
        <f t="shared" si="31"/>
        <v>0</v>
      </c>
      <c r="BM18" s="11">
        <f t="shared" si="32"/>
        <v>0</v>
      </c>
      <c r="BO18" s="11">
        <f t="shared" si="33"/>
        <v>0</v>
      </c>
      <c r="BQ18" s="11">
        <f t="shared" si="34"/>
        <v>0</v>
      </c>
      <c r="BS18" s="11">
        <f t="shared" si="35"/>
        <v>0</v>
      </c>
    </row>
    <row r="19" spans="1:71" ht="15.5" customHeight="1" x14ac:dyDescent="0.3">
      <c r="A19" s="48">
        <f t="shared" si="0"/>
        <v>0</v>
      </c>
      <c r="C19" s="11">
        <f t="shared" si="1"/>
        <v>0</v>
      </c>
      <c r="E19" s="11">
        <f t="shared" si="2"/>
        <v>0</v>
      </c>
      <c r="G19" s="11">
        <f t="shared" si="3"/>
        <v>0</v>
      </c>
      <c r="I19" s="11">
        <f t="shared" si="4"/>
        <v>0</v>
      </c>
      <c r="K19" s="11">
        <f t="shared" si="5"/>
        <v>0</v>
      </c>
      <c r="M19" s="11">
        <f t="shared" si="6"/>
        <v>0</v>
      </c>
      <c r="O19" s="11">
        <f t="shared" si="7"/>
        <v>0</v>
      </c>
      <c r="Q19" s="11">
        <f t="shared" si="8"/>
        <v>0</v>
      </c>
      <c r="S19" s="11">
        <f t="shared" si="9"/>
        <v>0</v>
      </c>
      <c r="U19" s="11">
        <f t="shared" si="10"/>
        <v>0</v>
      </c>
      <c r="W19" s="11">
        <f t="shared" si="11"/>
        <v>0</v>
      </c>
      <c r="Y19" s="11">
        <f t="shared" si="12"/>
        <v>0</v>
      </c>
      <c r="AA19" s="11">
        <f t="shared" si="13"/>
        <v>0</v>
      </c>
      <c r="AC19" s="11">
        <f t="shared" si="14"/>
        <v>0</v>
      </c>
      <c r="AE19" s="11">
        <f t="shared" si="15"/>
        <v>0</v>
      </c>
      <c r="AG19" s="11">
        <f t="shared" si="16"/>
        <v>0</v>
      </c>
      <c r="AI19" s="11">
        <f t="shared" si="17"/>
        <v>0</v>
      </c>
      <c r="AK19" s="11">
        <f t="shared" si="18"/>
        <v>0</v>
      </c>
      <c r="AM19" s="11">
        <f t="shared" si="19"/>
        <v>0</v>
      </c>
      <c r="AO19" s="11">
        <f t="shared" si="20"/>
        <v>0</v>
      </c>
      <c r="AQ19" s="11">
        <f t="shared" si="21"/>
        <v>0</v>
      </c>
      <c r="AS19" s="11">
        <f t="shared" si="22"/>
        <v>0</v>
      </c>
      <c r="AU19" s="11">
        <f t="shared" si="23"/>
        <v>0</v>
      </c>
      <c r="AW19" s="11">
        <f t="shared" si="24"/>
        <v>0</v>
      </c>
      <c r="AY19" s="11">
        <f t="shared" si="25"/>
        <v>0</v>
      </c>
      <c r="BA19" s="11">
        <f t="shared" si="26"/>
        <v>0</v>
      </c>
      <c r="BC19" s="11">
        <f t="shared" si="27"/>
        <v>0</v>
      </c>
      <c r="BE19" s="11">
        <f t="shared" si="28"/>
        <v>0</v>
      </c>
      <c r="BG19" s="11">
        <f t="shared" si="29"/>
        <v>0</v>
      </c>
      <c r="BI19" s="11">
        <f t="shared" si="30"/>
        <v>0</v>
      </c>
      <c r="BK19" s="11">
        <f t="shared" si="31"/>
        <v>0</v>
      </c>
      <c r="BM19" s="11">
        <f t="shared" si="32"/>
        <v>0</v>
      </c>
      <c r="BO19" s="11">
        <f t="shared" si="33"/>
        <v>0</v>
      </c>
      <c r="BQ19" s="11">
        <f t="shared" si="34"/>
        <v>0</v>
      </c>
      <c r="BS19" s="11">
        <f t="shared" si="35"/>
        <v>0</v>
      </c>
    </row>
    <row r="20" spans="1:71" ht="15.5" customHeight="1" x14ac:dyDescent="0.3">
      <c r="A20" s="48">
        <f t="shared" si="0"/>
        <v>0</v>
      </c>
      <c r="C20" s="11">
        <f t="shared" si="1"/>
        <v>0</v>
      </c>
      <c r="E20" s="11">
        <f t="shared" si="2"/>
        <v>0</v>
      </c>
      <c r="G20" s="11">
        <f t="shared" si="3"/>
        <v>0</v>
      </c>
      <c r="I20" s="11">
        <f t="shared" si="4"/>
        <v>0</v>
      </c>
      <c r="K20" s="11">
        <f t="shared" si="5"/>
        <v>0</v>
      </c>
      <c r="M20" s="11">
        <f t="shared" si="6"/>
        <v>0</v>
      </c>
      <c r="O20" s="11">
        <f t="shared" si="7"/>
        <v>0</v>
      </c>
      <c r="Q20" s="11">
        <f t="shared" si="8"/>
        <v>0</v>
      </c>
      <c r="S20" s="11">
        <f t="shared" si="9"/>
        <v>0</v>
      </c>
      <c r="U20" s="11">
        <f t="shared" si="10"/>
        <v>0</v>
      </c>
      <c r="W20" s="11">
        <f t="shared" si="11"/>
        <v>0</v>
      </c>
      <c r="Y20" s="11">
        <f t="shared" si="12"/>
        <v>0</v>
      </c>
      <c r="AA20" s="11">
        <f t="shared" si="13"/>
        <v>0</v>
      </c>
      <c r="AC20" s="11">
        <f t="shared" si="14"/>
        <v>0</v>
      </c>
      <c r="AE20" s="11">
        <f t="shared" si="15"/>
        <v>0</v>
      </c>
      <c r="AG20" s="11">
        <f t="shared" si="16"/>
        <v>0</v>
      </c>
      <c r="AI20" s="11">
        <f t="shared" si="17"/>
        <v>0</v>
      </c>
      <c r="AK20" s="11">
        <f t="shared" si="18"/>
        <v>0</v>
      </c>
      <c r="AM20" s="11">
        <f t="shared" si="19"/>
        <v>0</v>
      </c>
      <c r="AO20" s="11">
        <f t="shared" si="20"/>
        <v>0</v>
      </c>
      <c r="AQ20" s="11">
        <f t="shared" si="21"/>
        <v>0</v>
      </c>
      <c r="AS20" s="11">
        <f t="shared" si="22"/>
        <v>0</v>
      </c>
      <c r="AU20" s="11">
        <f t="shared" si="23"/>
        <v>0</v>
      </c>
      <c r="AW20" s="11">
        <f t="shared" si="24"/>
        <v>0</v>
      </c>
      <c r="AY20" s="11">
        <f t="shared" si="25"/>
        <v>0</v>
      </c>
      <c r="BA20" s="11">
        <f t="shared" si="26"/>
        <v>0</v>
      </c>
      <c r="BC20" s="11">
        <f t="shared" si="27"/>
        <v>0</v>
      </c>
      <c r="BE20" s="11">
        <f t="shared" si="28"/>
        <v>0</v>
      </c>
      <c r="BG20" s="11">
        <f t="shared" si="29"/>
        <v>0</v>
      </c>
      <c r="BI20" s="11">
        <f t="shared" si="30"/>
        <v>0</v>
      </c>
      <c r="BK20" s="11">
        <f t="shared" si="31"/>
        <v>0</v>
      </c>
      <c r="BM20" s="11">
        <f t="shared" si="32"/>
        <v>0</v>
      </c>
      <c r="BO20" s="11">
        <f t="shared" si="33"/>
        <v>0</v>
      </c>
      <c r="BQ20" s="11">
        <f t="shared" si="34"/>
        <v>0</v>
      </c>
      <c r="BS20" s="11">
        <f t="shared" si="35"/>
        <v>0</v>
      </c>
    </row>
    <row r="21" spans="1:71" ht="15.5" customHeight="1" x14ac:dyDescent="0.3">
      <c r="A21" s="48">
        <f t="shared" si="0"/>
        <v>0</v>
      </c>
      <c r="C21" s="11">
        <f t="shared" si="1"/>
        <v>0</v>
      </c>
      <c r="E21" s="11">
        <f t="shared" si="2"/>
        <v>0</v>
      </c>
      <c r="G21" s="11">
        <f t="shared" si="3"/>
        <v>0</v>
      </c>
      <c r="I21" s="11">
        <f t="shared" si="4"/>
        <v>0</v>
      </c>
      <c r="K21" s="11">
        <f t="shared" si="5"/>
        <v>0</v>
      </c>
      <c r="M21" s="11">
        <f t="shared" si="6"/>
        <v>0</v>
      </c>
      <c r="O21" s="11">
        <f t="shared" si="7"/>
        <v>0</v>
      </c>
      <c r="Q21" s="11">
        <f t="shared" si="8"/>
        <v>0</v>
      </c>
      <c r="S21" s="11">
        <f t="shared" si="9"/>
        <v>0</v>
      </c>
      <c r="U21" s="11">
        <f t="shared" si="10"/>
        <v>0</v>
      </c>
      <c r="W21" s="11">
        <f t="shared" si="11"/>
        <v>0</v>
      </c>
      <c r="Y21" s="11">
        <f t="shared" si="12"/>
        <v>0</v>
      </c>
      <c r="AA21" s="11">
        <f t="shared" si="13"/>
        <v>0</v>
      </c>
      <c r="AC21" s="11">
        <f t="shared" si="14"/>
        <v>0</v>
      </c>
      <c r="AE21" s="11">
        <f t="shared" si="15"/>
        <v>0</v>
      </c>
      <c r="AG21" s="11">
        <f t="shared" si="16"/>
        <v>0</v>
      </c>
      <c r="AI21" s="11">
        <f t="shared" si="17"/>
        <v>0</v>
      </c>
      <c r="AK21" s="11">
        <f t="shared" si="18"/>
        <v>0</v>
      </c>
      <c r="AM21" s="11">
        <f t="shared" si="19"/>
        <v>0</v>
      </c>
      <c r="AO21" s="11">
        <f t="shared" si="20"/>
        <v>0</v>
      </c>
      <c r="AQ21" s="11">
        <f t="shared" si="21"/>
        <v>0</v>
      </c>
      <c r="AS21" s="11">
        <f t="shared" si="22"/>
        <v>0</v>
      </c>
      <c r="AU21" s="11">
        <f t="shared" si="23"/>
        <v>0</v>
      </c>
      <c r="AW21" s="11">
        <f t="shared" si="24"/>
        <v>0</v>
      </c>
      <c r="AY21" s="11">
        <f t="shared" si="25"/>
        <v>0</v>
      </c>
      <c r="BA21" s="11">
        <f t="shared" si="26"/>
        <v>0</v>
      </c>
      <c r="BC21" s="11">
        <f t="shared" si="27"/>
        <v>0</v>
      </c>
      <c r="BE21" s="11">
        <f t="shared" si="28"/>
        <v>0</v>
      </c>
      <c r="BG21" s="11">
        <f t="shared" si="29"/>
        <v>0</v>
      </c>
      <c r="BI21" s="11">
        <f t="shared" si="30"/>
        <v>0</v>
      </c>
      <c r="BK21" s="11">
        <f t="shared" si="31"/>
        <v>0</v>
      </c>
      <c r="BM21" s="11">
        <f t="shared" si="32"/>
        <v>0</v>
      </c>
      <c r="BO21" s="11">
        <f t="shared" si="33"/>
        <v>0</v>
      </c>
      <c r="BQ21" s="11">
        <f t="shared" si="34"/>
        <v>0</v>
      </c>
      <c r="BS21" s="11">
        <f t="shared" si="35"/>
        <v>0</v>
      </c>
    </row>
    <row r="22" spans="1:71" ht="15.5" customHeight="1" x14ac:dyDescent="0.3">
      <c r="A22" s="48">
        <f t="shared" si="0"/>
        <v>0</v>
      </c>
      <c r="C22" s="11">
        <f t="shared" si="1"/>
        <v>0</v>
      </c>
      <c r="E22" s="11">
        <f t="shared" si="2"/>
        <v>0</v>
      </c>
      <c r="G22" s="11">
        <f t="shared" si="3"/>
        <v>0</v>
      </c>
      <c r="I22" s="11">
        <f t="shared" si="4"/>
        <v>0</v>
      </c>
      <c r="K22" s="11">
        <f t="shared" si="5"/>
        <v>0</v>
      </c>
      <c r="M22" s="11">
        <f t="shared" si="6"/>
        <v>0</v>
      </c>
      <c r="O22" s="11">
        <f t="shared" si="7"/>
        <v>0</v>
      </c>
      <c r="Q22" s="11">
        <f t="shared" si="8"/>
        <v>0</v>
      </c>
      <c r="S22" s="11">
        <f t="shared" si="9"/>
        <v>0</v>
      </c>
      <c r="U22" s="11">
        <f t="shared" si="10"/>
        <v>0</v>
      </c>
      <c r="W22" s="11">
        <f t="shared" si="11"/>
        <v>0</v>
      </c>
      <c r="Y22" s="11">
        <f t="shared" si="12"/>
        <v>0</v>
      </c>
      <c r="AA22" s="11">
        <f t="shared" si="13"/>
        <v>0</v>
      </c>
      <c r="AC22" s="11">
        <f t="shared" si="14"/>
        <v>0</v>
      </c>
      <c r="AE22" s="11">
        <f t="shared" si="15"/>
        <v>0</v>
      </c>
      <c r="AG22" s="11">
        <f t="shared" si="16"/>
        <v>0</v>
      </c>
      <c r="AI22" s="11">
        <f t="shared" si="17"/>
        <v>0</v>
      </c>
      <c r="AK22" s="11">
        <f t="shared" si="18"/>
        <v>0</v>
      </c>
      <c r="AM22" s="11">
        <f t="shared" si="19"/>
        <v>0</v>
      </c>
      <c r="AO22" s="11">
        <f t="shared" si="20"/>
        <v>0</v>
      </c>
      <c r="AQ22" s="11">
        <f t="shared" si="21"/>
        <v>0</v>
      </c>
      <c r="AS22" s="11">
        <f t="shared" si="22"/>
        <v>0</v>
      </c>
      <c r="AU22" s="11">
        <f t="shared" si="23"/>
        <v>0</v>
      </c>
      <c r="AW22" s="11">
        <f t="shared" si="24"/>
        <v>0</v>
      </c>
      <c r="AY22" s="11">
        <f t="shared" si="25"/>
        <v>0</v>
      </c>
      <c r="BA22" s="11">
        <f t="shared" si="26"/>
        <v>0</v>
      </c>
      <c r="BC22" s="11">
        <f t="shared" si="27"/>
        <v>0</v>
      </c>
      <c r="BE22" s="11">
        <f t="shared" si="28"/>
        <v>0</v>
      </c>
      <c r="BG22" s="11">
        <f t="shared" si="29"/>
        <v>0</v>
      </c>
      <c r="BI22" s="11">
        <f t="shared" si="30"/>
        <v>0</v>
      </c>
      <c r="BK22" s="11">
        <f t="shared" si="31"/>
        <v>0</v>
      </c>
      <c r="BM22" s="11">
        <f t="shared" si="32"/>
        <v>0</v>
      </c>
      <c r="BO22" s="11">
        <f t="shared" si="33"/>
        <v>0</v>
      </c>
      <c r="BQ22" s="11">
        <f t="shared" si="34"/>
        <v>0</v>
      </c>
      <c r="BS22" s="11">
        <f t="shared" si="35"/>
        <v>0</v>
      </c>
    </row>
    <row r="23" spans="1:71" ht="15.5" customHeight="1" x14ac:dyDescent="0.3">
      <c r="A23" s="48">
        <f t="shared" si="0"/>
        <v>0</v>
      </c>
      <c r="C23" s="11">
        <f t="shared" si="1"/>
        <v>0</v>
      </c>
      <c r="E23" s="11">
        <f t="shared" si="2"/>
        <v>0</v>
      </c>
      <c r="G23" s="11">
        <f t="shared" si="3"/>
        <v>0</v>
      </c>
      <c r="I23" s="11">
        <f t="shared" si="4"/>
        <v>0</v>
      </c>
      <c r="K23" s="11">
        <f t="shared" si="5"/>
        <v>0</v>
      </c>
      <c r="M23" s="11">
        <f t="shared" si="6"/>
        <v>0</v>
      </c>
      <c r="O23" s="11">
        <f t="shared" si="7"/>
        <v>0</v>
      </c>
      <c r="Q23" s="11">
        <f t="shared" si="8"/>
        <v>0</v>
      </c>
      <c r="S23" s="11">
        <f t="shared" si="9"/>
        <v>0</v>
      </c>
      <c r="U23" s="11">
        <f t="shared" si="10"/>
        <v>0</v>
      </c>
      <c r="W23" s="11">
        <f t="shared" si="11"/>
        <v>0</v>
      </c>
      <c r="Y23" s="11">
        <f t="shared" si="12"/>
        <v>0</v>
      </c>
      <c r="AA23" s="11">
        <f t="shared" si="13"/>
        <v>0</v>
      </c>
      <c r="AC23" s="11">
        <f t="shared" si="14"/>
        <v>0</v>
      </c>
      <c r="AE23" s="11">
        <f t="shared" si="15"/>
        <v>0</v>
      </c>
      <c r="AG23" s="11">
        <f t="shared" si="16"/>
        <v>0</v>
      </c>
      <c r="AI23" s="11">
        <f t="shared" si="17"/>
        <v>0</v>
      </c>
      <c r="AK23" s="11">
        <f t="shared" si="18"/>
        <v>0</v>
      </c>
      <c r="AM23" s="11">
        <f t="shared" si="19"/>
        <v>0</v>
      </c>
      <c r="AO23" s="11">
        <f t="shared" si="20"/>
        <v>0</v>
      </c>
      <c r="AQ23" s="11">
        <f t="shared" si="21"/>
        <v>0</v>
      </c>
      <c r="AS23" s="11">
        <f t="shared" si="22"/>
        <v>0</v>
      </c>
      <c r="AU23" s="11">
        <f t="shared" si="23"/>
        <v>0</v>
      </c>
      <c r="AW23" s="11">
        <f t="shared" si="24"/>
        <v>0</v>
      </c>
      <c r="AY23" s="11">
        <f t="shared" si="25"/>
        <v>0</v>
      </c>
      <c r="BA23" s="11">
        <f t="shared" si="26"/>
        <v>0</v>
      </c>
      <c r="BC23" s="11">
        <f t="shared" si="27"/>
        <v>0</v>
      </c>
      <c r="BE23" s="11">
        <f t="shared" si="28"/>
        <v>0</v>
      </c>
      <c r="BG23" s="11">
        <f t="shared" si="29"/>
        <v>0</v>
      </c>
      <c r="BI23" s="11">
        <f t="shared" si="30"/>
        <v>0</v>
      </c>
      <c r="BK23" s="11">
        <f t="shared" si="31"/>
        <v>0</v>
      </c>
      <c r="BM23" s="11">
        <f t="shared" si="32"/>
        <v>0</v>
      </c>
      <c r="BO23" s="11">
        <f t="shared" si="33"/>
        <v>0</v>
      </c>
      <c r="BQ23" s="11">
        <f t="shared" si="34"/>
        <v>0</v>
      </c>
      <c r="BS23" s="11">
        <f t="shared" si="35"/>
        <v>0</v>
      </c>
    </row>
    <row r="24" spans="1:71" ht="15.5" customHeight="1" x14ac:dyDescent="0.3">
      <c r="A24" s="48">
        <f t="shared" si="0"/>
        <v>0</v>
      </c>
      <c r="C24" s="11">
        <f t="shared" si="1"/>
        <v>0</v>
      </c>
      <c r="E24" s="11">
        <f t="shared" si="2"/>
        <v>0</v>
      </c>
      <c r="G24" s="11">
        <f t="shared" si="3"/>
        <v>0</v>
      </c>
      <c r="I24" s="11">
        <f t="shared" si="4"/>
        <v>0</v>
      </c>
      <c r="K24" s="11">
        <f t="shared" si="5"/>
        <v>0</v>
      </c>
      <c r="M24" s="11">
        <f t="shared" si="6"/>
        <v>0</v>
      </c>
      <c r="O24" s="11">
        <f t="shared" si="7"/>
        <v>0</v>
      </c>
      <c r="Q24" s="11">
        <f t="shared" si="8"/>
        <v>0</v>
      </c>
      <c r="S24" s="11">
        <f t="shared" si="9"/>
        <v>0</v>
      </c>
      <c r="U24" s="11">
        <f t="shared" si="10"/>
        <v>0</v>
      </c>
      <c r="W24" s="11">
        <f t="shared" si="11"/>
        <v>0</v>
      </c>
      <c r="Y24" s="11">
        <f t="shared" si="12"/>
        <v>0</v>
      </c>
      <c r="AA24" s="11">
        <f t="shared" si="13"/>
        <v>0</v>
      </c>
      <c r="AC24" s="11">
        <f t="shared" si="14"/>
        <v>0</v>
      </c>
      <c r="AE24" s="11">
        <f t="shared" si="15"/>
        <v>0</v>
      </c>
      <c r="AG24" s="11">
        <f t="shared" si="16"/>
        <v>0</v>
      </c>
      <c r="AI24" s="11">
        <f t="shared" si="17"/>
        <v>0</v>
      </c>
      <c r="AK24" s="11">
        <f t="shared" si="18"/>
        <v>0</v>
      </c>
      <c r="AM24" s="11">
        <f t="shared" si="19"/>
        <v>0</v>
      </c>
      <c r="AO24" s="11">
        <f t="shared" si="20"/>
        <v>0</v>
      </c>
      <c r="AQ24" s="11">
        <f t="shared" si="21"/>
        <v>0</v>
      </c>
      <c r="AS24" s="11">
        <f t="shared" si="22"/>
        <v>0</v>
      </c>
      <c r="AU24" s="11">
        <f t="shared" si="23"/>
        <v>0</v>
      </c>
      <c r="AW24" s="11">
        <f t="shared" si="24"/>
        <v>0</v>
      </c>
      <c r="AY24" s="11">
        <f t="shared" si="25"/>
        <v>0</v>
      </c>
      <c r="BA24" s="11">
        <f t="shared" si="26"/>
        <v>0</v>
      </c>
      <c r="BC24" s="11">
        <f t="shared" si="27"/>
        <v>0</v>
      </c>
      <c r="BE24" s="11">
        <f t="shared" si="28"/>
        <v>0</v>
      </c>
      <c r="BG24" s="11">
        <f t="shared" si="29"/>
        <v>0</v>
      </c>
      <c r="BI24" s="11">
        <f t="shared" si="30"/>
        <v>0</v>
      </c>
      <c r="BK24" s="11">
        <f t="shared" si="31"/>
        <v>0</v>
      </c>
      <c r="BM24" s="11">
        <f t="shared" si="32"/>
        <v>0</v>
      </c>
      <c r="BO24" s="11">
        <f t="shared" si="33"/>
        <v>0</v>
      </c>
      <c r="BQ24" s="11">
        <f t="shared" si="34"/>
        <v>0</v>
      </c>
      <c r="BS24" s="11">
        <f t="shared" si="35"/>
        <v>0</v>
      </c>
    </row>
    <row r="25" spans="1:71" ht="15.5" customHeight="1" x14ac:dyDescent="0.3">
      <c r="A25" s="48">
        <f t="shared" si="0"/>
        <v>0</v>
      </c>
      <c r="C25" s="11">
        <f t="shared" si="1"/>
        <v>0</v>
      </c>
      <c r="E25" s="11">
        <f t="shared" si="2"/>
        <v>0</v>
      </c>
      <c r="G25" s="11">
        <f t="shared" si="3"/>
        <v>0</v>
      </c>
      <c r="I25" s="11">
        <f t="shared" si="4"/>
        <v>0</v>
      </c>
      <c r="K25" s="11">
        <f t="shared" si="5"/>
        <v>0</v>
      </c>
      <c r="M25" s="11">
        <f t="shared" si="6"/>
        <v>0</v>
      </c>
      <c r="O25" s="11">
        <f t="shared" si="7"/>
        <v>0</v>
      </c>
      <c r="Q25" s="11">
        <f t="shared" si="8"/>
        <v>0</v>
      </c>
      <c r="S25" s="11">
        <f t="shared" si="9"/>
        <v>0</v>
      </c>
      <c r="U25" s="11">
        <f t="shared" si="10"/>
        <v>0</v>
      </c>
      <c r="W25" s="11">
        <f t="shared" si="11"/>
        <v>0</v>
      </c>
      <c r="Y25" s="11">
        <f t="shared" si="12"/>
        <v>0</v>
      </c>
      <c r="AA25" s="11">
        <f t="shared" si="13"/>
        <v>0</v>
      </c>
      <c r="AC25" s="11">
        <f t="shared" si="14"/>
        <v>0</v>
      </c>
      <c r="AE25" s="11">
        <f t="shared" si="15"/>
        <v>0</v>
      </c>
      <c r="AG25" s="11">
        <f t="shared" si="16"/>
        <v>0</v>
      </c>
      <c r="AI25" s="11">
        <f t="shared" si="17"/>
        <v>0</v>
      </c>
      <c r="AK25" s="11">
        <f t="shared" si="18"/>
        <v>0</v>
      </c>
      <c r="AM25" s="11">
        <f t="shared" si="19"/>
        <v>0</v>
      </c>
      <c r="AO25" s="11">
        <f t="shared" si="20"/>
        <v>0</v>
      </c>
      <c r="AQ25" s="11">
        <f t="shared" si="21"/>
        <v>0</v>
      </c>
      <c r="AS25" s="11">
        <f t="shared" si="22"/>
        <v>0</v>
      </c>
      <c r="AU25" s="11">
        <f t="shared" si="23"/>
        <v>0</v>
      </c>
      <c r="AW25" s="11">
        <f t="shared" si="24"/>
        <v>0</v>
      </c>
      <c r="AY25" s="11">
        <f t="shared" si="25"/>
        <v>0</v>
      </c>
      <c r="BA25" s="11">
        <f t="shared" si="26"/>
        <v>0</v>
      </c>
      <c r="BC25" s="11">
        <f t="shared" si="27"/>
        <v>0</v>
      </c>
      <c r="BE25" s="11">
        <f t="shared" si="28"/>
        <v>0</v>
      </c>
      <c r="BG25" s="11">
        <f t="shared" si="29"/>
        <v>0</v>
      </c>
      <c r="BI25" s="11">
        <f t="shared" si="30"/>
        <v>0</v>
      </c>
      <c r="BK25" s="11">
        <f t="shared" si="31"/>
        <v>0</v>
      </c>
      <c r="BM25" s="11">
        <f t="shared" si="32"/>
        <v>0</v>
      </c>
      <c r="BO25" s="11">
        <f t="shared" si="33"/>
        <v>0</v>
      </c>
      <c r="BQ25" s="11">
        <f t="shared" si="34"/>
        <v>0</v>
      </c>
      <c r="BS25" s="11">
        <f t="shared" si="35"/>
        <v>0</v>
      </c>
    </row>
    <row r="26" spans="1:71" ht="18" customHeight="1" x14ac:dyDescent="0.3">
      <c r="A26" s="224"/>
      <c r="B26" s="225"/>
      <c r="C26" s="225"/>
      <c r="D26" s="225"/>
      <c r="E26" s="225"/>
      <c r="F26" s="225"/>
      <c r="G26" s="22"/>
    </row>
  </sheetData>
  <mergeCells count="37">
    <mergeCell ref="BD1:BE1"/>
    <mergeCell ref="BH1:BI1"/>
    <mergeCell ref="BN1:BO1"/>
    <mergeCell ref="BP1:BQ1"/>
    <mergeCell ref="AF1:AG1"/>
    <mergeCell ref="AJ1:AK1"/>
    <mergeCell ref="AL1:AM1"/>
    <mergeCell ref="AR1:AS1"/>
    <mergeCell ref="AT1:AU1"/>
    <mergeCell ref="BJ1:BK1"/>
    <mergeCell ref="BL1:BM1"/>
    <mergeCell ref="A26:F26"/>
    <mergeCell ref="BR1:BS1"/>
    <mergeCell ref="AB1:AC1"/>
    <mergeCell ref="AD1:AE1"/>
    <mergeCell ref="V1:W1"/>
    <mergeCell ref="AH1:AI1"/>
    <mergeCell ref="AN1:AO1"/>
    <mergeCell ref="AP1:AQ1"/>
    <mergeCell ref="BF1:BG1"/>
    <mergeCell ref="B1:C1"/>
    <mergeCell ref="N1:O1"/>
    <mergeCell ref="A1:A3"/>
    <mergeCell ref="T1:U1"/>
    <mergeCell ref="BB1:BC1"/>
    <mergeCell ref="AV1:AW1"/>
    <mergeCell ref="D1:E1"/>
    <mergeCell ref="AX1:AY1"/>
    <mergeCell ref="H1:I1"/>
    <mergeCell ref="AZ1:BA1"/>
    <mergeCell ref="J1:K1"/>
    <mergeCell ref="P1:Q1"/>
    <mergeCell ref="L1:M1"/>
    <mergeCell ref="X1:Y1"/>
    <mergeCell ref="Z1:AA1"/>
    <mergeCell ref="F1:G1"/>
    <mergeCell ref="R1:S1"/>
  </mergeCells>
  <phoneticPr fontId="52" type="noConversion"/>
  <conditionalFormatting sqref="C16:C25 C16:D16 E16:E25 F16 G16:G25 H16 I16:I25 J16:L16 K16:K25 M16:M25 N16 O16:O25 P16 Q16:Q25 R16:T16 S16:S25 U16:U25 V16 W16:W25 X16 Y16:Y25 Z16:AB16 AA16:AA25 AC16:AC25 AD16 AE16:AE25 AF16 AG16:AG25 AH16:AJ16 AI16:AI25 AK16:AK25 AL16 AM16:AM25 AN16 AO16:AO25 AP16:AR16 AQ16:AQ25 AS16:AS25 AT16 AU16:AU25 AV16 AW16:AW25 AX16:AZ16 AY16:AY25 BA16:BA25 BB16 BC16:BC25 BD16 BE16:BE25 BF16:BH16 BG16:BG25 BI16:BI25 BJ16 BK16:BK25 BL16 BM16:BM25">
    <cfRule type="colorScale" priority="128">
      <colorScale>
        <cfvo type="min"/>
        <cfvo type="percentile" val="50"/>
        <cfvo type="max"/>
        <color rgb="FFF8696B"/>
        <color rgb="FFFFEB84"/>
        <color rgb="FF63BE7B"/>
      </colorScale>
    </cfRule>
  </conditionalFormatting>
  <conditionalFormatting sqref="C16:C25 C16:D23 E16:E25 F16:F23 G16:G25 H16:H23 I16:I25 J16:L23 K16:K25 M16:M25 N16:N23 O16:O25 P16:P23 Q16:Q25 R16:T23 S16:S25 U16:U25 V16:V23 W16:W25 X16:X23 Y16:Y25 Z16:AB23 AA16:AA25 AC16:AC25 AD16:AD23 AE16:AE25 AF16:AF23 AG16:AG25 AH16:AJ23 AI16:AI25 AK16:AK25 AL16:AL23 AM16:AM25 AN16:AN23 AO16:AO25 AP16:AR23 AQ16:AQ25 AS16:AS25 AT16:AT23 AU16:AU25 AV16:AV23 AW16:AW25 AX16:AZ23 AY16:AY25 BA16:BA25 BB16:BB23 BC16:BC25 BD16:BD23 BE16:BE25 BF16:BH23 BG16:BG25 BI16:BI25 BJ16:BJ23 BK16:BK25 BL16:BL23 BM16:BM25">
    <cfRule type="colorScale" priority="164">
      <colorScale>
        <cfvo type="min"/>
        <cfvo type="percentile" val="50"/>
        <cfvo type="max"/>
        <color rgb="FFF8696B"/>
        <color rgb="FFFFEB84"/>
        <color rgb="FF63BE7B"/>
      </colorScale>
    </cfRule>
  </conditionalFormatting>
  <conditionalFormatting sqref="C16:C25 C16:D23 E16:E25 F16:F23 G16:G25 H16:H23 I16:I25">
    <cfRule type="colorScale" priority="166">
      <colorScale>
        <cfvo type="min"/>
        <cfvo type="percentile" val="50"/>
        <cfvo type="max"/>
        <color rgb="FFF8696B"/>
        <color rgb="FFFFEB84"/>
        <color rgb="FF63BE7B"/>
      </colorScale>
    </cfRule>
  </conditionalFormatting>
  <conditionalFormatting sqref="C16:C25">
    <cfRule type="colorScale" priority="167">
      <colorScale>
        <cfvo type="min"/>
        <cfvo type="percentile" val="50"/>
        <cfvo type="max"/>
        <color rgb="FFF8696B"/>
        <color rgb="FFFFEB84"/>
        <color rgb="FF63BE7B"/>
      </colorScale>
    </cfRule>
  </conditionalFormatting>
  <conditionalFormatting sqref="C17:BM17">
    <cfRule type="colorScale" priority="127">
      <colorScale>
        <cfvo type="min"/>
        <cfvo type="percentile" val="50"/>
        <cfvo type="max"/>
        <color rgb="FFF8696B"/>
        <color rgb="FFFFEB84"/>
        <color rgb="FF63BE7B"/>
      </colorScale>
    </cfRule>
  </conditionalFormatting>
  <conditionalFormatting sqref="C18:BM18">
    <cfRule type="colorScale" priority="126">
      <colorScale>
        <cfvo type="min"/>
        <cfvo type="percentile" val="50"/>
        <cfvo type="max"/>
        <color rgb="FFF8696B"/>
        <color rgb="FFFFEB84"/>
        <color rgb="FF63BE7B"/>
      </colorScale>
    </cfRule>
  </conditionalFormatting>
  <conditionalFormatting sqref="C19:BM19">
    <cfRule type="colorScale" priority="125">
      <colorScale>
        <cfvo type="min"/>
        <cfvo type="percentile" val="50"/>
        <cfvo type="max"/>
        <color rgb="FFF8696B"/>
        <color rgb="FFFFEB84"/>
        <color rgb="FF63BE7B"/>
      </colorScale>
    </cfRule>
  </conditionalFormatting>
  <conditionalFormatting sqref="C20:BM20">
    <cfRule type="colorScale" priority="124">
      <colorScale>
        <cfvo type="min"/>
        <cfvo type="percentile" val="50"/>
        <cfvo type="max"/>
        <color rgb="FFF8696B"/>
        <color rgb="FFFFEB84"/>
        <color rgb="FF63BE7B"/>
      </colorScale>
    </cfRule>
  </conditionalFormatting>
  <conditionalFormatting sqref="C21:BM21">
    <cfRule type="colorScale" priority="123">
      <colorScale>
        <cfvo type="min"/>
        <cfvo type="percentile" val="50"/>
        <cfvo type="max"/>
        <color rgb="FFF8696B"/>
        <color rgb="FFFFEB84"/>
        <color rgb="FF63BE7B"/>
      </colorScale>
    </cfRule>
  </conditionalFormatting>
  <conditionalFormatting sqref="C22:BM22">
    <cfRule type="colorScale" priority="122">
      <colorScale>
        <cfvo type="min"/>
        <cfvo type="percentile" val="50"/>
        <cfvo type="max"/>
        <color rgb="FFF8696B"/>
        <color rgb="FFFFEB84"/>
        <color rgb="FF63BE7B"/>
      </colorScale>
    </cfRule>
  </conditionalFormatting>
  <conditionalFormatting sqref="C23:BM23">
    <cfRule type="colorScale" priority="121">
      <colorScale>
        <cfvo type="min"/>
        <cfvo type="percentile" val="50"/>
        <cfvo type="max"/>
        <color rgb="FFF8696B"/>
        <color rgb="FFFFEB84"/>
        <color rgb="FF63BE7B"/>
      </colorScale>
    </cfRule>
  </conditionalFormatting>
  <conditionalFormatting sqref="E16:E25">
    <cfRule type="colorScale" priority="65">
      <colorScale>
        <cfvo type="min"/>
        <cfvo type="percentile" val="50"/>
        <cfvo type="max"/>
        <color rgb="FFF8696B"/>
        <color rgb="FFFFEB84"/>
        <color rgb="FF63BE7B"/>
      </colorScale>
    </cfRule>
  </conditionalFormatting>
  <conditionalFormatting sqref="G16:G25">
    <cfRule type="colorScale" priority="64">
      <colorScale>
        <cfvo type="min"/>
        <cfvo type="percentile" val="50"/>
        <cfvo type="max"/>
        <color rgb="FFF8696B"/>
        <color rgb="FFFFEB84"/>
        <color rgb="FF63BE7B"/>
      </colorScale>
    </cfRule>
  </conditionalFormatting>
  <conditionalFormatting sqref="I16:I25">
    <cfRule type="colorScale" priority="63">
      <colorScale>
        <cfvo type="min"/>
        <cfvo type="percentile" val="50"/>
        <cfvo type="max"/>
        <color rgb="FFF8696B"/>
        <color rgb="FFFFEB84"/>
        <color rgb="FF63BE7B"/>
      </colorScale>
    </cfRule>
  </conditionalFormatting>
  <conditionalFormatting sqref="K16:K25">
    <cfRule type="colorScale" priority="62">
      <colorScale>
        <cfvo type="min"/>
        <cfvo type="percentile" val="50"/>
        <cfvo type="max"/>
        <color rgb="FFF8696B"/>
        <color rgb="FFFFEB84"/>
        <color rgb="FF63BE7B"/>
      </colorScale>
    </cfRule>
  </conditionalFormatting>
  <conditionalFormatting sqref="K16:L23 K24:K25 M16:M25 N16:N23 O16:O25 P16:P23 Q16:Q25">
    <cfRule type="colorScale" priority="61">
      <colorScale>
        <cfvo type="min"/>
        <cfvo type="percentile" val="50"/>
        <cfvo type="max"/>
        <color rgb="FFF8696B"/>
        <color rgb="FFFFEB84"/>
        <color rgb="FF63BE7B"/>
      </colorScale>
    </cfRule>
  </conditionalFormatting>
  <conditionalFormatting sqref="M16:M25">
    <cfRule type="colorScale" priority="60">
      <colorScale>
        <cfvo type="min"/>
        <cfvo type="percentile" val="50"/>
        <cfvo type="max"/>
        <color rgb="FFF8696B"/>
        <color rgb="FFFFEB84"/>
        <color rgb="FF63BE7B"/>
      </colorScale>
    </cfRule>
  </conditionalFormatting>
  <conditionalFormatting sqref="O16:O25">
    <cfRule type="colorScale" priority="59">
      <colorScale>
        <cfvo type="min"/>
        <cfvo type="percentile" val="50"/>
        <cfvo type="max"/>
        <color rgb="FFF8696B"/>
        <color rgb="FFFFEB84"/>
        <color rgb="FF63BE7B"/>
      </colorScale>
    </cfRule>
  </conditionalFormatting>
  <conditionalFormatting sqref="Q16:Q25">
    <cfRule type="colorScale" priority="58">
      <colorScale>
        <cfvo type="min"/>
        <cfvo type="percentile" val="50"/>
        <cfvo type="max"/>
        <color rgb="FFF8696B"/>
        <color rgb="FFFFEB84"/>
        <color rgb="FF63BE7B"/>
      </colorScale>
    </cfRule>
  </conditionalFormatting>
  <conditionalFormatting sqref="R16:R23">
    <cfRule type="colorScale" priority="156">
      <colorScale>
        <cfvo type="min"/>
        <cfvo type="percentile" val="50"/>
        <cfvo type="max"/>
        <color rgb="FFF8696B"/>
        <color rgb="FFFFEB84"/>
        <color rgb="FF63BE7B"/>
      </colorScale>
    </cfRule>
  </conditionalFormatting>
  <conditionalFormatting sqref="S16:S25">
    <cfRule type="colorScale" priority="57">
      <colorScale>
        <cfvo type="min"/>
        <cfvo type="percentile" val="50"/>
        <cfvo type="max"/>
        <color rgb="FFF8696B"/>
        <color rgb="FFFFEB84"/>
        <color rgb="FF63BE7B"/>
      </colorScale>
    </cfRule>
  </conditionalFormatting>
  <conditionalFormatting sqref="S16:T23 S24:S25 U16:U25 V16:V23 W16:W25 X16:X23 Y16:Y25">
    <cfRule type="colorScale" priority="56">
      <colorScale>
        <cfvo type="min"/>
        <cfvo type="percentile" val="50"/>
        <cfvo type="max"/>
        <color rgb="FFF8696B"/>
        <color rgb="FFFFEB84"/>
        <color rgb="FF63BE7B"/>
      </colorScale>
    </cfRule>
  </conditionalFormatting>
  <conditionalFormatting sqref="U16:U25">
    <cfRule type="colorScale" priority="55">
      <colorScale>
        <cfvo type="min"/>
        <cfvo type="percentile" val="50"/>
        <cfvo type="max"/>
        <color rgb="FFF8696B"/>
        <color rgb="FFFFEB84"/>
        <color rgb="FF63BE7B"/>
      </colorScale>
    </cfRule>
  </conditionalFormatting>
  <conditionalFormatting sqref="W16:W25">
    <cfRule type="colorScale" priority="54">
      <colorScale>
        <cfvo type="min"/>
        <cfvo type="percentile" val="50"/>
        <cfvo type="max"/>
        <color rgb="FFF8696B"/>
        <color rgb="FFFFEB84"/>
        <color rgb="FF63BE7B"/>
      </colorScale>
    </cfRule>
  </conditionalFormatting>
  <conditionalFormatting sqref="Y16:Y25">
    <cfRule type="colorScale" priority="53">
      <colorScale>
        <cfvo type="min"/>
        <cfvo type="percentile" val="50"/>
        <cfvo type="max"/>
        <color rgb="FFF8696B"/>
        <color rgb="FFFFEB84"/>
        <color rgb="FF63BE7B"/>
      </colorScale>
    </cfRule>
  </conditionalFormatting>
  <conditionalFormatting sqref="AA16:AA25">
    <cfRule type="colorScale" priority="52">
      <colorScale>
        <cfvo type="min"/>
        <cfvo type="percentile" val="50"/>
        <cfvo type="max"/>
        <color rgb="FFF8696B"/>
        <color rgb="FFFFEB84"/>
        <color rgb="FF63BE7B"/>
      </colorScale>
    </cfRule>
  </conditionalFormatting>
  <conditionalFormatting sqref="AA16:AB23 AA24:AA25 AC16:AC25 AD16:AD23 AE16:AE25 AF16:AF23 AG16:AG25">
    <cfRule type="colorScale" priority="51">
      <colorScale>
        <cfvo type="min"/>
        <cfvo type="percentile" val="50"/>
        <cfvo type="max"/>
        <color rgb="FFF8696B"/>
        <color rgb="FFFFEB84"/>
        <color rgb="FF63BE7B"/>
      </colorScale>
    </cfRule>
  </conditionalFormatting>
  <conditionalFormatting sqref="AC16:AC25">
    <cfRule type="colorScale" priority="50">
      <colorScale>
        <cfvo type="min"/>
        <cfvo type="percentile" val="50"/>
        <cfvo type="max"/>
        <color rgb="FFF8696B"/>
        <color rgb="FFFFEB84"/>
        <color rgb="FF63BE7B"/>
      </colorScale>
    </cfRule>
  </conditionalFormatting>
  <conditionalFormatting sqref="AE16:AE25">
    <cfRule type="colorScale" priority="49">
      <colorScale>
        <cfvo type="min"/>
        <cfvo type="percentile" val="50"/>
        <cfvo type="max"/>
        <color rgb="FFF8696B"/>
        <color rgb="FFFFEB84"/>
        <color rgb="FF63BE7B"/>
      </colorScale>
    </cfRule>
  </conditionalFormatting>
  <conditionalFormatting sqref="AG16:AG25">
    <cfRule type="colorScale" priority="48">
      <colorScale>
        <cfvo type="min"/>
        <cfvo type="percentile" val="50"/>
        <cfvo type="max"/>
        <color rgb="FFF8696B"/>
        <color rgb="FFFFEB84"/>
        <color rgb="FF63BE7B"/>
      </colorScale>
    </cfRule>
  </conditionalFormatting>
  <conditionalFormatting sqref="AI16:AI25">
    <cfRule type="colorScale" priority="47">
      <colorScale>
        <cfvo type="min"/>
        <cfvo type="percentile" val="50"/>
        <cfvo type="max"/>
        <color rgb="FFF8696B"/>
        <color rgb="FFFFEB84"/>
        <color rgb="FF63BE7B"/>
      </colorScale>
    </cfRule>
  </conditionalFormatting>
  <conditionalFormatting sqref="AI16:AJ23 AI24:AI25 AK16:AK25 AL16:AL23 AM16:AM25 AN16:AN23 AO16:AO25">
    <cfRule type="colorScale" priority="46">
      <colorScale>
        <cfvo type="min"/>
        <cfvo type="percentile" val="50"/>
        <cfvo type="max"/>
        <color rgb="FFF8696B"/>
        <color rgb="FFFFEB84"/>
        <color rgb="FF63BE7B"/>
      </colorScale>
    </cfRule>
  </conditionalFormatting>
  <conditionalFormatting sqref="AK16:AK25">
    <cfRule type="colorScale" priority="44">
      <colorScale>
        <cfvo type="min"/>
        <cfvo type="percentile" val="50"/>
        <cfvo type="max"/>
        <color rgb="FFF8696B"/>
        <color rgb="FFFFEB84"/>
        <color rgb="FF63BE7B"/>
      </colorScale>
    </cfRule>
  </conditionalFormatting>
  <conditionalFormatting sqref="AM16:AM25">
    <cfRule type="colorScale" priority="43">
      <colorScale>
        <cfvo type="min"/>
        <cfvo type="percentile" val="50"/>
        <cfvo type="max"/>
        <color rgb="FFF8696B"/>
        <color rgb="FFFFEB84"/>
        <color rgb="FF63BE7B"/>
      </colorScale>
    </cfRule>
  </conditionalFormatting>
  <conditionalFormatting sqref="AO16:AO25">
    <cfRule type="colorScale" priority="42">
      <colorScale>
        <cfvo type="min"/>
        <cfvo type="percentile" val="50"/>
        <cfvo type="max"/>
        <color rgb="FFF8696B"/>
        <color rgb="FFFFEB84"/>
        <color rgb="FF63BE7B"/>
      </colorScale>
    </cfRule>
  </conditionalFormatting>
  <conditionalFormatting sqref="AQ16:AQ25">
    <cfRule type="colorScale" priority="41">
      <colorScale>
        <cfvo type="min"/>
        <cfvo type="percentile" val="50"/>
        <cfvo type="max"/>
        <color rgb="FFF8696B"/>
        <color rgb="FFFFEB84"/>
        <color rgb="FF63BE7B"/>
      </colorScale>
    </cfRule>
  </conditionalFormatting>
  <conditionalFormatting sqref="AQ16:AR23 AQ24:AQ25 AS16:AS25 AT16:AT23 AU16:AU25 AV16:AV23 AW16:AW25">
    <cfRule type="colorScale" priority="40">
      <colorScale>
        <cfvo type="min"/>
        <cfvo type="percentile" val="50"/>
        <cfvo type="max"/>
        <color rgb="FFF8696B"/>
        <color rgb="FFFFEB84"/>
        <color rgb="FF63BE7B"/>
      </colorScale>
    </cfRule>
  </conditionalFormatting>
  <conditionalFormatting sqref="AS16:AS25">
    <cfRule type="colorScale" priority="39">
      <colorScale>
        <cfvo type="min"/>
        <cfvo type="percentile" val="50"/>
        <cfvo type="max"/>
        <color rgb="FFF8696B"/>
        <color rgb="FFFFEB84"/>
        <color rgb="FF63BE7B"/>
      </colorScale>
    </cfRule>
  </conditionalFormatting>
  <conditionalFormatting sqref="AU16:AU25">
    <cfRule type="colorScale" priority="38">
      <colorScale>
        <cfvo type="min"/>
        <cfvo type="percentile" val="50"/>
        <cfvo type="max"/>
        <color rgb="FFF8696B"/>
        <color rgb="FFFFEB84"/>
        <color rgb="FF63BE7B"/>
      </colorScale>
    </cfRule>
  </conditionalFormatting>
  <conditionalFormatting sqref="AW16:AW25">
    <cfRule type="colorScale" priority="37">
      <colorScale>
        <cfvo type="min"/>
        <cfvo type="percentile" val="50"/>
        <cfvo type="max"/>
        <color rgb="FFF8696B"/>
        <color rgb="FFFFEB84"/>
        <color rgb="FF63BE7B"/>
      </colorScale>
    </cfRule>
  </conditionalFormatting>
  <conditionalFormatting sqref="AX16:AX23">
    <cfRule type="colorScale" priority="45">
      <colorScale>
        <cfvo type="min"/>
        <cfvo type="percentile" val="50"/>
        <cfvo type="max"/>
        <color rgb="FFF8696B"/>
        <color rgb="FFFFEB84"/>
        <color rgb="FF63BE7B"/>
      </colorScale>
    </cfRule>
  </conditionalFormatting>
  <conditionalFormatting sqref="AY16:AY25">
    <cfRule type="colorScale" priority="36">
      <colorScale>
        <cfvo type="min"/>
        <cfvo type="percentile" val="50"/>
        <cfvo type="max"/>
        <color rgb="FFF8696B"/>
        <color rgb="FFFFEB84"/>
        <color rgb="FF63BE7B"/>
      </colorScale>
    </cfRule>
  </conditionalFormatting>
  <conditionalFormatting sqref="AY16:AZ23 AY24:AY25 BA16:BA25 BB16:BB23 BC16:BC25 BD16:BD23 BE16:BE25">
    <cfRule type="colorScale" priority="35">
      <colorScale>
        <cfvo type="min"/>
        <cfvo type="percentile" val="50"/>
        <cfvo type="max"/>
        <color rgb="FFF8696B"/>
        <color rgb="FFFFEB84"/>
        <color rgb="FF63BE7B"/>
      </colorScale>
    </cfRule>
  </conditionalFormatting>
  <conditionalFormatting sqref="BA16:BA25">
    <cfRule type="colorScale" priority="34">
      <colorScale>
        <cfvo type="min"/>
        <cfvo type="percentile" val="50"/>
        <cfvo type="max"/>
        <color rgb="FFF8696B"/>
        <color rgb="FFFFEB84"/>
        <color rgb="FF63BE7B"/>
      </colorScale>
    </cfRule>
  </conditionalFormatting>
  <conditionalFormatting sqref="BC16:BC25">
    <cfRule type="colorScale" priority="33">
      <colorScale>
        <cfvo type="min"/>
        <cfvo type="percentile" val="50"/>
        <cfvo type="max"/>
        <color rgb="FFF8696B"/>
        <color rgb="FFFFEB84"/>
        <color rgb="FF63BE7B"/>
      </colorScale>
    </cfRule>
  </conditionalFormatting>
  <conditionalFormatting sqref="BE16:BE25">
    <cfRule type="colorScale" priority="32">
      <colorScale>
        <cfvo type="min"/>
        <cfvo type="percentile" val="50"/>
        <cfvo type="max"/>
        <color rgb="FFF8696B"/>
        <color rgb="FFFFEB84"/>
        <color rgb="FF63BE7B"/>
      </colorScale>
    </cfRule>
  </conditionalFormatting>
  <conditionalFormatting sqref="BG16:BG25">
    <cfRule type="colorScale" priority="31">
      <colorScale>
        <cfvo type="min"/>
        <cfvo type="percentile" val="50"/>
        <cfvo type="max"/>
        <color rgb="FFF8696B"/>
        <color rgb="FFFFEB84"/>
        <color rgb="FF63BE7B"/>
      </colorScale>
    </cfRule>
  </conditionalFormatting>
  <conditionalFormatting sqref="BG16:BH23 BG24:BG25 BI16:BI25 BJ16:BJ23 BK16:BK25 BL16:BL23 BM16:BM25">
    <cfRule type="colorScale" priority="30">
      <colorScale>
        <cfvo type="min"/>
        <cfvo type="percentile" val="50"/>
        <cfvo type="max"/>
        <color rgb="FFF8696B"/>
        <color rgb="FFFFEB84"/>
        <color rgb="FF63BE7B"/>
      </colorScale>
    </cfRule>
  </conditionalFormatting>
  <conditionalFormatting sqref="BI16:BI25">
    <cfRule type="colorScale" priority="29">
      <colorScale>
        <cfvo type="min"/>
        <cfvo type="percentile" val="50"/>
        <cfvo type="max"/>
        <color rgb="FFF8696B"/>
        <color rgb="FFFFEB84"/>
        <color rgb="FF63BE7B"/>
      </colorScale>
    </cfRule>
  </conditionalFormatting>
  <conditionalFormatting sqref="BK16:BK25">
    <cfRule type="colorScale" priority="28">
      <colorScale>
        <cfvo type="min"/>
        <cfvo type="percentile" val="50"/>
        <cfvo type="max"/>
        <color rgb="FFF8696B"/>
        <color rgb="FFFFEB84"/>
        <color rgb="FF63BE7B"/>
      </colorScale>
    </cfRule>
  </conditionalFormatting>
  <conditionalFormatting sqref="BM16:BM25">
    <cfRule type="colorScale" priority="27">
      <colorScale>
        <cfvo type="min"/>
        <cfvo type="percentile" val="50"/>
        <cfvo type="max"/>
        <color rgb="FFF8696B"/>
        <color rgb="FFFFEB84"/>
        <color rgb="FF63BE7B"/>
      </colorScale>
    </cfRule>
  </conditionalFormatting>
  <conditionalFormatting sqref="BO16:BO25 BP16 BQ16:BQ25 BR16 BS16:BS25">
    <cfRule type="colorScale" priority="25">
      <colorScale>
        <cfvo type="min"/>
        <cfvo type="percentile" val="50"/>
        <cfvo type="max"/>
        <color rgb="FFF8696B"/>
        <color rgb="FFFFEB84"/>
        <color rgb="FF63BE7B"/>
      </colorScale>
    </cfRule>
  </conditionalFormatting>
  <conditionalFormatting sqref="BO16:BO25 BP16:BP23 BQ16:BQ25 BR16:BR23 BS16:BS25">
    <cfRule type="colorScale" priority="26">
      <colorScale>
        <cfvo type="min"/>
        <cfvo type="percentile" val="50"/>
        <cfvo type="max"/>
        <color rgb="FFF8696B"/>
        <color rgb="FFFFEB84"/>
        <color rgb="FF63BE7B"/>
      </colorScale>
    </cfRule>
    <cfRule type="colorScale" priority="17">
      <colorScale>
        <cfvo type="min"/>
        <cfvo type="percentile" val="50"/>
        <cfvo type="max"/>
        <color rgb="FFF8696B"/>
        <color rgb="FFFFEB84"/>
        <color rgb="FF63BE7B"/>
      </colorScale>
    </cfRule>
  </conditionalFormatting>
  <conditionalFormatting sqref="BO16:BO25">
    <cfRule type="colorScale" priority="16">
      <colorScale>
        <cfvo type="min"/>
        <cfvo type="percentile" val="50"/>
        <cfvo type="max"/>
        <color rgb="FFF8696B"/>
        <color rgb="FFFFEB84"/>
        <color rgb="FF63BE7B"/>
      </colorScale>
    </cfRule>
  </conditionalFormatting>
  <conditionalFormatting sqref="BO17:BS17">
    <cfRule type="colorScale" priority="24">
      <colorScale>
        <cfvo type="min"/>
        <cfvo type="percentile" val="50"/>
        <cfvo type="max"/>
        <color rgb="FFF8696B"/>
        <color rgb="FFFFEB84"/>
        <color rgb="FF63BE7B"/>
      </colorScale>
    </cfRule>
  </conditionalFormatting>
  <conditionalFormatting sqref="BO18:BS18">
    <cfRule type="colorScale" priority="23">
      <colorScale>
        <cfvo type="min"/>
        <cfvo type="percentile" val="50"/>
        <cfvo type="max"/>
        <color rgb="FFF8696B"/>
        <color rgb="FFFFEB84"/>
        <color rgb="FF63BE7B"/>
      </colorScale>
    </cfRule>
  </conditionalFormatting>
  <conditionalFormatting sqref="BO19:BS19">
    <cfRule type="colorScale" priority="22">
      <colorScale>
        <cfvo type="min"/>
        <cfvo type="percentile" val="50"/>
        <cfvo type="max"/>
        <color rgb="FFF8696B"/>
        <color rgb="FFFFEB84"/>
        <color rgb="FF63BE7B"/>
      </colorScale>
    </cfRule>
  </conditionalFormatting>
  <conditionalFormatting sqref="BO20:BS20">
    <cfRule type="colorScale" priority="21">
      <colorScale>
        <cfvo type="min"/>
        <cfvo type="percentile" val="50"/>
        <cfvo type="max"/>
        <color rgb="FFF8696B"/>
        <color rgb="FFFFEB84"/>
        <color rgb="FF63BE7B"/>
      </colorScale>
    </cfRule>
  </conditionalFormatting>
  <conditionalFormatting sqref="BO21:BS21">
    <cfRule type="colorScale" priority="20">
      <colorScale>
        <cfvo type="min"/>
        <cfvo type="percentile" val="50"/>
        <cfvo type="max"/>
        <color rgb="FFF8696B"/>
        <color rgb="FFFFEB84"/>
        <color rgb="FF63BE7B"/>
      </colorScale>
    </cfRule>
  </conditionalFormatting>
  <conditionalFormatting sqref="BO22:BS22">
    <cfRule type="colorScale" priority="19">
      <colorScale>
        <cfvo type="min"/>
        <cfvo type="percentile" val="50"/>
        <cfvo type="max"/>
        <color rgb="FFF8696B"/>
        <color rgb="FFFFEB84"/>
        <color rgb="FF63BE7B"/>
      </colorScale>
    </cfRule>
  </conditionalFormatting>
  <conditionalFormatting sqref="BO23:BS23">
    <cfRule type="colorScale" priority="18">
      <colorScale>
        <cfvo type="min"/>
        <cfvo type="percentile" val="50"/>
        <cfvo type="max"/>
        <color rgb="FFF8696B"/>
        <color rgb="FFFFEB84"/>
        <color rgb="FF63BE7B"/>
      </colorScale>
    </cfRule>
  </conditionalFormatting>
  <conditionalFormatting sqref="BQ16:BQ25">
    <cfRule type="colorScale" priority="15">
      <colorScale>
        <cfvo type="min"/>
        <cfvo type="percentile" val="50"/>
        <cfvo type="max"/>
        <color rgb="FFF8696B"/>
        <color rgb="FFFFEB84"/>
        <color rgb="FF63BE7B"/>
      </colorScale>
    </cfRule>
  </conditionalFormatting>
  <conditionalFormatting sqref="BS16:BS25">
    <cfRule type="colorScale" priority="14">
      <colorScale>
        <cfvo type="min"/>
        <cfvo type="percentile" val="50"/>
        <cfvo type="max"/>
        <color rgb="FFF8696B"/>
        <color rgb="FFFFEB84"/>
        <color rgb="FF63BE7B"/>
      </colorScale>
    </cfRule>
  </conditionalFormatting>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92D050"/>
  </sheetPr>
  <dimension ref="A1:BE20"/>
  <sheetViews>
    <sheetView workbookViewId="0">
      <selection activeCell="F7" sqref="F7"/>
    </sheetView>
  </sheetViews>
  <sheetFormatPr defaultRowHeight="14" x14ac:dyDescent="0.3"/>
  <cols>
    <col min="1" max="1" width="20" customWidth="1"/>
    <col min="2" max="57" width="10" customWidth="1"/>
  </cols>
  <sheetData>
    <row r="1" spans="1:57" x14ac:dyDescent="0.3">
      <c r="A1" t="s">
        <v>302</v>
      </c>
    </row>
    <row r="2" spans="1:57" x14ac:dyDescent="0.3">
      <c r="B2" t="s">
        <v>212</v>
      </c>
      <c r="C2" t="s">
        <v>303</v>
      </c>
      <c r="D2" t="s">
        <v>304</v>
      </c>
      <c r="E2" t="s">
        <v>215</v>
      </c>
      <c r="F2" t="s">
        <v>305</v>
      </c>
    </row>
    <row r="3" spans="1:57" x14ac:dyDescent="0.3">
      <c r="A3" t="s">
        <v>306</v>
      </c>
      <c r="B3" s="184">
        <v>5320</v>
      </c>
      <c r="C3" s="184">
        <v>0</v>
      </c>
      <c r="D3" s="184">
        <v>1</v>
      </c>
      <c r="E3" s="183">
        <v>0.17293233082706769</v>
      </c>
      <c r="F3" s="183">
        <v>0.3782243111723228</v>
      </c>
    </row>
    <row r="4" spans="1:57" x14ac:dyDescent="0.3">
      <c r="A4" t="s">
        <v>223</v>
      </c>
      <c r="B4" s="184">
        <v>5320</v>
      </c>
    </row>
    <row r="6" spans="1:57" x14ac:dyDescent="0.3">
      <c r="B6" t="s">
        <v>307</v>
      </c>
      <c r="C6" t="s">
        <v>308</v>
      </c>
      <c r="D6" t="s">
        <v>309</v>
      </c>
      <c r="E6" t="s">
        <v>310</v>
      </c>
      <c r="F6" t="s">
        <v>311</v>
      </c>
      <c r="G6" t="s">
        <v>312</v>
      </c>
      <c r="H6" t="s">
        <v>313</v>
      </c>
      <c r="I6" t="s">
        <v>314</v>
      </c>
      <c r="J6" t="s">
        <v>315</v>
      </c>
      <c r="K6" t="s">
        <v>316</v>
      </c>
      <c r="L6" t="s">
        <v>317</v>
      </c>
      <c r="M6" t="s">
        <v>318</v>
      </c>
      <c r="N6" t="s">
        <v>319</v>
      </c>
      <c r="O6" t="s">
        <v>320</v>
      </c>
      <c r="P6" t="s">
        <v>321</v>
      </c>
      <c r="Q6" t="s">
        <v>322</v>
      </c>
      <c r="R6" t="s">
        <v>323</v>
      </c>
      <c r="S6" t="s">
        <v>324</v>
      </c>
      <c r="T6" t="s">
        <v>325</v>
      </c>
      <c r="U6" t="s">
        <v>326</v>
      </c>
      <c r="V6" t="s">
        <v>327</v>
      </c>
      <c r="W6" t="s">
        <v>328</v>
      </c>
      <c r="X6" t="s">
        <v>329</v>
      </c>
      <c r="Y6" t="s">
        <v>330</v>
      </c>
      <c r="Z6" t="s">
        <v>331</v>
      </c>
      <c r="AA6" t="s">
        <v>332</v>
      </c>
      <c r="AB6" t="s">
        <v>333</v>
      </c>
      <c r="AC6" t="s">
        <v>334</v>
      </c>
      <c r="AD6" t="s">
        <v>335</v>
      </c>
      <c r="AE6" t="s">
        <v>336</v>
      </c>
      <c r="AF6" t="s">
        <v>337</v>
      </c>
      <c r="AG6" t="s">
        <v>338</v>
      </c>
      <c r="AH6" t="s">
        <v>339</v>
      </c>
      <c r="AI6" t="s">
        <v>340</v>
      </c>
      <c r="AJ6" t="s">
        <v>341</v>
      </c>
      <c r="AK6" t="s">
        <v>342</v>
      </c>
      <c r="AL6" t="s">
        <v>343</v>
      </c>
      <c r="AM6" t="s">
        <v>344</v>
      </c>
      <c r="AN6" t="s">
        <v>345</v>
      </c>
      <c r="AO6" t="s">
        <v>346</v>
      </c>
      <c r="AP6" t="s">
        <v>347</v>
      </c>
      <c r="AQ6" t="s">
        <v>348</v>
      </c>
      <c r="AR6" t="s">
        <v>349</v>
      </c>
      <c r="AS6" t="s">
        <v>350</v>
      </c>
      <c r="AT6" t="s">
        <v>351</v>
      </c>
      <c r="AU6" t="s">
        <v>352</v>
      </c>
      <c r="AV6" t="s">
        <v>353</v>
      </c>
      <c r="AW6" t="s">
        <v>354</v>
      </c>
      <c r="AX6" t="s">
        <v>355</v>
      </c>
      <c r="AY6" t="s">
        <v>356</v>
      </c>
      <c r="AZ6" t="s">
        <v>357</v>
      </c>
      <c r="BA6" t="s">
        <v>358</v>
      </c>
      <c r="BB6" t="s">
        <v>359</v>
      </c>
      <c r="BC6" t="s">
        <v>360</v>
      </c>
      <c r="BD6" t="s">
        <v>361</v>
      </c>
      <c r="BE6" t="s">
        <v>362</v>
      </c>
    </row>
    <row r="7" spans="1:57" x14ac:dyDescent="0.3">
      <c r="A7" t="s">
        <v>217</v>
      </c>
      <c r="B7" s="183">
        <v>0.98305084745762716</v>
      </c>
      <c r="C7" s="184">
        <v>1</v>
      </c>
      <c r="D7" s="184">
        <v>1</v>
      </c>
      <c r="E7" s="184">
        <v>1</v>
      </c>
      <c r="F7" s="184">
        <v>1</v>
      </c>
      <c r="G7" s="184">
        <v>1</v>
      </c>
      <c r="H7" s="184">
        <v>1</v>
      </c>
      <c r="I7" s="184">
        <v>1</v>
      </c>
      <c r="J7" s="184">
        <v>1</v>
      </c>
      <c r="K7" s="184">
        <v>1</v>
      </c>
      <c r="L7" s="184">
        <v>1</v>
      </c>
      <c r="M7" s="184">
        <v>1</v>
      </c>
      <c r="N7" s="184">
        <v>1</v>
      </c>
      <c r="O7" s="184">
        <v>1</v>
      </c>
      <c r="P7" s="184">
        <v>1</v>
      </c>
      <c r="Q7" s="184">
        <v>1</v>
      </c>
      <c r="R7" s="184">
        <v>1</v>
      </c>
      <c r="S7" s="184">
        <v>1</v>
      </c>
      <c r="T7" s="184">
        <v>1</v>
      </c>
      <c r="U7" s="184">
        <v>1</v>
      </c>
      <c r="V7" s="184">
        <v>1</v>
      </c>
      <c r="W7" s="184">
        <v>1</v>
      </c>
      <c r="X7" s="184">
        <v>1</v>
      </c>
      <c r="Y7" s="184">
        <v>1</v>
      </c>
      <c r="Z7" s="184">
        <v>1</v>
      </c>
      <c r="AA7" s="184">
        <v>1</v>
      </c>
      <c r="AB7" s="184">
        <v>1</v>
      </c>
      <c r="AC7" s="184">
        <v>1</v>
      </c>
      <c r="AD7" s="184">
        <v>1</v>
      </c>
      <c r="AE7" s="184">
        <v>1</v>
      </c>
      <c r="AF7" s="184">
        <v>1</v>
      </c>
      <c r="AG7" s="184">
        <v>1</v>
      </c>
      <c r="AH7" s="184">
        <v>1</v>
      </c>
      <c r="AI7" s="184">
        <v>1</v>
      </c>
      <c r="AJ7" s="184">
        <v>1</v>
      </c>
      <c r="AK7" s="184">
        <v>1</v>
      </c>
      <c r="AL7" s="184">
        <v>1</v>
      </c>
      <c r="AM7" s="184">
        <v>1</v>
      </c>
      <c r="AN7" s="184">
        <v>1</v>
      </c>
      <c r="AO7" s="184">
        <v>1</v>
      </c>
      <c r="AP7" s="184">
        <v>1</v>
      </c>
      <c r="AQ7" s="184">
        <v>1</v>
      </c>
      <c r="AR7" s="184">
        <v>1</v>
      </c>
      <c r="AS7" s="184">
        <v>1</v>
      </c>
      <c r="AT7" s="184">
        <v>1</v>
      </c>
      <c r="AU7" s="184">
        <v>1</v>
      </c>
      <c r="AV7" s="184">
        <v>1</v>
      </c>
      <c r="AW7" s="184">
        <v>1</v>
      </c>
      <c r="AX7" s="184">
        <v>1</v>
      </c>
      <c r="AY7" s="184">
        <v>1</v>
      </c>
      <c r="AZ7" s="184">
        <v>1</v>
      </c>
      <c r="BA7" s="184">
        <v>1</v>
      </c>
      <c r="BB7" s="184">
        <v>1</v>
      </c>
      <c r="BC7" s="184">
        <v>1</v>
      </c>
      <c r="BD7" s="184">
        <v>1</v>
      </c>
      <c r="BE7" s="184">
        <v>1</v>
      </c>
    </row>
    <row r="8" spans="1:57" x14ac:dyDescent="0.3">
      <c r="A8" t="s">
        <v>218</v>
      </c>
      <c r="B8" s="183">
        <v>0.61228813559322037</v>
      </c>
      <c r="C8" s="183">
        <v>0.8576086956521739</v>
      </c>
      <c r="D8" s="183">
        <v>0.82482993197278909</v>
      </c>
      <c r="E8" s="183">
        <v>0.91566265060240959</v>
      </c>
      <c r="F8" s="183">
        <v>0.86</v>
      </c>
      <c r="G8" s="183">
        <v>0.84705882352941175</v>
      </c>
      <c r="H8" s="183">
        <v>0.85949367088607598</v>
      </c>
      <c r="I8" s="183">
        <v>0.84615384615384615</v>
      </c>
      <c r="J8" s="183">
        <v>0.81310211946050093</v>
      </c>
      <c r="K8" s="183">
        <v>0.91521197007481292</v>
      </c>
      <c r="L8" s="183">
        <v>0.83875338753387529</v>
      </c>
      <c r="M8" s="183">
        <v>0.93406593406593408</v>
      </c>
      <c r="N8" s="183">
        <v>0.85199999999999998</v>
      </c>
      <c r="O8" s="183">
        <v>0.88235294117647056</v>
      </c>
      <c r="P8" s="183">
        <v>0.80890538033395176</v>
      </c>
      <c r="Q8" s="183">
        <v>0.92650918635170598</v>
      </c>
      <c r="R8" s="183">
        <v>0.80926916221033873</v>
      </c>
      <c r="S8" s="183">
        <v>0.93314763231197773</v>
      </c>
      <c r="T8" s="183">
        <v>0.85067319461444313</v>
      </c>
      <c r="U8" s="183">
        <v>0.91262135922330101</v>
      </c>
      <c r="V8" s="183">
        <v>0.85820895522388063</v>
      </c>
      <c r="W8" s="183">
        <v>0.85344827586206895</v>
      </c>
      <c r="X8" s="183">
        <v>0.84869325997248968</v>
      </c>
      <c r="Y8" s="183">
        <v>0.89119170984455953</v>
      </c>
      <c r="Z8" s="183">
        <v>0.86554621848739499</v>
      </c>
      <c r="AA8" s="183">
        <v>0.7816091954022989</v>
      </c>
      <c r="AB8" s="183">
        <v>0.86829836829836826</v>
      </c>
      <c r="AC8" s="183">
        <v>0.70967741935483875</v>
      </c>
      <c r="AD8" s="183">
        <v>0.8533501896333755</v>
      </c>
      <c r="AE8" s="183">
        <v>0.88372093023255816</v>
      </c>
      <c r="AF8" s="183">
        <v>0.86610373944511465</v>
      </c>
      <c r="AG8" s="183">
        <v>0.78021978021978022</v>
      </c>
      <c r="AH8" s="183">
        <v>0.85924112607099146</v>
      </c>
      <c r="AI8" s="183">
        <v>0.84466019417475724</v>
      </c>
      <c r="AJ8" s="183">
        <v>0.85152284263959388</v>
      </c>
      <c r="AK8" s="183">
        <v>0.89393939393939392</v>
      </c>
      <c r="AL8" s="183">
        <v>0.80385288966725044</v>
      </c>
      <c r="AM8" s="183">
        <v>0.94555873925501432</v>
      </c>
      <c r="AN8" s="183">
        <v>0.85868263473053896</v>
      </c>
      <c r="AO8" s="183">
        <v>0.84705882352941175</v>
      </c>
      <c r="AP8" s="183">
        <v>0.84435261707988984</v>
      </c>
      <c r="AQ8" s="183">
        <v>0.90721649484536082</v>
      </c>
      <c r="AR8" s="183">
        <v>0.8620037807183365</v>
      </c>
      <c r="AS8" s="183">
        <v>0.85166240409207161</v>
      </c>
      <c r="AT8" s="183">
        <v>0.86244019138755978</v>
      </c>
      <c r="AU8" s="183">
        <v>0.80952380952380953</v>
      </c>
      <c r="AV8" s="183">
        <v>0.81499999999999995</v>
      </c>
      <c r="AW8" s="183">
        <v>0.9375</v>
      </c>
      <c r="AX8" s="183">
        <v>0.86165048543689315</v>
      </c>
      <c r="AY8" s="183">
        <v>0.82291666666666663</v>
      </c>
      <c r="AZ8" s="183">
        <v>0.86391251518833534</v>
      </c>
      <c r="BA8" s="183">
        <v>0.80412371134020622</v>
      </c>
      <c r="BB8" s="183">
        <v>0.84824902723735407</v>
      </c>
      <c r="BC8" s="183">
        <v>0.90604026845637586</v>
      </c>
      <c r="BD8" s="183">
        <v>0.85012919896640826</v>
      </c>
      <c r="BE8" s="183">
        <v>0.89726027397260277</v>
      </c>
    </row>
    <row r="9" spans="1:57" x14ac:dyDescent="0.3">
      <c r="A9" t="s">
        <v>219</v>
      </c>
      <c r="B9" s="183">
        <v>0.45550847457627119</v>
      </c>
      <c r="C9" s="183">
        <v>0.8619565217391304</v>
      </c>
      <c r="D9" s="183">
        <v>0.81802721088435371</v>
      </c>
      <c r="E9" s="183">
        <v>0.93975903614457834</v>
      </c>
      <c r="F9" s="183">
        <v>0.84666666666666668</v>
      </c>
      <c r="G9" s="183">
        <v>0.92941176470588238</v>
      </c>
      <c r="H9" s="183">
        <v>0.84936708860759491</v>
      </c>
      <c r="I9" s="183">
        <v>0.93846153846153846</v>
      </c>
      <c r="J9" s="183">
        <v>0.80346820809248554</v>
      </c>
      <c r="K9" s="183">
        <v>0.93765586034912718</v>
      </c>
      <c r="L9" s="183">
        <v>0.84281842818428188</v>
      </c>
      <c r="M9" s="183">
        <v>0.93956043956043955</v>
      </c>
      <c r="N9" s="183">
        <v>0.85199999999999998</v>
      </c>
      <c r="O9" s="183">
        <v>0.90588235294117647</v>
      </c>
      <c r="P9" s="183">
        <v>0.8144712430426716</v>
      </c>
      <c r="Q9" s="183">
        <v>0.92913385826771655</v>
      </c>
      <c r="R9" s="183">
        <v>0.80213903743315507</v>
      </c>
      <c r="S9" s="183">
        <v>0.95543175487465182</v>
      </c>
      <c r="T9" s="183">
        <v>0.85189718482252141</v>
      </c>
      <c r="U9" s="183">
        <v>0.94174757281553401</v>
      </c>
      <c r="V9" s="183">
        <v>0.85820895522388063</v>
      </c>
      <c r="W9" s="183">
        <v>0.88793103448275867</v>
      </c>
      <c r="X9" s="183">
        <v>0.85144429160935353</v>
      </c>
      <c r="Y9" s="183">
        <v>0.9015544041450777</v>
      </c>
      <c r="Z9" s="183">
        <v>0.86674669867947174</v>
      </c>
      <c r="AA9" s="183">
        <v>0.81609195402298851</v>
      </c>
      <c r="AB9" s="183">
        <v>0.86130536130536128</v>
      </c>
      <c r="AC9" s="183">
        <v>0.87096774193548387</v>
      </c>
      <c r="AD9" s="183">
        <v>0.85461441213653599</v>
      </c>
      <c r="AE9" s="183">
        <v>0.90697674418604646</v>
      </c>
      <c r="AF9" s="183">
        <v>0.85765983112183353</v>
      </c>
      <c r="AG9" s="183">
        <v>0.90109890109890112</v>
      </c>
      <c r="AH9" s="183">
        <v>0.85434516523867809</v>
      </c>
      <c r="AI9" s="183">
        <v>0.92233009708737868</v>
      </c>
      <c r="AJ9" s="183">
        <v>0.84390862944162437</v>
      </c>
      <c r="AK9" s="183">
        <v>0.96969696969696972</v>
      </c>
      <c r="AL9" s="183">
        <v>0.79859894921190888</v>
      </c>
      <c r="AM9" s="183">
        <v>0.96561604584527216</v>
      </c>
      <c r="AN9" s="183">
        <v>0.85748502994011977</v>
      </c>
      <c r="AO9" s="183">
        <v>0.90588235294117647</v>
      </c>
      <c r="AP9" s="183">
        <v>0.83884297520661155</v>
      </c>
      <c r="AQ9" s="183">
        <v>0.94845360824742264</v>
      </c>
      <c r="AR9" s="183">
        <v>0.89792060491493386</v>
      </c>
      <c r="AS9" s="183">
        <v>0.8132992327365729</v>
      </c>
      <c r="AT9" s="183">
        <v>0.8564593301435407</v>
      </c>
      <c r="AU9" s="183">
        <v>0.91666666666666663</v>
      </c>
      <c r="AV9" s="183">
        <v>0.80500000000000005</v>
      </c>
      <c r="AW9" s="183">
        <v>0.96875</v>
      </c>
      <c r="AX9" s="183">
        <v>0.85558252427184467</v>
      </c>
      <c r="AY9" s="183">
        <v>0.91666666666666663</v>
      </c>
      <c r="AZ9" s="183">
        <v>0.86148238153098422</v>
      </c>
      <c r="BA9" s="183">
        <v>0.865979381443299</v>
      </c>
      <c r="BB9" s="183">
        <v>0.84824902723735407</v>
      </c>
      <c r="BC9" s="183">
        <v>0.93288590604026844</v>
      </c>
      <c r="BD9" s="183">
        <v>0.84496124031007747</v>
      </c>
      <c r="BE9" s="183">
        <v>0.95205479452054798</v>
      </c>
    </row>
    <row r="10" spans="1:57" x14ac:dyDescent="0.3">
      <c r="A10" t="s">
        <v>220</v>
      </c>
      <c r="B10" s="183">
        <v>1.4910025706940871E-2</v>
      </c>
      <c r="C10" s="183">
        <v>0.56923076923076921</v>
      </c>
      <c r="D10" s="183">
        <v>0.45583038869257952</v>
      </c>
      <c r="E10" s="183">
        <v>0.7558139534883721</v>
      </c>
      <c r="F10" s="183">
        <v>0.57909604519774016</v>
      </c>
      <c r="G10" s="183">
        <v>0.53465346534653468</v>
      </c>
      <c r="H10" s="183">
        <v>0.56052631578947365</v>
      </c>
      <c r="I10" s="183">
        <v>0.61333333333333329</v>
      </c>
      <c r="J10" s="183">
        <v>0.40082644628099168</v>
      </c>
      <c r="K10" s="183">
        <v>0.76056338028169013</v>
      </c>
      <c r="L10" s="183">
        <v>0.57994579945799463</v>
      </c>
      <c r="M10" s="183">
        <v>0.52325581395348841</v>
      </c>
      <c r="N10" s="183">
        <v>0.57377049180327866</v>
      </c>
      <c r="O10" s="183">
        <v>0.550561797752809</v>
      </c>
      <c r="P10" s="183">
        <v>0.42748091603053429</v>
      </c>
      <c r="Q10" s="183">
        <v>0.76165803108808294</v>
      </c>
      <c r="R10" s="183">
        <v>0.43560606060606061</v>
      </c>
      <c r="S10" s="183">
        <v>0.75392670157068065</v>
      </c>
      <c r="T10" s="183">
        <v>0.59102902374670185</v>
      </c>
      <c r="U10" s="183">
        <v>0.46052631578947367</v>
      </c>
      <c r="V10" s="183">
        <v>0.57994579945799463</v>
      </c>
      <c r="W10" s="183">
        <v>0.52325581395348841</v>
      </c>
      <c r="X10" s="183">
        <v>0.54929577464788737</v>
      </c>
      <c r="Y10" s="183">
        <v>0.64</v>
      </c>
      <c r="Z10" s="183">
        <v>0.59897172236503859</v>
      </c>
      <c r="AA10" s="183">
        <v>0.39393939393939392</v>
      </c>
      <c r="AB10" s="183">
        <v>0.58476658476658472</v>
      </c>
      <c r="AC10" s="183">
        <v>0.4375</v>
      </c>
      <c r="AD10" s="183">
        <v>0.579088471849866</v>
      </c>
      <c r="AE10" s="183">
        <v>0.52439024390243905</v>
      </c>
      <c r="AF10" s="183">
        <v>0.58354755784061696</v>
      </c>
      <c r="AG10" s="183">
        <v>0.48484848484848492</v>
      </c>
      <c r="AH10" s="183">
        <v>0.58269720101781175</v>
      </c>
      <c r="AI10" s="183">
        <v>0.4838709677419355</v>
      </c>
      <c r="AJ10" s="183">
        <v>0.57692307692307687</v>
      </c>
      <c r="AK10" s="183">
        <v>0.52307692307692311</v>
      </c>
      <c r="AL10" s="183">
        <v>0.43494423791821563</v>
      </c>
      <c r="AM10" s="183">
        <v>0.76344086021505375</v>
      </c>
      <c r="AN10" s="183">
        <v>0.59697732997481112</v>
      </c>
      <c r="AO10" s="183">
        <v>0.37931034482758619</v>
      </c>
      <c r="AP10" s="183">
        <v>0.52199413489736068</v>
      </c>
      <c r="AQ10" s="183">
        <v>0.71052631578947367</v>
      </c>
      <c r="AR10" s="183">
        <v>0.60139860139860135</v>
      </c>
      <c r="AS10" s="183">
        <v>0.51479289940828399</v>
      </c>
      <c r="AT10" s="183">
        <v>0.5864661654135338</v>
      </c>
      <c r="AU10" s="183">
        <v>0.44642857142857151</v>
      </c>
      <c r="AV10" s="183">
        <v>0.45104895104895099</v>
      </c>
      <c r="AW10" s="183">
        <v>0.76923076923076927</v>
      </c>
      <c r="AX10" s="183">
        <v>0.58690176322418131</v>
      </c>
      <c r="AY10" s="183">
        <v>0.44827586206896552</v>
      </c>
      <c r="AZ10" s="183">
        <v>0.58505154639175261</v>
      </c>
      <c r="BA10" s="183">
        <v>0.47761194029850751</v>
      </c>
      <c r="BB10" s="183">
        <v>0.56130790190735691</v>
      </c>
      <c r="BC10" s="183">
        <v>0.60227272727272729</v>
      </c>
      <c r="BD10" s="183">
        <v>0.58746736292428203</v>
      </c>
      <c r="BE10" s="183">
        <v>0.47222222222222221</v>
      </c>
    </row>
    <row r="11" spans="1:57" x14ac:dyDescent="0.3">
      <c r="A11" t="s">
        <v>221</v>
      </c>
      <c r="B11" s="183">
        <v>0.52801724137931039</v>
      </c>
      <c r="C11" s="183">
        <v>0.93260869565217386</v>
      </c>
      <c r="D11" s="183">
        <v>0.93027210884353739</v>
      </c>
      <c r="E11" s="183">
        <v>0.93674698795180722</v>
      </c>
      <c r="F11" s="183">
        <v>0.93866666666666665</v>
      </c>
      <c r="G11" s="183">
        <v>0.90588235294117647</v>
      </c>
      <c r="H11" s="183">
        <v>0.93164556962025313</v>
      </c>
      <c r="I11" s="183">
        <v>0.93846153846153846</v>
      </c>
      <c r="J11" s="183">
        <v>0.94219653179190754</v>
      </c>
      <c r="K11" s="183">
        <v>0.92019950124688277</v>
      </c>
      <c r="L11" s="183">
        <v>0.9417344173441734</v>
      </c>
      <c r="M11" s="183">
        <v>0.89560439560439564</v>
      </c>
      <c r="N11" s="183">
        <v>0.94</v>
      </c>
      <c r="O11" s="183">
        <v>0.9</v>
      </c>
      <c r="P11" s="183">
        <v>0.94063079777365488</v>
      </c>
      <c r="Q11" s="183">
        <v>0.92125984251968507</v>
      </c>
      <c r="R11" s="183">
        <v>0.93404634581105173</v>
      </c>
      <c r="S11" s="183">
        <v>0.93036211699164351</v>
      </c>
      <c r="T11" s="183">
        <v>0.93512851897184823</v>
      </c>
      <c r="U11" s="183">
        <v>0.91262135922330101</v>
      </c>
      <c r="V11" s="183">
        <v>0.92910447761194026</v>
      </c>
      <c r="W11" s="183">
        <v>0.9568965517241379</v>
      </c>
      <c r="X11" s="183">
        <v>0.93397524071526827</v>
      </c>
      <c r="Y11" s="183">
        <v>0.92746113989637302</v>
      </c>
      <c r="Z11" s="183">
        <v>0.93037214885954378</v>
      </c>
      <c r="AA11" s="183">
        <v>0.95402298850574707</v>
      </c>
      <c r="AB11" s="183">
        <v>0.93240093240093236</v>
      </c>
      <c r="AC11" s="183">
        <v>0.93548387096774188</v>
      </c>
      <c r="AD11" s="183">
        <v>0.93426042983565105</v>
      </c>
      <c r="AE11" s="183">
        <v>0.92248062015503873</v>
      </c>
      <c r="AF11" s="183">
        <v>0.93606755126658625</v>
      </c>
      <c r="AG11" s="183">
        <v>0.90109890109890112</v>
      </c>
      <c r="AH11" s="183">
        <v>0.93635250917992652</v>
      </c>
      <c r="AI11" s="183">
        <v>0.90291262135922334</v>
      </c>
      <c r="AJ11" s="183">
        <v>0.93654822335025378</v>
      </c>
      <c r="AK11" s="183">
        <v>0.90909090909090906</v>
      </c>
      <c r="AL11" s="183">
        <v>0.92119089316987746</v>
      </c>
      <c r="AM11" s="183">
        <v>0.95128939828080228</v>
      </c>
      <c r="AN11" s="183">
        <v>0.93652694610778442</v>
      </c>
      <c r="AO11" s="183">
        <v>0.89411764705882357</v>
      </c>
      <c r="AP11" s="183">
        <v>0.93250688705234164</v>
      </c>
      <c r="AQ11" s="183">
        <v>0.9329896907216495</v>
      </c>
      <c r="AR11" s="183">
        <v>0.89792060491493386</v>
      </c>
      <c r="AS11" s="183">
        <v>0.979539641943734</v>
      </c>
      <c r="AT11" s="183">
        <v>0.93062200956937802</v>
      </c>
      <c r="AU11" s="183">
        <v>0.95238095238095233</v>
      </c>
      <c r="AV11" s="183">
        <v>0.92500000000000004</v>
      </c>
      <c r="AW11" s="183">
        <v>0.94687500000000002</v>
      </c>
      <c r="AX11" s="183">
        <v>0.93203883495145634</v>
      </c>
      <c r="AY11" s="183">
        <v>0.9375</v>
      </c>
      <c r="AZ11" s="183">
        <v>0.93074119076549211</v>
      </c>
      <c r="BA11" s="183">
        <v>0.94845360824742264</v>
      </c>
      <c r="BB11" s="183">
        <v>0.92477302204928669</v>
      </c>
      <c r="BC11" s="183">
        <v>0.97315436241610742</v>
      </c>
      <c r="BD11" s="183">
        <v>0.94056847545219635</v>
      </c>
      <c r="BE11" s="183">
        <v>0.8904109589041096</v>
      </c>
    </row>
    <row r="12" spans="1:57" x14ac:dyDescent="0.3">
      <c r="A12" t="s">
        <v>222</v>
      </c>
      <c r="B12" s="183">
        <v>0.29449152542372881</v>
      </c>
      <c r="C12" s="183">
        <v>0.61847826086956526</v>
      </c>
      <c r="D12" s="183">
        <v>0.52040816326530615</v>
      </c>
      <c r="E12" s="183">
        <v>0.79216867469879515</v>
      </c>
      <c r="F12" s="183">
        <v>0.60799999999999998</v>
      </c>
      <c r="G12" s="183">
        <v>0.66470588235294115</v>
      </c>
      <c r="H12" s="183">
        <v>0.60253164556962024</v>
      </c>
      <c r="I12" s="183">
        <v>0.7153846153846154</v>
      </c>
      <c r="J12" s="183">
        <v>0.45086705202312138</v>
      </c>
      <c r="K12" s="183">
        <v>0.8354114713216958</v>
      </c>
      <c r="L12" s="183">
        <v>0.5840108401084011</v>
      </c>
      <c r="M12" s="183">
        <v>0.75824175824175821</v>
      </c>
      <c r="N12" s="183">
        <v>0.60933333333333328</v>
      </c>
      <c r="O12" s="183">
        <v>0.6588235294117647</v>
      </c>
      <c r="P12" s="183">
        <v>0.4935064935064935</v>
      </c>
      <c r="Q12" s="183">
        <v>0.79527559055118113</v>
      </c>
      <c r="R12" s="183">
        <v>0.50445632798573981</v>
      </c>
      <c r="S12" s="183">
        <v>0.79665738161559885</v>
      </c>
      <c r="T12" s="183">
        <v>0.61689106487148104</v>
      </c>
      <c r="U12" s="183">
        <v>0.6310679611650486</v>
      </c>
      <c r="V12" s="183">
        <v>0.61442786069651745</v>
      </c>
      <c r="W12" s="183">
        <v>0.64655172413793105</v>
      </c>
      <c r="X12" s="183">
        <v>0.59147180192572213</v>
      </c>
      <c r="Y12" s="183">
        <v>0.72020725388601037</v>
      </c>
      <c r="Z12" s="183">
        <v>0.62424969987995194</v>
      </c>
      <c r="AA12" s="183">
        <v>0.56321839080459768</v>
      </c>
      <c r="AB12" s="183">
        <v>0.6223776223776224</v>
      </c>
      <c r="AC12" s="183">
        <v>0.56451612903225812</v>
      </c>
      <c r="AD12" s="183">
        <v>0.62199747155499363</v>
      </c>
      <c r="AE12" s="183">
        <v>0.5968992248062015</v>
      </c>
      <c r="AF12" s="183">
        <v>0.62002412545235219</v>
      </c>
      <c r="AG12" s="183">
        <v>0.60439560439560436</v>
      </c>
      <c r="AH12" s="183">
        <v>0.61811505507955933</v>
      </c>
      <c r="AI12" s="183">
        <v>0.62135922330097082</v>
      </c>
      <c r="AJ12" s="183">
        <v>0.6142131979695431</v>
      </c>
      <c r="AK12" s="183">
        <v>0.64393939393939392</v>
      </c>
      <c r="AL12" s="183">
        <v>0.48161120840630472</v>
      </c>
      <c r="AM12" s="183">
        <v>0.84240687679083093</v>
      </c>
      <c r="AN12" s="183">
        <v>0.62754491017964076</v>
      </c>
      <c r="AO12" s="183">
        <v>0.52941176470588236</v>
      </c>
      <c r="AP12" s="183">
        <v>0.59641873278236912</v>
      </c>
      <c r="AQ12" s="183">
        <v>0.7010309278350515</v>
      </c>
      <c r="AR12" s="183">
        <v>0.68998109640831762</v>
      </c>
      <c r="AS12" s="183">
        <v>0.52173913043478259</v>
      </c>
      <c r="AT12" s="183">
        <v>0.61842105263157898</v>
      </c>
      <c r="AU12" s="183">
        <v>0.61904761904761907</v>
      </c>
      <c r="AV12" s="183">
        <v>0.5083333333333333</v>
      </c>
      <c r="AW12" s="183">
        <v>0.82499999999999996</v>
      </c>
      <c r="AX12" s="183">
        <v>0.61407766990291257</v>
      </c>
      <c r="AY12" s="183">
        <v>0.65625</v>
      </c>
      <c r="AZ12" s="183">
        <v>0.62332928311057112</v>
      </c>
      <c r="BA12" s="183">
        <v>0.57731958762886593</v>
      </c>
      <c r="BB12" s="183">
        <v>0.6251621271076524</v>
      </c>
      <c r="BC12" s="183">
        <v>0.58389261744966447</v>
      </c>
      <c r="BD12" s="183">
        <v>0.59431524547803616</v>
      </c>
      <c r="BE12" s="183">
        <v>0.74657534246575341</v>
      </c>
    </row>
    <row r="14" spans="1:57" x14ac:dyDescent="0.3">
      <c r="C14" t="s">
        <v>363</v>
      </c>
      <c r="E14" t="s">
        <v>364</v>
      </c>
      <c r="G14" t="s">
        <v>365</v>
      </c>
      <c r="I14" t="s">
        <v>366</v>
      </c>
      <c r="K14" t="s">
        <v>367</v>
      </c>
      <c r="M14" t="s">
        <v>368</v>
      </c>
      <c r="O14" t="s">
        <v>369</v>
      </c>
      <c r="Q14" t="s">
        <v>370</v>
      </c>
      <c r="S14" t="s">
        <v>371</v>
      </c>
      <c r="U14" t="s">
        <v>372</v>
      </c>
      <c r="W14" t="s">
        <v>373</v>
      </c>
      <c r="Y14" t="s">
        <v>374</v>
      </c>
      <c r="AA14" t="s">
        <v>375</v>
      </c>
      <c r="AC14" t="s">
        <v>376</v>
      </c>
      <c r="AE14" t="s">
        <v>377</v>
      </c>
      <c r="AG14" t="s">
        <v>378</v>
      </c>
      <c r="AI14" t="s">
        <v>379</v>
      </c>
      <c r="AK14" t="s">
        <v>380</v>
      </c>
      <c r="AM14" t="s">
        <v>381</v>
      </c>
      <c r="AO14" t="s">
        <v>382</v>
      </c>
      <c r="AQ14" t="s">
        <v>383</v>
      </c>
      <c r="AS14" t="s">
        <v>384</v>
      </c>
      <c r="AU14" t="s">
        <v>385</v>
      </c>
      <c r="AW14" t="s">
        <v>386</v>
      </c>
      <c r="AY14" t="s">
        <v>387</v>
      </c>
      <c r="BA14" t="s">
        <v>388</v>
      </c>
      <c r="BC14" t="s">
        <v>389</v>
      </c>
      <c r="BE14" t="s">
        <v>390</v>
      </c>
    </row>
    <row r="15" spans="1:57" x14ac:dyDescent="0.3">
      <c r="A15" t="s">
        <v>217</v>
      </c>
      <c r="C15" s="189">
        <v>1.694915254237284E-2</v>
      </c>
      <c r="E15" s="189">
        <v>0</v>
      </c>
      <c r="G15" s="189">
        <v>0</v>
      </c>
      <c r="I15" s="189">
        <v>0</v>
      </c>
      <c r="K15" s="189">
        <v>0</v>
      </c>
      <c r="M15" s="189">
        <v>0</v>
      </c>
      <c r="O15" s="189">
        <v>0</v>
      </c>
      <c r="Q15" s="189">
        <v>0</v>
      </c>
      <c r="S15" s="189">
        <v>0</v>
      </c>
      <c r="U15" s="189">
        <v>0</v>
      </c>
      <c r="W15" s="189">
        <v>0</v>
      </c>
      <c r="Y15" s="189">
        <v>0</v>
      </c>
      <c r="AA15" s="189">
        <v>0</v>
      </c>
      <c r="AC15" s="189">
        <v>0</v>
      </c>
      <c r="AE15" s="189">
        <v>0</v>
      </c>
      <c r="AG15" s="189">
        <v>0</v>
      </c>
      <c r="AI15" s="189">
        <v>0</v>
      </c>
      <c r="AK15" s="189">
        <v>0</v>
      </c>
      <c r="AM15" s="189">
        <v>0</v>
      </c>
      <c r="AO15" s="189">
        <v>0</v>
      </c>
      <c r="AQ15" s="189">
        <v>0</v>
      </c>
      <c r="AS15" s="189">
        <v>0</v>
      </c>
      <c r="AU15" s="189">
        <v>0</v>
      </c>
      <c r="AW15" s="189">
        <v>0</v>
      </c>
      <c r="AY15" s="189">
        <v>0</v>
      </c>
      <c r="BA15" s="189">
        <v>0</v>
      </c>
      <c r="BC15" s="189">
        <v>0</v>
      </c>
      <c r="BE15" s="189">
        <v>0</v>
      </c>
    </row>
    <row r="16" spans="1:57" x14ac:dyDescent="0.3">
      <c r="A16" t="s">
        <v>218</v>
      </c>
      <c r="C16" s="189">
        <v>0.2453205600589535</v>
      </c>
      <c r="E16" s="189">
        <v>9.0832718629620501E-2</v>
      </c>
      <c r="G16" s="189">
        <v>-1.294117647058823E-2</v>
      </c>
      <c r="I16" s="189">
        <v>-1.3339824732229831E-2</v>
      </c>
      <c r="K16" s="189">
        <v>0.10210985061431201</v>
      </c>
      <c r="M16" s="189">
        <v>9.5312546532058784E-2</v>
      </c>
      <c r="O16" s="189">
        <v>3.0352941176470579E-2</v>
      </c>
      <c r="Q16" s="189">
        <v>0.11760380601775421</v>
      </c>
      <c r="S16" s="189">
        <v>0.12387847010163899</v>
      </c>
      <c r="U16" s="189">
        <v>6.1948164608857881E-2</v>
      </c>
      <c r="W16" s="189">
        <v>-4.7606793618116816E-3</v>
      </c>
      <c r="Y16" s="189">
        <v>4.2498449872069848E-2</v>
      </c>
      <c r="AA16" s="189">
        <v>-8.3937023085096096E-2</v>
      </c>
      <c r="AC16" s="189">
        <v>-0.15862094894352949</v>
      </c>
      <c r="AE16" s="189">
        <v>3.0370740599182659E-2</v>
      </c>
      <c r="AG16" s="189">
        <v>-8.5883959225334428E-2</v>
      </c>
      <c r="AI16" s="189">
        <v>-1.4580931896234221E-2</v>
      </c>
      <c r="AK16" s="189">
        <v>4.2416551299800043E-2</v>
      </c>
      <c r="AM16" s="189">
        <v>0.14170584958776389</v>
      </c>
      <c r="AO16" s="189">
        <v>-1.162381120112721E-2</v>
      </c>
      <c r="AQ16" s="189">
        <v>6.2863877765470977E-2</v>
      </c>
      <c r="AS16" s="189">
        <v>-1.034137662626489E-2</v>
      </c>
      <c r="AU16" s="189">
        <v>-5.291638186375025E-2</v>
      </c>
      <c r="AW16" s="189">
        <v>0.12250000000000009</v>
      </c>
      <c r="AY16" s="189">
        <v>-3.8733818770226518E-2</v>
      </c>
      <c r="BA16" s="189">
        <v>-5.9788803848129117E-2</v>
      </c>
      <c r="BC16" s="189">
        <v>5.7791241219021787E-2</v>
      </c>
      <c r="BE16" s="189">
        <v>4.7131075006194512E-2</v>
      </c>
    </row>
    <row r="17" spans="1:57" x14ac:dyDescent="0.3">
      <c r="A17" t="s">
        <v>219</v>
      </c>
      <c r="C17" s="189">
        <v>0.40644804716285921</v>
      </c>
      <c r="E17" s="189">
        <v>0.12173182526022459</v>
      </c>
      <c r="G17" s="189">
        <v>8.2745098039215703E-2</v>
      </c>
      <c r="I17" s="189">
        <v>8.9094449853943547E-2</v>
      </c>
      <c r="K17" s="189">
        <v>0.13418765225664159</v>
      </c>
      <c r="M17" s="189">
        <v>9.6742011376157677E-2</v>
      </c>
      <c r="O17" s="189">
        <v>5.3882352941176492E-2</v>
      </c>
      <c r="Q17" s="189">
        <v>0.11466261522504501</v>
      </c>
      <c r="S17" s="189">
        <v>0.15329271744149681</v>
      </c>
      <c r="U17" s="189">
        <v>8.9850387993012593E-2</v>
      </c>
      <c r="W17" s="189">
        <v>2.9722079258878039E-2</v>
      </c>
      <c r="Y17" s="189">
        <v>5.0110112535724172E-2</v>
      </c>
      <c r="AA17" s="189">
        <v>-5.065474465648323E-2</v>
      </c>
      <c r="AC17" s="189">
        <v>9.6623806301225912E-3</v>
      </c>
      <c r="AE17" s="189">
        <v>5.2362332049510463E-2</v>
      </c>
      <c r="AG17" s="189">
        <v>4.343906997706759E-2</v>
      </c>
      <c r="AI17" s="189">
        <v>6.798493184870058E-2</v>
      </c>
      <c r="AK17" s="189">
        <v>0.12578834025534541</v>
      </c>
      <c r="AM17" s="189">
        <v>0.16701709663336331</v>
      </c>
      <c r="AO17" s="189">
        <v>4.8397323001056702E-2</v>
      </c>
      <c r="AQ17" s="189">
        <v>0.1096106330408111</v>
      </c>
      <c r="AS17" s="189">
        <v>-8.4621372178360965E-2</v>
      </c>
      <c r="AU17" s="189">
        <v>6.0207336523125932E-2</v>
      </c>
      <c r="AW17" s="189">
        <v>0.16375000000000001</v>
      </c>
      <c r="AY17" s="189">
        <v>6.1084142394821961E-2</v>
      </c>
      <c r="BA17" s="189">
        <v>4.4969999123147808E-3</v>
      </c>
      <c r="BC17" s="189">
        <v>8.4636878802914373E-2</v>
      </c>
      <c r="BE17" s="189">
        <v>0.1070935542104705</v>
      </c>
    </row>
    <row r="18" spans="1:57" x14ac:dyDescent="0.3">
      <c r="A18" t="s">
        <v>220</v>
      </c>
      <c r="C18" s="189">
        <v>0.55432074352382832</v>
      </c>
      <c r="E18" s="189">
        <v>0.29998356479579258</v>
      </c>
      <c r="G18" s="189">
        <v>-4.4442579851205477E-2</v>
      </c>
      <c r="I18" s="189">
        <v>5.2807017543859643E-2</v>
      </c>
      <c r="K18" s="189">
        <v>0.35973693400069839</v>
      </c>
      <c r="M18" s="189">
        <v>-5.6689985504506213E-2</v>
      </c>
      <c r="O18" s="189">
        <v>-2.3208694050469662E-2</v>
      </c>
      <c r="Q18" s="189">
        <v>0.3341771150575486</v>
      </c>
      <c r="S18" s="189">
        <v>0.31832064096461998</v>
      </c>
      <c r="U18" s="189">
        <v>-0.13050270795722821</v>
      </c>
      <c r="W18" s="189">
        <v>-5.6689985504506213E-2</v>
      </c>
      <c r="Y18" s="189">
        <v>9.0704225352112644E-2</v>
      </c>
      <c r="AA18" s="189">
        <v>-0.2050323284256447</v>
      </c>
      <c r="AC18" s="189">
        <v>-0.14726658476658469</v>
      </c>
      <c r="AE18" s="189">
        <v>-5.4698227947426958E-2</v>
      </c>
      <c r="AG18" s="189">
        <v>-9.8699072992132098E-2</v>
      </c>
      <c r="AI18" s="189">
        <v>-9.8826233275876252E-2</v>
      </c>
      <c r="AK18" s="189">
        <v>-5.3846153846153773E-2</v>
      </c>
      <c r="AM18" s="189">
        <v>0.32849662229683813</v>
      </c>
      <c r="AO18" s="189">
        <v>-0.21766698514722491</v>
      </c>
      <c r="AQ18" s="189">
        <v>0.18853218089211299</v>
      </c>
      <c r="AS18" s="189">
        <v>-8.6605701990317363E-2</v>
      </c>
      <c r="AU18" s="189">
        <v>-0.14003759398496229</v>
      </c>
      <c r="AW18" s="189">
        <v>0.31818181818181818</v>
      </c>
      <c r="AY18" s="189">
        <v>-0.13862590115521581</v>
      </c>
      <c r="BA18" s="189">
        <v>-0.1074396060932452</v>
      </c>
      <c r="BC18" s="189">
        <v>4.0964825365370383E-2</v>
      </c>
      <c r="BE18" s="189">
        <v>-0.1152451407020598</v>
      </c>
    </row>
    <row r="19" spans="1:57" x14ac:dyDescent="0.3">
      <c r="A19" t="s">
        <v>221</v>
      </c>
      <c r="C19" s="189">
        <v>0.40459145427286353</v>
      </c>
      <c r="E19" s="189">
        <v>6.4748791082698256E-3</v>
      </c>
      <c r="G19" s="189">
        <v>-3.2784313725490177E-2</v>
      </c>
      <c r="I19" s="189">
        <v>6.8159688412853248E-3</v>
      </c>
      <c r="K19" s="189">
        <v>-2.199703054502478E-2</v>
      </c>
      <c r="M19" s="189">
        <v>-4.613002173977776E-2</v>
      </c>
      <c r="O19" s="189">
        <v>-3.9999999999999918E-2</v>
      </c>
      <c r="Q19" s="189">
        <v>-1.9370955253969809E-2</v>
      </c>
      <c r="S19" s="189">
        <v>-3.68422881940822E-3</v>
      </c>
      <c r="U19" s="189">
        <v>-2.250715974854722E-2</v>
      </c>
      <c r="W19" s="189">
        <v>2.779207411219764E-2</v>
      </c>
      <c r="Y19" s="189">
        <v>-6.5141008188952521E-3</v>
      </c>
      <c r="AA19" s="189">
        <v>2.3650839646203289E-2</v>
      </c>
      <c r="AC19" s="189">
        <v>3.0829385668095228E-3</v>
      </c>
      <c r="AE19" s="189">
        <v>-1.177980968061232E-2</v>
      </c>
      <c r="AG19" s="189">
        <v>-3.4968650167685127E-2</v>
      </c>
      <c r="AI19" s="189">
        <v>-3.3439887820703167E-2</v>
      </c>
      <c r="AK19" s="189">
        <v>-2.7457314259344719E-2</v>
      </c>
      <c r="AM19" s="189">
        <v>3.0098505110924819E-2</v>
      </c>
      <c r="AO19" s="189">
        <v>-4.2409299048960847E-2</v>
      </c>
      <c r="AQ19" s="189">
        <v>4.82803669307863E-4</v>
      </c>
      <c r="AS19" s="189">
        <v>8.1619037028800134E-2</v>
      </c>
      <c r="AU19" s="189">
        <v>2.1758942811574311E-2</v>
      </c>
      <c r="AW19" s="189">
        <v>2.1874999999999981E-2</v>
      </c>
      <c r="AY19" s="189">
        <v>5.4611650485436591E-3</v>
      </c>
      <c r="BA19" s="189">
        <v>1.7712417481930531E-2</v>
      </c>
      <c r="BC19" s="189">
        <v>4.8381340366820742E-2</v>
      </c>
      <c r="BE19" s="189">
        <v>-5.0157516548086763E-2</v>
      </c>
    </row>
    <row r="20" spans="1:57" x14ac:dyDescent="0.3">
      <c r="A20" t="s">
        <v>222</v>
      </c>
      <c r="C20" s="189">
        <v>0.32398673544583639</v>
      </c>
      <c r="E20" s="189">
        <v>0.271760511433489</v>
      </c>
      <c r="G20" s="189">
        <v>5.6705882352941162E-2</v>
      </c>
      <c r="I20" s="189">
        <v>0.11285296981499519</v>
      </c>
      <c r="K20" s="189">
        <v>0.38454441929857441</v>
      </c>
      <c r="M20" s="189">
        <v>0.17423091813335709</v>
      </c>
      <c r="O20" s="189">
        <v>4.9490196078431407E-2</v>
      </c>
      <c r="Q20" s="189">
        <v>0.30176909704468757</v>
      </c>
      <c r="S20" s="189">
        <v>0.29220105362985899</v>
      </c>
      <c r="U20" s="189">
        <v>1.417689629356755E-2</v>
      </c>
      <c r="W20" s="189">
        <v>3.2123863441413603E-2</v>
      </c>
      <c r="Y20" s="189">
        <v>0.12873545196028821</v>
      </c>
      <c r="AA20" s="189">
        <v>-6.1031309075354263E-2</v>
      </c>
      <c r="AC20" s="189">
        <v>-5.7861493345364279E-2</v>
      </c>
      <c r="AE20" s="189">
        <v>-2.509824674879213E-2</v>
      </c>
      <c r="AG20" s="189">
        <v>-1.5628521056747832E-2</v>
      </c>
      <c r="AI20" s="189">
        <v>3.244168221411492E-3</v>
      </c>
      <c r="AK20" s="189">
        <v>2.9726195969850822E-2</v>
      </c>
      <c r="AM20" s="189">
        <v>0.3607956683845262</v>
      </c>
      <c r="AO20" s="189">
        <v>-9.8133145473758399E-2</v>
      </c>
      <c r="AQ20" s="189">
        <v>0.10461219505268241</v>
      </c>
      <c r="AS20" s="189">
        <v>-0.168241965973535</v>
      </c>
      <c r="AU20" s="189">
        <v>6.2656641604008634E-4</v>
      </c>
      <c r="AW20" s="189">
        <v>0.31666666666666671</v>
      </c>
      <c r="AY20" s="189">
        <v>4.2172330097087429E-2</v>
      </c>
      <c r="BA20" s="189">
        <v>-4.6009695481705193E-2</v>
      </c>
      <c r="BC20" s="189">
        <v>-4.1269509657987917E-2</v>
      </c>
      <c r="BE20" s="189">
        <v>0.15226009698771731</v>
      </c>
    </row>
  </sheetData>
  <phoneticPr fontId="52" type="noConversion"/>
  <conditionalFormatting sqref="C15:C20">
    <cfRule type="colorScale" priority="1">
      <colorScale>
        <cfvo type="min"/>
        <cfvo type="percentile" val="50"/>
        <cfvo type="max"/>
        <color rgb="FFF8696B"/>
        <color rgb="FFFFEB84"/>
        <color rgb="FF63BE7B"/>
      </colorScale>
    </cfRule>
  </conditionalFormatting>
  <conditionalFormatting sqref="E15:E20">
    <cfRule type="colorScale" priority="2">
      <colorScale>
        <cfvo type="min"/>
        <cfvo type="percentile" val="50"/>
        <cfvo type="max"/>
        <color rgb="FFF8696B"/>
        <color rgb="FFFFEB84"/>
        <color rgb="FF63BE7B"/>
      </colorScale>
    </cfRule>
  </conditionalFormatting>
  <conditionalFormatting sqref="G15:G20">
    <cfRule type="colorScale" priority="3">
      <colorScale>
        <cfvo type="min"/>
        <cfvo type="percentile" val="50"/>
        <cfvo type="max"/>
        <color rgb="FFF8696B"/>
        <color rgb="FFFFEB84"/>
        <color rgb="FF63BE7B"/>
      </colorScale>
    </cfRule>
  </conditionalFormatting>
  <conditionalFormatting sqref="I15:I20">
    <cfRule type="colorScale" priority="4">
      <colorScale>
        <cfvo type="min"/>
        <cfvo type="percentile" val="50"/>
        <cfvo type="max"/>
        <color rgb="FFF8696B"/>
        <color rgb="FFFFEB84"/>
        <color rgb="FF63BE7B"/>
      </colorScale>
    </cfRule>
  </conditionalFormatting>
  <conditionalFormatting sqref="K15:K20">
    <cfRule type="colorScale" priority="5">
      <colorScale>
        <cfvo type="min"/>
        <cfvo type="percentile" val="50"/>
        <cfvo type="max"/>
        <color rgb="FFF8696B"/>
        <color rgb="FFFFEB84"/>
        <color rgb="FF63BE7B"/>
      </colorScale>
    </cfRule>
  </conditionalFormatting>
  <conditionalFormatting sqref="M15:M20">
    <cfRule type="colorScale" priority="6">
      <colorScale>
        <cfvo type="min"/>
        <cfvo type="percentile" val="50"/>
        <cfvo type="max"/>
        <color rgb="FFF8696B"/>
        <color rgb="FFFFEB84"/>
        <color rgb="FF63BE7B"/>
      </colorScale>
    </cfRule>
  </conditionalFormatting>
  <conditionalFormatting sqref="O15:O20">
    <cfRule type="colorScale" priority="7">
      <colorScale>
        <cfvo type="min"/>
        <cfvo type="percentile" val="50"/>
        <cfvo type="max"/>
        <color rgb="FFF8696B"/>
        <color rgb="FFFFEB84"/>
        <color rgb="FF63BE7B"/>
      </colorScale>
    </cfRule>
  </conditionalFormatting>
  <conditionalFormatting sqref="Q15:Q20">
    <cfRule type="colorScale" priority="8">
      <colorScale>
        <cfvo type="min"/>
        <cfvo type="percentile" val="50"/>
        <cfvo type="max"/>
        <color rgb="FFF8696B"/>
        <color rgb="FFFFEB84"/>
        <color rgb="FF63BE7B"/>
      </colorScale>
    </cfRule>
  </conditionalFormatting>
  <conditionalFormatting sqref="S15:S20">
    <cfRule type="colorScale" priority="9">
      <colorScale>
        <cfvo type="min"/>
        <cfvo type="percentile" val="50"/>
        <cfvo type="max"/>
        <color rgb="FFF8696B"/>
        <color rgb="FFFFEB84"/>
        <color rgb="FF63BE7B"/>
      </colorScale>
    </cfRule>
  </conditionalFormatting>
  <conditionalFormatting sqref="U15:U20">
    <cfRule type="colorScale" priority="10">
      <colorScale>
        <cfvo type="min"/>
        <cfvo type="percentile" val="50"/>
        <cfvo type="max"/>
        <color rgb="FFF8696B"/>
        <color rgb="FFFFEB84"/>
        <color rgb="FF63BE7B"/>
      </colorScale>
    </cfRule>
  </conditionalFormatting>
  <conditionalFormatting sqref="W15:W20">
    <cfRule type="colorScale" priority="11">
      <colorScale>
        <cfvo type="min"/>
        <cfvo type="percentile" val="50"/>
        <cfvo type="max"/>
        <color rgb="FFF8696B"/>
        <color rgb="FFFFEB84"/>
        <color rgb="FF63BE7B"/>
      </colorScale>
    </cfRule>
  </conditionalFormatting>
  <conditionalFormatting sqref="Y15:Y20">
    <cfRule type="colorScale" priority="12">
      <colorScale>
        <cfvo type="min"/>
        <cfvo type="percentile" val="50"/>
        <cfvo type="max"/>
        <color rgb="FFF8696B"/>
        <color rgb="FFFFEB84"/>
        <color rgb="FF63BE7B"/>
      </colorScale>
    </cfRule>
  </conditionalFormatting>
  <conditionalFormatting sqref="AA15:AA20">
    <cfRule type="colorScale" priority="13">
      <colorScale>
        <cfvo type="min"/>
        <cfvo type="percentile" val="50"/>
        <cfvo type="max"/>
        <color rgb="FFF8696B"/>
        <color rgb="FFFFEB84"/>
        <color rgb="FF63BE7B"/>
      </colorScale>
    </cfRule>
  </conditionalFormatting>
  <conditionalFormatting sqref="AC15:AC20">
    <cfRule type="colorScale" priority="14">
      <colorScale>
        <cfvo type="min"/>
        <cfvo type="percentile" val="50"/>
        <cfvo type="max"/>
        <color rgb="FFF8696B"/>
        <color rgb="FFFFEB84"/>
        <color rgb="FF63BE7B"/>
      </colorScale>
    </cfRule>
  </conditionalFormatting>
  <conditionalFormatting sqref="AE15:AE20">
    <cfRule type="colorScale" priority="15">
      <colorScale>
        <cfvo type="min"/>
        <cfvo type="percentile" val="50"/>
        <cfvo type="max"/>
        <color rgb="FFF8696B"/>
        <color rgb="FFFFEB84"/>
        <color rgb="FF63BE7B"/>
      </colorScale>
    </cfRule>
  </conditionalFormatting>
  <conditionalFormatting sqref="AG15:AG20">
    <cfRule type="colorScale" priority="16">
      <colorScale>
        <cfvo type="min"/>
        <cfvo type="percentile" val="50"/>
        <cfvo type="max"/>
        <color rgb="FFF8696B"/>
        <color rgb="FFFFEB84"/>
        <color rgb="FF63BE7B"/>
      </colorScale>
    </cfRule>
  </conditionalFormatting>
  <conditionalFormatting sqref="AI15:AI20">
    <cfRule type="colorScale" priority="17">
      <colorScale>
        <cfvo type="min"/>
        <cfvo type="percentile" val="50"/>
        <cfvo type="max"/>
        <color rgb="FFF8696B"/>
        <color rgb="FFFFEB84"/>
        <color rgb="FF63BE7B"/>
      </colorScale>
    </cfRule>
  </conditionalFormatting>
  <conditionalFormatting sqref="AK15:AK20">
    <cfRule type="colorScale" priority="18">
      <colorScale>
        <cfvo type="min"/>
        <cfvo type="percentile" val="50"/>
        <cfvo type="max"/>
        <color rgb="FFF8696B"/>
        <color rgb="FFFFEB84"/>
        <color rgb="FF63BE7B"/>
      </colorScale>
    </cfRule>
  </conditionalFormatting>
  <conditionalFormatting sqref="AM15:AM20">
    <cfRule type="colorScale" priority="19">
      <colorScale>
        <cfvo type="min"/>
        <cfvo type="percentile" val="50"/>
        <cfvo type="max"/>
        <color rgb="FFF8696B"/>
        <color rgb="FFFFEB84"/>
        <color rgb="FF63BE7B"/>
      </colorScale>
    </cfRule>
  </conditionalFormatting>
  <conditionalFormatting sqref="AO15:AO20">
    <cfRule type="colorScale" priority="20">
      <colorScale>
        <cfvo type="min"/>
        <cfvo type="percentile" val="50"/>
        <cfvo type="max"/>
        <color rgb="FFF8696B"/>
        <color rgb="FFFFEB84"/>
        <color rgb="FF63BE7B"/>
      </colorScale>
    </cfRule>
  </conditionalFormatting>
  <conditionalFormatting sqref="AQ15:AQ20">
    <cfRule type="colorScale" priority="21">
      <colorScale>
        <cfvo type="min"/>
        <cfvo type="percentile" val="50"/>
        <cfvo type="max"/>
        <color rgb="FFF8696B"/>
        <color rgb="FFFFEB84"/>
        <color rgb="FF63BE7B"/>
      </colorScale>
    </cfRule>
  </conditionalFormatting>
  <conditionalFormatting sqref="AS15:AS20">
    <cfRule type="colorScale" priority="22">
      <colorScale>
        <cfvo type="min"/>
        <cfvo type="percentile" val="50"/>
        <cfvo type="max"/>
        <color rgb="FFF8696B"/>
        <color rgb="FFFFEB84"/>
        <color rgb="FF63BE7B"/>
      </colorScale>
    </cfRule>
  </conditionalFormatting>
  <conditionalFormatting sqref="AU15:AU20">
    <cfRule type="colorScale" priority="23">
      <colorScale>
        <cfvo type="min"/>
        <cfvo type="percentile" val="50"/>
        <cfvo type="max"/>
        <color rgb="FFF8696B"/>
        <color rgb="FFFFEB84"/>
        <color rgb="FF63BE7B"/>
      </colorScale>
    </cfRule>
  </conditionalFormatting>
  <conditionalFormatting sqref="AW15:AW20">
    <cfRule type="colorScale" priority="24">
      <colorScale>
        <cfvo type="min"/>
        <cfvo type="percentile" val="50"/>
        <cfvo type="max"/>
        <color rgb="FFF8696B"/>
        <color rgb="FFFFEB84"/>
        <color rgb="FF63BE7B"/>
      </colorScale>
    </cfRule>
  </conditionalFormatting>
  <conditionalFormatting sqref="AY15:AY20">
    <cfRule type="colorScale" priority="25">
      <colorScale>
        <cfvo type="min"/>
        <cfvo type="percentile" val="50"/>
        <cfvo type="max"/>
        <color rgb="FFF8696B"/>
        <color rgb="FFFFEB84"/>
        <color rgb="FF63BE7B"/>
      </colorScale>
    </cfRule>
  </conditionalFormatting>
  <conditionalFormatting sqref="BA15:BA20">
    <cfRule type="colorScale" priority="26">
      <colorScale>
        <cfvo type="min"/>
        <cfvo type="percentile" val="50"/>
        <cfvo type="max"/>
        <color rgb="FFF8696B"/>
        <color rgb="FFFFEB84"/>
        <color rgb="FF63BE7B"/>
      </colorScale>
    </cfRule>
  </conditionalFormatting>
  <conditionalFormatting sqref="BC15:BC20">
    <cfRule type="colorScale" priority="27">
      <colorScale>
        <cfvo type="min"/>
        <cfvo type="percentile" val="50"/>
        <cfvo type="max"/>
        <color rgb="FFF8696B"/>
        <color rgb="FFFFEB84"/>
        <color rgb="FF63BE7B"/>
      </colorScale>
    </cfRule>
  </conditionalFormatting>
  <conditionalFormatting sqref="BE15:BE20">
    <cfRule type="colorScale" priority="28">
      <colorScale>
        <cfvo type="min"/>
        <cfvo type="percentile" val="50"/>
        <cfvo type="max"/>
        <color rgb="FFF8696B"/>
        <color rgb="FFFFEB84"/>
        <color rgb="FF63BE7B"/>
      </colorScale>
    </cfRule>
  </conditionalFormatting>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theme="1" tint="4.9989318521683403E-2"/>
  </sheetPr>
  <dimension ref="A1:AJ249"/>
  <sheetViews>
    <sheetView zoomScale="88" zoomScaleNormal="80" workbookViewId="0">
      <selection activeCell="E5" sqref="E5"/>
    </sheetView>
  </sheetViews>
  <sheetFormatPr defaultRowHeight="14" x14ac:dyDescent="0.3"/>
  <cols>
    <col min="1" max="1" width="22.58203125" customWidth="1"/>
    <col min="2" max="2" width="6.83203125" bestFit="1" customWidth="1"/>
    <col min="3" max="3" width="27.83203125" bestFit="1" customWidth="1"/>
    <col min="4" max="4" width="29.4140625" style="5" bestFit="1" customWidth="1"/>
    <col min="5" max="5" width="9.1640625" bestFit="1" customWidth="1"/>
    <col min="6" max="6" width="12.83203125" bestFit="1" customWidth="1"/>
    <col min="7" max="7" width="9.1640625" bestFit="1" customWidth="1"/>
    <col min="8" max="24" width="12.4140625" bestFit="1" customWidth="1"/>
    <col min="25" max="25" width="13.1640625" bestFit="1" customWidth="1"/>
    <col min="26" max="26" width="15.4140625" bestFit="1" customWidth="1"/>
    <col min="27" max="32" width="9.83203125" customWidth="1"/>
  </cols>
  <sheetData>
    <row r="1" spans="1:36" ht="30" customHeight="1" x14ac:dyDescent="0.3">
      <c r="A1" s="83"/>
      <c r="B1" s="84"/>
      <c r="C1" s="85"/>
      <c r="D1" s="92" t="s">
        <v>0</v>
      </c>
      <c r="E1" s="93" t="str">
        <f t="array" ref="E1:X1">TRANSPOSE('2D Mapping'!C3:C22)</f>
        <v>Total</v>
      </c>
      <c r="F1" s="93" t="str">
        <v>Total</v>
      </c>
      <c r="G1" s="93" t="str">
        <v>Total</v>
      </c>
      <c r="H1" s="93" t="str">
        <v>Total</v>
      </c>
      <c r="I1" s="93" t="str">
        <v>Total</v>
      </c>
      <c r="J1" s="93" t="str">
        <v>Total</v>
      </c>
      <c r="K1" s="93" t="str">
        <v>Total</v>
      </c>
      <c r="L1" s="93" t="str">
        <v>Total</v>
      </c>
      <c r="M1" s="93">
        <v>0</v>
      </c>
      <c r="N1" s="93">
        <v>0</v>
      </c>
      <c r="O1" s="93">
        <v>0</v>
      </c>
      <c r="P1" s="93">
        <v>0</v>
      </c>
      <c r="Q1" s="93">
        <v>0</v>
      </c>
      <c r="R1" s="93">
        <v>0</v>
      </c>
      <c r="S1" s="93">
        <v>0</v>
      </c>
      <c r="T1" s="93">
        <v>0</v>
      </c>
      <c r="U1" s="93">
        <v>0</v>
      </c>
      <c r="V1" s="93">
        <v>0</v>
      </c>
      <c r="W1" s="93">
        <v>0</v>
      </c>
      <c r="X1" s="93">
        <v>0</v>
      </c>
    </row>
    <row r="2" spans="1:36" s="16" customFormat="1" ht="65.25" customHeight="1" x14ac:dyDescent="0.3">
      <c r="A2" s="86" t="s">
        <v>1</v>
      </c>
      <c r="B2" s="85"/>
      <c r="C2" s="1"/>
      <c r="D2" s="20" t="s">
        <v>2</v>
      </c>
      <c r="E2" s="82" t="str">
        <f t="array" ref="E2:X2">TRANSPOSE('2D Mapping'!B3:B22)</f>
        <v>dLevel_ABA</v>
      </c>
      <c r="F2" s="82" t="str">
        <v>dLevel_B6_T2B</v>
      </c>
      <c r="G2" s="82" t="str">
        <v>dLevel_ABA</v>
      </c>
      <c r="H2" s="82" t="str">
        <v>dLevel_B6_T2B</v>
      </c>
      <c r="I2" s="82" t="str">
        <v>dLevel_B7_T2B</v>
      </c>
      <c r="J2" s="82" t="str">
        <v/>
      </c>
      <c r="K2" s="82" t="str">
        <v/>
      </c>
      <c r="L2" s="82" t="str">
        <v/>
      </c>
      <c r="M2" s="82" t="str">
        <v/>
      </c>
      <c r="N2" s="82" t="str">
        <v/>
      </c>
      <c r="O2" s="82" t="str">
        <v/>
      </c>
      <c r="P2" s="82" t="str">
        <v/>
      </c>
      <c r="Q2" s="82" t="str">
        <v/>
      </c>
      <c r="R2" s="82" t="str">
        <v/>
      </c>
      <c r="S2" s="82" t="str">
        <v/>
      </c>
      <c r="T2" s="82" t="str">
        <v/>
      </c>
      <c r="U2" s="82" t="str">
        <v/>
      </c>
      <c r="V2" s="82" t="str">
        <v/>
      </c>
      <c r="W2" s="82" t="str">
        <v/>
      </c>
      <c r="X2" s="82" t="str">
        <v/>
      </c>
      <c r="Y2" s="21"/>
      <c r="Z2" s="21"/>
      <c r="AA2" s="21"/>
      <c r="AB2" s="21"/>
      <c r="AC2" s="21"/>
      <c r="AD2" s="21"/>
      <c r="AE2" s="21"/>
      <c r="AF2" s="21"/>
      <c r="AG2" s="21"/>
      <c r="AH2" s="21"/>
      <c r="AI2" s="21"/>
      <c r="AJ2" s="21"/>
    </row>
    <row r="3" spans="1:36" ht="13" customHeight="1" x14ac:dyDescent="0.3">
      <c r="A3" s="98"/>
      <c r="B3" s="99"/>
      <c r="C3" s="1"/>
      <c r="D3" s="81" t="s">
        <v>3</v>
      </c>
      <c r="E3" s="140">
        <f t="array" ref="E3">_xlfn.LET(
    _xlpm.kpiName, E$2,
    _xlpm.factorName, $D3,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3.9697503212993472E-2</v>
      </c>
      <c r="F3" s="140">
        <f t="array" ref="F3">_xlfn.LET(
    _xlpm.kpiName, F$2,
    _xlpm.factorName, $D3,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4.2726247384892217E-2</v>
      </c>
      <c r="G3" s="140">
        <f t="array" ref="G3">_xlfn.LET(
    _xlpm.kpiName, G$2,
    _xlpm.factorName, $D3,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3.9697503212993472E-2</v>
      </c>
      <c r="H3" s="140">
        <f t="array" ref="H3">_xlfn.LET(
    _xlpm.kpiName, H$2,
    _xlpm.factorName, $D3,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4.2726247384892217E-2</v>
      </c>
      <c r="I3" s="140">
        <f t="array" ref="I3">_xlfn.LET(
    _xlpm.kpiName, I$2,
    _xlpm.factorName, $D3,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0.18742167501614901</v>
      </c>
      <c r="J3" s="140">
        <f t="array" ref="J3">_xlfn.LET(
    _xlpm.kpiName, J$2,
    _xlpm.factorName, $D3,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K3" s="140">
        <f t="array" ref="K3">_xlfn.LET(
    _xlpm.kpiName, K$2,
    _xlpm.factorName, $D3,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L3" s="140">
        <f t="array" ref="L3">_xlfn.LET(
    _xlpm.kpiName, L$2,
    _xlpm.factorName, $D3,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M3" s="140">
        <f t="array" ref="M3">_xlfn.LET(
    _xlpm.kpiName, M$2,
    _xlpm.factorName, $D3,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N3" s="140">
        <f t="array" ref="N3">_xlfn.LET(
    _xlpm.kpiName, N$2,
    _xlpm.factorName, $D3,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O3" s="140">
        <f t="array" ref="O3">_xlfn.LET(
    _xlpm.kpiName, O$2,
    _xlpm.factorName, $D3,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P3" s="140">
        <f t="array" ref="P3">_xlfn.LET(
    _xlpm.kpiName, P$2,
    _xlpm.factorName, $D3,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Q3" s="140">
        <f t="array" ref="Q3">_xlfn.LET(
    _xlpm.kpiName, Q$2,
    _xlpm.factorName, $D3,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R3" s="140">
        <f t="array" ref="R3">_xlfn.LET(
    _xlpm.kpiName, R$2,
    _xlpm.factorName, $D3,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S3" s="140">
        <f t="array" ref="S3">_xlfn.LET(
    _xlpm.kpiName, S$2,
    _xlpm.factorName, $D3,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T3" s="140">
        <f t="array" ref="T3">_xlfn.LET(
    _xlpm.kpiName, T$2,
    _xlpm.factorName, $D3,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U3" s="140">
        <f t="array" ref="U3">_xlfn.LET(
    _xlpm.kpiName, U$2,
    _xlpm.factorName, $D3,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V3" s="140">
        <f t="array" ref="V3">_xlfn.LET(
    _xlpm.kpiName, V$2,
    _xlpm.factorName, $D3,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W3" s="140">
        <f t="array" ref="W3">_xlfn.LET(
    _xlpm.kpiName, W$2,
    _xlpm.factorName, $D3,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X3" s="140">
        <f t="array" ref="X3">_xlfn.LET(
    _xlpm.kpiName, X$2,
    _xlpm.factorName, $D3,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Y3" s="10"/>
      <c r="Z3" s="10"/>
      <c r="AA3" s="10"/>
      <c r="AB3" s="10"/>
      <c r="AC3" s="10"/>
      <c r="AD3" s="10"/>
      <c r="AE3" s="10"/>
      <c r="AF3" s="10"/>
      <c r="AG3" s="10"/>
      <c r="AH3" s="10"/>
      <c r="AI3" s="10"/>
      <c r="AJ3" s="10"/>
    </row>
    <row r="4" spans="1:36" ht="13" customHeight="1" x14ac:dyDescent="0.3">
      <c r="A4" s="215" t="s">
        <v>4</v>
      </c>
      <c r="B4" s="221">
        <v>0</v>
      </c>
      <c r="C4" s="1"/>
      <c r="D4" s="81" t="s">
        <v>5</v>
      </c>
      <c r="E4" s="140">
        <f t="array" ref="E4">_xlfn.LET(
    _xlpm.kpiName, E$2,
    _xlpm.factorName, $D4,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1.905110191555686E-2</v>
      </c>
      <c r="F4" s="140">
        <f t="array" ref="F4">_xlfn.LET(
    _xlpm.kpiName, F$2,
    _xlpm.factorName, $D4,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8.2534883523637716E-3</v>
      </c>
      <c r="G4" s="140">
        <f t="array" ref="G4">_xlfn.LET(
    _xlpm.kpiName, G$2,
    _xlpm.factorName, $D4,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1.905110191555686E-2</v>
      </c>
      <c r="H4" s="140">
        <f t="array" ref="H4">_xlfn.LET(
    _xlpm.kpiName, H$2,
    _xlpm.factorName, $D4,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8.2534883523637716E-3</v>
      </c>
      <c r="I4" s="140">
        <f t="array" ref="I4">_xlfn.LET(
    _xlpm.kpiName, I$2,
    _xlpm.factorName, $D4,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0.1298078160125162</v>
      </c>
      <c r="J4" s="140">
        <f t="array" ref="J4">_xlfn.LET(
    _xlpm.kpiName, J$2,
    _xlpm.factorName, $D4,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K4" s="140">
        <f t="array" ref="K4">_xlfn.LET(
    _xlpm.kpiName, K$2,
    _xlpm.factorName, $D4,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L4" s="140">
        <f t="array" ref="L4">_xlfn.LET(
    _xlpm.kpiName, L$2,
    _xlpm.factorName, $D4,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M4" s="140">
        <f t="array" ref="M4">_xlfn.LET(
    _xlpm.kpiName, M$2,
    _xlpm.factorName, $D4,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N4" s="140">
        <f t="array" ref="N4">_xlfn.LET(
    _xlpm.kpiName, N$2,
    _xlpm.factorName, $D4,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O4" s="140">
        <f t="array" ref="O4">_xlfn.LET(
    _xlpm.kpiName, O$2,
    _xlpm.factorName, $D4,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P4" s="140">
        <f t="array" ref="P4">_xlfn.LET(
    _xlpm.kpiName, P$2,
    _xlpm.factorName, $D4,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Q4" s="140">
        <f t="array" ref="Q4">_xlfn.LET(
    _xlpm.kpiName, Q$2,
    _xlpm.factorName, $D4,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R4" s="140">
        <f t="array" ref="R4">_xlfn.LET(
    _xlpm.kpiName, R$2,
    _xlpm.factorName, $D4,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S4" s="140">
        <f t="array" ref="S4">_xlfn.LET(
    _xlpm.kpiName, S$2,
    _xlpm.factorName, $D4,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T4" s="140">
        <f t="array" ref="T4">_xlfn.LET(
    _xlpm.kpiName, T$2,
    _xlpm.factorName, $D4,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U4" s="140">
        <f t="array" ref="U4">_xlfn.LET(
    _xlpm.kpiName, U$2,
    _xlpm.factorName, $D4,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V4" s="140">
        <f t="array" ref="V4">_xlfn.LET(
    _xlpm.kpiName, V$2,
    _xlpm.factorName, $D4,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W4" s="140">
        <f t="array" ref="W4">_xlfn.LET(
    _xlpm.kpiName, W$2,
    _xlpm.factorName, $D4,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X4" s="140">
        <f t="array" ref="X4">_xlfn.LET(
    _xlpm.kpiName, X$2,
    _xlpm.factorName, $D4,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Y4" s="10"/>
      <c r="Z4" s="10"/>
      <c r="AA4" s="10"/>
      <c r="AB4" s="10"/>
      <c r="AC4" s="10"/>
      <c r="AD4" s="10"/>
      <c r="AE4" s="10"/>
      <c r="AF4" s="10"/>
      <c r="AG4" s="10"/>
      <c r="AH4" s="10"/>
      <c r="AI4" s="10"/>
      <c r="AJ4" s="10"/>
    </row>
    <row r="5" spans="1:36" ht="13" customHeight="1" x14ac:dyDescent="0.3">
      <c r="A5" s="216"/>
      <c r="B5" s="216"/>
      <c r="C5" s="1"/>
      <c r="D5" s="81" t="s">
        <v>6</v>
      </c>
      <c r="E5" s="140">
        <f t="array" ref="E5">_xlfn.LET(
    _xlpm.kpiName, E$2,
    _xlpm.factorName, $D5,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1.639282941584318E-2</v>
      </c>
      <c r="F5" s="140">
        <f t="array" ref="F5">_xlfn.LET(
    _xlpm.kpiName, F$2,
    _xlpm.factorName, $D5,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8.661298057249767E-3</v>
      </c>
      <c r="G5" s="140">
        <f t="array" ref="G5">_xlfn.LET(
    _xlpm.kpiName, G$2,
    _xlpm.factorName, $D5,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1.639282941584318E-2</v>
      </c>
      <c r="H5" s="140">
        <f t="array" ref="H5">_xlfn.LET(
    _xlpm.kpiName, H$2,
    _xlpm.factorName, $D5,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8.661298057249767E-3</v>
      </c>
      <c r="I5" s="140">
        <f t="array" ref="I5">_xlfn.LET(
    _xlpm.kpiName, I$2,
    _xlpm.factorName, $D5,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0.1153950542017106</v>
      </c>
      <c r="J5" s="140">
        <f t="array" ref="J5">_xlfn.LET(
    _xlpm.kpiName, J$2,
    _xlpm.factorName, $D5,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K5" s="140">
        <f t="array" ref="K5">_xlfn.LET(
    _xlpm.kpiName, K$2,
    _xlpm.factorName, $D5,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L5" s="140">
        <f t="array" ref="L5">_xlfn.LET(
    _xlpm.kpiName, L$2,
    _xlpm.factorName, $D5,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M5" s="140">
        <f t="array" ref="M5">_xlfn.LET(
    _xlpm.kpiName, M$2,
    _xlpm.factorName, $D5,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N5" s="140">
        <f t="array" ref="N5">_xlfn.LET(
    _xlpm.kpiName, N$2,
    _xlpm.factorName, $D5,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O5" s="140">
        <f t="array" ref="O5">_xlfn.LET(
    _xlpm.kpiName, O$2,
    _xlpm.factorName, $D5,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P5" s="140">
        <f t="array" ref="P5">_xlfn.LET(
    _xlpm.kpiName, P$2,
    _xlpm.factorName, $D5,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Q5" s="140">
        <f t="array" ref="Q5">_xlfn.LET(
    _xlpm.kpiName, Q$2,
    _xlpm.factorName, $D5,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R5" s="140">
        <f t="array" ref="R5">_xlfn.LET(
    _xlpm.kpiName, R$2,
    _xlpm.factorName, $D5,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S5" s="140">
        <f t="array" ref="S5">_xlfn.LET(
    _xlpm.kpiName, S$2,
    _xlpm.factorName, $D5,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T5" s="140">
        <f t="array" ref="T5">_xlfn.LET(
    _xlpm.kpiName, T$2,
    _xlpm.factorName, $D5,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U5" s="140">
        <f t="array" ref="U5">_xlfn.LET(
    _xlpm.kpiName, U$2,
    _xlpm.factorName, $D5,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V5" s="140">
        <f t="array" ref="V5">_xlfn.LET(
    _xlpm.kpiName, V$2,
    _xlpm.factorName, $D5,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W5" s="140">
        <f t="array" ref="W5">_xlfn.LET(
    _xlpm.kpiName, W$2,
    _xlpm.factorName, $D5,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X5" s="140">
        <f t="array" ref="X5">_xlfn.LET(
    _xlpm.kpiName, X$2,
    _xlpm.factorName, $D5,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Y5" s="10"/>
      <c r="Z5" s="10"/>
      <c r="AA5" s="10"/>
      <c r="AB5" s="10"/>
      <c r="AC5" s="10"/>
      <c r="AD5" s="10"/>
      <c r="AE5" s="10"/>
      <c r="AF5" s="10"/>
      <c r="AG5" s="10"/>
      <c r="AH5" s="10"/>
      <c r="AI5" s="10"/>
      <c r="AJ5" s="10"/>
    </row>
    <row r="6" spans="1:36" ht="13" customHeight="1" x14ac:dyDescent="0.3">
      <c r="A6" s="216"/>
      <c r="B6" s="216"/>
      <c r="C6" s="69"/>
      <c r="D6" s="81" t="s">
        <v>7</v>
      </c>
      <c r="E6" s="140">
        <f t="array" ref="E6">_xlfn.LET(
    _xlpm.kpiName, E$2,
    _xlpm.factorName, $D6,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4.1680187650012933E-2</v>
      </c>
      <c r="F6" s="140">
        <f t="array" ref="F6">_xlfn.LET(
    _xlpm.kpiName, F$2,
    _xlpm.factorName, $D6,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5.158324524377858E-2</v>
      </c>
      <c r="G6" s="140">
        <f t="array" ref="G6">_xlfn.LET(
    _xlpm.kpiName, G$2,
    _xlpm.factorName, $D6,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4.1680187650012933E-2</v>
      </c>
      <c r="H6" s="140">
        <f t="array" ref="H6">_xlfn.LET(
    _xlpm.kpiName, H$2,
    _xlpm.factorName, $D6,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5.158324524377858E-2</v>
      </c>
      <c r="I6" s="140">
        <f t="array" ref="I6">_xlfn.LET(
    _xlpm.kpiName, I$2,
    _xlpm.factorName, $D6,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0.19913855884363679</v>
      </c>
      <c r="J6" s="140">
        <f t="array" ref="J6">_xlfn.LET(
    _xlpm.kpiName, J$2,
    _xlpm.factorName, $D6,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K6" s="140">
        <f t="array" ref="K6">_xlfn.LET(
    _xlpm.kpiName, K$2,
    _xlpm.factorName, $D6,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L6" s="140">
        <f t="array" ref="L6">_xlfn.LET(
    _xlpm.kpiName, L$2,
    _xlpm.factorName, $D6,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M6" s="140">
        <f t="array" ref="M6">_xlfn.LET(
    _xlpm.kpiName, M$2,
    _xlpm.factorName, $D6,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N6" s="140">
        <f t="array" ref="N6">_xlfn.LET(
    _xlpm.kpiName, N$2,
    _xlpm.factorName, $D6,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O6" s="140">
        <f t="array" ref="O6">_xlfn.LET(
    _xlpm.kpiName, O$2,
    _xlpm.factorName, $D6,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P6" s="140">
        <f t="array" ref="P6">_xlfn.LET(
    _xlpm.kpiName, P$2,
    _xlpm.factorName, $D6,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Q6" s="140">
        <f t="array" ref="Q6">_xlfn.LET(
    _xlpm.kpiName, Q$2,
    _xlpm.factorName, $D6,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R6" s="140">
        <f t="array" ref="R6">_xlfn.LET(
    _xlpm.kpiName, R$2,
    _xlpm.factorName, $D6,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S6" s="140">
        <f t="array" ref="S6">_xlfn.LET(
    _xlpm.kpiName, S$2,
    _xlpm.factorName, $D6,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T6" s="140">
        <f t="array" ref="T6">_xlfn.LET(
    _xlpm.kpiName, T$2,
    _xlpm.factorName, $D6,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U6" s="140">
        <f t="array" ref="U6">_xlfn.LET(
    _xlpm.kpiName, U$2,
    _xlpm.factorName, $D6,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V6" s="140">
        <f t="array" ref="V6">_xlfn.LET(
    _xlpm.kpiName, V$2,
    _xlpm.factorName, $D6,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W6" s="140">
        <f t="array" ref="W6">_xlfn.LET(
    _xlpm.kpiName, W$2,
    _xlpm.factorName, $D6,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X6" s="140">
        <f t="array" ref="X6">_xlfn.LET(
    _xlpm.kpiName, X$2,
    _xlpm.factorName, $D6,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Y6" s="10"/>
      <c r="Z6" s="10"/>
      <c r="AA6" s="10"/>
      <c r="AB6" s="10"/>
      <c r="AC6" s="10"/>
      <c r="AD6" s="10"/>
      <c r="AE6" s="10"/>
      <c r="AF6" s="10"/>
      <c r="AG6" s="10"/>
      <c r="AH6" s="10"/>
      <c r="AI6" s="10"/>
      <c r="AJ6" s="10"/>
    </row>
    <row r="7" spans="1:36" ht="13" customHeight="1" x14ac:dyDescent="0.3">
      <c r="A7" s="217"/>
      <c r="B7" s="217"/>
      <c r="C7" s="69"/>
      <c r="D7" s="81" t="s">
        <v>8</v>
      </c>
      <c r="E7" s="140">
        <f t="array" ref="E7">_xlfn.LET(
    _xlpm.kpiName, E$2,
    _xlpm.factorName, $D7,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1.6505500524022661E-2</v>
      </c>
      <c r="F7" s="140">
        <f t="array" ref="F7">_xlfn.LET(
    _xlpm.kpiName, F$2,
    _xlpm.factorName, $D7,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4.7244237552869058E-2</v>
      </c>
      <c r="G7" s="140">
        <f t="array" ref="G7">_xlfn.LET(
    _xlpm.kpiName, G$2,
    _xlpm.factorName, $D7,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1.6505500524022661E-2</v>
      </c>
      <c r="H7" s="140">
        <f t="array" ref="H7">_xlfn.LET(
    _xlpm.kpiName, H$2,
    _xlpm.factorName, $D7,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4.7244237552869058E-2</v>
      </c>
      <c r="I7" s="140">
        <f t="array" ref="I7">_xlfn.LET(
    _xlpm.kpiName, I$2,
    _xlpm.factorName, $D7,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0.12130729063873449</v>
      </c>
      <c r="J7" s="140">
        <f t="array" ref="J7">_xlfn.LET(
    _xlpm.kpiName, J$2,
    _xlpm.factorName, $D7,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K7" s="140">
        <f t="array" ref="K7">_xlfn.LET(
    _xlpm.kpiName, K$2,
    _xlpm.factorName, $D7,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L7" s="140">
        <f t="array" ref="L7">_xlfn.LET(
    _xlpm.kpiName, L$2,
    _xlpm.factorName, $D7,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M7" s="140">
        <f t="array" ref="M7">_xlfn.LET(
    _xlpm.kpiName, M$2,
    _xlpm.factorName, $D7,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N7" s="140">
        <f t="array" ref="N7">_xlfn.LET(
    _xlpm.kpiName, N$2,
    _xlpm.factorName, $D7,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O7" s="140">
        <f t="array" ref="O7">_xlfn.LET(
    _xlpm.kpiName, O$2,
    _xlpm.factorName, $D7,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P7" s="140">
        <f t="array" ref="P7">_xlfn.LET(
    _xlpm.kpiName, P$2,
    _xlpm.factorName, $D7,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Q7" s="140">
        <f t="array" ref="Q7">_xlfn.LET(
    _xlpm.kpiName, Q$2,
    _xlpm.factorName, $D7,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R7" s="140">
        <f t="array" ref="R7">_xlfn.LET(
    _xlpm.kpiName, R$2,
    _xlpm.factorName, $D7,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S7" s="140">
        <f t="array" ref="S7">_xlfn.LET(
    _xlpm.kpiName, S$2,
    _xlpm.factorName, $D7,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T7" s="140">
        <f t="array" ref="T7">_xlfn.LET(
    _xlpm.kpiName, T$2,
    _xlpm.factorName, $D7,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U7" s="140">
        <f t="array" ref="U7">_xlfn.LET(
    _xlpm.kpiName, U$2,
    _xlpm.factorName, $D7,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V7" s="140">
        <f t="array" ref="V7">_xlfn.LET(
    _xlpm.kpiName, V$2,
    _xlpm.factorName, $D7,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W7" s="140">
        <f t="array" ref="W7">_xlfn.LET(
    _xlpm.kpiName, W$2,
    _xlpm.factorName, $D7,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X7" s="140">
        <f t="array" ref="X7">_xlfn.LET(
    _xlpm.kpiName, X$2,
    _xlpm.factorName, $D7,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Y7" s="10"/>
      <c r="Z7" s="10"/>
      <c r="AA7" s="10"/>
      <c r="AB7" s="10"/>
      <c r="AC7" s="10"/>
      <c r="AD7" s="10"/>
      <c r="AE7" s="10"/>
      <c r="AF7" s="10"/>
      <c r="AG7" s="10"/>
      <c r="AH7" s="10"/>
      <c r="AI7" s="10"/>
      <c r="AJ7" s="10"/>
    </row>
    <row r="8" spans="1:36" ht="13" customHeight="1" x14ac:dyDescent="0.3">
      <c r="A8" s="215" t="s">
        <v>9</v>
      </c>
      <c r="B8" s="220"/>
      <c r="C8" s="69"/>
      <c r="D8" s="81" t="s">
        <v>10</v>
      </c>
      <c r="E8" s="140">
        <f t="array" ref="E8">_xlfn.LET(
    _xlpm.kpiName, E$2,
    _xlpm.factorName, $D8,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3.1807986859041501E-2</v>
      </c>
      <c r="F8" s="140">
        <f t="array" ref="F8">_xlfn.LET(
    _xlpm.kpiName, F$2,
    _xlpm.factorName, $D8,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3.4250870805518148E-2</v>
      </c>
      <c r="G8" s="140">
        <f t="array" ref="G8">_xlfn.LET(
    _xlpm.kpiName, G$2,
    _xlpm.factorName, $D8,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3.1807986859041501E-2</v>
      </c>
      <c r="H8" s="140">
        <f t="array" ref="H8">_xlfn.LET(
    _xlpm.kpiName, H$2,
    _xlpm.factorName, $D8,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3.4250870805518148E-2</v>
      </c>
      <c r="I8" s="140">
        <f t="array" ref="I8">_xlfn.LET(
    _xlpm.kpiName, I$2,
    _xlpm.factorName, $D8,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0.1065092845192839</v>
      </c>
      <c r="J8" s="140">
        <f t="array" ref="J8">_xlfn.LET(
    _xlpm.kpiName, J$2,
    _xlpm.factorName, $D8,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K8" s="140">
        <f t="array" ref="K8">_xlfn.LET(
    _xlpm.kpiName, K$2,
    _xlpm.factorName, $D8,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L8" s="140">
        <f t="array" ref="L8">_xlfn.LET(
    _xlpm.kpiName, L$2,
    _xlpm.factorName, $D8,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M8" s="140">
        <f t="array" ref="M8">_xlfn.LET(
    _xlpm.kpiName, M$2,
    _xlpm.factorName, $D8,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N8" s="140">
        <f t="array" ref="N8">_xlfn.LET(
    _xlpm.kpiName, N$2,
    _xlpm.factorName, $D8,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O8" s="140">
        <f t="array" ref="O8">_xlfn.LET(
    _xlpm.kpiName, O$2,
    _xlpm.factorName, $D8,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P8" s="140">
        <f t="array" ref="P8">_xlfn.LET(
    _xlpm.kpiName, P$2,
    _xlpm.factorName, $D8,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Q8" s="140">
        <f t="array" ref="Q8">_xlfn.LET(
    _xlpm.kpiName, Q$2,
    _xlpm.factorName, $D8,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R8" s="140">
        <f t="array" ref="R8">_xlfn.LET(
    _xlpm.kpiName, R$2,
    _xlpm.factorName, $D8,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S8" s="140">
        <f t="array" ref="S8">_xlfn.LET(
    _xlpm.kpiName, S$2,
    _xlpm.factorName, $D8,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T8" s="140">
        <f t="array" ref="T8">_xlfn.LET(
    _xlpm.kpiName, T$2,
    _xlpm.factorName, $D8,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U8" s="140">
        <f t="array" ref="U8">_xlfn.LET(
    _xlpm.kpiName, U$2,
    _xlpm.factorName, $D8,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V8" s="140">
        <f t="array" ref="V8">_xlfn.LET(
    _xlpm.kpiName, V$2,
    _xlpm.factorName, $D8,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W8" s="140">
        <f t="array" ref="W8">_xlfn.LET(
    _xlpm.kpiName, W$2,
    _xlpm.factorName, $D8,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X8" s="140">
        <f t="array" ref="X8">_xlfn.LET(
    _xlpm.kpiName, X$2,
    _xlpm.factorName, $D8,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Y8" s="10"/>
      <c r="Z8" s="10"/>
      <c r="AA8" s="10"/>
      <c r="AB8" s="10"/>
      <c r="AC8" s="10"/>
      <c r="AD8" s="10"/>
      <c r="AE8" s="10"/>
      <c r="AF8" s="10"/>
      <c r="AG8" s="10"/>
      <c r="AH8" s="10"/>
      <c r="AI8" s="10"/>
      <c r="AJ8" s="10"/>
    </row>
    <row r="9" spans="1:36" ht="13" customHeight="1" x14ac:dyDescent="0.3">
      <c r="A9" s="216"/>
      <c r="B9" s="216"/>
      <c r="C9" s="1"/>
      <c r="D9" s="81" t="s">
        <v>11</v>
      </c>
      <c r="E9" s="140">
        <f t="array" ref="E9">_xlfn.LET(
    _xlpm.kpiName, E$2,
    _xlpm.factorName, $D9,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5.5498859854831432E-2</v>
      </c>
      <c r="F9" s="140">
        <f t="array" ref="F9">_xlfn.LET(
    _xlpm.kpiName, F$2,
    _xlpm.factorName, $D9,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7.7917780496002495E-2</v>
      </c>
      <c r="G9" s="140">
        <f t="array" ref="G9">_xlfn.LET(
    _xlpm.kpiName, G$2,
    _xlpm.factorName, $D9,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5.5498859854831432E-2</v>
      </c>
      <c r="H9" s="140">
        <f t="array" ref="H9">_xlfn.LET(
    _xlpm.kpiName, H$2,
    _xlpm.factorName, $D9,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7.7917780496002495E-2</v>
      </c>
      <c r="I9" s="140">
        <f t="array" ref="I9">_xlfn.LET(
    _xlpm.kpiName, I$2,
    _xlpm.factorName, $D9,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0.20291620997033871</v>
      </c>
      <c r="J9" s="140">
        <f t="array" ref="J9">_xlfn.LET(
    _xlpm.kpiName, J$2,
    _xlpm.factorName, $D9,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K9" s="140">
        <f t="array" ref="K9">_xlfn.LET(
    _xlpm.kpiName, K$2,
    _xlpm.factorName, $D9,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L9" s="140">
        <f t="array" ref="L9">_xlfn.LET(
    _xlpm.kpiName, L$2,
    _xlpm.factorName, $D9,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M9" s="140">
        <f t="array" ref="M9">_xlfn.LET(
    _xlpm.kpiName, M$2,
    _xlpm.factorName, $D9,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N9" s="140">
        <f t="array" ref="N9">_xlfn.LET(
    _xlpm.kpiName, N$2,
    _xlpm.factorName, $D9,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O9" s="140">
        <f t="array" ref="O9">_xlfn.LET(
    _xlpm.kpiName, O$2,
    _xlpm.factorName, $D9,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P9" s="140">
        <f t="array" ref="P9">_xlfn.LET(
    _xlpm.kpiName, P$2,
    _xlpm.factorName, $D9,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Q9" s="140">
        <f t="array" ref="Q9">_xlfn.LET(
    _xlpm.kpiName, Q$2,
    _xlpm.factorName, $D9,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R9" s="140">
        <f t="array" ref="R9">_xlfn.LET(
    _xlpm.kpiName, R$2,
    _xlpm.factorName, $D9,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S9" s="140">
        <f t="array" ref="S9">_xlfn.LET(
    _xlpm.kpiName, S$2,
    _xlpm.factorName, $D9,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T9" s="140">
        <f t="array" ref="T9">_xlfn.LET(
    _xlpm.kpiName, T$2,
    _xlpm.factorName, $D9,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U9" s="140">
        <f t="array" ref="U9">_xlfn.LET(
    _xlpm.kpiName, U$2,
    _xlpm.factorName, $D9,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V9" s="140">
        <f t="array" ref="V9">_xlfn.LET(
    _xlpm.kpiName, V$2,
    _xlpm.factorName, $D9,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W9" s="140">
        <f t="array" ref="W9">_xlfn.LET(
    _xlpm.kpiName, W$2,
    _xlpm.factorName, $D9,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X9" s="140">
        <f t="array" ref="X9">_xlfn.LET(
    _xlpm.kpiName, X$2,
    _xlpm.factorName, $D9,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Y9" s="10"/>
      <c r="Z9" s="10"/>
      <c r="AA9" s="10"/>
      <c r="AB9" s="10"/>
      <c r="AC9" s="10"/>
      <c r="AD9" s="10"/>
      <c r="AE9" s="10"/>
      <c r="AF9" s="10"/>
      <c r="AG9" s="10"/>
      <c r="AH9" s="10"/>
      <c r="AI9" s="10"/>
      <c r="AJ9" s="10"/>
    </row>
    <row r="10" spans="1:36" ht="13" customHeight="1" x14ac:dyDescent="0.3">
      <c r="A10" s="216"/>
      <c r="B10" s="216"/>
      <c r="C10" s="1"/>
      <c r="D10" s="81" t="s">
        <v>12</v>
      </c>
      <c r="E10" s="140">
        <f t="array" ref="E10">_xlfn.LET(
    _xlpm.kpiName, E$2,
    _xlpm.factorName, $D10,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2.5186229230487221E-2</v>
      </c>
      <c r="F10" s="140">
        <f t="array" ref="F10">_xlfn.LET(
    _xlpm.kpiName, F$2,
    _xlpm.factorName, $D10,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5.441212282792178E-2</v>
      </c>
      <c r="G10" s="140">
        <f t="array" ref="G10">_xlfn.LET(
    _xlpm.kpiName, G$2,
    _xlpm.factorName, $D10,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2.5186229230487221E-2</v>
      </c>
      <c r="H10" s="140">
        <f t="array" ref="H10">_xlfn.LET(
    _xlpm.kpiName, H$2,
    _xlpm.factorName, $D10,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5.441212282792178E-2</v>
      </c>
      <c r="I10" s="140">
        <f t="array" ref="I10">_xlfn.LET(
    _xlpm.kpiName, I$2,
    _xlpm.factorName, $D10,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0.20240533767588739</v>
      </c>
      <c r="J10" s="140">
        <f t="array" ref="J10">_xlfn.LET(
    _xlpm.kpiName, J$2,
    _xlpm.factorName, $D10,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K10" s="140">
        <f t="array" ref="K10">_xlfn.LET(
    _xlpm.kpiName, K$2,
    _xlpm.factorName, $D10,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L10" s="140">
        <f t="array" ref="L10">_xlfn.LET(
    _xlpm.kpiName, L$2,
    _xlpm.factorName, $D10,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M10" s="140">
        <f t="array" ref="M10">_xlfn.LET(
    _xlpm.kpiName, M$2,
    _xlpm.factorName, $D10,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N10" s="140">
        <f t="array" ref="N10">_xlfn.LET(
    _xlpm.kpiName, N$2,
    _xlpm.factorName, $D10,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O10" s="140">
        <f t="array" ref="O10">_xlfn.LET(
    _xlpm.kpiName, O$2,
    _xlpm.factorName, $D10,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P10" s="140">
        <f t="array" ref="P10">_xlfn.LET(
    _xlpm.kpiName, P$2,
    _xlpm.factorName, $D10,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Q10" s="140">
        <f t="array" ref="Q10">_xlfn.LET(
    _xlpm.kpiName, Q$2,
    _xlpm.factorName, $D10,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R10" s="140">
        <f t="array" ref="R10">_xlfn.LET(
    _xlpm.kpiName, R$2,
    _xlpm.factorName, $D10,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S10" s="140">
        <f t="array" ref="S10">_xlfn.LET(
    _xlpm.kpiName, S$2,
    _xlpm.factorName, $D10,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T10" s="140">
        <f t="array" ref="T10">_xlfn.LET(
    _xlpm.kpiName, T$2,
    _xlpm.factorName, $D10,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U10" s="140">
        <f t="array" ref="U10">_xlfn.LET(
    _xlpm.kpiName, U$2,
    _xlpm.factorName, $D10,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V10" s="140">
        <f t="array" ref="V10">_xlfn.LET(
    _xlpm.kpiName, V$2,
    _xlpm.factorName, $D10,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W10" s="140">
        <f t="array" ref="W10">_xlfn.LET(
    _xlpm.kpiName, W$2,
    _xlpm.factorName, $D10,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X10" s="140">
        <f t="array" ref="X10">_xlfn.LET(
    _xlpm.kpiName, X$2,
    _xlpm.factorName, $D10,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Y10" s="10"/>
      <c r="Z10" s="10"/>
      <c r="AA10" s="10"/>
      <c r="AB10" s="10"/>
      <c r="AC10" s="10"/>
      <c r="AD10" s="10"/>
      <c r="AE10" s="10"/>
      <c r="AF10" s="10"/>
      <c r="AG10" s="10"/>
      <c r="AH10" s="10"/>
      <c r="AI10" s="10"/>
      <c r="AJ10" s="10"/>
    </row>
    <row r="11" spans="1:36" ht="13" customHeight="1" x14ac:dyDescent="0.3">
      <c r="A11" s="217"/>
      <c r="B11" s="217"/>
      <c r="C11" s="1"/>
      <c r="D11" s="81" t="s">
        <v>13</v>
      </c>
      <c r="E11" s="140">
        <f t="array" ref="E11">_xlfn.LET(
    _xlpm.kpiName, E$2,
    _xlpm.factorName, $D11,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1.336231595222309E-2</v>
      </c>
      <c r="F11" s="140">
        <f t="array" ref="F11">_xlfn.LET(
    _xlpm.kpiName, F$2,
    _xlpm.factorName, $D11,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3.3067599176806628E-2</v>
      </c>
      <c r="G11" s="140">
        <f t="array" ref="G11">_xlfn.LET(
    _xlpm.kpiName, G$2,
    _xlpm.factorName, $D11,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1.336231595222309E-2</v>
      </c>
      <c r="H11" s="140">
        <f t="array" ref="H11">_xlfn.LET(
    _xlpm.kpiName, H$2,
    _xlpm.factorName, $D11,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3.3067599176806628E-2</v>
      </c>
      <c r="I11" s="140">
        <f t="array" ref="I11">_xlfn.LET(
    _xlpm.kpiName, I$2,
    _xlpm.factorName, $D11,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0.1140028156599438</v>
      </c>
      <c r="J11" s="140">
        <f t="array" ref="J11">_xlfn.LET(
    _xlpm.kpiName, J$2,
    _xlpm.factorName, $D11,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K11" s="140">
        <f t="array" ref="K11">_xlfn.LET(
    _xlpm.kpiName, K$2,
    _xlpm.factorName, $D11,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L11" s="140">
        <f t="array" ref="L11">_xlfn.LET(
    _xlpm.kpiName, L$2,
    _xlpm.factorName, $D11,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M11" s="140">
        <f t="array" ref="M11">_xlfn.LET(
    _xlpm.kpiName, M$2,
    _xlpm.factorName, $D11,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N11" s="140">
        <f t="array" ref="N11">_xlfn.LET(
    _xlpm.kpiName, N$2,
    _xlpm.factorName, $D11,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O11" s="140">
        <f t="array" ref="O11">_xlfn.LET(
    _xlpm.kpiName, O$2,
    _xlpm.factorName, $D11,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P11" s="140">
        <f t="array" ref="P11">_xlfn.LET(
    _xlpm.kpiName, P$2,
    _xlpm.factorName, $D11,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Q11" s="140">
        <f t="array" ref="Q11">_xlfn.LET(
    _xlpm.kpiName, Q$2,
    _xlpm.factorName, $D11,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R11" s="140">
        <f t="array" ref="R11">_xlfn.LET(
    _xlpm.kpiName, R$2,
    _xlpm.factorName, $D11,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S11" s="140">
        <f t="array" ref="S11">_xlfn.LET(
    _xlpm.kpiName, S$2,
    _xlpm.factorName, $D11,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T11" s="140">
        <f t="array" ref="T11">_xlfn.LET(
    _xlpm.kpiName, T$2,
    _xlpm.factorName, $D11,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U11" s="140">
        <f t="array" ref="U11">_xlfn.LET(
    _xlpm.kpiName, U$2,
    _xlpm.factorName, $D11,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V11" s="140">
        <f t="array" ref="V11">_xlfn.LET(
    _xlpm.kpiName, V$2,
    _xlpm.factorName, $D11,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W11" s="140">
        <f t="array" ref="W11">_xlfn.LET(
    _xlpm.kpiName, W$2,
    _xlpm.factorName, $D11,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X11" s="140">
        <f t="array" ref="X11">_xlfn.LET(
    _xlpm.kpiName, X$2,
    _xlpm.factorName, $D11,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Y11" s="10"/>
      <c r="Z11" s="10"/>
      <c r="AA11" s="10"/>
      <c r="AB11" s="10"/>
      <c r="AC11" s="10"/>
      <c r="AD11" s="10"/>
      <c r="AE11" s="10"/>
      <c r="AF11" s="10"/>
      <c r="AG11" s="10"/>
      <c r="AH11" s="10"/>
      <c r="AI11" s="10"/>
      <c r="AJ11" s="10"/>
    </row>
    <row r="12" spans="1:36" ht="13" customHeight="1" x14ac:dyDescent="0.3">
      <c r="A12" s="74"/>
      <c r="C12" s="1"/>
      <c r="D12" s="81" t="s">
        <v>14</v>
      </c>
      <c r="E12" s="140">
        <f t="array" ref="E12">_xlfn.LET(
    _xlpm.kpiName, E$2,
    _xlpm.factorName, $D12,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2.28312630582743E-2</v>
      </c>
      <c r="F12" s="140">
        <f t="array" ref="F12">_xlfn.LET(
    _xlpm.kpiName, F$2,
    _xlpm.factorName, $D12,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2.3776726300871659E-2</v>
      </c>
      <c r="G12" s="140">
        <f t="array" ref="G12">_xlfn.LET(
    _xlpm.kpiName, G$2,
    _xlpm.factorName, $D12,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2.28312630582743E-2</v>
      </c>
      <c r="H12" s="140">
        <f t="array" ref="H12">_xlfn.LET(
    _xlpm.kpiName, H$2,
    _xlpm.factorName, $D12,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2.3776726300871659E-2</v>
      </c>
      <c r="I12" s="140">
        <f t="array" ref="I12">_xlfn.LET(
    _xlpm.kpiName, I$2,
    _xlpm.factorName, $D12,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6.7759176994129783E-2</v>
      </c>
      <c r="J12" s="140">
        <f t="array" ref="J12">_xlfn.LET(
    _xlpm.kpiName, J$2,
    _xlpm.factorName, $D12,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K12" s="140">
        <f t="array" ref="K12">_xlfn.LET(
    _xlpm.kpiName, K$2,
    _xlpm.factorName, $D12,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L12" s="140">
        <f t="array" ref="L12">_xlfn.LET(
    _xlpm.kpiName, L$2,
    _xlpm.factorName, $D12,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M12" s="140">
        <f t="array" ref="M12">_xlfn.LET(
    _xlpm.kpiName, M$2,
    _xlpm.factorName, $D12,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N12" s="140">
        <f t="array" ref="N12">_xlfn.LET(
    _xlpm.kpiName, N$2,
    _xlpm.factorName, $D12,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O12" s="140">
        <f t="array" ref="O12">_xlfn.LET(
    _xlpm.kpiName, O$2,
    _xlpm.factorName, $D12,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P12" s="140">
        <f t="array" ref="P12">_xlfn.LET(
    _xlpm.kpiName, P$2,
    _xlpm.factorName, $D12,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Q12" s="140">
        <f t="array" ref="Q12">_xlfn.LET(
    _xlpm.kpiName, Q$2,
    _xlpm.factorName, $D12,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R12" s="140">
        <f t="array" ref="R12">_xlfn.LET(
    _xlpm.kpiName, R$2,
    _xlpm.factorName, $D12,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S12" s="140">
        <f t="array" ref="S12">_xlfn.LET(
    _xlpm.kpiName, S$2,
    _xlpm.factorName, $D12,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T12" s="140">
        <f t="array" ref="T12">_xlfn.LET(
    _xlpm.kpiName, T$2,
    _xlpm.factorName, $D12,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U12" s="140">
        <f t="array" ref="U12">_xlfn.LET(
    _xlpm.kpiName, U$2,
    _xlpm.factorName, $D12,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V12" s="140">
        <f t="array" ref="V12">_xlfn.LET(
    _xlpm.kpiName, V$2,
    _xlpm.factorName, $D12,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W12" s="140">
        <f t="array" ref="W12">_xlfn.LET(
    _xlpm.kpiName, W$2,
    _xlpm.factorName, $D12,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X12" s="140">
        <f t="array" ref="X12">_xlfn.LET(
    _xlpm.kpiName, X$2,
    _xlpm.factorName, $D12,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Y12" s="10"/>
      <c r="Z12" s="10"/>
      <c r="AA12" s="10"/>
      <c r="AB12" s="10"/>
      <c r="AC12" s="10"/>
      <c r="AD12" s="10"/>
      <c r="AE12" s="10"/>
      <c r="AF12" s="10"/>
      <c r="AG12" s="10"/>
      <c r="AH12" s="10"/>
      <c r="AI12" s="10"/>
      <c r="AJ12" s="10"/>
    </row>
    <row r="13" spans="1:36" ht="13" customHeight="1" x14ac:dyDescent="0.3">
      <c r="C13" s="1"/>
      <c r="D13" s="81" t="s">
        <v>15</v>
      </c>
      <c r="E13" s="140">
        <f t="array" ref="E13">_xlfn.LET(
    _xlpm.kpiName, E$2,
    _xlpm.factorName, $D13,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3.9598221457600002E-2</v>
      </c>
      <c r="F13" s="140">
        <f t="array" ref="F13">_xlfn.LET(
    _xlpm.kpiName, F$2,
    _xlpm.factorName, $D13,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4.5575713782818029E-2</v>
      </c>
      <c r="G13" s="140">
        <f t="array" ref="G13">_xlfn.LET(
    _xlpm.kpiName, G$2,
    _xlpm.factorName, $D13,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3.9598221457600002E-2</v>
      </c>
      <c r="H13" s="140">
        <f t="array" ref="H13">_xlfn.LET(
    _xlpm.kpiName, H$2,
    _xlpm.factorName, $D13,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4.5575713782818029E-2</v>
      </c>
      <c r="I13" s="140">
        <f t="array" ref="I13">_xlfn.LET(
    _xlpm.kpiName, I$2,
    _xlpm.factorName, $D13,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0.1110607371644988</v>
      </c>
      <c r="J13" s="140">
        <f t="array" ref="J13">_xlfn.LET(
    _xlpm.kpiName, J$2,
    _xlpm.factorName, $D13,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K13" s="140">
        <f t="array" ref="K13">_xlfn.LET(
    _xlpm.kpiName, K$2,
    _xlpm.factorName, $D13,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L13" s="140">
        <f t="array" ref="L13">_xlfn.LET(
    _xlpm.kpiName, L$2,
    _xlpm.factorName, $D13,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M13" s="140">
        <f t="array" ref="M13">_xlfn.LET(
    _xlpm.kpiName, M$2,
    _xlpm.factorName, $D13,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N13" s="140">
        <f t="array" ref="N13">_xlfn.LET(
    _xlpm.kpiName, N$2,
    _xlpm.factorName, $D13,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O13" s="140">
        <f t="array" ref="O13">_xlfn.LET(
    _xlpm.kpiName, O$2,
    _xlpm.factorName, $D13,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P13" s="140">
        <f t="array" ref="P13">_xlfn.LET(
    _xlpm.kpiName, P$2,
    _xlpm.factorName, $D13,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Q13" s="140">
        <f t="array" ref="Q13">_xlfn.LET(
    _xlpm.kpiName, Q$2,
    _xlpm.factorName, $D13,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R13" s="140">
        <f t="array" ref="R13">_xlfn.LET(
    _xlpm.kpiName, R$2,
    _xlpm.factorName, $D13,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S13" s="140">
        <f t="array" ref="S13">_xlfn.LET(
    _xlpm.kpiName, S$2,
    _xlpm.factorName, $D13,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T13" s="140">
        <f t="array" ref="T13">_xlfn.LET(
    _xlpm.kpiName, T$2,
    _xlpm.factorName, $D13,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U13" s="140">
        <f t="array" ref="U13">_xlfn.LET(
    _xlpm.kpiName, U$2,
    _xlpm.factorName, $D13,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V13" s="140">
        <f t="array" ref="V13">_xlfn.LET(
    _xlpm.kpiName, V$2,
    _xlpm.factorName, $D13,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W13" s="140">
        <f t="array" ref="W13">_xlfn.LET(
    _xlpm.kpiName, W$2,
    _xlpm.factorName, $D13,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X13" s="140">
        <f t="array" ref="X13">_xlfn.LET(
    _xlpm.kpiName, X$2,
    _xlpm.factorName, $D13,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Y13" s="10"/>
      <c r="Z13" s="10"/>
      <c r="AA13" s="10"/>
      <c r="AB13" s="10"/>
      <c r="AC13" s="10"/>
      <c r="AD13" s="10"/>
      <c r="AE13" s="10"/>
      <c r="AF13" s="10"/>
      <c r="AG13" s="10"/>
      <c r="AH13" s="10"/>
      <c r="AI13" s="10"/>
      <c r="AJ13" s="10"/>
    </row>
    <row r="14" spans="1:36" ht="13" customHeight="1" x14ac:dyDescent="0.3">
      <c r="C14" s="1"/>
      <c r="D14" s="81" t="s">
        <v>16</v>
      </c>
      <c r="E14" s="140">
        <f t="array" ref="E14">_xlfn.LET(
    _xlpm.kpiName, E$2,
    _xlpm.factorName, $D14,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4.6096340392781807E-2</v>
      </c>
      <c r="F14" s="140">
        <f t="array" ref="F14">_xlfn.LET(
    _xlpm.kpiName, F$2,
    _xlpm.factorName, $D14,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1.9686101551355091E-2</v>
      </c>
      <c r="G14" s="140">
        <f t="array" ref="G14">_xlfn.LET(
    _xlpm.kpiName, G$2,
    _xlpm.factorName, $D14,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4.6096340392781807E-2</v>
      </c>
      <c r="H14" s="140">
        <f t="array" ref="H14">_xlfn.LET(
    _xlpm.kpiName, H$2,
    _xlpm.factorName, $D14,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1.9686101551355091E-2</v>
      </c>
      <c r="I14" s="140">
        <f t="array" ref="I14">_xlfn.LET(
    _xlpm.kpiName, I$2,
    _xlpm.factorName, $D14,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4.875067955304066E-2</v>
      </c>
      <c r="J14" s="140">
        <f t="array" ref="J14">_xlfn.LET(
    _xlpm.kpiName, J$2,
    _xlpm.factorName, $D14,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K14" s="140">
        <f t="array" ref="K14">_xlfn.LET(
    _xlpm.kpiName, K$2,
    _xlpm.factorName, $D14,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L14" s="140">
        <f t="array" ref="L14">_xlfn.LET(
    _xlpm.kpiName, L$2,
    _xlpm.factorName, $D14,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M14" s="140">
        <f t="array" ref="M14">_xlfn.LET(
    _xlpm.kpiName, M$2,
    _xlpm.factorName, $D14,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N14" s="140">
        <f t="array" ref="N14">_xlfn.LET(
    _xlpm.kpiName, N$2,
    _xlpm.factorName, $D14,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O14" s="140">
        <f t="array" ref="O14">_xlfn.LET(
    _xlpm.kpiName, O$2,
    _xlpm.factorName, $D14,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P14" s="140">
        <f t="array" ref="P14">_xlfn.LET(
    _xlpm.kpiName, P$2,
    _xlpm.factorName, $D14,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Q14" s="140">
        <f t="array" ref="Q14">_xlfn.LET(
    _xlpm.kpiName, Q$2,
    _xlpm.factorName, $D14,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R14" s="140">
        <f t="array" ref="R14">_xlfn.LET(
    _xlpm.kpiName, R$2,
    _xlpm.factorName, $D14,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S14" s="140">
        <f t="array" ref="S14">_xlfn.LET(
    _xlpm.kpiName, S$2,
    _xlpm.factorName, $D14,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T14" s="140">
        <f t="array" ref="T14">_xlfn.LET(
    _xlpm.kpiName, T$2,
    _xlpm.factorName, $D14,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U14" s="140">
        <f t="array" ref="U14">_xlfn.LET(
    _xlpm.kpiName, U$2,
    _xlpm.factorName, $D14,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V14" s="140">
        <f t="array" ref="V14">_xlfn.LET(
    _xlpm.kpiName, V$2,
    _xlpm.factorName, $D14,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W14" s="140">
        <f t="array" ref="W14">_xlfn.LET(
    _xlpm.kpiName, W$2,
    _xlpm.factorName, $D14,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X14" s="140">
        <f t="array" ref="X14">_xlfn.LET(
    _xlpm.kpiName, X$2,
    _xlpm.factorName, $D14,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Y14" s="10"/>
      <c r="Z14" s="10"/>
      <c r="AA14" s="10"/>
      <c r="AB14" s="10"/>
      <c r="AC14" s="10"/>
      <c r="AD14" s="10"/>
      <c r="AE14" s="10"/>
      <c r="AF14" s="10"/>
      <c r="AG14" s="10"/>
      <c r="AH14" s="10"/>
      <c r="AI14" s="10"/>
      <c r="AJ14" s="10"/>
    </row>
    <row r="15" spans="1:36" ht="13" customHeight="1" x14ac:dyDescent="0.3">
      <c r="C15" s="1"/>
      <c r="D15" s="81" t="s">
        <v>17</v>
      </c>
      <c r="E15" s="140">
        <f t="array" ref="E15">_xlfn.LET(
    _xlpm.kpiName, E$2,
    _xlpm.factorName, $D15,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2.3427917298955731E-2</v>
      </c>
      <c r="F15" s="140">
        <f t="array" ref="F15">_xlfn.LET(
    _xlpm.kpiName, F$2,
    _xlpm.factorName, $D15,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-1.7209134524694771E-2</v>
      </c>
      <c r="G15" s="140">
        <f t="array" ref="G15">_xlfn.LET(
    _xlpm.kpiName, G$2,
    _xlpm.factorName, $D15,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2.3427917298955731E-2</v>
      </c>
      <c r="H15" s="140">
        <f t="array" ref="H15">_xlfn.LET(
    _xlpm.kpiName, H$2,
    _xlpm.factorName, $D15,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-1.7209134524694771E-2</v>
      </c>
      <c r="I15" s="140">
        <f t="array" ref="I15">_xlfn.LET(
    _xlpm.kpiName, I$2,
    _xlpm.factorName, $D15,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6.2370625725735741E-2</v>
      </c>
      <c r="J15" s="140">
        <f t="array" ref="J15">_xlfn.LET(
    _xlpm.kpiName, J$2,
    _xlpm.factorName, $D15,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K15" s="140">
        <f t="array" ref="K15">_xlfn.LET(
    _xlpm.kpiName, K$2,
    _xlpm.factorName, $D15,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L15" s="140">
        <f t="array" ref="L15">_xlfn.LET(
    _xlpm.kpiName, L$2,
    _xlpm.factorName, $D15,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M15" s="140">
        <f t="array" ref="M15">_xlfn.LET(
    _xlpm.kpiName, M$2,
    _xlpm.factorName, $D15,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N15" s="140">
        <f t="array" ref="N15">_xlfn.LET(
    _xlpm.kpiName, N$2,
    _xlpm.factorName, $D15,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O15" s="140">
        <f t="array" ref="O15">_xlfn.LET(
    _xlpm.kpiName, O$2,
    _xlpm.factorName, $D15,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P15" s="140">
        <f t="array" ref="P15">_xlfn.LET(
    _xlpm.kpiName, P$2,
    _xlpm.factorName, $D15,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Q15" s="140">
        <f t="array" ref="Q15">_xlfn.LET(
    _xlpm.kpiName, Q$2,
    _xlpm.factorName, $D15,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R15" s="140">
        <f t="array" ref="R15">_xlfn.LET(
    _xlpm.kpiName, R$2,
    _xlpm.factorName, $D15,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S15" s="140">
        <f t="array" ref="S15">_xlfn.LET(
    _xlpm.kpiName, S$2,
    _xlpm.factorName, $D15,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T15" s="140">
        <f t="array" ref="T15">_xlfn.LET(
    _xlpm.kpiName, T$2,
    _xlpm.factorName, $D15,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U15" s="140">
        <f t="array" ref="U15">_xlfn.LET(
    _xlpm.kpiName, U$2,
    _xlpm.factorName, $D15,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V15" s="140">
        <f t="array" ref="V15">_xlfn.LET(
    _xlpm.kpiName, V$2,
    _xlpm.factorName, $D15,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W15" s="140">
        <f t="array" ref="W15">_xlfn.LET(
    _xlpm.kpiName, W$2,
    _xlpm.factorName, $D15,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X15" s="140">
        <f t="array" ref="X15">_xlfn.LET(
    _xlpm.kpiName, X$2,
    _xlpm.factorName, $D15,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Y15" s="10"/>
      <c r="Z15" s="10"/>
      <c r="AA15" s="10"/>
      <c r="AB15" s="10"/>
      <c r="AC15" s="10"/>
      <c r="AD15" s="10"/>
      <c r="AE15" s="10"/>
      <c r="AF15" s="10"/>
      <c r="AG15" s="10"/>
      <c r="AH15" s="10"/>
      <c r="AI15" s="10"/>
      <c r="AJ15" s="10"/>
    </row>
    <row r="16" spans="1:36" ht="13" customHeight="1" x14ac:dyDescent="0.3">
      <c r="C16" s="1"/>
      <c r="D16" s="81" t="s">
        <v>18</v>
      </c>
      <c r="E16" s="140">
        <f t="array" ref="E16">_xlfn.LET(
    _xlpm.kpiName, E$2,
    _xlpm.factorName, $D16,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2.338579578918808E-2</v>
      </c>
      <c r="F16" s="140">
        <f t="array" ref="F16">_xlfn.LET(
    _xlpm.kpiName, F$2,
    _xlpm.factorName, $D16,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3.061130132007121E-2</v>
      </c>
      <c r="G16" s="140">
        <f t="array" ref="G16">_xlfn.LET(
    _xlpm.kpiName, G$2,
    _xlpm.factorName, $D16,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2.338579578918808E-2</v>
      </c>
      <c r="H16" s="140">
        <f t="array" ref="H16">_xlfn.LET(
    _xlpm.kpiName, H$2,
    _xlpm.factorName, $D16,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3.061130132007121E-2</v>
      </c>
      <c r="I16" s="140">
        <f t="array" ref="I16">_xlfn.LET(
    _xlpm.kpiName, I$2,
    _xlpm.factorName, $D16,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0.103318074274015</v>
      </c>
      <c r="J16" s="140">
        <f t="array" ref="J16">_xlfn.LET(
    _xlpm.kpiName, J$2,
    _xlpm.factorName, $D16,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K16" s="140">
        <f t="array" ref="K16">_xlfn.LET(
    _xlpm.kpiName, K$2,
    _xlpm.factorName, $D16,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L16" s="140">
        <f t="array" ref="L16">_xlfn.LET(
    _xlpm.kpiName, L$2,
    _xlpm.factorName, $D16,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M16" s="140">
        <f t="array" ref="M16">_xlfn.LET(
    _xlpm.kpiName, M$2,
    _xlpm.factorName, $D16,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N16" s="140">
        <f t="array" ref="N16">_xlfn.LET(
    _xlpm.kpiName, N$2,
    _xlpm.factorName, $D16,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O16" s="140">
        <f t="array" ref="O16">_xlfn.LET(
    _xlpm.kpiName, O$2,
    _xlpm.factorName, $D16,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P16" s="140">
        <f t="array" ref="P16">_xlfn.LET(
    _xlpm.kpiName, P$2,
    _xlpm.factorName, $D16,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Q16" s="140">
        <f t="array" ref="Q16">_xlfn.LET(
    _xlpm.kpiName, Q$2,
    _xlpm.factorName, $D16,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R16" s="140">
        <f t="array" ref="R16">_xlfn.LET(
    _xlpm.kpiName, R$2,
    _xlpm.factorName, $D16,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S16" s="140">
        <f t="array" ref="S16">_xlfn.LET(
    _xlpm.kpiName, S$2,
    _xlpm.factorName, $D16,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T16" s="140">
        <f t="array" ref="T16">_xlfn.LET(
    _xlpm.kpiName, T$2,
    _xlpm.factorName, $D16,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U16" s="140">
        <f t="array" ref="U16">_xlfn.LET(
    _xlpm.kpiName, U$2,
    _xlpm.factorName, $D16,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V16" s="140">
        <f t="array" ref="V16">_xlfn.LET(
    _xlpm.kpiName, V$2,
    _xlpm.factorName, $D16,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W16" s="140">
        <f t="array" ref="W16">_xlfn.LET(
    _xlpm.kpiName, W$2,
    _xlpm.factorName, $D16,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X16" s="140">
        <f t="array" ref="X16">_xlfn.LET(
    _xlpm.kpiName, X$2,
    _xlpm.factorName, $D16,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Y16" s="10"/>
      <c r="Z16" s="10"/>
      <c r="AA16" s="10"/>
      <c r="AB16" s="10"/>
      <c r="AC16" s="10"/>
      <c r="AD16" s="10"/>
      <c r="AE16" s="10"/>
      <c r="AF16" s="10"/>
      <c r="AG16" s="10"/>
      <c r="AH16" s="10"/>
      <c r="AI16" s="10"/>
      <c r="AJ16" s="10"/>
    </row>
    <row r="17" spans="3:36" ht="13" customHeight="1" x14ac:dyDescent="0.3">
      <c r="C17" s="1"/>
      <c r="D17" s="81" t="s">
        <v>19</v>
      </c>
      <c r="E17" s="140">
        <f t="array" ref="E17">_xlfn.LET(
    _xlpm.kpiName, E$2,
    _xlpm.factorName, $D17,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2.2137191149288069E-2</v>
      </c>
      <c r="F17" s="140">
        <f t="array" ref="F17">_xlfn.LET(
    _xlpm.kpiName, F$2,
    _xlpm.factorName, $D17,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-2.9798653878359001E-3</v>
      </c>
      <c r="G17" s="140">
        <f t="array" ref="G17">_xlfn.LET(
    _xlpm.kpiName, G$2,
    _xlpm.factorName, $D17,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2.2137191149288069E-2</v>
      </c>
      <c r="H17" s="140">
        <f t="array" ref="H17">_xlfn.LET(
    _xlpm.kpiName, H$2,
    _xlpm.factorName, $D17,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-2.9798653878359001E-3</v>
      </c>
      <c r="I17" s="140">
        <f t="array" ref="I17">_xlfn.LET(
    _xlpm.kpiName, I$2,
    _xlpm.factorName, $D17,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9.4644483725030662E-2</v>
      </c>
      <c r="J17" s="140">
        <f t="array" ref="J17">_xlfn.LET(
    _xlpm.kpiName, J$2,
    _xlpm.factorName, $D17,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K17" s="140">
        <f t="array" ref="K17">_xlfn.LET(
    _xlpm.kpiName, K$2,
    _xlpm.factorName, $D17,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L17" s="140">
        <f t="array" ref="L17">_xlfn.LET(
    _xlpm.kpiName, L$2,
    _xlpm.factorName, $D17,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M17" s="140">
        <f t="array" ref="M17">_xlfn.LET(
    _xlpm.kpiName, M$2,
    _xlpm.factorName, $D17,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N17" s="140">
        <f t="array" ref="N17">_xlfn.LET(
    _xlpm.kpiName, N$2,
    _xlpm.factorName, $D17,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O17" s="140">
        <f t="array" ref="O17">_xlfn.LET(
    _xlpm.kpiName, O$2,
    _xlpm.factorName, $D17,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P17" s="140">
        <f t="array" ref="P17">_xlfn.LET(
    _xlpm.kpiName, P$2,
    _xlpm.factorName, $D17,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Q17" s="140">
        <f t="array" ref="Q17">_xlfn.LET(
    _xlpm.kpiName, Q$2,
    _xlpm.factorName, $D17,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R17" s="140">
        <f t="array" ref="R17">_xlfn.LET(
    _xlpm.kpiName, R$2,
    _xlpm.factorName, $D17,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S17" s="140">
        <f t="array" ref="S17">_xlfn.LET(
    _xlpm.kpiName, S$2,
    _xlpm.factorName, $D17,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T17" s="140">
        <f t="array" ref="T17">_xlfn.LET(
    _xlpm.kpiName, T$2,
    _xlpm.factorName, $D17,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U17" s="140">
        <f t="array" ref="U17">_xlfn.LET(
    _xlpm.kpiName, U$2,
    _xlpm.factorName, $D17,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V17" s="140">
        <f t="array" ref="V17">_xlfn.LET(
    _xlpm.kpiName, V$2,
    _xlpm.factorName, $D17,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W17" s="140">
        <f t="array" ref="W17">_xlfn.LET(
    _xlpm.kpiName, W$2,
    _xlpm.factorName, $D17,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X17" s="140">
        <f t="array" ref="X17">_xlfn.LET(
    _xlpm.kpiName, X$2,
    _xlpm.factorName, $D17,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Y17" s="10"/>
      <c r="Z17" s="10"/>
      <c r="AA17" s="10"/>
      <c r="AB17" s="10"/>
      <c r="AC17" s="10"/>
      <c r="AD17" s="10"/>
      <c r="AE17" s="10"/>
      <c r="AF17" s="10"/>
      <c r="AG17" s="10"/>
      <c r="AH17" s="10"/>
      <c r="AI17" s="10"/>
      <c r="AJ17" s="10"/>
    </row>
    <row r="18" spans="3:36" ht="13" customHeight="1" x14ac:dyDescent="0.3">
      <c r="C18" s="1"/>
      <c r="D18" s="81" t="s">
        <v>20</v>
      </c>
      <c r="E18" s="140">
        <f t="array" ref="E18">_xlfn.LET(
    _xlpm.kpiName, E$2,
    _xlpm.factorName, $D18,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1.8461798282924571E-2</v>
      </c>
      <c r="F18" s="140">
        <f t="array" ref="F18">_xlfn.LET(
    _xlpm.kpiName, F$2,
    _xlpm.factorName, $D18,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1.6159272826166481E-2</v>
      </c>
      <c r="G18" s="140">
        <f t="array" ref="G18">_xlfn.LET(
    _xlpm.kpiName, G$2,
    _xlpm.factorName, $D18,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1.8461798282924571E-2</v>
      </c>
      <c r="H18" s="140">
        <f t="array" ref="H18">_xlfn.LET(
    _xlpm.kpiName, H$2,
    _xlpm.factorName, $D18,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1.6159272826166481E-2</v>
      </c>
      <c r="I18" s="140">
        <f t="array" ref="I18">_xlfn.LET(
    _xlpm.kpiName, I$2,
    _xlpm.factorName, $D18,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0.1016429349787276</v>
      </c>
      <c r="J18" s="140">
        <f t="array" ref="J18">_xlfn.LET(
    _xlpm.kpiName, J$2,
    _xlpm.factorName, $D18,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K18" s="140">
        <f t="array" ref="K18">_xlfn.LET(
    _xlpm.kpiName, K$2,
    _xlpm.factorName, $D18,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L18" s="140">
        <f t="array" ref="L18">_xlfn.LET(
    _xlpm.kpiName, L$2,
    _xlpm.factorName, $D18,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M18" s="140">
        <f t="array" ref="M18">_xlfn.LET(
    _xlpm.kpiName, M$2,
    _xlpm.factorName, $D18,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N18" s="140">
        <f t="array" ref="N18">_xlfn.LET(
    _xlpm.kpiName, N$2,
    _xlpm.factorName, $D18,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O18" s="140">
        <f t="array" ref="O18">_xlfn.LET(
    _xlpm.kpiName, O$2,
    _xlpm.factorName, $D18,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P18" s="140">
        <f t="array" ref="P18">_xlfn.LET(
    _xlpm.kpiName, P$2,
    _xlpm.factorName, $D18,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Q18" s="140">
        <f t="array" ref="Q18">_xlfn.LET(
    _xlpm.kpiName, Q$2,
    _xlpm.factorName, $D18,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R18" s="140">
        <f t="array" ref="R18">_xlfn.LET(
    _xlpm.kpiName, R$2,
    _xlpm.factorName, $D18,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S18" s="140">
        <f t="array" ref="S18">_xlfn.LET(
    _xlpm.kpiName, S$2,
    _xlpm.factorName, $D18,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T18" s="140">
        <f t="array" ref="T18">_xlfn.LET(
    _xlpm.kpiName, T$2,
    _xlpm.factorName, $D18,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U18" s="140">
        <f t="array" ref="U18">_xlfn.LET(
    _xlpm.kpiName, U$2,
    _xlpm.factorName, $D18,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V18" s="140">
        <f t="array" ref="V18">_xlfn.LET(
    _xlpm.kpiName, V$2,
    _xlpm.factorName, $D18,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W18" s="140">
        <f t="array" ref="W18">_xlfn.LET(
    _xlpm.kpiName, W$2,
    _xlpm.factorName, $D18,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X18" s="140">
        <f t="array" ref="X18">_xlfn.LET(
    _xlpm.kpiName, X$2,
    _xlpm.factorName, $D18,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Y18" s="10"/>
      <c r="Z18" s="10"/>
      <c r="AA18" s="10"/>
      <c r="AB18" s="10"/>
      <c r="AC18" s="10"/>
      <c r="AD18" s="10"/>
      <c r="AE18" s="10"/>
      <c r="AF18" s="10"/>
      <c r="AG18" s="10"/>
      <c r="AH18" s="10"/>
      <c r="AI18" s="10"/>
      <c r="AJ18" s="10"/>
    </row>
    <row r="19" spans="3:36" ht="13" customHeight="1" x14ac:dyDescent="0.3">
      <c r="C19" s="1"/>
      <c r="D19" s="81" t="s">
        <v>21</v>
      </c>
      <c r="E19" s="140">
        <f t="array" ref="E19">_xlfn.LET(
    _xlpm.kpiName, E$2,
    _xlpm.factorName, $D19,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6.6404623182826214E-3</v>
      </c>
      <c r="F19" s="140">
        <f t="array" ref="F19">_xlfn.LET(
    _xlpm.kpiName, F$2,
    _xlpm.factorName, $D19,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1.481750159650309E-2</v>
      </c>
      <c r="G19" s="140">
        <f t="array" ref="G19">_xlfn.LET(
    _xlpm.kpiName, G$2,
    _xlpm.factorName, $D19,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6.6404623182826214E-3</v>
      </c>
      <c r="H19" s="140">
        <f t="array" ref="H19">_xlfn.LET(
    _xlpm.kpiName, H$2,
    _xlpm.factorName, $D19,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1.481750159650309E-2</v>
      </c>
      <c r="I19" s="140">
        <f t="array" ref="I19">_xlfn.LET(
    _xlpm.kpiName, I$2,
    _xlpm.factorName, $D19,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0.1155675776150905</v>
      </c>
      <c r="J19" s="140">
        <f t="array" ref="J19">_xlfn.LET(
    _xlpm.kpiName, J$2,
    _xlpm.factorName, $D19,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K19" s="140">
        <f t="array" ref="K19">_xlfn.LET(
    _xlpm.kpiName, K$2,
    _xlpm.factorName, $D19,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L19" s="140">
        <f t="array" ref="L19">_xlfn.LET(
    _xlpm.kpiName, L$2,
    _xlpm.factorName, $D19,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M19" s="140">
        <f t="array" ref="M19">_xlfn.LET(
    _xlpm.kpiName, M$2,
    _xlpm.factorName, $D19,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N19" s="140">
        <f t="array" ref="N19">_xlfn.LET(
    _xlpm.kpiName, N$2,
    _xlpm.factorName, $D19,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O19" s="140">
        <f t="array" ref="O19">_xlfn.LET(
    _xlpm.kpiName, O$2,
    _xlpm.factorName, $D19,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P19" s="140">
        <f t="array" ref="P19">_xlfn.LET(
    _xlpm.kpiName, P$2,
    _xlpm.factorName, $D19,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Q19" s="140">
        <f t="array" ref="Q19">_xlfn.LET(
    _xlpm.kpiName, Q$2,
    _xlpm.factorName, $D19,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R19" s="140">
        <f t="array" ref="R19">_xlfn.LET(
    _xlpm.kpiName, R$2,
    _xlpm.factorName, $D19,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S19" s="140">
        <f t="array" ref="S19">_xlfn.LET(
    _xlpm.kpiName, S$2,
    _xlpm.factorName, $D19,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T19" s="140">
        <f t="array" ref="T19">_xlfn.LET(
    _xlpm.kpiName, T$2,
    _xlpm.factorName, $D19,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U19" s="140">
        <f t="array" ref="U19">_xlfn.LET(
    _xlpm.kpiName, U$2,
    _xlpm.factorName, $D19,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V19" s="140">
        <f t="array" ref="V19">_xlfn.LET(
    _xlpm.kpiName, V$2,
    _xlpm.factorName, $D19,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W19" s="140">
        <f t="array" ref="W19">_xlfn.LET(
    _xlpm.kpiName, W$2,
    _xlpm.factorName, $D19,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X19" s="140">
        <f t="array" ref="X19">_xlfn.LET(
    _xlpm.kpiName, X$2,
    _xlpm.factorName, $D19,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Y19" s="10"/>
      <c r="Z19" s="10"/>
      <c r="AA19" s="10"/>
      <c r="AB19" s="10"/>
      <c r="AC19" s="10"/>
      <c r="AD19" s="10"/>
      <c r="AE19" s="10"/>
      <c r="AF19" s="10"/>
      <c r="AG19" s="10"/>
      <c r="AH19" s="10"/>
      <c r="AI19" s="10"/>
      <c r="AJ19" s="10"/>
    </row>
    <row r="20" spans="3:36" ht="13" customHeight="1" x14ac:dyDescent="0.3">
      <c r="C20" s="1"/>
      <c r="D20" s="81" t="s">
        <v>22</v>
      </c>
      <c r="E20" s="140">
        <f t="array" ref="E20">_xlfn.LET(
    _xlpm.kpiName, E$2,
    _xlpm.factorName, $D20,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9.7765596485499973E-3</v>
      </c>
      <c r="F20" s="140">
        <f t="array" ref="F20">_xlfn.LET(
    _xlpm.kpiName, F$2,
    _xlpm.factorName, $D20,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5.3755968934032533E-2</v>
      </c>
      <c r="G20" s="140">
        <f t="array" ref="G20">_xlfn.LET(
    _xlpm.kpiName, G$2,
    _xlpm.factorName, $D20,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9.7765596485499973E-3</v>
      </c>
      <c r="H20" s="140">
        <f t="array" ref="H20">_xlfn.LET(
    _xlpm.kpiName, H$2,
    _xlpm.factorName, $D20,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5.3755968934032533E-2</v>
      </c>
      <c r="I20" s="140">
        <f t="array" ref="I20">_xlfn.LET(
    _xlpm.kpiName, I$2,
    _xlpm.factorName, $D20,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0.19784260067858081</v>
      </c>
      <c r="J20" s="140">
        <f t="array" ref="J20">_xlfn.LET(
    _xlpm.kpiName, J$2,
    _xlpm.factorName, $D20,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K20" s="140">
        <f t="array" ref="K20">_xlfn.LET(
    _xlpm.kpiName, K$2,
    _xlpm.factorName, $D20,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L20" s="140">
        <f t="array" ref="L20">_xlfn.LET(
    _xlpm.kpiName, L$2,
    _xlpm.factorName, $D20,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M20" s="140">
        <f t="array" ref="M20">_xlfn.LET(
    _xlpm.kpiName, M$2,
    _xlpm.factorName, $D20,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N20" s="140">
        <f t="array" ref="N20">_xlfn.LET(
    _xlpm.kpiName, N$2,
    _xlpm.factorName, $D20,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O20" s="140">
        <f t="array" ref="O20">_xlfn.LET(
    _xlpm.kpiName, O$2,
    _xlpm.factorName, $D20,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P20" s="140">
        <f t="array" ref="P20">_xlfn.LET(
    _xlpm.kpiName, P$2,
    _xlpm.factorName, $D20,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Q20" s="140">
        <f t="array" ref="Q20">_xlfn.LET(
    _xlpm.kpiName, Q$2,
    _xlpm.factorName, $D20,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R20" s="140">
        <f t="array" ref="R20">_xlfn.LET(
    _xlpm.kpiName, R$2,
    _xlpm.factorName, $D20,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S20" s="140">
        <f t="array" ref="S20">_xlfn.LET(
    _xlpm.kpiName, S$2,
    _xlpm.factorName, $D20,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T20" s="140">
        <f t="array" ref="T20">_xlfn.LET(
    _xlpm.kpiName, T$2,
    _xlpm.factorName, $D20,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U20" s="140">
        <f t="array" ref="U20">_xlfn.LET(
    _xlpm.kpiName, U$2,
    _xlpm.factorName, $D20,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V20" s="140">
        <f t="array" ref="V20">_xlfn.LET(
    _xlpm.kpiName, V$2,
    _xlpm.factorName, $D20,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W20" s="140">
        <f t="array" ref="W20">_xlfn.LET(
    _xlpm.kpiName, W$2,
    _xlpm.factorName, $D20,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X20" s="140">
        <f t="array" ref="X20">_xlfn.LET(
    _xlpm.kpiName, X$2,
    _xlpm.factorName, $D20,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Y20" s="10"/>
      <c r="Z20" s="10"/>
      <c r="AA20" s="10"/>
      <c r="AB20" s="10"/>
      <c r="AC20" s="10"/>
      <c r="AD20" s="10"/>
      <c r="AE20" s="10"/>
      <c r="AF20" s="10"/>
      <c r="AG20" s="10"/>
      <c r="AH20" s="10"/>
      <c r="AI20" s="10"/>
      <c r="AJ20" s="10"/>
    </row>
    <row r="21" spans="3:36" ht="13" customHeight="1" x14ac:dyDescent="0.3">
      <c r="C21" s="1"/>
      <c r="D21" s="81" t="s">
        <v>23</v>
      </c>
      <c r="E21" s="140">
        <f t="array" ref="E21">_xlfn.LET(
    _xlpm.kpiName, E$2,
    _xlpm.factorName, $D21,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1.3109310430618229E-2</v>
      </c>
      <c r="F21" s="140">
        <f t="array" ref="F21">_xlfn.LET(
    _xlpm.kpiName, F$2,
    _xlpm.factorName, $D21,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9.9172984310023603E-3</v>
      </c>
      <c r="G21" s="140">
        <f t="array" ref="G21">_xlfn.LET(
    _xlpm.kpiName, G$2,
    _xlpm.factorName, $D21,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1.3109310430618229E-2</v>
      </c>
      <c r="H21" s="140">
        <f t="array" ref="H21">_xlfn.LET(
    _xlpm.kpiName, H$2,
    _xlpm.factorName, $D21,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9.9172984310023603E-3</v>
      </c>
      <c r="I21" s="140">
        <f t="array" ref="I21">_xlfn.LET(
    _xlpm.kpiName, I$2,
    _xlpm.factorName, $D21,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6.231681681106703E-2</v>
      </c>
      <c r="J21" s="140">
        <f t="array" ref="J21">_xlfn.LET(
    _xlpm.kpiName, J$2,
    _xlpm.factorName, $D21,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K21" s="140">
        <f t="array" ref="K21">_xlfn.LET(
    _xlpm.kpiName, K$2,
    _xlpm.factorName, $D21,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L21" s="140">
        <f t="array" ref="L21">_xlfn.LET(
    _xlpm.kpiName, L$2,
    _xlpm.factorName, $D21,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M21" s="140">
        <f t="array" ref="M21">_xlfn.LET(
    _xlpm.kpiName, M$2,
    _xlpm.factorName, $D21,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N21" s="140">
        <f t="array" ref="N21">_xlfn.LET(
    _xlpm.kpiName, N$2,
    _xlpm.factorName, $D21,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O21" s="140">
        <f t="array" ref="O21">_xlfn.LET(
    _xlpm.kpiName, O$2,
    _xlpm.factorName, $D21,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P21" s="140">
        <f t="array" ref="P21">_xlfn.LET(
    _xlpm.kpiName, P$2,
    _xlpm.factorName, $D21,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Q21" s="140">
        <f t="array" ref="Q21">_xlfn.LET(
    _xlpm.kpiName, Q$2,
    _xlpm.factorName, $D21,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R21" s="140">
        <f t="array" ref="R21">_xlfn.LET(
    _xlpm.kpiName, R$2,
    _xlpm.factorName, $D21,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S21" s="140">
        <f t="array" ref="S21">_xlfn.LET(
    _xlpm.kpiName, S$2,
    _xlpm.factorName, $D21,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T21" s="140">
        <f t="array" ref="T21">_xlfn.LET(
    _xlpm.kpiName, T$2,
    _xlpm.factorName, $D21,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U21" s="140">
        <f t="array" ref="U21">_xlfn.LET(
    _xlpm.kpiName, U$2,
    _xlpm.factorName, $D21,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V21" s="140">
        <f t="array" ref="V21">_xlfn.LET(
    _xlpm.kpiName, V$2,
    _xlpm.factorName, $D21,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W21" s="140">
        <f t="array" ref="W21">_xlfn.LET(
    _xlpm.kpiName, W$2,
    _xlpm.factorName, $D21,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X21" s="140">
        <f t="array" ref="X21">_xlfn.LET(
    _xlpm.kpiName, X$2,
    _xlpm.factorName, $D21,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Y21" s="10"/>
      <c r="Z21" s="10"/>
      <c r="AA21" s="10"/>
      <c r="AB21" s="10"/>
      <c r="AC21" s="10"/>
      <c r="AD21" s="10"/>
      <c r="AE21" s="10"/>
      <c r="AF21" s="10"/>
      <c r="AG21" s="10"/>
      <c r="AH21" s="10"/>
      <c r="AI21" s="10"/>
      <c r="AJ21" s="10"/>
    </row>
    <row r="22" spans="3:36" ht="13" customHeight="1" x14ac:dyDescent="0.3">
      <c r="C22" s="1"/>
      <c r="D22" s="81" t="s">
        <v>24</v>
      </c>
      <c r="E22" s="140">
        <f t="array" ref="E22">_xlfn.LET(
    _xlpm.kpiName, E$2,
    _xlpm.factorName, $D22,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1.6516211937336819E-2</v>
      </c>
      <c r="F22" s="140">
        <f t="array" ref="F22">_xlfn.LET(
    _xlpm.kpiName, F$2,
    _xlpm.factorName, $D22,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2.6244648956014409E-2</v>
      </c>
      <c r="G22" s="140">
        <f t="array" ref="G22">_xlfn.LET(
    _xlpm.kpiName, G$2,
    _xlpm.factorName, $D22,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1.6516211937336819E-2</v>
      </c>
      <c r="H22" s="140">
        <f t="array" ref="H22">_xlfn.LET(
    _xlpm.kpiName, H$2,
    _xlpm.factorName, $D22,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2.6244648956014409E-2</v>
      </c>
      <c r="I22" s="140">
        <f t="array" ref="I22">_xlfn.LET(
    _xlpm.kpiName, I$2,
    _xlpm.factorName, $D22,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0.1089308471191494</v>
      </c>
      <c r="J22" s="140">
        <f t="array" ref="J22">_xlfn.LET(
    _xlpm.kpiName, J$2,
    _xlpm.factorName, $D22,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K22" s="140">
        <f t="array" ref="K22">_xlfn.LET(
    _xlpm.kpiName, K$2,
    _xlpm.factorName, $D22,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L22" s="140">
        <f t="array" ref="L22">_xlfn.LET(
    _xlpm.kpiName, L$2,
    _xlpm.factorName, $D22,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M22" s="140">
        <f t="array" ref="M22">_xlfn.LET(
    _xlpm.kpiName, M$2,
    _xlpm.factorName, $D22,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N22" s="140">
        <f t="array" ref="N22">_xlfn.LET(
    _xlpm.kpiName, N$2,
    _xlpm.factorName, $D22,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O22" s="140">
        <f t="array" ref="O22">_xlfn.LET(
    _xlpm.kpiName, O$2,
    _xlpm.factorName, $D22,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P22" s="140">
        <f t="array" ref="P22">_xlfn.LET(
    _xlpm.kpiName, P$2,
    _xlpm.factorName, $D22,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Q22" s="140">
        <f t="array" ref="Q22">_xlfn.LET(
    _xlpm.kpiName, Q$2,
    _xlpm.factorName, $D22,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R22" s="140">
        <f t="array" ref="R22">_xlfn.LET(
    _xlpm.kpiName, R$2,
    _xlpm.factorName, $D22,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S22" s="140">
        <f t="array" ref="S22">_xlfn.LET(
    _xlpm.kpiName, S$2,
    _xlpm.factorName, $D22,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T22" s="140">
        <f t="array" ref="T22">_xlfn.LET(
    _xlpm.kpiName, T$2,
    _xlpm.factorName, $D22,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U22" s="140">
        <f t="array" ref="U22">_xlfn.LET(
    _xlpm.kpiName, U$2,
    _xlpm.factorName, $D22,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V22" s="140">
        <f t="array" ref="V22">_xlfn.LET(
    _xlpm.kpiName, V$2,
    _xlpm.factorName, $D22,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W22" s="140">
        <f t="array" ref="W22">_xlfn.LET(
    _xlpm.kpiName, W$2,
    _xlpm.factorName, $D22,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X22" s="140">
        <f t="array" ref="X22">_xlfn.LET(
    _xlpm.kpiName, X$2,
    _xlpm.factorName, $D22,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Y22" s="10"/>
      <c r="Z22" s="10"/>
      <c r="AA22" s="10"/>
      <c r="AB22" s="10"/>
      <c r="AC22" s="10"/>
      <c r="AD22" s="10"/>
      <c r="AE22" s="10"/>
      <c r="AF22" s="10"/>
      <c r="AG22" s="10"/>
      <c r="AH22" s="10"/>
      <c r="AI22" s="10"/>
      <c r="AJ22" s="10"/>
    </row>
    <row r="23" spans="3:36" ht="13" customHeight="1" x14ac:dyDescent="0.3">
      <c r="C23" s="1"/>
      <c r="D23" s="81" t="s">
        <v>25</v>
      </c>
      <c r="E23" s="140">
        <f t="array" ref="E23">_xlfn.LET(
    _xlpm.kpiName, E$2,
    _xlpm.factorName, $D23,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0.14184285056839879</v>
      </c>
      <c r="F23" s="140">
        <f t="array" ref="F23">_xlfn.LET(
    _xlpm.kpiName, F$2,
    _xlpm.factorName, $D23,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0.12629471009555079</v>
      </c>
      <c r="G23" s="140">
        <f t="array" ref="G23">_xlfn.LET(
    _xlpm.kpiName, G$2,
    _xlpm.factorName, $D23,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0.14184285056839879</v>
      </c>
      <c r="H23" s="140">
        <f t="array" ref="H23">_xlfn.LET(
    _xlpm.kpiName, H$2,
    _xlpm.factorName, $D23,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0.12629471009555079</v>
      </c>
      <c r="I23" s="140">
        <f t="array" ref="I23">_xlfn.LET(
    _xlpm.kpiName, I$2,
    _xlpm.factorName, $D23,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0.31582998622877712</v>
      </c>
      <c r="J23" s="140">
        <f t="array" ref="J23">_xlfn.LET(
    _xlpm.kpiName, J$2,
    _xlpm.factorName, $D23,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K23" s="140">
        <f t="array" ref="K23">_xlfn.LET(
    _xlpm.kpiName, K$2,
    _xlpm.factorName, $D23,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L23" s="140">
        <f t="array" ref="L23">_xlfn.LET(
    _xlpm.kpiName, L$2,
    _xlpm.factorName, $D23,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M23" s="140">
        <f t="array" ref="M23">_xlfn.LET(
    _xlpm.kpiName, M$2,
    _xlpm.factorName, $D23,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N23" s="140">
        <f t="array" ref="N23">_xlfn.LET(
    _xlpm.kpiName, N$2,
    _xlpm.factorName, $D23,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O23" s="140">
        <f t="array" ref="O23">_xlfn.LET(
    _xlpm.kpiName, O$2,
    _xlpm.factorName, $D23,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P23" s="140">
        <f t="array" ref="P23">_xlfn.LET(
    _xlpm.kpiName, P$2,
    _xlpm.factorName, $D23,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Q23" s="140">
        <f t="array" ref="Q23">_xlfn.LET(
    _xlpm.kpiName, Q$2,
    _xlpm.factorName, $D23,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R23" s="140">
        <f t="array" ref="R23">_xlfn.LET(
    _xlpm.kpiName, R$2,
    _xlpm.factorName, $D23,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S23" s="140">
        <f t="array" ref="S23">_xlfn.LET(
    _xlpm.kpiName, S$2,
    _xlpm.factorName, $D23,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T23" s="140">
        <f t="array" ref="T23">_xlfn.LET(
    _xlpm.kpiName, T$2,
    _xlpm.factorName, $D23,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U23" s="140">
        <f t="array" ref="U23">_xlfn.LET(
    _xlpm.kpiName, U$2,
    _xlpm.factorName, $D23,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V23" s="140">
        <f t="array" ref="V23">_xlfn.LET(
    _xlpm.kpiName, V$2,
    _xlpm.factorName, $D23,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W23" s="140">
        <f t="array" ref="W23">_xlfn.LET(
    _xlpm.kpiName, W$2,
    _xlpm.factorName, $D23,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X23" s="140">
        <f t="array" ref="X23">_xlfn.LET(
    _xlpm.kpiName, X$2,
    _xlpm.factorName, $D23,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Y23" s="10"/>
      <c r="Z23" s="10"/>
      <c r="AA23" s="10"/>
      <c r="AB23" s="10"/>
      <c r="AC23" s="10"/>
      <c r="AD23" s="10"/>
      <c r="AE23" s="10"/>
      <c r="AF23" s="10"/>
      <c r="AG23" s="10"/>
      <c r="AH23" s="10"/>
      <c r="AI23" s="10"/>
      <c r="AJ23" s="10"/>
    </row>
    <row r="24" spans="3:36" ht="9" customHeight="1" x14ac:dyDescent="0.3">
      <c r="C24" s="1"/>
      <c r="D24" s="81" t="s">
        <v>26</v>
      </c>
      <c r="E24" s="140">
        <f t="array" ref="E24">_xlfn.LET(
    _xlpm.kpiName, E$2,
    _xlpm.factorName, $D24,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1.3948841610353639E-2</v>
      </c>
      <c r="F24" s="140">
        <f t="array" ref="F24">_xlfn.LET(
    _xlpm.kpiName, F$2,
    _xlpm.factorName, $D24,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1.547281023978249E-3</v>
      </c>
      <c r="G24" s="140">
        <f t="array" ref="G24">_xlfn.LET(
    _xlpm.kpiName, G$2,
    _xlpm.factorName, $D24,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1.3948841610353639E-2</v>
      </c>
      <c r="H24" s="140">
        <f t="array" ref="H24">_xlfn.LET(
    _xlpm.kpiName, H$2,
    _xlpm.factorName, $D24,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1.547281023978249E-3</v>
      </c>
      <c r="I24" s="140">
        <f t="array" ref="I24">_xlfn.LET(
    _xlpm.kpiName, I$2,
    _xlpm.factorName, $D24,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8.1024929327382644E-2</v>
      </c>
      <c r="J24" s="140">
        <f t="array" ref="J24">_xlfn.LET(
    _xlpm.kpiName, J$2,
    _xlpm.factorName, $D24,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K24" s="140">
        <f t="array" ref="K24">_xlfn.LET(
    _xlpm.kpiName, K$2,
    _xlpm.factorName, $D24,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L24" s="140">
        <f t="array" ref="L24">_xlfn.LET(
    _xlpm.kpiName, L$2,
    _xlpm.factorName, $D24,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M24" s="140">
        <f t="array" ref="M24">_xlfn.LET(
    _xlpm.kpiName, M$2,
    _xlpm.factorName, $D24,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N24" s="140">
        <f t="array" ref="N24">_xlfn.LET(
    _xlpm.kpiName, N$2,
    _xlpm.factorName, $D24,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O24" s="140">
        <f t="array" ref="O24">_xlfn.LET(
    _xlpm.kpiName, O$2,
    _xlpm.factorName, $D24,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P24" s="140">
        <f t="array" ref="P24">_xlfn.LET(
    _xlpm.kpiName, P$2,
    _xlpm.factorName, $D24,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Q24" s="140">
        <f t="array" ref="Q24">_xlfn.LET(
    _xlpm.kpiName, Q$2,
    _xlpm.factorName, $D24,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R24" s="140">
        <f t="array" ref="R24">_xlfn.LET(
    _xlpm.kpiName, R$2,
    _xlpm.factorName, $D24,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S24" s="140">
        <f t="array" ref="S24">_xlfn.LET(
    _xlpm.kpiName, S$2,
    _xlpm.factorName, $D24,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T24" s="140">
        <f t="array" ref="T24">_xlfn.LET(
    _xlpm.kpiName, T$2,
    _xlpm.factorName, $D24,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U24" s="140">
        <f t="array" ref="U24">_xlfn.LET(
    _xlpm.kpiName, U$2,
    _xlpm.factorName, $D24,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V24" s="140">
        <f t="array" ref="V24">_xlfn.LET(
    _xlpm.kpiName, V$2,
    _xlpm.factorName, $D24,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W24" s="140">
        <f t="array" ref="W24">_xlfn.LET(
    _xlpm.kpiName, W$2,
    _xlpm.factorName, $D24,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X24" s="140">
        <f t="array" ref="X24">_xlfn.LET(
    _xlpm.kpiName, X$2,
    _xlpm.factorName, $D24,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Y24" s="10"/>
      <c r="Z24" s="10"/>
      <c r="AA24" s="10"/>
      <c r="AB24" s="10"/>
      <c r="AC24" s="10"/>
      <c r="AD24" s="10"/>
      <c r="AE24" s="10"/>
      <c r="AF24" s="10"/>
      <c r="AG24" s="10"/>
      <c r="AH24" s="10"/>
      <c r="AI24" s="10"/>
      <c r="AJ24" s="10"/>
    </row>
    <row r="25" spans="3:36" ht="9" customHeight="1" x14ac:dyDescent="0.3">
      <c r="C25" s="1"/>
      <c r="D25" s="81" t="s">
        <v>27</v>
      </c>
      <c r="E25" s="140">
        <f t="array" ref="E25">_xlfn.LET(
    _xlpm.kpiName, E$2,
    _xlpm.factorName, $D25,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1.8964421880412041E-2</v>
      </c>
      <c r="F25" s="140">
        <f t="array" ref="F25">_xlfn.LET(
    _xlpm.kpiName, F$2,
    _xlpm.factorName, $D25,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4.3866909560862533E-2</v>
      </c>
      <c r="G25" s="140">
        <f t="array" ref="G25">_xlfn.LET(
    _xlpm.kpiName, G$2,
    _xlpm.factorName, $D25,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1.8964421880412041E-2</v>
      </c>
      <c r="H25" s="140">
        <f t="array" ref="H25">_xlfn.LET(
    _xlpm.kpiName, H$2,
    _xlpm.factorName, $D25,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4.3866909560862533E-2</v>
      </c>
      <c r="I25" s="140">
        <f t="array" ref="I25">_xlfn.LET(
    _xlpm.kpiName, I$2,
    _xlpm.factorName, $D25,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0.2171077345366024</v>
      </c>
      <c r="J25" s="140">
        <f t="array" ref="J25">_xlfn.LET(
    _xlpm.kpiName, J$2,
    _xlpm.factorName, $D25,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K25" s="140">
        <f t="array" ref="K25">_xlfn.LET(
    _xlpm.kpiName, K$2,
    _xlpm.factorName, $D25,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L25" s="140">
        <f t="array" ref="L25">_xlfn.LET(
    _xlpm.kpiName, L$2,
    _xlpm.factorName, $D25,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M25" s="140">
        <f t="array" ref="M25">_xlfn.LET(
    _xlpm.kpiName, M$2,
    _xlpm.factorName, $D25,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N25" s="140">
        <f t="array" ref="N25">_xlfn.LET(
    _xlpm.kpiName, N$2,
    _xlpm.factorName, $D25,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O25" s="140">
        <f t="array" ref="O25">_xlfn.LET(
    _xlpm.kpiName, O$2,
    _xlpm.factorName, $D25,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P25" s="140">
        <f t="array" ref="P25">_xlfn.LET(
    _xlpm.kpiName, P$2,
    _xlpm.factorName, $D25,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Q25" s="140">
        <f t="array" ref="Q25">_xlfn.LET(
    _xlpm.kpiName, Q$2,
    _xlpm.factorName, $D25,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R25" s="140">
        <f t="array" ref="R25">_xlfn.LET(
    _xlpm.kpiName, R$2,
    _xlpm.factorName, $D25,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S25" s="140">
        <f t="array" ref="S25">_xlfn.LET(
    _xlpm.kpiName, S$2,
    _xlpm.factorName, $D25,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T25" s="140">
        <f t="array" ref="T25">_xlfn.LET(
    _xlpm.kpiName, T$2,
    _xlpm.factorName, $D25,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U25" s="140">
        <f t="array" ref="U25">_xlfn.LET(
    _xlpm.kpiName, U$2,
    _xlpm.factorName, $D25,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V25" s="140">
        <f t="array" ref="V25">_xlfn.LET(
    _xlpm.kpiName, V$2,
    _xlpm.factorName, $D25,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W25" s="140">
        <f t="array" ref="W25">_xlfn.LET(
    _xlpm.kpiName, W$2,
    _xlpm.factorName, $D25,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X25" s="140">
        <f t="array" ref="X25">_xlfn.LET(
    _xlpm.kpiName, X$2,
    _xlpm.factorName, $D25,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Y25" s="10"/>
      <c r="Z25" s="10"/>
      <c r="AA25" s="10"/>
      <c r="AB25" s="10"/>
      <c r="AC25" s="10"/>
      <c r="AD25" s="10"/>
      <c r="AE25" s="10"/>
      <c r="AF25" s="10"/>
      <c r="AG25" s="10"/>
      <c r="AH25" s="10"/>
      <c r="AI25" s="10"/>
      <c r="AJ25" s="10"/>
    </row>
    <row r="26" spans="3:36" ht="9" customHeight="1" x14ac:dyDescent="0.3">
      <c r="C26" s="1"/>
      <c r="D26" s="81" t="s">
        <v>28</v>
      </c>
      <c r="E26" s="140">
        <f t="array" ref="E26">_xlfn.LET(
    _xlpm.kpiName, E$2,
    _xlpm.factorName, $D26,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1.513330262107123E-2</v>
      </c>
      <c r="F26" s="140">
        <f t="array" ref="F26">_xlfn.LET(
    _xlpm.kpiName, F$2,
    _xlpm.factorName, $D26,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5.1424425096033167E-3</v>
      </c>
      <c r="G26" s="140">
        <f t="array" ref="G26">_xlfn.LET(
    _xlpm.kpiName, G$2,
    _xlpm.factorName, $D26,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1.513330262107123E-2</v>
      </c>
      <c r="H26" s="140">
        <f t="array" ref="H26">_xlfn.LET(
    _xlpm.kpiName, H$2,
    _xlpm.factorName, $D26,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5.1424425096033167E-3</v>
      </c>
      <c r="I26" s="140">
        <f t="array" ref="I26">_xlfn.LET(
    _xlpm.kpiName, I$2,
    _xlpm.factorName, $D26,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8.6531199674883638E-2</v>
      </c>
      <c r="J26" s="140">
        <f t="array" ref="J26">_xlfn.LET(
    _xlpm.kpiName, J$2,
    _xlpm.factorName, $D26,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K26" s="140">
        <f t="array" ref="K26">_xlfn.LET(
    _xlpm.kpiName, K$2,
    _xlpm.factorName, $D26,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L26" s="140">
        <f t="array" ref="L26">_xlfn.LET(
    _xlpm.kpiName, L$2,
    _xlpm.factorName, $D26,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M26" s="140">
        <f t="array" ref="M26">_xlfn.LET(
    _xlpm.kpiName, M$2,
    _xlpm.factorName, $D26,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N26" s="140">
        <f t="array" ref="N26">_xlfn.LET(
    _xlpm.kpiName, N$2,
    _xlpm.factorName, $D26,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O26" s="140">
        <f t="array" ref="O26">_xlfn.LET(
    _xlpm.kpiName, O$2,
    _xlpm.factorName, $D26,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P26" s="140">
        <f t="array" ref="P26">_xlfn.LET(
    _xlpm.kpiName, P$2,
    _xlpm.factorName, $D26,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Q26" s="140">
        <f t="array" ref="Q26">_xlfn.LET(
    _xlpm.kpiName, Q$2,
    _xlpm.factorName, $D26,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R26" s="140">
        <f t="array" ref="R26">_xlfn.LET(
    _xlpm.kpiName, R$2,
    _xlpm.factorName, $D26,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S26" s="140">
        <f t="array" ref="S26">_xlfn.LET(
    _xlpm.kpiName, S$2,
    _xlpm.factorName, $D26,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T26" s="140">
        <f t="array" ref="T26">_xlfn.LET(
    _xlpm.kpiName, T$2,
    _xlpm.factorName, $D26,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U26" s="140">
        <f t="array" ref="U26">_xlfn.LET(
    _xlpm.kpiName, U$2,
    _xlpm.factorName, $D26,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V26" s="140">
        <f t="array" ref="V26">_xlfn.LET(
    _xlpm.kpiName, V$2,
    _xlpm.factorName, $D26,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W26" s="140">
        <f t="array" ref="W26">_xlfn.LET(
    _xlpm.kpiName, W$2,
    _xlpm.factorName, $D26,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X26" s="140">
        <f t="array" ref="X26">_xlfn.LET(
    _xlpm.kpiName, X$2,
    _xlpm.factorName, $D26,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Y26" s="10"/>
      <c r="Z26" s="10"/>
      <c r="AA26" s="10"/>
      <c r="AB26" s="10"/>
      <c r="AC26" s="10"/>
      <c r="AD26" s="10"/>
      <c r="AE26" s="10"/>
      <c r="AF26" s="10"/>
      <c r="AG26" s="10"/>
      <c r="AH26" s="10"/>
      <c r="AI26" s="10"/>
      <c r="AJ26" s="10"/>
    </row>
    <row r="27" spans="3:36" ht="9" customHeight="1" x14ac:dyDescent="0.3">
      <c r="C27" s="1"/>
      <c r="D27" s="81" t="s">
        <v>29</v>
      </c>
      <c r="E27" s="140">
        <f t="array" ref="E27">_xlfn.LET(
    _xlpm.kpiName, E$2,
    _xlpm.factorName, $D27,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2.624675877944864E-2</v>
      </c>
      <c r="F27" s="140">
        <f t="array" ref="F27">_xlfn.LET(
    _xlpm.kpiName, F$2,
    _xlpm.factorName, $D27,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6.085596023850318E-3</v>
      </c>
      <c r="G27" s="140">
        <f t="array" ref="G27">_xlfn.LET(
    _xlpm.kpiName, G$2,
    _xlpm.factorName, $D27,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2.624675877944864E-2</v>
      </c>
      <c r="H27" s="140">
        <f t="array" ref="H27">_xlfn.LET(
    _xlpm.kpiName, H$2,
    _xlpm.factorName, $D27,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6.085596023850318E-3</v>
      </c>
      <c r="I27" s="140">
        <f t="array" ref="I27">_xlfn.LET(
    _xlpm.kpiName, I$2,
    _xlpm.factorName, $D27,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5.9234346198421953E-2</v>
      </c>
      <c r="J27" s="140">
        <f t="array" ref="J27">_xlfn.LET(
    _xlpm.kpiName, J$2,
    _xlpm.factorName, $D27,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K27" s="140">
        <f t="array" ref="K27">_xlfn.LET(
    _xlpm.kpiName, K$2,
    _xlpm.factorName, $D27,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L27" s="140">
        <f t="array" ref="L27">_xlfn.LET(
    _xlpm.kpiName, L$2,
    _xlpm.factorName, $D27,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M27" s="140">
        <f t="array" ref="M27">_xlfn.LET(
    _xlpm.kpiName, M$2,
    _xlpm.factorName, $D27,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N27" s="140">
        <f t="array" ref="N27">_xlfn.LET(
    _xlpm.kpiName, N$2,
    _xlpm.factorName, $D27,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O27" s="140">
        <f t="array" ref="O27">_xlfn.LET(
    _xlpm.kpiName, O$2,
    _xlpm.factorName, $D27,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P27" s="140">
        <f t="array" ref="P27">_xlfn.LET(
    _xlpm.kpiName, P$2,
    _xlpm.factorName, $D27,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Q27" s="140">
        <f t="array" ref="Q27">_xlfn.LET(
    _xlpm.kpiName, Q$2,
    _xlpm.factorName, $D27,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R27" s="140">
        <f t="array" ref="R27">_xlfn.LET(
    _xlpm.kpiName, R$2,
    _xlpm.factorName, $D27,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S27" s="140">
        <f t="array" ref="S27">_xlfn.LET(
    _xlpm.kpiName, S$2,
    _xlpm.factorName, $D27,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T27" s="140">
        <f t="array" ref="T27">_xlfn.LET(
    _xlpm.kpiName, T$2,
    _xlpm.factorName, $D27,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U27" s="140">
        <f t="array" ref="U27">_xlfn.LET(
    _xlpm.kpiName, U$2,
    _xlpm.factorName, $D27,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V27" s="140">
        <f t="array" ref="V27">_xlfn.LET(
    _xlpm.kpiName, V$2,
    _xlpm.factorName, $D27,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W27" s="140">
        <f t="array" ref="W27">_xlfn.LET(
    _xlpm.kpiName, W$2,
    _xlpm.factorName, $D27,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X27" s="140">
        <f t="array" ref="X27">_xlfn.LET(
    _xlpm.kpiName, X$2,
    _xlpm.factorName, $D27,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Y27" s="10"/>
      <c r="Z27" s="10"/>
      <c r="AA27" s="10"/>
      <c r="AB27" s="10"/>
      <c r="AC27" s="10"/>
      <c r="AD27" s="10"/>
      <c r="AE27" s="10"/>
      <c r="AF27" s="10"/>
      <c r="AG27" s="10"/>
      <c r="AH27" s="10"/>
      <c r="AI27" s="10"/>
      <c r="AJ27" s="10"/>
    </row>
    <row r="28" spans="3:36" ht="9" customHeight="1" x14ac:dyDescent="0.3">
      <c r="C28" s="1"/>
      <c r="D28" s="81" t="s">
        <v>30</v>
      </c>
      <c r="E28" s="140">
        <f t="array" ref="E28">_xlfn.LET(
    _xlpm.kpiName, E$2,
    _xlpm.factorName, $D28,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1.2484969580790539E-2</v>
      </c>
      <c r="F28" s="140">
        <f t="array" ref="F28">_xlfn.LET(
    _xlpm.kpiName, F$2,
    _xlpm.factorName, $D28,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3.016933656708105E-2</v>
      </c>
      <c r="G28" s="140">
        <f t="array" ref="G28">_xlfn.LET(
    _xlpm.kpiName, G$2,
    _xlpm.factorName, $D28,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1.2484969580790539E-2</v>
      </c>
      <c r="H28" s="140">
        <f t="array" ref="H28">_xlfn.LET(
    _xlpm.kpiName, H$2,
    _xlpm.factorName, $D28,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3.016933656708105E-2</v>
      </c>
      <c r="I28" s="140">
        <f t="array" ref="I28">_xlfn.LET(
    _xlpm.kpiName, I$2,
    _xlpm.factorName, $D28,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0.10449521860779031</v>
      </c>
      <c r="J28" s="140">
        <f t="array" ref="J28">_xlfn.LET(
    _xlpm.kpiName, J$2,
    _xlpm.factorName, $D28,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K28" s="140">
        <f t="array" ref="K28">_xlfn.LET(
    _xlpm.kpiName, K$2,
    _xlpm.factorName, $D28,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L28" s="140">
        <f t="array" ref="L28">_xlfn.LET(
    _xlpm.kpiName, L$2,
    _xlpm.factorName, $D28,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M28" s="140">
        <f t="array" ref="M28">_xlfn.LET(
    _xlpm.kpiName, M$2,
    _xlpm.factorName, $D28,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N28" s="140">
        <f t="array" ref="N28">_xlfn.LET(
    _xlpm.kpiName, N$2,
    _xlpm.factorName, $D28,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O28" s="140">
        <f t="array" ref="O28">_xlfn.LET(
    _xlpm.kpiName, O$2,
    _xlpm.factorName, $D28,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P28" s="140">
        <f t="array" ref="P28">_xlfn.LET(
    _xlpm.kpiName, P$2,
    _xlpm.factorName, $D28,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Q28" s="140">
        <f t="array" ref="Q28">_xlfn.LET(
    _xlpm.kpiName, Q$2,
    _xlpm.factorName, $D28,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R28" s="140">
        <f t="array" ref="R28">_xlfn.LET(
    _xlpm.kpiName, R$2,
    _xlpm.factorName, $D28,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S28" s="140">
        <f t="array" ref="S28">_xlfn.LET(
    _xlpm.kpiName, S$2,
    _xlpm.factorName, $D28,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T28" s="140">
        <f t="array" ref="T28">_xlfn.LET(
    _xlpm.kpiName, T$2,
    _xlpm.factorName, $D28,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U28" s="140">
        <f t="array" ref="U28">_xlfn.LET(
    _xlpm.kpiName, U$2,
    _xlpm.factorName, $D28,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V28" s="140">
        <f t="array" ref="V28">_xlfn.LET(
    _xlpm.kpiName, V$2,
    _xlpm.factorName, $D28,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W28" s="140">
        <f t="array" ref="W28">_xlfn.LET(
    _xlpm.kpiName, W$2,
    _xlpm.factorName, $D28,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X28" s="140">
        <f t="array" ref="X28">_xlfn.LET(
    _xlpm.kpiName, X$2,
    _xlpm.factorName, $D28,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Y28" s="10"/>
      <c r="Z28" s="10"/>
      <c r="AA28" s="10"/>
      <c r="AB28" s="10"/>
      <c r="AC28" s="10"/>
      <c r="AD28" s="10"/>
      <c r="AE28" s="10"/>
      <c r="AF28" s="10"/>
      <c r="AG28" s="10"/>
      <c r="AH28" s="10"/>
      <c r="AI28" s="10"/>
      <c r="AJ28" s="10"/>
    </row>
    <row r="29" spans="3:36" ht="9" customHeight="1" x14ac:dyDescent="0.3">
      <c r="C29" s="1"/>
      <c r="D29" s="81" t="s">
        <v>31</v>
      </c>
      <c r="E29" s="140">
        <f t="array" ref="E29">_xlfn.LET(
    _xlpm.kpiName, E$2,
    _xlpm.factorName, $D29,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1.132838516680721E-2</v>
      </c>
      <c r="F29" s="140">
        <f t="array" ref="F29">_xlfn.LET(
    _xlpm.kpiName, F$2,
    _xlpm.factorName, $D29,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1.839743555545335E-2</v>
      </c>
      <c r="G29" s="140">
        <f t="array" ref="G29">_xlfn.LET(
    _xlpm.kpiName, G$2,
    _xlpm.factorName, $D29,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1.132838516680721E-2</v>
      </c>
      <c r="H29" s="140">
        <f t="array" ref="H29">_xlfn.LET(
    _xlpm.kpiName, H$2,
    _xlpm.factorName, $D29,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1.839743555545335E-2</v>
      </c>
      <c r="I29" s="140">
        <f t="array" ref="I29">_xlfn.LET(
    _xlpm.kpiName, I$2,
    _xlpm.factorName, $D29,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0.11168783571941621</v>
      </c>
      <c r="J29" s="140">
        <f t="array" ref="J29">_xlfn.LET(
    _xlpm.kpiName, J$2,
    _xlpm.factorName, $D29,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K29" s="140">
        <f t="array" ref="K29">_xlfn.LET(
    _xlpm.kpiName, K$2,
    _xlpm.factorName, $D29,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L29" s="140">
        <f t="array" ref="L29">_xlfn.LET(
    _xlpm.kpiName, L$2,
    _xlpm.factorName, $D29,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M29" s="140">
        <f t="array" ref="M29">_xlfn.LET(
    _xlpm.kpiName, M$2,
    _xlpm.factorName, $D29,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N29" s="140">
        <f t="array" ref="N29">_xlfn.LET(
    _xlpm.kpiName, N$2,
    _xlpm.factorName, $D29,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O29" s="140">
        <f t="array" ref="O29">_xlfn.LET(
    _xlpm.kpiName, O$2,
    _xlpm.factorName, $D29,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P29" s="140">
        <f t="array" ref="P29">_xlfn.LET(
    _xlpm.kpiName, P$2,
    _xlpm.factorName, $D29,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Q29" s="140">
        <f t="array" ref="Q29">_xlfn.LET(
    _xlpm.kpiName, Q$2,
    _xlpm.factorName, $D29,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R29" s="140">
        <f t="array" ref="R29">_xlfn.LET(
    _xlpm.kpiName, R$2,
    _xlpm.factorName, $D29,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S29" s="140">
        <f t="array" ref="S29">_xlfn.LET(
    _xlpm.kpiName, S$2,
    _xlpm.factorName, $D29,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T29" s="140">
        <f t="array" ref="T29">_xlfn.LET(
    _xlpm.kpiName, T$2,
    _xlpm.factorName, $D29,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U29" s="140">
        <f t="array" ref="U29">_xlfn.LET(
    _xlpm.kpiName, U$2,
    _xlpm.factorName, $D29,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V29" s="140">
        <f t="array" ref="V29">_xlfn.LET(
    _xlpm.kpiName, V$2,
    _xlpm.factorName, $D29,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W29" s="140">
        <f t="array" ref="W29">_xlfn.LET(
    _xlpm.kpiName, W$2,
    _xlpm.factorName, $D29,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X29" s="140">
        <f t="array" ref="X29">_xlfn.LET(
    _xlpm.kpiName, X$2,
    _xlpm.factorName, $D29,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Y29" s="10"/>
      <c r="Z29" s="10"/>
      <c r="AA29" s="10"/>
      <c r="AB29" s="10"/>
      <c r="AC29" s="10"/>
      <c r="AD29" s="10"/>
      <c r="AE29" s="10"/>
      <c r="AF29" s="10"/>
      <c r="AG29" s="10"/>
      <c r="AH29" s="10"/>
      <c r="AI29" s="10"/>
      <c r="AJ29" s="10"/>
    </row>
    <row r="30" spans="3:36" ht="9" customHeight="1" x14ac:dyDescent="0.3">
      <c r="C30" s="1"/>
      <c r="D30" s="81" t="s">
        <v>32</v>
      </c>
      <c r="E30" s="140">
        <f t="array" ref="E30">_xlfn.LET(
    _xlpm.kpiName, E$2,
    _xlpm.factorName, $D30,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F30" s="140">
        <f t="array" ref="F30">_xlfn.LET(
    _xlpm.kpiName, F$2,
    _xlpm.factorName, $D30,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G30" s="140">
        <f t="array" ref="G30">_xlfn.LET(
    _xlpm.kpiName, G$2,
    _xlpm.factorName, $D30,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H30" s="140">
        <f t="array" ref="H30">_xlfn.LET(
    _xlpm.kpiName, H$2,
    _xlpm.factorName, $D30,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I30" s="140">
        <f t="array" ref="I30">_xlfn.LET(
    _xlpm.kpiName, I$2,
    _xlpm.factorName, $D30,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J30" s="140">
        <f t="array" ref="J30">_xlfn.LET(
    _xlpm.kpiName, J$2,
    _xlpm.factorName, $D30,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K30" s="140">
        <f t="array" ref="K30">_xlfn.LET(
    _xlpm.kpiName, K$2,
    _xlpm.factorName, $D30,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L30" s="140">
        <f t="array" ref="L30">_xlfn.LET(
    _xlpm.kpiName, L$2,
    _xlpm.factorName, $D30,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M30" s="140">
        <f t="array" ref="M30">_xlfn.LET(
    _xlpm.kpiName, M$2,
    _xlpm.factorName, $D30,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N30" s="140">
        <f t="array" ref="N30">_xlfn.LET(
    _xlpm.kpiName, N$2,
    _xlpm.factorName, $D30,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O30" s="140">
        <f t="array" ref="O30">_xlfn.LET(
    _xlpm.kpiName, O$2,
    _xlpm.factorName, $D30,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P30" s="140">
        <f t="array" ref="P30">_xlfn.LET(
    _xlpm.kpiName, P$2,
    _xlpm.factorName, $D30,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Q30" s="140">
        <f t="array" ref="Q30">_xlfn.LET(
    _xlpm.kpiName, Q$2,
    _xlpm.factorName, $D30,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R30" s="140">
        <f t="array" ref="R30">_xlfn.LET(
    _xlpm.kpiName, R$2,
    _xlpm.factorName, $D30,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S30" s="140">
        <f t="array" ref="S30">_xlfn.LET(
    _xlpm.kpiName, S$2,
    _xlpm.factorName, $D30,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T30" s="140">
        <f t="array" ref="T30">_xlfn.LET(
    _xlpm.kpiName, T$2,
    _xlpm.factorName, $D30,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U30" s="140">
        <f t="array" ref="U30">_xlfn.LET(
    _xlpm.kpiName, U$2,
    _xlpm.factorName, $D30,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V30" s="140">
        <f t="array" ref="V30">_xlfn.LET(
    _xlpm.kpiName, V$2,
    _xlpm.factorName, $D30,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W30" s="140">
        <f t="array" ref="W30">_xlfn.LET(
    _xlpm.kpiName, W$2,
    _xlpm.factorName, $D30,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X30" s="140">
        <f t="array" ref="X30">_xlfn.LET(
    _xlpm.kpiName, X$2,
    _xlpm.factorName, $D30,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Y30" s="10"/>
      <c r="Z30" s="10"/>
      <c r="AA30" s="10"/>
      <c r="AB30" s="10"/>
      <c r="AC30" s="10"/>
      <c r="AD30" s="10"/>
      <c r="AE30" s="10"/>
      <c r="AF30" s="10"/>
      <c r="AG30" s="10"/>
      <c r="AH30" s="10"/>
      <c r="AI30" s="10"/>
      <c r="AJ30" s="10"/>
    </row>
    <row r="31" spans="3:36" ht="9" customHeight="1" x14ac:dyDescent="0.3">
      <c r="C31" s="1"/>
      <c r="D31" s="81" t="s">
        <v>33</v>
      </c>
      <c r="E31" s="140">
        <f t="array" ref="E31">_xlfn.LET(
    _xlpm.kpiName, E$2,
    _xlpm.factorName, $D31,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F31" s="140">
        <f t="array" ref="F31">_xlfn.LET(
    _xlpm.kpiName, F$2,
    _xlpm.factorName, $D31,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G31" s="140">
        <f t="array" ref="G31">_xlfn.LET(
    _xlpm.kpiName, G$2,
    _xlpm.factorName, $D31,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H31" s="140">
        <f t="array" ref="H31">_xlfn.LET(
    _xlpm.kpiName, H$2,
    _xlpm.factorName, $D31,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I31" s="140">
        <f t="array" ref="I31">_xlfn.LET(
    _xlpm.kpiName, I$2,
    _xlpm.factorName, $D31,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J31" s="140">
        <f t="array" ref="J31">_xlfn.LET(
    _xlpm.kpiName, J$2,
    _xlpm.factorName, $D31,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K31" s="140">
        <f t="array" ref="K31">_xlfn.LET(
    _xlpm.kpiName, K$2,
    _xlpm.factorName, $D31,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L31" s="140">
        <f t="array" ref="L31">_xlfn.LET(
    _xlpm.kpiName, L$2,
    _xlpm.factorName, $D31,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M31" s="140">
        <f t="array" ref="M31">_xlfn.LET(
    _xlpm.kpiName, M$2,
    _xlpm.factorName, $D31,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N31" s="140">
        <f t="array" ref="N31">_xlfn.LET(
    _xlpm.kpiName, N$2,
    _xlpm.factorName, $D31,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O31" s="140">
        <f t="array" ref="O31">_xlfn.LET(
    _xlpm.kpiName, O$2,
    _xlpm.factorName, $D31,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P31" s="140">
        <f t="array" ref="P31">_xlfn.LET(
    _xlpm.kpiName, P$2,
    _xlpm.factorName, $D31,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Q31" s="140">
        <f t="array" ref="Q31">_xlfn.LET(
    _xlpm.kpiName, Q$2,
    _xlpm.factorName, $D31,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R31" s="140">
        <f t="array" ref="R31">_xlfn.LET(
    _xlpm.kpiName, R$2,
    _xlpm.factorName, $D31,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S31" s="140">
        <f t="array" ref="S31">_xlfn.LET(
    _xlpm.kpiName, S$2,
    _xlpm.factorName, $D31,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T31" s="140">
        <f t="array" ref="T31">_xlfn.LET(
    _xlpm.kpiName, T$2,
    _xlpm.factorName, $D31,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U31" s="140">
        <f t="array" ref="U31">_xlfn.LET(
    _xlpm.kpiName, U$2,
    _xlpm.factorName, $D31,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V31" s="140">
        <f t="array" ref="V31">_xlfn.LET(
    _xlpm.kpiName, V$2,
    _xlpm.factorName, $D31,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W31" s="140">
        <f t="array" ref="W31">_xlfn.LET(
    _xlpm.kpiName, W$2,
    _xlpm.factorName, $D31,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X31" s="140">
        <f t="array" ref="X31">_xlfn.LET(
    _xlpm.kpiName, X$2,
    _xlpm.factorName, $D31,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Y31" s="10"/>
      <c r="Z31" s="10"/>
      <c r="AA31" s="10"/>
      <c r="AB31" s="10"/>
      <c r="AC31" s="10"/>
      <c r="AD31" s="10"/>
      <c r="AE31" s="10"/>
      <c r="AF31" s="10"/>
      <c r="AG31" s="10"/>
      <c r="AH31" s="10"/>
      <c r="AI31" s="10"/>
      <c r="AJ31" s="10"/>
    </row>
    <row r="32" spans="3:36" ht="9" customHeight="1" x14ac:dyDescent="0.3">
      <c r="C32" s="1"/>
      <c r="D32" s="81" t="s">
        <v>34</v>
      </c>
      <c r="E32" s="140">
        <f t="array" ref="E32">_xlfn.LET(
    _xlpm.kpiName, E$2,
    _xlpm.factorName, $D32,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F32" s="140">
        <f t="array" ref="F32">_xlfn.LET(
    _xlpm.kpiName, F$2,
    _xlpm.factorName, $D32,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G32" s="140">
        <f t="array" ref="G32">_xlfn.LET(
    _xlpm.kpiName, G$2,
    _xlpm.factorName, $D32,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H32" s="140">
        <f t="array" ref="H32">_xlfn.LET(
    _xlpm.kpiName, H$2,
    _xlpm.factorName, $D32,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I32" s="140">
        <f t="array" ref="I32">_xlfn.LET(
    _xlpm.kpiName, I$2,
    _xlpm.factorName, $D32,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J32" s="140">
        <f t="array" ref="J32">_xlfn.LET(
    _xlpm.kpiName, J$2,
    _xlpm.factorName, $D32,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K32" s="140">
        <f t="array" ref="K32">_xlfn.LET(
    _xlpm.kpiName, K$2,
    _xlpm.factorName, $D32,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L32" s="140">
        <f t="array" ref="L32">_xlfn.LET(
    _xlpm.kpiName, L$2,
    _xlpm.factorName, $D32,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M32" s="140">
        <f t="array" ref="M32">_xlfn.LET(
    _xlpm.kpiName, M$2,
    _xlpm.factorName, $D32,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N32" s="140">
        <f t="array" ref="N32">_xlfn.LET(
    _xlpm.kpiName, N$2,
    _xlpm.factorName, $D32,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O32" s="140">
        <f t="array" ref="O32">_xlfn.LET(
    _xlpm.kpiName, O$2,
    _xlpm.factorName, $D32,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P32" s="140">
        <f t="array" ref="P32">_xlfn.LET(
    _xlpm.kpiName, P$2,
    _xlpm.factorName, $D32,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Q32" s="140">
        <f t="array" ref="Q32">_xlfn.LET(
    _xlpm.kpiName, Q$2,
    _xlpm.factorName, $D32,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R32" s="140">
        <f t="array" ref="R32">_xlfn.LET(
    _xlpm.kpiName, R$2,
    _xlpm.factorName, $D32,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S32" s="140">
        <f t="array" ref="S32">_xlfn.LET(
    _xlpm.kpiName, S$2,
    _xlpm.factorName, $D32,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T32" s="140">
        <f t="array" ref="T32">_xlfn.LET(
    _xlpm.kpiName, T$2,
    _xlpm.factorName, $D32,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U32" s="140">
        <f t="array" ref="U32">_xlfn.LET(
    _xlpm.kpiName, U$2,
    _xlpm.factorName, $D32,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V32" s="140">
        <f t="array" ref="V32">_xlfn.LET(
    _xlpm.kpiName, V$2,
    _xlpm.factorName, $D32,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W32" s="140">
        <f t="array" ref="W32">_xlfn.LET(
    _xlpm.kpiName, W$2,
    _xlpm.factorName, $D32,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X32" s="140">
        <f t="array" ref="X32">_xlfn.LET(
    _xlpm.kpiName, X$2,
    _xlpm.factorName, $D32,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Y32" s="10"/>
      <c r="Z32" s="10"/>
      <c r="AA32" s="10"/>
      <c r="AB32" s="10"/>
      <c r="AC32" s="10"/>
      <c r="AD32" s="10"/>
      <c r="AE32" s="10"/>
      <c r="AF32" s="10"/>
      <c r="AG32" s="10"/>
      <c r="AH32" s="10"/>
      <c r="AI32" s="10"/>
      <c r="AJ32" s="10"/>
    </row>
    <row r="33" spans="3:36" ht="9" customHeight="1" x14ac:dyDescent="0.3">
      <c r="C33" s="1"/>
      <c r="D33" s="81" t="s">
        <v>35</v>
      </c>
      <c r="E33" s="140">
        <f t="array" ref="E33">_xlfn.LET(
    _xlpm.kpiName, E$2,
    _xlpm.factorName, $D33,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F33" s="140">
        <f t="array" ref="F33">_xlfn.LET(
    _xlpm.kpiName, F$2,
    _xlpm.factorName, $D33,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G33" s="140">
        <f t="array" ref="G33">_xlfn.LET(
    _xlpm.kpiName, G$2,
    _xlpm.factorName, $D33,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H33" s="140">
        <f t="array" ref="H33">_xlfn.LET(
    _xlpm.kpiName, H$2,
    _xlpm.factorName, $D33,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I33" s="140">
        <f t="array" ref="I33">_xlfn.LET(
    _xlpm.kpiName, I$2,
    _xlpm.factorName, $D33,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J33" s="140">
        <f t="array" ref="J33">_xlfn.LET(
    _xlpm.kpiName, J$2,
    _xlpm.factorName, $D33,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K33" s="140">
        <f t="array" ref="K33">_xlfn.LET(
    _xlpm.kpiName, K$2,
    _xlpm.factorName, $D33,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L33" s="140">
        <f t="array" ref="L33">_xlfn.LET(
    _xlpm.kpiName, L$2,
    _xlpm.factorName, $D33,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M33" s="140">
        <f t="array" ref="M33">_xlfn.LET(
    _xlpm.kpiName, M$2,
    _xlpm.factorName, $D33,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N33" s="140">
        <f t="array" ref="N33">_xlfn.LET(
    _xlpm.kpiName, N$2,
    _xlpm.factorName, $D33,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O33" s="140">
        <f t="array" ref="O33">_xlfn.LET(
    _xlpm.kpiName, O$2,
    _xlpm.factorName, $D33,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P33" s="140">
        <f t="array" ref="P33">_xlfn.LET(
    _xlpm.kpiName, P$2,
    _xlpm.factorName, $D33,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Q33" s="140">
        <f t="array" ref="Q33">_xlfn.LET(
    _xlpm.kpiName, Q$2,
    _xlpm.factorName, $D33,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R33" s="140">
        <f t="array" ref="R33">_xlfn.LET(
    _xlpm.kpiName, R$2,
    _xlpm.factorName, $D33,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S33" s="140">
        <f t="array" ref="S33">_xlfn.LET(
    _xlpm.kpiName, S$2,
    _xlpm.factorName, $D33,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T33" s="140">
        <f t="array" ref="T33">_xlfn.LET(
    _xlpm.kpiName, T$2,
    _xlpm.factorName, $D33,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U33" s="140">
        <f t="array" ref="U33">_xlfn.LET(
    _xlpm.kpiName, U$2,
    _xlpm.factorName, $D33,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V33" s="140">
        <f t="array" ref="V33">_xlfn.LET(
    _xlpm.kpiName, V$2,
    _xlpm.factorName, $D33,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W33" s="140">
        <f t="array" ref="W33">_xlfn.LET(
    _xlpm.kpiName, W$2,
    _xlpm.factorName, $D33,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X33" s="140">
        <f t="array" ref="X33">_xlfn.LET(
    _xlpm.kpiName, X$2,
    _xlpm.factorName, $D33,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Y33" s="10"/>
      <c r="Z33" s="10"/>
      <c r="AA33" s="10"/>
      <c r="AB33" s="10"/>
      <c r="AC33" s="10"/>
      <c r="AD33" s="10"/>
      <c r="AE33" s="10"/>
      <c r="AF33" s="10"/>
      <c r="AG33" s="10"/>
      <c r="AH33" s="10"/>
      <c r="AI33" s="10"/>
      <c r="AJ33" s="10"/>
    </row>
    <row r="34" spans="3:36" ht="9" customHeight="1" x14ac:dyDescent="0.3">
      <c r="C34" s="1"/>
      <c r="D34" s="81" t="s">
        <v>36</v>
      </c>
      <c r="E34" s="140">
        <f t="array" ref="E34">_xlfn.LET(
    _xlpm.kpiName, E$2,
    _xlpm.factorName, $D34,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F34" s="140">
        <f t="array" ref="F34">_xlfn.LET(
    _xlpm.kpiName, F$2,
    _xlpm.factorName, $D34,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G34" s="140">
        <f t="array" ref="G34">_xlfn.LET(
    _xlpm.kpiName, G$2,
    _xlpm.factorName, $D34,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H34" s="140">
        <f t="array" ref="H34">_xlfn.LET(
    _xlpm.kpiName, H$2,
    _xlpm.factorName, $D34,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I34" s="140">
        <f t="array" ref="I34">_xlfn.LET(
    _xlpm.kpiName, I$2,
    _xlpm.factorName, $D34,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J34" s="140">
        <f t="array" ref="J34">_xlfn.LET(
    _xlpm.kpiName, J$2,
    _xlpm.factorName, $D34,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K34" s="140">
        <f t="array" ref="K34">_xlfn.LET(
    _xlpm.kpiName, K$2,
    _xlpm.factorName, $D34,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L34" s="140">
        <f t="array" ref="L34">_xlfn.LET(
    _xlpm.kpiName, L$2,
    _xlpm.factorName, $D34,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M34" s="140">
        <f t="array" ref="M34">_xlfn.LET(
    _xlpm.kpiName, M$2,
    _xlpm.factorName, $D34,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N34" s="140">
        <f t="array" ref="N34">_xlfn.LET(
    _xlpm.kpiName, N$2,
    _xlpm.factorName, $D34,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O34" s="140">
        <f t="array" ref="O34">_xlfn.LET(
    _xlpm.kpiName, O$2,
    _xlpm.factorName, $D34,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P34" s="140">
        <f t="array" ref="P34">_xlfn.LET(
    _xlpm.kpiName, P$2,
    _xlpm.factorName, $D34,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Q34" s="140">
        <f t="array" ref="Q34">_xlfn.LET(
    _xlpm.kpiName, Q$2,
    _xlpm.factorName, $D34,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R34" s="140">
        <f t="array" ref="R34">_xlfn.LET(
    _xlpm.kpiName, R$2,
    _xlpm.factorName, $D34,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S34" s="140">
        <f t="array" ref="S34">_xlfn.LET(
    _xlpm.kpiName, S$2,
    _xlpm.factorName, $D34,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T34" s="140">
        <f t="array" ref="T34">_xlfn.LET(
    _xlpm.kpiName, T$2,
    _xlpm.factorName, $D34,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U34" s="140">
        <f t="array" ref="U34">_xlfn.LET(
    _xlpm.kpiName, U$2,
    _xlpm.factorName, $D34,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V34" s="140">
        <f t="array" ref="V34">_xlfn.LET(
    _xlpm.kpiName, V$2,
    _xlpm.factorName, $D34,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W34" s="140">
        <f t="array" ref="W34">_xlfn.LET(
    _xlpm.kpiName, W$2,
    _xlpm.factorName, $D34,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X34" s="140">
        <f t="array" ref="X34">_xlfn.LET(
    _xlpm.kpiName, X$2,
    _xlpm.factorName, $D34,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row>
    <row r="35" spans="3:36" ht="9" customHeight="1" x14ac:dyDescent="0.3">
      <c r="C35" s="1"/>
      <c r="D35" s="81" t="s">
        <v>37</v>
      </c>
      <c r="E35" s="140">
        <f t="array" ref="E35">_xlfn.LET(
    _xlpm.kpiName, E$2,
    _xlpm.factorName, $D35,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F35" s="140">
        <f t="array" ref="F35">_xlfn.LET(
    _xlpm.kpiName, F$2,
    _xlpm.factorName, $D35,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G35" s="140">
        <f t="array" ref="G35">_xlfn.LET(
    _xlpm.kpiName, G$2,
    _xlpm.factorName, $D35,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H35" s="140">
        <f t="array" ref="H35">_xlfn.LET(
    _xlpm.kpiName, H$2,
    _xlpm.factorName, $D35,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I35" s="140">
        <f t="array" ref="I35">_xlfn.LET(
    _xlpm.kpiName, I$2,
    _xlpm.factorName, $D35,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J35" s="140">
        <f t="array" ref="J35">_xlfn.LET(
    _xlpm.kpiName, J$2,
    _xlpm.factorName, $D35,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K35" s="140">
        <f t="array" ref="K35">_xlfn.LET(
    _xlpm.kpiName, K$2,
    _xlpm.factorName, $D35,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L35" s="140">
        <f t="array" ref="L35">_xlfn.LET(
    _xlpm.kpiName, L$2,
    _xlpm.factorName, $D35,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M35" s="140">
        <f t="array" ref="M35">_xlfn.LET(
    _xlpm.kpiName, M$2,
    _xlpm.factorName, $D35,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N35" s="140">
        <f t="array" ref="N35">_xlfn.LET(
    _xlpm.kpiName, N$2,
    _xlpm.factorName, $D35,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O35" s="140">
        <f t="array" ref="O35">_xlfn.LET(
    _xlpm.kpiName, O$2,
    _xlpm.factorName, $D35,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P35" s="140">
        <f t="array" ref="P35">_xlfn.LET(
    _xlpm.kpiName, P$2,
    _xlpm.factorName, $D35,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Q35" s="140">
        <f t="array" ref="Q35">_xlfn.LET(
    _xlpm.kpiName, Q$2,
    _xlpm.factorName, $D35,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R35" s="140">
        <f t="array" ref="R35">_xlfn.LET(
    _xlpm.kpiName, R$2,
    _xlpm.factorName, $D35,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S35" s="140">
        <f t="array" ref="S35">_xlfn.LET(
    _xlpm.kpiName, S$2,
    _xlpm.factorName, $D35,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T35" s="140">
        <f t="array" ref="T35">_xlfn.LET(
    _xlpm.kpiName, T$2,
    _xlpm.factorName, $D35,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U35" s="140">
        <f t="array" ref="U35">_xlfn.LET(
    _xlpm.kpiName, U$2,
    _xlpm.factorName, $D35,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V35" s="140">
        <f t="array" ref="V35">_xlfn.LET(
    _xlpm.kpiName, V$2,
    _xlpm.factorName, $D35,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W35" s="140">
        <f t="array" ref="W35">_xlfn.LET(
    _xlpm.kpiName, W$2,
    _xlpm.factorName, $D35,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X35" s="140">
        <f t="array" ref="X35">_xlfn.LET(
    _xlpm.kpiName, X$2,
    _xlpm.factorName, $D35,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row>
    <row r="36" spans="3:36" ht="9" customHeight="1" x14ac:dyDescent="0.3">
      <c r="C36" s="1"/>
      <c r="D36" s="81" t="s">
        <v>38</v>
      </c>
      <c r="E36" s="140">
        <f t="array" ref="E36">_xlfn.LET(
    _xlpm.kpiName, E$2,
    _xlpm.factorName, $D36,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F36" s="140">
        <f t="array" ref="F36">_xlfn.LET(
    _xlpm.kpiName, F$2,
    _xlpm.factorName, $D36,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G36" s="140">
        <f t="array" ref="G36">_xlfn.LET(
    _xlpm.kpiName, G$2,
    _xlpm.factorName, $D36,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H36" s="140">
        <f t="array" ref="H36">_xlfn.LET(
    _xlpm.kpiName, H$2,
    _xlpm.factorName, $D36,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I36" s="140">
        <f t="array" ref="I36">_xlfn.LET(
    _xlpm.kpiName, I$2,
    _xlpm.factorName, $D36,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J36" s="140">
        <f t="array" ref="J36">_xlfn.LET(
    _xlpm.kpiName, J$2,
    _xlpm.factorName, $D36,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K36" s="140">
        <f t="array" ref="K36">_xlfn.LET(
    _xlpm.kpiName, K$2,
    _xlpm.factorName, $D36,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L36" s="140">
        <f t="array" ref="L36">_xlfn.LET(
    _xlpm.kpiName, L$2,
    _xlpm.factorName, $D36,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M36" s="140">
        <f t="array" ref="M36">_xlfn.LET(
    _xlpm.kpiName, M$2,
    _xlpm.factorName, $D36,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N36" s="140">
        <f t="array" ref="N36">_xlfn.LET(
    _xlpm.kpiName, N$2,
    _xlpm.factorName, $D36,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O36" s="140">
        <f t="array" ref="O36">_xlfn.LET(
    _xlpm.kpiName, O$2,
    _xlpm.factorName, $D36,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P36" s="140">
        <f t="array" ref="P36">_xlfn.LET(
    _xlpm.kpiName, P$2,
    _xlpm.factorName, $D36,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Q36" s="140">
        <f t="array" ref="Q36">_xlfn.LET(
    _xlpm.kpiName, Q$2,
    _xlpm.factorName, $D36,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R36" s="140">
        <f t="array" ref="R36">_xlfn.LET(
    _xlpm.kpiName, R$2,
    _xlpm.factorName, $D36,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S36" s="140">
        <f t="array" ref="S36">_xlfn.LET(
    _xlpm.kpiName, S$2,
    _xlpm.factorName, $D36,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T36" s="140">
        <f t="array" ref="T36">_xlfn.LET(
    _xlpm.kpiName, T$2,
    _xlpm.factorName, $D36,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U36" s="140">
        <f t="array" ref="U36">_xlfn.LET(
    _xlpm.kpiName, U$2,
    _xlpm.factorName, $D36,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V36" s="140">
        <f t="array" ref="V36">_xlfn.LET(
    _xlpm.kpiName, V$2,
    _xlpm.factorName, $D36,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W36" s="140">
        <f t="array" ref="W36">_xlfn.LET(
    _xlpm.kpiName, W$2,
    _xlpm.factorName, $D36,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X36" s="140">
        <f t="array" ref="X36">_xlfn.LET(
    _xlpm.kpiName, X$2,
    _xlpm.factorName, $D36,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row>
    <row r="37" spans="3:36" ht="9" customHeight="1" x14ac:dyDescent="0.3">
      <c r="C37" s="1"/>
      <c r="D37" s="81" t="s">
        <v>39</v>
      </c>
      <c r="E37" s="140">
        <f t="array" ref="E37">_xlfn.LET(
    _xlpm.kpiName, E$2,
    _xlpm.factorName, $D37,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F37" s="140">
        <f t="array" ref="F37">_xlfn.LET(
    _xlpm.kpiName, F$2,
    _xlpm.factorName, $D37,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G37" s="140">
        <f t="array" ref="G37">_xlfn.LET(
    _xlpm.kpiName, G$2,
    _xlpm.factorName, $D37,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H37" s="140">
        <f t="array" ref="H37">_xlfn.LET(
    _xlpm.kpiName, H$2,
    _xlpm.factorName, $D37,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I37" s="140">
        <f t="array" ref="I37">_xlfn.LET(
    _xlpm.kpiName, I$2,
    _xlpm.factorName, $D37,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J37" s="140">
        <f t="array" ref="J37">_xlfn.LET(
    _xlpm.kpiName, J$2,
    _xlpm.factorName, $D37,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K37" s="140">
        <f t="array" ref="K37">_xlfn.LET(
    _xlpm.kpiName, K$2,
    _xlpm.factorName, $D37,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L37" s="140">
        <f t="array" ref="L37">_xlfn.LET(
    _xlpm.kpiName, L$2,
    _xlpm.factorName, $D37,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M37" s="140">
        <f t="array" ref="M37">_xlfn.LET(
    _xlpm.kpiName, M$2,
    _xlpm.factorName, $D37,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N37" s="140">
        <f t="array" ref="N37">_xlfn.LET(
    _xlpm.kpiName, N$2,
    _xlpm.factorName, $D37,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O37" s="140">
        <f t="array" ref="O37">_xlfn.LET(
    _xlpm.kpiName, O$2,
    _xlpm.factorName, $D37,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P37" s="140">
        <f t="array" ref="P37">_xlfn.LET(
    _xlpm.kpiName, P$2,
    _xlpm.factorName, $D37,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Q37" s="140">
        <f t="array" ref="Q37">_xlfn.LET(
    _xlpm.kpiName, Q$2,
    _xlpm.factorName, $D37,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R37" s="140">
        <f t="array" ref="R37">_xlfn.LET(
    _xlpm.kpiName, R$2,
    _xlpm.factorName, $D37,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S37" s="140">
        <f t="array" ref="S37">_xlfn.LET(
    _xlpm.kpiName, S$2,
    _xlpm.factorName, $D37,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T37" s="140">
        <f t="array" ref="T37">_xlfn.LET(
    _xlpm.kpiName, T$2,
    _xlpm.factorName, $D37,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U37" s="140">
        <f t="array" ref="U37">_xlfn.LET(
    _xlpm.kpiName, U$2,
    _xlpm.factorName, $D37,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V37" s="140">
        <f t="array" ref="V37">_xlfn.LET(
    _xlpm.kpiName, V$2,
    _xlpm.factorName, $D37,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W37" s="140">
        <f t="array" ref="W37">_xlfn.LET(
    _xlpm.kpiName, W$2,
    _xlpm.factorName, $D37,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X37" s="140">
        <f t="array" ref="X37">_xlfn.LET(
    _xlpm.kpiName, X$2,
    _xlpm.factorName, $D37,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row>
    <row r="38" spans="3:36" ht="9" customHeight="1" x14ac:dyDescent="0.3">
      <c r="D38" s="81" t="s">
        <v>40</v>
      </c>
      <c r="E38" s="140">
        <f t="array" ref="E38">_xlfn.LET(
    _xlpm.kpiName, E$2,
    _xlpm.factorName, $D38,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F38" s="140">
        <f t="array" ref="F38">_xlfn.LET(
    _xlpm.kpiName, F$2,
    _xlpm.factorName, $D38,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G38" s="140">
        <f t="array" ref="G38">_xlfn.LET(
    _xlpm.kpiName, G$2,
    _xlpm.factorName, $D38,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H38" s="140">
        <f t="array" ref="H38">_xlfn.LET(
    _xlpm.kpiName, H$2,
    _xlpm.factorName, $D38,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I38" s="140">
        <f t="array" ref="I38">_xlfn.LET(
    _xlpm.kpiName, I$2,
    _xlpm.factorName, $D38,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J38" s="140">
        <f t="array" ref="J38">_xlfn.LET(
    _xlpm.kpiName, J$2,
    _xlpm.factorName, $D38,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K38" s="140">
        <f t="array" ref="K38">_xlfn.LET(
    _xlpm.kpiName, K$2,
    _xlpm.factorName, $D38,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L38" s="140">
        <f t="array" ref="L38">_xlfn.LET(
    _xlpm.kpiName, L$2,
    _xlpm.factorName, $D38,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M38" s="140">
        <f t="array" ref="M38">_xlfn.LET(
    _xlpm.kpiName, M$2,
    _xlpm.factorName, $D38,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N38" s="140">
        <f t="array" ref="N38">_xlfn.LET(
    _xlpm.kpiName, N$2,
    _xlpm.factorName, $D38,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O38" s="140">
        <f t="array" ref="O38">_xlfn.LET(
    _xlpm.kpiName, O$2,
    _xlpm.factorName, $D38,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P38" s="140">
        <f t="array" ref="P38">_xlfn.LET(
    _xlpm.kpiName, P$2,
    _xlpm.factorName, $D38,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Q38" s="140">
        <f t="array" ref="Q38">_xlfn.LET(
    _xlpm.kpiName, Q$2,
    _xlpm.factorName, $D38,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R38" s="140">
        <f t="array" ref="R38">_xlfn.LET(
    _xlpm.kpiName, R$2,
    _xlpm.factorName, $D38,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S38" s="140">
        <f t="array" ref="S38">_xlfn.LET(
    _xlpm.kpiName, S$2,
    _xlpm.factorName, $D38,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T38" s="140">
        <f t="array" ref="T38">_xlfn.LET(
    _xlpm.kpiName, T$2,
    _xlpm.factorName, $D38,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U38" s="140">
        <f t="array" ref="U38">_xlfn.LET(
    _xlpm.kpiName, U$2,
    _xlpm.factorName, $D38,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V38" s="140">
        <f t="array" ref="V38">_xlfn.LET(
    _xlpm.kpiName, V$2,
    _xlpm.factorName, $D38,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W38" s="140">
        <f t="array" ref="W38">_xlfn.LET(
    _xlpm.kpiName, W$2,
    _xlpm.factorName, $D38,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X38" s="140">
        <f t="array" ref="X38">_xlfn.LET(
    _xlpm.kpiName, X$2,
    _xlpm.factorName, $D38,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row>
    <row r="39" spans="3:36" ht="9" customHeight="1" x14ac:dyDescent="0.3">
      <c r="D39" s="81" t="s">
        <v>41</v>
      </c>
      <c r="E39" s="140">
        <f t="array" ref="E39">_xlfn.LET(
    _xlpm.kpiName, E$2,
    _xlpm.factorName, $D39,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F39" s="140">
        <f t="array" ref="F39">_xlfn.LET(
    _xlpm.kpiName, F$2,
    _xlpm.factorName, $D39,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G39" s="140">
        <f t="array" ref="G39">_xlfn.LET(
    _xlpm.kpiName, G$2,
    _xlpm.factorName, $D39,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H39" s="140">
        <f t="array" ref="H39">_xlfn.LET(
    _xlpm.kpiName, H$2,
    _xlpm.factorName, $D39,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I39" s="140">
        <f t="array" ref="I39">_xlfn.LET(
    _xlpm.kpiName, I$2,
    _xlpm.factorName, $D39,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J39" s="140">
        <f t="array" ref="J39">_xlfn.LET(
    _xlpm.kpiName, J$2,
    _xlpm.factorName, $D39,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K39" s="140">
        <f t="array" ref="K39">_xlfn.LET(
    _xlpm.kpiName, K$2,
    _xlpm.factorName, $D39,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L39" s="140">
        <f t="array" ref="L39">_xlfn.LET(
    _xlpm.kpiName, L$2,
    _xlpm.factorName, $D39,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M39" s="140">
        <f t="array" ref="M39">_xlfn.LET(
    _xlpm.kpiName, M$2,
    _xlpm.factorName, $D39,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N39" s="140">
        <f t="array" ref="N39">_xlfn.LET(
    _xlpm.kpiName, N$2,
    _xlpm.factorName, $D39,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O39" s="140">
        <f t="array" ref="O39">_xlfn.LET(
    _xlpm.kpiName, O$2,
    _xlpm.factorName, $D39,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P39" s="140">
        <f t="array" ref="P39">_xlfn.LET(
    _xlpm.kpiName, P$2,
    _xlpm.factorName, $D39,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Q39" s="140">
        <f t="array" ref="Q39">_xlfn.LET(
    _xlpm.kpiName, Q$2,
    _xlpm.factorName, $D39,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R39" s="140">
        <f t="array" ref="R39">_xlfn.LET(
    _xlpm.kpiName, R$2,
    _xlpm.factorName, $D39,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S39" s="140">
        <f t="array" ref="S39">_xlfn.LET(
    _xlpm.kpiName, S$2,
    _xlpm.factorName, $D39,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T39" s="140">
        <f t="array" ref="T39">_xlfn.LET(
    _xlpm.kpiName, T$2,
    _xlpm.factorName, $D39,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U39" s="140">
        <f t="array" ref="U39">_xlfn.LET(
    _xlpm.kpiName, U$2,
    _xlpm.factorName, $D39,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V39" s="140">
        <f t="array" ref="V39">_xlfn.LET(
    _xlpm.kpiName, V$2,
    _xlpm.factorName, $D39,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W39" s="140">
        <f t="array" ref="W39">_xlfn.LET(
    _xlpm.kpiName, W$2,
    _xlpm.factorName, $D39,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X39" s="140">
        <f t="array" ref="X39">_xlfn.LET(
    _xlpm.kpiName, X$2,
    _xlpm.factorName, $D39,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row>
    <row r="40" spans="3:36" ht="9" customHeight="1" x14ac:dyDescent="0.3">
      <c r="D40" s="81" t="s">
        <v>42</v>
      </c>
      <c r="E40" s="140">
        <f t="array" ref="E40">_xlfn.LET(
    _xlpm.kpiName, E$2,
    _xlpm.factorName, $D40,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F40" s="140">
        <f t="array" ref="F40">_xlfn.LET(
    _xlpm.kpiName, F$2,
    _xlpm.factorName, $D40,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G40" s="140">
        <f t="array" ref="G40">_xlfn.LET(
    _xlpm.kpiName, G$2,
    _xlpm.factorName, $D40,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H40" s="140">
        <f t="array" ref="H40">_xlfn.LET(
    _xlpm.kpiName, H$2,
    _xlpm.factorName, $D40,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I40" s="140">
        <f t="array" ref="I40">_xlfn.LET(
    _xlpm.kpiName, I$2,
    _xlpm.factorName, $D40,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J40" s="140">
        <f t="array" ref="J40">_xlfn.LET(
    _xlpm.kpiName, J$2,
    _xlpm.factorName, $D40,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K40" s="140">
        <f t="array" ref="K40">_xlfn.LET(
    _xlpm.kpiName, K$2,
    _xlpm.factorName, $D40,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L40" s="140">
        <f t="array" ref="L40">_xlfn.LET(
    _xlpm.kpiName, L$2,
    _xlpm.factorName, $D40,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M40" s="140">
        <f t="array" ref="M40">_xlfn.LET(
    _xlpm.kpiName, M$2,
    _xlpm.factorName, $D40,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N40" s="140">
        <f t="array" ref="N40">_xlfn.LET(
    _xlpm.kpiName, N$2,
    _xlpm.factorName, $D40,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O40" s="140">
        <f t="array" ref="O40">_xlfn.LET(
    _xlpm.kpiName, O$2,
    _xlpm.factorName, $D40,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P40" s="140">
        <f t="array" ref="P40">_xlfn.LET(
    _xlpm.kpiName, P$2,
    _xlpm.factorName, $D40,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Q40" s="140">
        <f t="array" ref="Q40">_xlfn.LET(
    _xlpm.kpiName, Q$2,
    _xlpm.factorName, $D40,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R40" s="140">
        <f t="array" ref="R40">_xlfn.LET(
    _xlpm.kpiName, R$2,
    _xlpm.factorName, $D40,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S40" s="140">
        <f t="array" ref="S40">_xlfn.LET(
    _xlpm.kpiName, S$2,
    _xlpm.factorName, $D40,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T40" s="140">
        <f t="array" ref="T40">_xlfn.LET(
    _xlpm.kpiName, T$2,
    _xlpm.factorName, $D40,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U40" s="140">
        <f t="array" ref="U40">_xlfn.LET(
    _xlpm.kpiName, U$2,
    _xlpm.factorName, $D40,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V40" s="140">
        <f t="array" ref="V40">_xlfn.LET(
    _xlpm.kpiName, V$2,
    _xlpm.factorName, $D40,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W40" s="140">
        <f t="array" ref="W40">_xlfn.LET(
    _xlpm.kpiName, W$2,
    _xlpm.factorName, $D40,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c r="X40" s="140">
        <f t="array" ref="X40">_xlfn.LET(
    _xlpm.kpiName, X$2,
    _xlpm.factorName, $D40,
    _xlpm.headerText, "Dependent Variable: "&amp;_xlpm.kpiName,
    _xlpm.regA, '2A Regression'!$A$1:$A$10000,
    _xlpm.regB, '2A Regression'!$B$1:$B$10000,
    _xlpm.regE, '2A Regression'!$E$1:$E$10000,
    _xlpm.headerRow, MATCH(_xlpm.headerText, _xlpm.regA, 0),
    _xlpm.nextHeaderRow, _xlfn.AGGREGATE(15, 6, ROW(_xlpm.regA)/((LEFT(_xlpm.regA,19)="Dependent Variable:")*(ROW(_xlpm.regA)&gt;_xlpm.headerRow)), 1),
    _xlpm.searchStart, _xlpm.headerRow,
    _xlpm.searchEnd, IF(ISERROR(_xlpm.nextHeaderRow), 300, _xlpm.nextHeaderRow-1),
    _xlpm.factorPos, _xlfn.AGGREGATE(15, 6, ROW(_xlpm.regB)/((_xlpm.regB=_xlpm.factorName)*(ROW(_xlpm.regB)&gt;=_xlpm.searchStart)*(ROW(_xlpm.regB)&lt;=_xlpm.searchEnd)), 1),
    IF(ISERROR(_xlpm.factorPos), 0, INDEX(_xlpm.regE, _xlpm.factorPos))
)</f>
        <v>0</v>
      </c>
    </row>
    <row r="41" spans="3:36" x14ac:dyDescent="0.3">
      <c r="D41" s="30"/>
      <c r="E41" s="2"/>
      <c r="F41" s="2"/>
      <c r="G41" s="2"/>
      <c r="H41" s="2"/>
      <c r="I41" s="2"/>
      <c r="J41" s="2"/>
      <c r="K41" s="2"/>
      <c r="L41" s="2"/>
      <c r="M41" s="2"/>
      <c r="N41" s="2"/>
      <c r="O41" s="2"/>
      <c r="P41" s="2"/>
      <c r="Q41" s="2"/>
      <c r="R41" s="2"/>
      <c r="S41" s="2"/>
      <c r="T41" s="2"/>
      <c r="U41" s="10"/>
      <c r="W41" s="18"/>
    </row>
    <row r="42" spans="3:36" x14ac:dyDescent="0.3">
      <c r="C42" s="30" t="s">
        <v>43</v>
      </c>
      <c r="D42" s="5">
        <f>B8</f>
        <v>0</v>
      </c>
      <c r="E42" s="2" t="str">
        <f t="array" ref="E42">IF(E$2=0,"",_xlfn.LET(_xlpm.dep,E$2,_xlpm.var,$D42,_xlpm.start,_xlfn.XMATCH("Dependent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
      </c>
      <c r="F42" s="2" t="str">
        <f t="array" ref="F42">IF(F$2=0,"",_xlfn.LET(_xlpm.dep,F$2,_xlpm.var,$D42,_xlpm.start,_xlfn.XMATCH("Dependent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
      </c>
      <c r="G42" s="2" t="str">
        <f t="array" ref="G42">IF(G$2=0,"",_xlfn.LET(_xlpm.dep,G$2,_xlpm.var,$D42,_xlpm.start,_xlfn.XMATCH("Dependent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
      </c>
      <c r="H42" s="2" t="str">
        <f t="array" ref="H42">IF(H$2=0,"",_xlfn.LET(_xlpm.dep,H$2,_xlpm.var,$D42,_xlpm.start,_xlfn.XMATCH("Dependent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
      </c>
      <c r="I42" s="2" t="str">
        <f t="array" ref="I42">IF(I$2=0,"",_xlfn.LET(_xlpm.dep,I$2,_xlpm.var,$D42,_xlpm.start,_xlfn.XMATCH("Dependent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
      </c>
      <c r="J42" s="2" t="str">
        <f t="array" ref="J42">IF(J$2=0,"",_xlfn.LET(_xlpm.dep,J$2,_xlpm.var,$D42,_xlpm.start,_xlfn.XMATCH("Dependent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
      </c>
      <c r="K42" s="2" t="str">
        <f t="array" ref="K42">IF(K$2=0,"",_xlfn.LET(_xlpm.dep,K$2,_xlpm.var,$D42,_xlpm.start,_xlfn.XMATCH("Dependent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
      </c>
      <c r="L42" s="2" t="str">
        <f t="array" ref="L42">IF(L$2=0,"",_xlfn.LET(_xlpm.dep,L$2,_xlpm.var,$D42,_xlpm.start,_xlfn.XMATCH("Dependent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
      </c>
      <c r="M42" s="2" t="str">
        <f t="array" ref="M42">IF(M$2=0,"",_xlfn.LET(_xlpm.dep,M$2,_xlpm.var,$D42,_xlpm.start,_xlfn.XMATCH("Dependent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
      </c>
      <c r="N42" s="2" t="str">
        <f t="array" ref="N42">IF(N$2=0,"",_xlfn.LET(_xlpm.dep,N$2,_xlpm.var,$D42,_xlpm.start,_xlfn.XMATCH("Dependent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
      </c>
      <c r="O42" s="2" t="str">
        <f t="array" ref="O42">IF(O$2=0,"",_xlfn.LET(_xlpm.dep,O$2,_xlpm.var,$D42,_xlpm.start,_xlfn.XMATCH("Dependent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
      </c>
      <c r="P42" s="2" t="str">
        <f t="array" ref="P42">IF(P$2=0,"",_xlfn.LET(_xlpm.dep,P$2,_xlpm.var,$D42,_xlpm.start,_xlfn.XMATCH("Dependent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
      </c>
      <c r="Q42" s="2" t="str">
        <f t="array" ref="Q42">IF(Q$2=0,"",_xlfn.LET(_xlpm.dep,Q$2,_xlpm.var,$D42,_xlpm.start,_xlfn.XMATCH("Dependent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
      </c>
      <c r="R42" s="2" t="str">
        <f t="array" ref="R42">IF(R$2=0,"",_xlfn.LET(_xlpm.dep,R$2,_xlpm.var,$D42,_xlpm.start,_xlfn.XMATCH("Dependent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
      </c>
      <c r="S42" s="2" t="str">
        <f t="array" ref="S42">IF(S$2=0,"",_xlfn.LET(_xlpm.dep,S$2,_xlpm.var,$D42,_xlpm.start,_xlfn.XMATCH("Dependent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
      </c>
      <c r="T42" s="2" t="str">
        <f t="array" ref="T42">IF(T$2=0,"",_xlfn.LET(_xlpm.dep,T$2,_xlpm.var,$D42,_xlpm.start,_xlfn.XMATCH("Dependent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
      </c>
      <c r="U42" s="2" t="str">
        <f t="array" ref="U42">IF(U$2=0,"",_xlfn.LET(_xlpm.dep,U$2,_xlpm.var,$D42,_xlpm.start,_xlfn.XMATCH("Dependent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
      </c>
      <c r="V42" s="2" t="str">
        <f t="array" ref="V42">IF(V$2=0,"",_xlfn.LET(_xlpm.dep,V$2,_xlpm.var,$D42,_xlpm.start,_xlfn.XMATCH("Dependent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
      </c>
      <c r="W42" s="2" t="str">
        <f t="array" ref="W42">IF(W$2=0,"",_xlfn.LET(_xlpm.dep,W$2,_xlpm.var,$D42,_xlpm.start,_xlfn.XMATCH("Dependent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
      </c>
      <c r="X42" s="2" t="str">
        <f t="array" ref="X42">IF(X$2=0,"",_xlfn.LET(_xlpm.dep,X$2,_xlpm.var,$D42,_xlpm.start,_xlfn.XMATCH("Dependent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
      </c>
    </row>
    <row r="43" spans="3:36" x14ac:dyDescent="0.3">
      <c r="C43" s="30" t="s">
        <v>44</v>
      </c>
      <c r="D43" s="5">
        <f>B8</f>
        <v>0</v>
      </c>
      <c r="E43" s="2">
        <f>IF(E$2=0,"",IFERROR(VLOOKUP($D$43,'2C 均值'!$A:$F,5,0),0))</f>
        <v>0</v>
      </c>
      <c r="F43" s="2">
        <f>IF(F$2=0,"",IFERROR(VLOOKUP($D$43,'2C 均值'!$A:$F,5,0),0))</f>
        <v>0</v>
      </c>
      <c r="G43" s="2">
        <f>IF(G$2=0,"",IFERROR(VLOOKUP($D$43,'2C 均值'!$A:$F,5,0),0))</f>
        <v>0</v>
      </c>
      <c r="H43" s="2">
        <f>IF(H$2=0,"",IFERROR(VLOOKUP($D$43,'2C 均值'!$A:$F,5,0),0))</f>
        <v>0</v>
      </c>
      <c r="I43" s="2">
        <f>IF(I$2=0,"",IFERROR(VLOOKUP($D$43,'2C 均值'!$A:$F,5,0),0))</f>
        <v>0</v>
      </c>
      <c r="J43" s="2">
        <f>IF(J$2=0,"",IFERROR(VLOOKUP($D$43,'2C 均值'!$A:$F,5,0),0))</f>
        <v>0</v>
      </c>
      <c r="K43" s="2">
        <f>IF(K$2=0,"",IFERROR(VLOOKUP($D$43,'2C 均值'!$A:$F,5,0),0))</f>
        <v>0</v>
      </c>
      <c r="L43" s="2">
        <f>IF(L$2=0,"",IFERROR(VLOOKUP($D$43,'2C 均值'!$A:$F,5,0),0))</f>
        <v>0</v>
      </c>
      <c r="M43" s="2">
        <f>IF(M$2=0,"",IFERROR(VLOOKUP($D$43,'2C 均值'!$A:$F,5,0),0))</f>
        <v>0</v>
      </c>
      <c r="N43" s="2">
        <f>IF(N$2=0,"",IFERROR(VLOOKUP($D$43,'2C 均值'!$A:$F,5,0),0))</f>
        <v>0</v>
      </c>
      <c r="O43" s="2">
        <f>IF(O$2=0,"",IFERROR(VLOOKUP($D$43,'2C 均值'!$A:$F,5,0),0))</f>
        <v>0</v>
      </c>
      <c r="P43" s="2">
        <f>IF(P$2=0,"",IFERROR(VLOOKUP($D$43,'2C 均值'!$A:$F,5,0),0))</f>
        <v>0</v>
      </c>
      <c r="Q43" s="2">
        <f>IF(Q$2=0,"",IFERROR(VLOOKUP($D$43,'2C 均值'!$A:$F,5,0),0))</f>
        <v>0</v>
      </c>
      <c r="R43" s="2">
        <f>IF(R$2=0,"",IFERROR(VLOOKUP($D$43,'2C 均值'!$A:$F,5,0),0))</f>
        <v>0</v>
      </c>
      <c r="S43" s="2">
        <f>IF(S$2=0,"",IFERROR(VLOOKUP($D$43,'2C 均值'!$A:$F,5,0),0))</f>
        <v>0</v>
      </c>
      <c r="T43" s="2">
        <f>IF(T$2=0,"",IFERROR(VLOOKUP($D$43,'2C 均值'!$A:$F,5,0),0))</f>
        <v>0</v>
      </c>
      <c r="U43" s="2">
        <f>IF(U$2=0,"",IFERROR(VLOOKUP($D$43,'2C 均值'!$A:$F,5,0),0))</f>
        <v>0</v>
      </c>
      <c r="V43" s="2">
        <f>IF(V$2=0,"",IFERROR(VLOOKUP($D$43,'2C 均值'!$A:$F,5,0),0))</f>
        <v>0</v>
      </c>
      <c r="W43" s="2">
        <f>IF(W$2=0,"",IFERROR(VLOOKUP($D$43,'2C 均值'!$A:$F,5,0),0))</f>
        <v>0</v>
      </c>
      <c r="X43" s="2">
        <f>IF(X$2=0,"",IFERROR(VLOOKUP($D$43,'2C 均值'!$A:$F,5,0),0))</f>
        <v>0</v>
      </c>
    </row>
    <row r="44" spans="3:36" x14ac:dyDescent="0.3">
      <c r="C44" s="30" t="s">
        <v>45</v>
      </c>
      <c r="D44" s="12" t="s">
        <v>46</v>
      </c>
      <c r="E44" s="2">
        <f t="array" ref="E44">IF(E$2=0,"",_xlfn.LET(_xlpm.dep,E$2,_xlpm.var,LOWER($D44),_xlpm.start,_xlfn.XMATCH("Dependent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8.1144592124561918E-2</v>
      </c>
      <c r="F44" s="2">
        <f t="array" ref="F44">IF(F$2=0,"",_xlfn.LET(_xlpm.dep,F$2,_xlpm.var,LOWER($D44),_xlpm.start,_xlfn.XMATCH("Dependent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4.0791301848915038E-2</v>
      </c>
      <c r="G44" s="2">
        <f t="array" ref="G44">IF(G$2=0,"",_xlfn.LET(_xlpm.dep,G$2,_xlpm.var,LOWER($D44),_xlpm.start,_xlfn.XMATCH("Dependent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8.1144592124561918E-2</v>
      </c>
      <c r="H44" s="2">
        <f t="array" ref="H44">IF(H$2=0,"",_xlfn.LET(_xlpm.dep,H$2,_xlpm.var,LOWER($D44),_xlpm.start,_xlfn.XMATCH("Dependent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4.0791301848915038E-2</v>
      </c>
      <c r="I44" s="2">
        <f t="array" ref="I44">IF(I$2=0,"",_xlfn.LET(_xlpm.dep,I$2,_xlpm.var,LOWER($D44),_xlpm.start,_xlfn.XMATCH("Dependent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7.5052008146849314E-2</v>
      </c>
      <c r="J44" s="2" t="str">
        <f t="array" ref="J44">IF(J$2=0,"",_xlfn.LET(_xlpm.dep,J$2,_xlpm.var,LOWER($D44),_xlpm.start,_xlfn.XMATCH("Dependent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
      </c>
      <c r="K44" s="2" t="str">
        <f t="array" ref="K44">IF(K$2=0,"",_xlfn.LET(_xlpm.dep,K$2,_xlpm.var,LOWER($D44),_xlpm.start,_xlfn.XMATCH("Dependent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
      </c>
      <c r="L44" s="2" t="str">
        <f t="array" ref="L44">IF(L$2=0,"",_xlfn.LET(_xlpm.dep,L$2,_xlpm.var,LOWER($D44),_xlpm.start,_xlfn.XMATCH("Dependent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
      </c>
      <c r="M44" s="2" t="str">
        <f t="array" ref="M44">IF(M$2=0,"",_xlfn.LET(_xlpm.dep,M$2,_xlpm.var,LOWER($D44),_xlpm.start,_xlfn.XMATCH("Dependent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
      </c>
      <c r="N44" s="2" t="str">
        <f t="array" ref="N44">IF(N$2=0,"",_xlfn.LET(_xlpm.dep,N$2,_xlpm.var,LOWER($D44),_xlpm.start,_xlfn.XMATCH("Dependent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
      </c>
      <c r="O44" s="2" t="str">
        <f t="array" ref="O44">IF(O$2=0,"",_xlfn.LET(_xlpm.dep,O$2,_xlpm.var,LOWER($D44),_xlpm.start,_xlfn.XMATCH("Dependent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
      </c>
      <c r="P44" s="2" t="str">
        <f t="array" ref="P44">IF(P$2=0,"",_xlfn.LET(_xlpm.dep,P$2,_xlpm.var,LOWER($D44),_xlpm.start,_xlfn.XMATCH("Dependent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
      </c>
      <c r="Q44" s="2" t="str">
        <f t="array" ref="Q44">IF(Q$2=0,"",_xlfn.LET(_xlpm.dep,Q$2,_xlpm.var,LOWER($D44),_xlpm.start,_xlfn.XMATCH("Dependent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
      </c>
      <c r="R44" s="2" t="str">
        <f t="array" ref="R44">IF(R$2=0,"",_xlfn.LET(_xlpm.dep,R$2,_xlpm.var,LOWER($D44),_xlpm.start,_xlfn.XMATCH("Dependent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
      </c>
      <c r="S44" s="2" t="str">
        <f t="array" ref="S44">IF(S$2=0,"",_xlfn.LET(_xlpm.dep,S$2,_xlpm.var,LOWER($D44),_xlpm.start,_xlfn.XMATCH("Dependent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
      </c>
      <c r="T44" s="2" t="str">
        <f t="array" ref="T44">IF(T$2=0,"",_xlfn.LET(_xlpm.dep,T$2,_xlpm.var,LOWER($D44),_xlpm.start,_xlfn.XMATCH("Dependent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
      </c>
      <c r="U44" s="2" t="str">
        <f t="array" ref="U44">IF(U$2=0,"",_xlfn.LET(_xlpm.dep,U$2,_xlpm.var,LOWER($D44),_xlpm.start,_xlfn.XMATCH("Dependent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
      </c>
      <c r="V44" s="2" t="str">
        <f t="array" ref="V44">IF(V$2=0,"",_xlfn.LET(_xlpm.dep,V$2,_xlpm.var,LOWER($D44),_xlpm.start,_xlfn.XMATCH("Dependent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
      </c>
      <c r="W44" s="2" t="str">
        <f t="array" ref="W44">IF(W$2=0,"",_xlfn.LET(_xlpm.dep,W$2,_xlpm.var,LOWER($D44),_xlpm.start,_xlfn.XMATCH("Dependent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
      </c>
      <c r="X44" s="2" t="str">
        <f t="array" ref="X44">IF(X$2=0,"",_xlfn.LET(_xlpm.dep,X$2,_xlpm.var,LOWER($D44),_xlpm.start,_xlfn.XMATCH("Dependent Variable: "&amp;_xlpm.dep,'2A Regression'!$A:$A,0),_xlpm.next,IFERROR(_xlfn.XMATCH("Dependent Variable: *",_xlfn.DROP('2A Regression'!$A:$A,_xlpm.start),2),ROWS('2A Regression'!$A:$A)-_xlpm.start+1),_xlpm.vars,_xlfn.TAKE(_xlfn.DROP('2A Regression'!$B:$B,_xlpm.start),_xlpm.next-1),_xlpm.coefs,_xlfn.TAKE(_xlfn.DROP('2A Regression'!$C:$C,_xlpm.start),_xlpm.next-1),IFERROR(_xlfn.XLOOKUP(_xlpm.var,_xlpm.vars,_xlpm.coefs),"")))</f>
        <v/>
      </c>
    </row>
    <row r="45" spans="3:36" x14ac:dyDescent="0.3">
      <c r="C45" s="3"/>
      <c r="D45" s="1"/>
      <c r="E45" s="2"/>
      <c r="F45" s="2"/>
      <c r="G45" s="2"/>
      <c r="H45" s="2"/>
      <c r="I45" s="2"/>
      <c r="J45" s="2"/>
      <c r="K45" s="2"/>
      <c r="L45" s="2"/>
      <c r="M45" s="2"/>
      <c r="N45" s="2"/>
      <c r="O45" s="2"/>
      <c r="P45" s="2"/>
      <c r="Q45" s="2"/>
      <c r="R45" s="2"/>
      <c r="S45" s="2"/>
      <c r="T45" s="2"/>
      <c r="U45" s="2"/>
      <c r="V45" s="2"/>
      <c r="W45" s="2"/>
      <c r="X45" s="2"/>
    </row>
    <row r="46" spans="3:36" x14ac:dyDescent="0.3">
      <c r="C46" s="4" t="s">
        <v>47</v>
      </c>
      <c r="D46" s="1" t="s">
        <v>48</v>
      </c>
      <c r="E46" s="2">
        <f t="shared" ref="E46:X46" si="0">IFERROR(IF($B$4=1,(E42*E43+E44),E44),"")</f>
        <v>8.1144592124561918E-2</v>
      </c>
      <c r="F46" s="2">
        <f t="shared" si="0"/>
        <v>4.0791301848915038E-2</v>
      </c>
      <c r="G46" s="2">
        <f t="shared" si="0"/>
        <v>8.1144592124561918E-2</v>
      </c>
      <c r="H46" s="2">
        <f t="shared" si="0"/>
        <v>4.0791301848915038E-2</v>
      </c>
      <c r="I46" s="2">
        <f t="shared" si="0"/>
        <v>7.5052008146849314E-2</v>
      </c>
      <c r="J46" s="2" t="str">
        <f t="shared" si="0"/>
        <v/>
      </c>
      <c r="K46" s="2" t="str">
        <f t="shared" si="0"/>
        <v/>
      </c>
      <c r="L46" s="2" t="str">
        <f t="shared" si="0"/>
        <v/>
      </c>
      <c r="M46" s="2" t="str">
        <f t="shared" si="0"/>
        <v/>
      </c>
      <c r="N46" s="2" t="str">
        <f t="shared" si="0"/>
        <v/>
      </c>
      <c r="O46" s="2" t="str">
        <f t="shared" si="0"/>
        <v/>
      </c>
      <c r="P46" s="2" t="str">
        <f t="shared" si="0"/>
        <v/>
      </c>
      <c r="Q46" s="2" t="str">
        <f t="shared" si="0"/>
        <v/>
      </c>
      <c r="R46" s="2" t="str">
        <f t="shared" si="0"/>
        <v/>
      </c>
      <c r="S46" s="2" t="str">
        <f t="shared" si="0"/>
        <v/>
      </c>
      <c r="T46" s="2" t="str">
        <f t="shared" si="0"/>
        <v/>
      </c>
      <c r="U46" s="2" t="str">
        <f t="shared" si="0"/>
        <v/>
      </c>
      <c r="V46" s="2" t="str">
        <f t="shared" si="0"/>
        <v/>
      </c>
      <c r="W46" s="2" t="str">
        <f t="shared" si="0"/>
        <v/>
      </c>
      <c r="X46" s="2" t="str">
        <f t="shared" si="0"/>
        <v/>
      </c>
    </row>
    <row r="47" spans="3:36" x14ac:dyDescent="0.3">
      <c r="C47" s="3"/>
    </row>
    <row r="48" spans="3:36" ht="16.5" customHeight="1" x14ac:dyDescent="0.45">
      <c r="C48" s="7" t="s">
        <v>49</v>
      </c>
      <c r="D48" s="1" t="s">
        <v>50</v>
      </c>
      <c r="E48" s="6">
        <f>_xlfn.XLOOKUP(E$2,'2C 均值'!$A:$A,'2C 均值'!$E:$E)</f>
        <v>0.26015037593984958</v>
      </c>
      <c r="F48" s="6">
        <f>_xlfn.XLOOKUP(F$2,'2C 均值'!$A:$A,'2C 均值'!$E:$E)</f>
        <v>0.20263157894736841</v>
      </c>
      <c r="G48" s="6">
        <f>_xlfn.XLOOKUP(G$2,'2C 均值'!$A:$A,'2C 均值'!$E:$E)</f>
        <v>0.26015037593984958</v>
      </c>
      <c r="H48" s="6">
        <f>IFERROR(_xlfn.XLOOKUP(H$2,'2C 均值'!$A:$A,'2C 均值'!$E:$E),"")</f>
        <v>0.20263157894736841</v>
      </c>
      <c r="I48" s="6">
        <f>IFERROR(_xlfn.XLOOKUP(I$2,'2C 均值'!$A:$A,'2C 均值'!$E:$E),"")</f>
        <v>0.18947368421052629</v>
      </c>
      <c r="J48" s="6" t="str">
        <f>IFERROR(_xlfn.XLOOKUP(J$2,'2C 均值'!$A:$A,'2C 均值'!$E:$E),"")</f>
        <v/>
      </c>
      <c r="K48" s="6" t="str">
        <f>IFERROR(_xlfn.XLOOKUP(K$2,'2C 均值'!$A:$A,'2C 均值'!$E:$E),"")</f>
        <v/>
      </c>
      <c r="L48" s="6" t="str">
        <f>IFERROR(_xlfn.XLOOKUP(L$2,'2C 均值'!$A:$A,'2C 均值'!$E:$E),"")</f>
        <v/>
      </c>
      <c r="M48" s="6" t="str">
        <f>IFERROR(_xlfn.XLOOKUP(M$2,'2C 均值'!$A:$A,'2C 均值'!$E:$E),"")</f>
        <v/>
      </c>
      <c r="N48" s="6" t="str">
        <f>IFERROR(_xlfn.XLOOKUP(N$2,'2C 均值'!$A:$A,'2C 均值'!$E:$E),"")</f>
        <v/>
      </c>
      <c r="O48" s="6" t="str">
        <f>IFERROR(_xlfn.XLOOKUP(O$2,'2C 均值'!$A:$A,'2C 均值'!$E:$E),"")</f>
        <v/>
      </c>
      <c r="P48" s="6" t="str">
        <f>IFERROR(_xlfn.XLOOKUP(P$2,'2C 均值'!$A:$A,'2C 均值'!$E:$E),"")</f>
        <v/>
      </c>
      <c r="Q48" s="6" t="str">
        <f>IFERROR(_xlfn.XLOOKUP(Q$2,'2C 均值'!$A:$A,'2C 均值'!$E:$E),"")</f>
        <v/>
      </c>
      <c r="R48" s="6" t="str">
        <f>IFERROR(_xlfn.XLOOKUP(R$2,'2C 均值'!$A:$A,'2C 均值'!$E:$E),"")</f>
        <v/>
      </c>
      <c r="S48" s="6" t="str">
        <f>IFERROR(_xlfn.XLOOKUP(S$2,'2C 均值'!$A:$A,'2C 均值'!$E:$E),"")</f>
        <v/>
      </c>
      <c r="T48" s="6" t="str">
        <f>IFERROR(_xlfn.XLOOKUP(T$2,'2C 均值'!$A:$A,'2C 均值'!$E:$E),"")</f>
        <v/>
      </c>
      <c r="U48" s="6" t="str">
        <f>IFERROR(_xlfn.XLOOKUP(U$2,'2C 均值'!$A:$A,'2C 均值'!$E:$E),"")</f>
        <v/>
      </c>
      <c r="V48" s="6" t="str">
        <f>IFERROR(_xlfn.XLOOKUP(V$2,'2C 均值'!$A:$A,'2C 均值'!$E:$E),"")</f>
        <v/>
      </c>
      <c r="W48" s="6" t="str">
        <f>IFERROR(_xlfn.XLOOKUP(W$2,'2C 均值'!$A:$A,'2C 均值'!$E:$E),"")</f>
        <v/>
      </c>
      <c r="X48" s="6" t="str">
        <f>IFERROR(_xlfn.XLOOKUP(X$2,'2C 均值'!$A:$A,'2C 均值'!$E:$E),"")</f>
        <v/>
      </c>
    </row>
    <row r="49" spans="3:36" ht="16.5" customHeight="1" x14ac:dyDescent="0.45">
      <c r="C49" s="7" t="s">
        <v>51</v>
      </c>
      <c r="D49" s="88" t="s">
        <v>52</v>
      </c>
      <c r="E49" s="6">
        <f t="shared" ref="E49:X49" si="1">E46</f>
        <v>8.1144592124561918E-2</v>
      </c>
      <c r="F49" s="6">
        <f t="shared" si="1"/>
        <v>4.0791301848915038E-2</v>
      </c>
      <c r="G49" s="6">
        <f t="shared" si="1"/>
        <v>8.1144592124561918E-2</v>
      </c>
      <c r="H49" s="6">
        <f t="shared" si="1"/>
        <v>4.0791301848915038E-2</v>
      </c>
      <c r="I49" s="6">
        <f t="shared" si="1"/>
        <v>7.5052008146849314E-2</v>
      </c>
      <c r="J49" s="6" t="str">
        <f t="shared" si="1"/>
        <v/>
      </c>
      <c r="K49" s="6" t="str">
        <f t="shared" si="1"/>
        <v/>
      </c>
      <c r="L49" s="6" t="str">
        <f t="shared" si="1"/>
        <v/>
      </c>
      <c r="M49" s="6" t="str">
        <f t="shared" si="1"/>
        <v/>
      </c>
      <c r="N49" s="6" t="str">
        <f t="shared" si="1"/>
        <v/>
      </c>
      <c r="O49" s="6" t="str">
        <f t="shared" si="1"/>
        <v/>
      </c>
      <c r="P49" s="6" t="str">
        <f t="shared" si="1"/>
        <v/>
      </c>
      <c r="Q49" s="6" t="str">
        <f t="shared" si="1"/>
        <v/>
      </c>
      <c r="R49" s="6" t="str">
        <f t="shared" si="1"/>
        <v/>
      </c>
      <c r="S49" s="6" t="str">
        <f t="shared" si="1"/>
        <v/>
      </c>
      <c r="T49" s="6" t="str">
        <f t="shared" si="1"/>
        <v/>
      </c>
      <c r="U49" s="6" t="str">
        <f t="shared" si="1"/>
        <v/>
      </c>
      <c r="V49" s="6" t="str">
        <f t="shared" si="1"/>
        <v/>
      </c>
      <c r="W49" s="6" t="str">
        <f t="shared" si="1"/>
        <v/>
      </c>
      <c r="X49" s="6" t="str">
        <f t="shared" si="1"/>
        <v/>
      </c>
    </row>
    <row r="50" spans="3:36" ht="16.5" customHeight="1" x14ac:dyDescent="0.45">
      <c r="C50" s="7" t="s">
        <v>53</v>
      </c>
      <c r="D50" s="5" t="s">
        <v>54</v>
      </c>
      <c r="E50" s="6">
        <f t="shared" ref="E50:X50" si="2">IFERROR(E48-E49,"")</f>
        <v>0.17900578381528764</v>
      </c>
      <c r="F50" s="6">
        <f t="shared" si="2"/>
        <v>0.16184027709845339</v>
      </c>
      <c r="G50" s="6">
        <f t="shared" si="2"/>
        <v>0.17900578381528764</v>
      </c>
      <c r="H50" s="6">
        <f t="shared" si="2"/>
        <v>0.16184027709845339</v>
      </c>
      <c r="I50" s="6">
        <f t="shared" si="2"/>
        <v>0.11442167606367698</v>
      </c>
      <c r="J50" s="6" t="str">
        <f t="shared" si="2"/>
        <v/>
      </c>
      <c r="K50" s="6" t="str">
        <f t="shared" si="2"/>
        <v/>
      </c>
      <c r="L50" s="6" t="str">
        <f t="shared" si="2"/>
        <v/>
      </c>
      <c r="M50" s="6" t="str">
        <f t="shared" si="2"/>
        <v/>
      </c>
      <c r="N50" s="6" t="str">
        <f t="shared" si="2"/>
        <v/>
      </c>
      <c r="O50" s="6" t="str">
        <f t="shared" si="2"/>
        <v/>
      </c>
      <c r="P50" s="6" t="str">
        <f t="shared" si="2"/>
        <v/>
      </c>
      <c r="Q50" s="6" t="str">
        <f t="shared" si="2"/>
        <v/>
      </c>
      <c r="R50" s="6" t="str">
        <f t="shared" si="2"/>
        <v/>
      </c>
      <c r="S50" s="6" t="str">
        <f t="shared" si="2"/>
        <v/>
      </c>
      <c r="T50" s="6" t="str">
        <f t="shared" si="2"/>
        <v/>
      </c>
      <c r="U50" s="6" t="str">
        <f t="shared" si="2"/>
        <v/>
      </c>
      <c r="V50" s="6" t="str">
        <f t="shared" si="2"/>
        <v/>
      </c>
      <c r="W50" s="6" t="str">
        <f t="shared" si="2"/>
        <v/>
      </c>
      <c r="X50" s="6" t="str">
        <f t="shared" si="2"/>
        <v/>
      </c>
    </row>
    <row r="51" spans="3:36" x14ac:dyDescent="0.3">
      <c r="E51" s="6"/>
      <c r="F51" s="6"/>
      <c r="G51" s="6"/>
      <c r="H51" s="6"/>
      <c r="I51" s="6"/>
      <c r="J51" s="6"/>
      <c r="K51" s="6"/>
      <c r="L51" s="6"/>
      <c r="M51" s="6"/>
      <c r="N51" s="6"/>
      <c r="O51" s="6"/>
      <c r="P51" s="6"/>
      <c r="Q51" s="6"/>
      <c r="R51" s="6"/>
      <c r="S51" s="6"/>
      <c r="T51" s="6"/>
    </row>
    <row r="52" spans="3:36" x14ac:dyDescent="0.3">
      <c r="E52" s="6"/>
      <c r="F52" s="6"/>
      <c r="G52" s="6"/>
      <c r="H52" s="6"/>
      <c r="I52" s="6"/>
      <c r="J52" s="6"/>
      <c r="K52" s="6"/>
      <c r="L52" s="6"/>
      <c r="M52" s="6"/>
      <c r="N52" s="6"/>
      <c r="O52" s="6"/>
      <c r="P52" s="6"/>
      <c r="Q52" s="6"/>
      <c r="R52" s="6"/>
      <c r="S52" s="6"/>
      <c r="T52" s="6"/>
    </row>
    <row r="53" spans="3:36" x14ac:dyDescent="0.3">
      <c r="E53" s="6"/>
      <c r="F53" s="6"/>
      <c r="G53" s="6"/>
      <c r="H53" s="6"/>
      <c r="I53" s="6"/>
      <c r="J53" s="6"/>
      <c r="K53" s="6"/>
      <c r="L53" s="6"/>
      <c r="M53" s="6"/>
      <c r="N53" s="6"/>
      <c r="O53" s="6"/>
      <c r="P53" s="6"/>
      <c r="Q53" s="6"/>
      <c r="R53" s="6"/>
      <c r="S53" s="6"/>
      <c r="T53" s="6"/>
    </row>
    <row r="54" spans="3:36" x14ac:dyDescent="0.3">
      <c r="E54" s="6"/>
      <c r="F54" s="6"/>
      <c r="G54" s="6"/>
      <c r="H54" s="6"/>
      <c r="I54" s="6"/>
      <c r="J54" s="6"/>
      <c r="K54" s="6"/>
      <c r="L54" s="6"/>
      <c r="M54" s="6"/>
      <c r="N54" s="6"/>
      <c r="O54" s="6"/>
      <c r="P54" s="6"/>
      <c r="Q54" s="6"/>
      <c r="R54" s="6"/>
      <c r="S54" s="6"/>
      <c r="T54" s="6"/>
    </row>
    <row r="55" spans="3:36" x14ac:dyDescent="0.3">
      <c r="E55" s="6"/>
      <c r="F55" s="6"/>
      <c r="G55" s="6"/>
      <c r="H55" s="6"/>
      <c r="I55" s="6"/>
      <c r="J55" s="6"/>
      <c r="K55" s="6"/>
      <c r="L55" s="6"/>
      <c r="M55" s="6"/>
      <c r="N55" s="6"/>
      <c r="O55" s="6"/>
      <c r="P55" s="6"/>
      <c r="Q55" s="6"/>
      <c r="R55" s="6"/>
      <c r="S55" s="6"/>
      <c r="T55" s="6"/>
    </row>
    <row r="56" spans="3:36" x14ac:dyDescent="0.3">
      <c r="E56" s="8">
        <v>2</v>
      </c>
      <c r="F56" s="8">
        <v>3</v>
      </c>
      <c r="G56" s="8">
        <v>4</v>
      </c>
      <c r="H56" s="8">
        <v>5</v>
      </c>
      <c r="I56" s="8">
        <v>6</v>
      </c>
      <c r="J56" s="8">
        <v>7</v>
      </c>
      <c r="K56" s="8">
        <v>8</v>
      </c>
      <c r="L56" s="8">
        <v>9</v>
      </c>
      <c r="M56" s="8">
        <v>10</v>
      </c>
      <c r="N56" s="8">
        <v>11</v>
      </c>
      <c r="O56" s="8">
        <v>12</v>
      </c>
      <c r="P56" s="8">
        <v>13</v>
      </c>
      <c r="Q56" s="8">
        <v>14</v>
      </c>
      <c r="R56" s="8">
        <v>15</v>
      </c>
      <c r="S56" s="8">
        <v>16</v>
      </c>
      <c r="T56" s="8">
        <v>17</v>
      </c>
      <c r="U56" s="8">
        <v>18</v>
      </c>
      <c r="V56" s="8">
        <v>19</v>
      </c>
      <c r="W56" s="8">
        <v>20</v>
      </c>
      <c r="X56" s="8">
        <v>21</v>
      </c>
    </row>
    <row r="57" spans="3:36" s="16" customFormat="1" ht="30" customHeight="1" x14ac:dyDescent="0.3">
      <c r="C57" s="16" t="s">
        <v>55</v>
      </c>
      <c r="D57" s="20" t="s">
        <v>56</v>
      </c>
      <c r="E57" s="82" t="str">
        <f t="shared" ref="E57:X57" si="3">E2</f>
        <v>dLevel_ABA</v>
      </c>
      <c r="F57" s="82" t="str">
        <f t="shared" si="3"/>
        <v>dLevel_B6_T2B</v>
      </c>
      <c r="G57" s="82" t="str">
        <f t="shared" si="3"/>
        <v>dLevel_ABA</v>
      </c>
      <c r="H57" s="82" t="str">
        <f t="shared" si="3"/>
        <v>dLevel_B6_T2B</v>
      </c>
      <c r="I57" s="82" t="str">
        <f t="shared" si="3"/>
        <v>dLevel_B7_T2B</v>
      </c>
      <c r="J57" s="82" t="str">
        <f t="shared" si="3"/>
        <v/>
      </c>
      <c r="K57" s="82" t="str">
        <f t="shared" si="3"/>
        <v/>
      </c>
      <c r="L57" s="82" t="str">
        <f t="shared" si="3"/>
        <v/>
      </c>
      <c r="M57" s="82" t="str">
        <f t="shared" si="3"/>
        <v/>
      </c>
      <c r="N57" s="82" t="str">
        <f t="shared" si="3"/>
        <v/>
      </c>
      <c r="O57" s="82" t="str">
        <f t="shared" si="3"/>
        <v/>
      </c>
      <c r="P57" s="82" t="str">
        <f t="shared" si="3"/>
        <v/>
      </c>
      <c r="Q57" s="82" t="str">
        <f t="shared" si="3"/>
        <v/>
      </c>
      <c r="R57" s="82" t="str">
        <f t="shared" si="3"/>
        <v/>
      </c>
      <c r="S57" s="82" t="str">
        <f t="shared" si="3"/>
        <v/>
      </c>
      <c r="T57" s="82" t="str">
        <f t="shared" si="3"/>
        <v/>
      </c>
      <c r="U57" s="82" t="str">
        <f t="shared" si="3"/>
        <v/>
      </c>
      <c r="V57" s="82" t="str">
        <f t="shared" si="3"/>
        <v/>
      </c>
      <c r="W57" s="82" t="str">
        <f t="shared" si="3"/>
        <v/>
      </c>
      <c r="X57" s="82" t="str">
        <f t="shared" si="3"/>
        <v/>
      </c>
      <c r="Y57" s="20" t="s">
        <v>57</v>
      </c>
      <c r="Z57" s="20" t="s">
        <v>58</v>
      </c>
      <c r="AA57" s="21"/>
      <c r="AB57" s="21"/>
      <c r="AC57" s="21"/>
      <c r="AD57" s="21"/>
      <c r="AE57" s="21"/>
      <c r="AF57" s="21"/>
      <c r="AG57" s="21"/>
      <c r="AH57" s="21"/>
      <c r="AI57" s="21"/>
      <c r="AJ57" s="21"/>
    </row>
    <row r="58" spans="3:36" ht="15.75" customHeight="1" x14ac:dyDescent="0.3">
      <c r="C58" s="87" t="str">
        <f>IF(OR($D58=0,$D58=""),"",_xlfn.LET(
    _xlpm.channel,$D58,
    _xlpm.rowNum,_xlfn.XMATCH(_xlpm.channel,'2B RotationRule'!$C:$C,0),
    _xlpm.factorRow,INDEX('2B RotationRule'!$E:$AE,_xlpm.rowNum,0),
    _xlpm.factorNum,_xlfn.XMATCH(1,_xlpm.factorRow,0),
    IF(ISERROR(_xlpm.factorNum),"","Factor"&amp;_xlpm.factorNum)
))</f>
        <v>Factor1</v>
      </c>
      <c r="D58" s="123" t="str">
        <f>'2B RotationRule'!C3</f>
        <v>dLevel_T2_1</v>
      </c>
      <c r="E58" s="2">
        <f t="shared" ref="E58:N67" ca="1" si="4">IFERROR(_xlfn.XLOOKUP($C58,$D$3:$D$40,E$3:E$40)*$Z58,0)</f>
        <v>3.1143650141715981E-2</v>
      </c>
      <c r="F58" s="2">
        <f t="shared" ca="1" si="4"/>
        <v>3.3519773102202367E-2</v>
      </c>
      <c r="G58" s="2">
        <f t="shared" ca="1" si="4"/>
        <v>3.1143650141715981E-2</v>
      </c>
      <c r="H58" s="145">
        <f t="shared" ca="1" si="4"/>
        <v>3.3519773102202367E-2</v>
      </c>
      <c r="I58" s="145">
        <f t="shared" ca="1" si="4"/>
        <v>0.14703683111654278</v>
      </c>
      <c r="J58" s="145">
        <f t="shared" ca="1" si="4"/>
        <v>0</v>
      </c>
      <c r="K58" s="145">
        <f t="shared" ca="1" si="4"/>
        <v>0</v>
      </c>
      <c r="L58" s="145">
        <f t="shared" ca="1" si="4"/>
        <v>0</v>
      </c>
      <c r="M58" s="145">
        <f t="shared" ca="1" si="4"/>
        <v>0</v>
      </c>
      <c r="N58" s="145">
        <f t="shared" ca="1" si="4"/>
        <v>0</v>
      </c>
      <c r="O58" s="145">
        <f t="shared" ref="O58:X67" ca="1" si="5">IFERROR(_xlfn.XLOOKUP($C58,$D$3:$D$40,O$3:O$40)*$Z58,0)</f>
        <v>0</v>
      </c>
      <c r="P58" s="145">
        <f t="shared" ca="1" si="5"/>
        <v>0</v>
      </c>
      <c r="Q58" s="145">
        <f t="shared" ca="1" si="5"/>
        <v>0</v>
      </c>
      <c r="R58" s="145">
        <f t="shared" ca="1" si="5"/>
        <v>0</v>
      </c>
      <c r="S58" s="145">
        <f t="shared" ca="1" si="5"/>
        <v>0</v>
      </c>
      <c r="T58" s="145">
        <f t="shared" ca="1" si="5"/>
        <v>0</v>
      </c>
      <c r="U58" s="145">
        <f t="shared" ca="1" si="5"/>
        <v>0</v>
      </c>
      <c r="V58" s="145">
        <f t="shared" ca="1" si="5"/>
        <v>0</v>
      </c>
      <c r="W58" s="145">
        <f t="shared" ca="1" si="5"/>
        <v>0</v>
      </c>
      <c r="X58" s="145">
        <f t="shared" ca="1" si="5"/>
        <v>0</v>
      </c>
      <c r="Y58" s="10">
        <f>IFERROR(_xlfn.XLOOKUP(D58,'2C 均值'!$A:$A,'2C 均值'!$E:$E),0)</f>
        <v>6.2406015037593993E-2</v>
      </c>
      <c r="Z58" s="10">
        <f t="array" aca="1" ref="Z58" ca="1">IF(OR($D58=0,$D58=""),"",_xlfn.LET(
        _xlpm.channel,$D58,
        _xlpm.factorName,$C58,
        _xlpm.factorNum,IF(_xlpm.factorName="","",VALUE(RIGHT(_xlpm.factorName,LEN(_xlpm.factorName)-6))),
        _xlpm.flMatrixStart,_xlfn.XMATCH("Rotation Method: Procrustes with Kaiser Normalization.",'2B FL'!$A:$A,0),
        _xlpm.channelRow,IFERROR(_xlfn.XMATCH(_xlpm.channel,OFFSET('2B FL'!$B$1,_xlpm.flMatrixStart+2,0,100,1),0),0),
        IF(OR(_xlpm.channelRow=0,_xlpm.factorNum=""),"",INDEX(OFFSET('2B FL'!$D$1,_xlpm.flMatrixStart+2,0,100,27),_xlpm.channelRow,_xlpm.factorNum))
    ))</f>
        <v>0.78452415444410839</v>
      </c>
      <c r="AA58" s="6"/>
      <c r="AB58" s="6"/>
      <c r="AC58" s="6"/>
      <c r="AD58" s="9"/>
      <c r="AE58" s="9"/>
      <c r="AF58" s="9"/>
      <c r="AG58" s="9"/>
      <c r="AH58" s="9"/>
      <c r="AI58" s="9"/>
      <c r="AJ58" s="9"/>
    </row>
    <row r="59" spans="3:36" ht="15.75" customHeight="1" x14ac:dyDescent="0.3">
      <c r="C59" s="87" t="str">
        <f>IF(OR($D59=0,$D59=""),"",_xlfn.LET(
    _xlpm.channel,$D59,
    _xlpm.rowNum,_xlfn.XMATCH(_xlpm.channel,'2B RotationRule'!$C:$C,0),
    _xlpm.factorRow,INDEX('2B RotationRule'!$E:$AE,_xlpm.rowNum,0),
    _xlpm.factorNum,_xlfn.XMATCH(1,_xlpm.factorRow,0),
    IF(ISERROR(_xlpm.factorNum),"","Factor"&amp;_xlpm.factorNum)
))</f>
        <v>Factor2</v>
      </c>
      <c r="D59" s="123" t="str">
        <f>'2B RotationRule'!C4</f>
        <v>dLevel_T2_2</v>
      </c>
      <c r="E59" s="2">
        <f t="shared" ca="1" si="4"/>
        <v>1.7510518523839665E-2</v>
      </c>
      <c r="F59" s="2">
        <f t="shared" ca="1" si="4"/>
        <v>7.5860630697873396E-3</v>
      </c>
      <c r="G59" s="2">
        <f t="shared" ca="1" si="4"/>
        <v>1.7510518523839665E-2</v>
      </c>
      <c r="H59" s="145">
        <f t="shared" ca="1" si="4"/>
        <v>7.5860630697873396E-3</v>
      </c>
      <c r="I59" s="145">
        <f t="shared" ca="1" si="4"/>
        <v>0.1193107977114035</v>
      </c>
      <c r="J59" s="145">
        <f t="shared" ca="1" si="4"/>
        <v>0</v>
      </c>
      <c r="K59" s="145">
        <f t="shared" ca="1" si="4"/>
        <v>0</v>
      </c>
      <c r="L59" s="145">
        <f t="shared" ca="1" si="4"/>
        <v>0</v>
      </c>
      <c r="M59" s="145">
        <f t="shared" ca="1" si="4"/>
        <v>0</v>
      </c>
      <c r="N59" s="145">
        <f t="shared" ca="1" si="4"/>
        <v>0</v>
      </c>
      <c r="O59" s="145">
        <f t="shared" ca="1" si="5"/>
        <v>0</v>
      </c>
      <c r="P59" s="145">
        <f t="shared" ca="1" si="5"/>
        <v>0</v>
      </c>
      <c r="Q59" s="145">
        <f t="shared" ca="1" si="5"/>
        <v>0</v>
      </c>
      <c r="R59" s="145">
        <f t="shared" ca="1" si="5"/>
        <v>0</v>
      </c>
      <c r="S59" s="145">
        <f t="shared" ca="1" si="5"/>
        <v>0</v>
      </c>
      <c r="T59" s="145">
        <f t="shared" ca="1" si="5"/>
        <v>0</v>
      </c>
      <c r="U59" s="145">
        <f t="shared" ca="1" si="5"/>
        <v>0</v>
      </c>
      <c r="V59" s="145">
        <f t="shared" ca="1" si="5"/>
        <v>0</v>
      </c>
      <c r="W59" s="145">
        <f t="shared" ca="1" si="5"/>
        <v>0</v>
      </c>
      <c r="X59" s="145">
        <f t="shared" ca="1" si="5"/>
        <v>0</v>
      </c>
      <c r="Y59" s="10">
        <f>IFERROR(_xlfn.XLOOKUP(D59,'2C 均值'!$A:$A,'2C 均值'!$E:$E),0)</f>
        <v>3.1954887218045111E-2</v>
      </c>
      <c r="Z59" s="10">
        <f t="array" aca="1" ref="Z59" ca="1">IF(OR($D59=0,$D59=""),"",_xlfn.LET(
        _xlpm.channel,$D59,
        _xlpm.factorName,$C59,
        _xlpm.factorNum,IF(_xlpm.factorName="","",VALUE(RIGHT(_xlpm.factorName,LEN(_xlpm.factorName)-6))),
        _xlpm.flMatrixStart,_xlfn.XMATCH("Rotation Method: Procrustes with Kaiser Normalization.",'2B FL'!$A:$A,0),
        _xlpm.channelRow,IFERROR(_xlfn.XMATCH(_xlpm.channel,OFFSET('2B FL'!$B$1,_xlpm.flMatrixStart+2,0,100,1),0),0),
        IF(OR(_xlpm.channelRow=0,_xlpm.factorNum=""),"",INDEX(OFFSET('2B FL'!$D$1,_xlpm.flMatrixStart+2,0,100,27),_xlpm.channelRow,_xlpm.factorNum))
    ))</f>
        <v>0.91913415829983169</v>
      </c>
      <c r="AA59" s="6"/>
      <c r="AB59" s="6"/>
      <c r="AC59" s="6"/>
      <c r="AD59" s="9"/>
      <c r="AE59" s="9"/>
      <c r="AF59" s="9"/>
      <c r="AG59" s="9"/>
      <c r="AH59" s="9"/>
      <c r="AI59" s="9"/>
      <c r="AJ59" s="9"/>
    </row>
    <row r="60" spans="3:36" ht="15.75" customHeight="1" x14ac:dyDescent="0.3">
      <c r="C60" s="87" t="str">
        <f>IF(OR($D60=0,$D60=""),"",_xlfn.LET(
    _xlpm.channel,$D60,
    _xlpm.rowNum,_xlfn.XMATCH(_xlpm.channel,'2B RotationRule'!$C:$C,0),
    _xlpm.factorRow,INDEX('2B RotationRule'!$E:$AE,_xlpm.rowNum,0),
    _xlpm.factorNum,_xlfn.XMATCH(1,_xlpm.factorRow,0),
    IF(ISERROR(_xlpm.factorNum),"","Factor"&amp;_xlpm.factorNum)
))</f>
        <v>Factor3</v>
      </c>
      <c r="D60" s="123" t="str">
        <f>'2B RotationRule'!C5</f>
        <v>dLevel_T2_3</v>
      </c>
      <c r="E60" s="2">
        <f t="shared" ca="1" si="4"/>
        <v>1.507912222735616E-2</v>
      </c>
      <c r="F60" s="2">
        <f t="shared" ca="1" si="4"/>
        <v>7.9671891129792435E-3</v>
      </c>
      <c r="G60" s="2">
        <f t="shared" ca="1" si="4"/>
        <v>1.507912222735616E-2</v>
      </c>
      <c r="H60" s="145">
        <f t="shared" ca="1" si="4"/>
        <v>7.9671891129792435E-3</v>
      </c>
      <c r="I60" s="145">
        <f t="shared" ca="1" si="4"/>
        <v>0.10614739424167197</v>
      </c>
      <c r="J60" s="145">
        <f t="shared" ca="1" si="4"/>
        <v>0</v>
      </c>
      <c r="K60" s="145">
        <f t="shared" ca="1" si="4"/>
        <v>0</v>
      </c>
      <c r="L60" s="145">
        <f t="shared" ca="1" si="4"/>
        <v>0</v>
      </c>
      <c r="M60" s="145">
        <f t="shared" ca="1" si="4"/>
        <v>0</v>
      </c>
      <c r="N60" s="145">
        <f t="shared" ca="1" si="4"/>
        <v>0</v>
      </c>
      <c r="O60" s="145">
        <f t="shared" ca="1" si="5"/>
        <v>0</v>
      </c>
      <c r="P60" s="145">
        <f t="shared" ca="1" si="5"/>
        <v>0</v>
      </c>
      <c r="Q60" s="145">
        <f t="shared" ca="1" si="5"/>
        <v>0</v>
      </c>
      <c r="R60" s="145">
        <f t="shared" ca="1" si="5"/>
        <v>0</v>
      </c>
      <c r="S60" s="145">
        <f t="shared" ca="1" si="5"/>
        <v>0</v>
      </c>
      <c r="T60" s="145">
        <f t="shared" ca="1" si="5"/>
        <v>0</v>
      </c>
      <c r="U60" s="145">
        <f t="shared" ca="1" si="5"/>
        <v>0</v>
      </c>
      <c r="V60" s="145">
        <f t="shared" ca="1" si="5"/>
        <v>0</v>
      </c>
      <c r="W60" s="145">
        <f t="shared" ca="1" si="5"/>
        <v>0</v>
      </c>
      <c r="X60" s="145">
        <f t="shared" ca="1" si="5"/>
        <v>0</v>
      </c>
      <c r="Y60" s="10">
        <f>IFERROR(_xlfn.XLOOKUP(D60,'2C 均值'!$A:$A,'2C 均值'!$E:$E),0)</f>
        <v>2.4436090225563908E-2</v>
      </c>
      <c r="Z60" s="10">
        <f t="array" aca="1" ref="Z60" ca="1">IF(OR($D60=0,$D60=""),"",_xlfn.LET(
        _xlpm.channel,$D60,
        _xlpm.factorName,$C60,
        _xlpm.factorNum,IF(_xlpm.factorName="","",VALUE(RIGHT(_xlpm.factorName,LEN(_xlpm.factorName)-6))),
        _xlpm.flMatrixStart,_xlfn.XMATCH("Rotation Method: Procrustes with Kaiser Normalization.",'2B FL'!$A:$A,0),
        _xlpm.channelRow,IFERROR(_xlfn.XMATCH(_xlpm.channel,OFFSET('2B FL'!$B$1,_xlpm.flMatrixStart+2,0,100,1),0),0),
        IF(OR(_xlpm.channelRow=0,_xlpm.factorNum=""),"",INDEX(OFFSET('2B FL'!$D$1,_xlpm.flMatrixStart+2,0,100,27),_xlpm.channelRow,_xlpm.factorNum))
    ))</f>
        <v>0.91986086384713051</v>
      </c>
      <c r="AA60" s="6"/>
      <c r="AB60" s="6"/>
      <c r="AC60" s="6"/>
      <c r="AD60" s="9"/>
      <c r="AE60" s="9"/>
      <c r="AF60" s="9"/>
      <c r="AG60" s="9"/>
      <c r="AH60" s="9"/>
      <c r="AI60" s="9"/>
      <c r="AJ60" s="9"/>
    </row>
    <row r="61" spans="3:36" ht="15.75" customHeight="1" x14ac:dyDescent="0.3">
      <c r="C61" s="87" t="str">
        <f>IF(OR($D61=0,$D61=""),"",_xlfn.LET(
    _xlpm.channel,$D61,
    _xlpm.rowNum,_xlfn.XMATCH(_xlpm.channel,'2B RotationRule'!$C:$C,0),
    _xlpm.factorRow,INDEX('2B RotationRule'!$E:$AE,_xlpm.rowNum,0),
    _xlpm.factorNum,_xlfn.XMATCH(1,_xlpm.factorRow,0),
    IF(ISERROR(_xlpm.factorNum),"","Factor"&amp;_xlpm.factorNum)
))</f>
        <v>Factor4</v>
      </c>
      <c r="D61" s="123" t="str">
        <f>'2B RotationRule'!C6</f>
        <v>dLevel_T2_4</v>
      </c>
      <c r="E61" s="2">
        <f t="shared" ca="1" si="4"/>
        <v>3.2483483302511724E-2</v>
      </c>
      <c r="F61" s="2">
        <f t="shared" ca="1" si="4"/>
        <v>4.0201438142160782E-2</v>
      </c>
      <c r="G61" s="2">
        <f t="shared" ca="1" si="4"/>
        <v>3.2483483302511724E-2</v>
      </c>
      <c r="H61" s="145">
        <f t="shared" ca="1" si="4"/>
        <v>4.0201438142160782E-2</v>
      </c>
      <c r="I61" s="145">
        <f t="shared" ca="1" si="4"/>
        <v>0.15519877466486207</v>
      </c>
      <c r="J61" s="145">
        <f t="shared" ca="1" si="4"/>
        <v>0</v>
      </c>
      <c r="K61" s="145">
        <f t="shared" ca="1" si="4"/>
        <v>0</v>
      </c>
      <c r="L61" s="145">
        <f t="shared" ca="1" si="4"/>
        <v>0</v>
      </c>
      <c r="M61" s="145">
        <f t="shared" ca="1" si="4"/>
        <v>0</v>
      </c>
      <c r="N61" s="145">
        <f t="shared" ca="1" si="4"/>
        <v>0</v>
      </c>
      <c r="O61" s="145">
        <f t="shared" ca="1" si="5"/>
        <v>0</v>
      </c>
      <c r="P61" s="145">
        <f t="shared" ca="1" si="5"/>
        <v>0</v>
      </c>
      <c r="Q61" s="145">
        <f t="shared" ca="1" si="5"/>
        <v>0</v>
      </c>
      <c r="R61" s="145">
        <f t="shared" ca="1" si="5"/>
        <v>0</v>
      </c>
      <c r="S61" s="145">
        <f t="shared" ca="1" si="5"/>
        <v>0</v>
      </c>
      <c r="T61" s="145">
        <f t="shared" ca="1" si="5"/>
        <v>0</v>
      </c>
      <c r="U61" s="145">
        <f t="shared" ca="1" si="5"/>
        <v>0</v>
      </c>
      <c r="V61" s="145">
        <f t="shared" ca="1" si="5"/>
        <v>0</v>
      </c>
      <c r="W61" s="145">
        <f t="shared" ca="1" si="5"/>
        <v>0</v>
      </c>
      <c r="X61" s="145">
        <f t="shared" ca="1" si="5"/>
        <v>0</v>
      </c>
      <c r="Y61" s="10">
        <f>IFERROR(_xlfn.XLOOKUP(D61,'2C 均值'!$A:$A,'2C 均值'!$E:$E),0)</f>
        <v>7.5375939849624055E-2</v>
      </c>
      <c r="Z61" s="10">
        <f t="array" aca="1" ref="Z61" ca="1">IF(OR($D61=0,$D61=""),"",_xlfn.LET(
        _xlpm.channel,$D61,
        _xlpm.factorName,$C61,
        _xlpm.factorNum,IF(_xlpm.factorName="","",VALUE(RIGHT(_xlpm.factorName,LEN(_xlpm.factorName)-6))),
        _xlpm.flMatrixStart,_xlfn.XMATCH("Rotation Method: Procrustes with Kaiser Normalization.",'2B FL'!$A:$A,0),
        _xlpm.channelRow,IFERROR(_xlfn.XMATCH(_xlpm.channel,OFFSET('2B FL'!$B$1,_xlpm.flMatrixStart+2,0,100,1),0),0),
        IF(OR(_xlpm.channelRow=0,_xlpm.factorNum=""),"",INDEX(OFFSET('2B FL'!$D$1,_xlpm.flMatrixStart+2,0,100,27),_xlpm.channelRow,_xlpm.factorNum))
    ))</f>
        <v>0.77935069715315075</v>
      </c>
      <c r="AA61" s="6"/>
      <c r="AB61" s="6"/>
      <c r="AC61" s="6"/>
      <c r="AD61" s="9"/>
      <c r="AE61" s="9"/>
      <c r="AF61" s="9"/>
      <c r="AG61" s="9"/>
      <c r="AH61" s="9"/>
      <c r="AI61" s="9"/>
      <c r="AJ61" s="9"/>
    </row>
    <row r="62" spans="3:36" ht="15.75" customHeight="1" x14ac:dyDescent="0.3">
      <c r="C62" s="87" t="str">
        <f>IF(OR($D62=0,$D62=""),"",_xlfn.LET(
    _xlpm.channel,$D62,
    _xlpm.rowNum,_xlfn.XMATCH(_xlpm.channel,'2B RotationRule'!$C:$C,0),
    _xlpm.factorRow,INDEX('2B RotationRule'!$E:$AE,_xlpm.rowNum,0),
    _xlpm.factorNum,_xlfn.XMATCH(1,_xlpm.factorRow,0),
    IF(ISERROR(_xlpm.factorNum),"","Factor"&amp;_xlpm.factorNum)
))</f>
        <v>Factor5</v>
      </c>
      <c r="D62" s="123" t="str">
        <f>'2B RotationRule'!C7</f>
        <v>dLevel_T2_5</v>
      </c>
      <c r="E62" s="2">
        <f t="shared" ca="1" si="4"/>
        <v>1.51025813743968E-2</v>
      </c>
      <c r="F62" s="2">
        <f t="shared" ca="1" si="4"/>
        <v>4.3228615883236725E-2</v>
      </c>
      <c r="G62" s="2">
        <f t="shared" ca="1" si="4"/>
        <v>1.51025813743968E-2</v>
      </c>
      <c r="H62" s="145">
        <f t="shared" ca="1" si="4"/>
        <v>4.3228615883236725E-2</v>
      </c>
      <c r="I62" s="145">
        <f t="shared" ca="1" si="4"/>
        <v>0.11099652661321352</v>
      </c>
      <c r="J62" s="145">
        <f t="shared" ca="1" si="4"/>
        <v>0</v>
      </c>
      <c r="K62" s="145">
        <f t="shared" ca="1" si="4"/>
        <v>0</v>
      </c>
      <c r="L62" s="145">
        <f t="shared" ca="1" si="4"/>
        <v>0</v>
      </c>
      <c r="M62" s="145">
        <f t="shared" ca="1" si="4"/>
        <v>0</v>
      </c>
      <c r="N62" s="145">
        <f t="shared" ca="1" si="4"/>
        <v>0</v>
      </c>
      <c r="O62" s="145">
        <f t="shared" ca="1" si="5"/>
        <v>0</v>
      </c>
      <c r="P62" s="145">
        <f t="shared" ca="1" si="5"/>
        <v>0</v>
      </c>
      <c r="Q62" s="145">
        <f t="shared" ca="1" si="5"/>
        <v>0</v>
      </c>
      <c r="R62" s="145">
        <f t="shared" ca="1" si="5"/>
        <v>0</v>
      </c>
      <c r="S62" s="145">
        <f t="shared" ca="1" si="5"/>
        <v>0</v>
      </c>
      <c r="T62" s="145">
        <f t="shared" ca="1" si="5"/>
        <v>0</v>
      </c>
      <c r="U62" s="145">
        <f t="shared" ca="1" si="5"/>
        <v>0</v>
      </c>
      <c r="V62" s="145">
        <f t="shared" ca="1" si="5"/>
        <v>0</v>
      </c>
      <c r="W62" s="145">
        <f t="shared" ca="1" si="5"/>
        <v>0</v>
      </c>
      <c r="X62" s="145">
        <f t="shared" ca="1" si="5"/>
        <v>0</v>
      </c>
      <c r="Y62" s="10">
        <f>IFERROR(_xlfn.XLOOKUP(D62,'2C 均值'!$A:$A,'2C 均值'!$E:$E),0)</f>
        <v>3.4210526315789483E-2</v>
      </c>
      <c r="Z62" s="10">
        <f t="array" aca="1" ref="Z62" ca="1">IF(OR($D62=0,$D62=""),"",_xlfn.LET(
        _xlpm.channel,$D62,
        _xlpm.factorName,$C62,
        _xlpm.factorNum,IF(_xlpm.factorName="","",VALUE(RIGHT(_xlpm.factorName,LEN(_xlpm.factorName)-6))),
        _xlpm.flMatrixStart,_xlfn.XMATCH("Rotation Method: Procrustes with Kaiser Normalization.",'2B FL'!$A:$A,0),
        _xlpm.channelRow,IFERROR(_xlfn.XMATCH(_xlpm.channel,OFFSET('2B FL'!$B$1,_xlpm.flMatrixStart+2,0,100,1),0),0),
        IF(OR(_xlpm.channelRow=0,_xlpm.factorNum=""),"",INDEX(OFFSET('2B FL'!$D$1,_xlpm.flMatrixStart+2,0,100,27),_xlpm.channelRow,_xlpm.factorNum))
    ))</f>
        <v>0.91500293204777372</v>
      </c>
      <c r="AA62" s="6"/>
      <c r="AB62" s="6"/>
      <c r="AC62" s="6"/>
      <c r="AD62" s="9"/>
      <c r="AE62" s="9"/>
      <c r="AF62" s="9"/>
      <c r="AG62" s="9"/>
      <c r="AH62" s="9"/>
      <c r="AI62" s="9"/>
      <c r="AJ62" s="9"/>
    </row>
    <row r="63" spans="3:36" ht="15.75" customHeight="1" x14ac:dyDescent="0.3">
      <c r="C63" s="87" t="str">
        <f>IF(OR($D63=0,$D63=""),"",_xlfn.LET(
    _xlpm.channel,$D63,
    _xlpm.rowNum,_xlfn.XMATCH(_xlpm.channel,'2B RotationRule'!$C:$C,0),
    _xlpm.factorRow,INDEX('2B RotationRule'!$E:$AE,_xlpm.rowNum,0),
    _xlpm.factorNum,_xlfn.XMATCH(1,_xlpm.factorRow,0),
    IF(ISERROR(_xlpm.factorNum),"","Factor"&amp;_xlpm.factorNum)
))</f>
        <v>Factor6</v>
      </c>
      <c r="D63" s="123" t="str">
        <f>'2B RotationRule'!C8</f>
        <v>dLevel_T2_6</v>
      </c>
      <c r="E63" s="2">
        <f t="shared" ca="1" si="4"/>
        <v>2.9238221834168777E-2</v>
      </c>
      <c r="F63" s="2">
        <f t="shared" ca="1" si="4"/>
        <v>3.1483745358142155E-2</v>
      </c>
      <c r="G63" s="2">
        <f t="shared" ca="1" si="4"/>
        <v>2.9238221834168777E-2</v>
      </c>
      <c r="H63" s="145">
        <f t="shared" ca="1" si="4"/>
        <v>3.1483745358142155E-2</v>
      </c>
      <c r="I63" s="145">
        <f t="shared" ca="1" si="4"/>
        <v>9.7904406901759583E-2</v>
      </c>
      <c r="J63" s="145">
        <f t="shared" ca="1" si="4"/>
        <v>0</v>
      </c>
      <c r="K63" s="145">
        <f t="shared" ca="1" si="4"/>
        <v>0</v>
      </c>
      <c r="L63" s="145">
        <f t="shared" ca="1" si="4"/>
        <v>0</v>
      </c>
      <c r="M63" s="145">
        <f t="shared" ca="1" si="4"/>
        <v>0</v>
      </c>
      <c r="N63" s="145">
        <f t="shared" ca="1" si="4"/>
        <v>0</v>
      </c>
      <c r="O63" s="145">
        <f t="shared" ca="1" si="5"/>
        <v>0</v>
      </c>
      <c r="P63" s="145">
        <f t="shared" ca="1" si="5"/>
        <v>0</v>
      </c>
      <c r="Q63" s="145">
        <f t="shared" ca="1" si="5"/>
        <v>0</v>
      </c>
      <c r="R63" s="145">
        <f t="shared" ca="1" si="5"/>
        <v>0</v>
      </c>
      <c r="S63" s="145">
        <f t="shared" ca="1" si="5"/>
        <v>0</v>
      </c>
      <c r="T63" s="145">
        <f t="shared" ca="1" si="5"/>
        <v>0</v>
      </c>
      <c r="U63" s="145">
        <f t="shared" ca="1" si="5"/>
        <v>0</v>
      </c>
      <c r="V63" s="145">
        <f t="shared" ca="1" si="5"/>
        <v>0</v>
      </c>
      <c r="W63" s="145">
        <f t="shared" ca="1" si="5"/>
        <v>0</v>
      </c>
      <c r="X63" s="145">
        <f t="shared" ca="1" si="5"/>
        <v>0</v>
      </c>
      <c r="Y63" s="10">
        <f>IFERROR(_xlfn.XLOOKUP(D63,'2C 均值'!$A:$A,'2C 均值'!$E:$E),0)</f>
        <v>3.1954887218045111E-2</v>
      </c>
      <c r="Z63" s="10">
        <f t="array" aca="1" ref="Z63" ca="1">IF(OR($D63=0,$D63=""),"",_xlfn.LET(
        _xlpm.channel,$D63,
        _xlpm.factorName,$C63,
        _xlpm.factorNum,IF(_xlpm.factorName="","",VALUE(RIGHT(_xlpm.factorName,LEN(_xlpm.factorName)-6))),
        _xlpm.flMatrixStart,_xlfn.XMATCH("Rotation Method: Procrustes with Kaiser Normalization.",'2B FL'!$A:$A,0),
        _xlpm.channelRow,IFERROR(_xlfn.XMATCH(_xlpm.channel,OFFSET('2B FL'!$B$1,_xlpm.flMatrixStart+2,0,100,1),0),0),
        IF(OR(_xlpm.channelRow=0,_xlpm.factorNum=""),"",INDEX(OFFSET('2B FL'!$D$1,_xlpm.flMatrixStart+2,0,100,27),_xlpm.channelRow,_xlpm.factorNum))
    ))</f>
        <v>0.91921007021724599</v>
      </c>
      <c r="AA63" s="6"/>
      <c r="AB63" s="6"/>
      <c r="AC63" s="6"/>
      <c r="AD63" s="9"/>
      <c r="AE63" s="9"/>
      <c r="AF63" s="9"/>
      <c r="AG63" s="9"/>
      <c r="AH63" s="9"/>
      <c r="AI63" s="9"/>
      <c r="AJ63" s="9"/>
    </row>
    <row r="64" spans="3:36" ht="15.75" customHeight="1" x14ac:dyDescent="0.3">
      <c r="C64" s="87" t="str">
        <f>IF(OR($D64=0,$D64=""),"",_xlfn.LET(
    _xlpm.channel,$D64,
    _xlpm.rowNum,_xlfn.XMATCH(_xlpm.channel,'2B RotationRule'!$C:$C,0),
    _xlpm.factorRow,INDEX('2B RotationRule'!$E:$AE,_xlpm.rowNum,0),
    _xlpm.factorNum,_xlfn.XMATCH(1,_xlpm.factorRow,0),
    IF(ISERROR(_xlpm.factorNum),"","Factor"&amp;_xlpm.factorNum)
))</f>
        <v>Factor7</v>
      </c>
      <c r="D64" s="123" t="str">
        <f>'2B RotationRule'!C9</f>
        <v>dLevel_T2_7</v>
      </c>
      <c r="E64" s="2">
        <f t="shared" ca="1" si="4"/>
        <v>4.353071312904129E-2</v>
      </c>
      <c r="F64" s="2">
        <f t="shared" ca="1" si="4"/>
        <v>6.1115067215706406E-2</v>
      </c>
      <c r="G64" s="2">
        <f t="shared" ca="1" si="4"/>
        <v>4.353071312904129E-2</v>
      </c>
      <c r="H64" s="145">
        <f t="shared" ca="1" si="4"/>
        <v>6.1115067215706406E-2</v>
      </c>
      <c r="I64" s="145">
        <f t="shared" ca="1" si="4"/>
        <v>0.15915799619227963</v>
      </c>
      <c r="J64" s="145">
        <f t="shared" ca="1" si="4"/>
        <v>0</v>
      </c>
      <c r="K64" s="145">
        <f t="shared" ca="1" si="4"/>
        <v>0</v>
      </c>
      <c r="L64" s="145">
        <f t="shared" ca="1" si="4"/>
        <v>0</v>
      </c>
      <c r="M64" s="145">
        <f t="shared" ca="1" si="4"/>
        <v>0</v>
      </c>
      <c r="N64" s="145">
        <f t="shared" ca="1" si="4"/>
        <v>0</v>
      </c>
      <c r="O64" s="145">
        <f t="shared" ca="1" si="5"/>
        <v>0</v>
      </c>
      <c r="P64" s="145">
        <f t="shared" ca="1" si="5"/>
        <v>0</v>
      </c>
      <c r="Q64" s="145">
        <f t="shared" ca="1" si="5"/>
        <v>0</v>
      </c>
      <c r="R64" s="145">
        <f t="shared" ca="1" si="5"/>
        <v>0</v>
      </c>
      <c r="S64" s="145">
        <f t="shared" ca="1" si="5"/>
        <v>0</v>
      </c>
      <c r="T64" s="145">
        <f t="shared" ca="1" si="5"/>
        <v>0</v>
      </c>
      <c r="U64" s="145">
        <f t="shared" ca="1" si="5"/>
        <v>0</v>
      </c>
      <c r="V64" s="145">
        <f t="shared" ca="1" si="5"/>
        <v>0</v>
      </c>
      <c r="W64" s="145">
        <f t="shared" ca="1" si="5"/>
        <v>0</v>
      </c>
      <c r="X64" s="145">
        <f t="shared" ca="1" si="5"/>
        <v>0</v>
      </c>
      <c r="Y64" s="10">
        <f>IFERROR(_xlfn.XLOOKUP(D64,'2C 均值'!$A:$A,'2C 均值'!$E:$E),0)</f>
        <v>7.1616541353383453E-2</v>
      </c>
      <c r="Z64" s="10">
        <f t="array" aca="1" ref="Z64" ca="1">IF(OR($D64=0,$D64=""),"",_xlfn.LET(
        _xlpm.channel,$D64,
        _xlpm.factorName,$C64,
        _xlpm.factorNum,IF(_xlpm.factorName="","",VALUE(RIGHT(_xlpm.factorName,LEN(_xlpm.factorName)-6))),
        _xlpm.flMatrixStart,_xlfn.XMATCH("Rotation Method: Procrustes with Kaiser Normalization.",'2B FL'!$A:$A,0),
        _xlpm.channelRow,IFERROR(_xlfn.XMATCH(_xlpm.channel,OFFSET('2B FL'!$B$1,_xlpm.flMatrixStart+2,0,100,1),0),0),
        IF(OR(_xlpm.channelRow=0,_xlpm.factorNum=""),"",INDEX(OFFSET('2B FL'!$D$1,_xlpm.flMatrixStart+2,0,100,27),_xlpm.channelRow,_xlpm.factorNum))
    ))</f>
        <v>0.78435328658831427</v>
      </c>
      <c r="AA64" s="6"/>
      <c r="AB64" s="6"/>
      <c r="AC64" s="6"/>
      <c r="AD64" s="9"/>
      <c r="AE64" s="9"/>
      <c r="AF64" s="9"/>
      <c r="AG64" s="9"/>
      <c r="AH64" s="9"/>
      <c r="AI64" s="9"/>
      <c r="AJ64" s="9"/>
    </row>
    <row r="65" spans="3:36" ht="15.75" customHeight="1" x14ac:dyDescent="0.3">
      <c r="C65" s="87" t="str">
        <f>IF(OR($D65=0,$D65=""),"",_xlfn.LET(
    _xlpm.channel,$D65,
    _xlpm.rowNum,_xlfn.XMATCH(_xlpm.channel,'2B RotationRule'!$C:$C,0),
    _xlpm.factorRow,INDEX('2B RotationRule'!$E:$AE,_xlpm.rowNum,0),
    _xlpm.factorNum,_xlfn.XMATCH(1,_xlpm.factorRow,0),
    IF(ISERROR(_xlpm.factorNum),"","Factor"&amp;_xlpm.factorNum)
))</f>
        <v>Factor8</v>
      </c>
      <c r="D65" s="123" t="str">
        <f>'2B RotationRule'!C10</f>
        <v>dLevel_T2_8</v>
      </c>
      <c r="E65" s="2">
        <f t="shared" ca="1" si="4"/>
        <v>2.0511262507783897E-2</v>
      </c>
      <c r="F65" s="2">
        <f t="shared" ca="1" si="4"/>
        <v>4.4312363105880236E-2</v>
      </c>
      <c r="G65" s="2">
        <f t="shared" ca="1" si="4"/>
        <v>2.0511262507783897E-2</v>
      </c>
      <c r="H65" s="145">
        <f t="shared" ca="1" si="4"/>
        <v>4.4312363105880236E-2</v>
      </c>
      <c r="I65" s="145">
        <f t="shared" ca="1" si="4"/>
        <v>0.16483567174959984</v>
      </c>
      <c r="J65" s="145">
        <f t="shared" ca="1" si="4"/>
        <v>0</v>
      </c>
      <c r="K65" s="145">
        <f t="shared" ca="1" si="4"/>
        <v>0</v>
      </c>
      <c r="L65" s="145">
        <f t="shared" ca="1" si="4"/>
        <v>0</v>
      </c>
      <c r="M65" s="145">
        <f t="shared" ca="1" si="4"/>
        <v>0</v>
      </c>
      <c r="N65" s="145">
        <f t="shared" ca="1" si="4"/>
        <v>0</v>
      </c>
      <c r="O65" s="145">
        <f t="shared" ca="1" si="5"/>
        <v>0</v>
      </c>
      <c r="P65" s="145">
        <f t="shared" ca="1" si="5"/>
        <v>0</v>
      </c>
      <c r="Q65" s="145">
        <f t="shared" ca="1" si="5"/>
        <v>0</v>
      </c>
      <c r="R65" s="145">
        <f t="shared" ca="1" si="5"/>
        <v>0</v>
      </c>
      <c r="S65" s="145">
        <f t="shared" ca="1" si="5"/>
        <v>0</v>
      </c>
      <c r="T65" s="145">
        <f t="shared" ca="1" si="5"/>
        <v>0</v>
      </c>
      <c r="U65" s="145">
        <f t="shared" ca="1" si="5"/>
        <v>0</v>
      </c>
      <c r="V65" s="145">
        <f t="shared" ca="1" si="5"/>
        <v>0</v>
      </c>
      <c r="W65" s="145">
        <f t="shared" ca="1" si="5"/>
        <v>0</v>
      </c>
      <c r="X65" s="145">
        <f t="shared" ca="1" si="5"/>
        <v>0</v>
      </c>
      <c r="Y65" s="10">
        <f>IFERROR(_xlfn.XLOOKUP(D65,'2C 均值'!$A:$A,'2C 均值'!$E:$E),0)</f>
        <v>6.7481203007518795E-2</v>
      </c>
      <c r="Z65" s="10">
        <f t="array" aca="1" ref="Z65" ca="1">IF(OR($D65=0,$D65=""),"",_xlfn.LET(
        _xlpm.channel,$D65,
        _xlpm.factorName,$C65,
        _xlpm.factorNum,IF(_xlpm.factorName="","",VALUE(RIGHT(_xlpm.factorName,LEN(_xlpm.factorName)-6))),
        _xlpm.flMatrixStart,_xlfn.XMATCH("Rotation Method: Procrustes with Kaiser Normalization.",'2B FL'!$A:$A,0),
        _xlpm.channelRow,IFERROR(_xlfn.XMATCH(_xlpm.channel,OFFSET('2B FL'!$B$1,_xlpm.flMatrixStart+2,0,100,1),0),0),
        IF(OR(_xlpm.channelRow=0,_xlpm.factorNum=""),"",INDEX(OFFSET('2B FL'!$D$1,_xlpm.flMatrixStart+2,0,100,27),_xlpm.channelRow,_xlpm.factorNum))
    ))</f>
        <v>0.81438401596677246</v>
      </c>
      <c r="AA65" s="6"/>
      <c r="AB65" s="6"/>
      <c r="AC65" s="6"/>
      <c r="AD65" s="9"/>
      <c r="AE65" s="9"/>
      <c r="AF65" s="9"/>
      <c r="AG65" s="9"/>
      <c r="AH65" s="9"/>
      <c r="AI65" s="9"/>
      <c r="AJ65" s="9"/>
    </row>
    <row r="66" spans="3:36" ht="15.75" customHeight="1" x14ac:dyDescent="0.3">
      <c r="C66" s="87" t="str">
        <f>IF(OR($D66=0,$D66=""),"",_xlfn.LET(
    _xlpm.channel,$D66,
    _xlpm.rowNum,_xlfn.XMATCH(_xlpm.channel,'2B RotationRule'!$C:$C,0),
    _xlpm.factorRow,INDEX('2B RotationRule'!$E:$AE,_xlpm.rowNum,0),
    _xlpm.factorNum,_xlfn.XMATCH(1,_xlpm.factorRow,0),
    IF(ISERROR(_xlpm.factorNum),"","Factor"&amp;_xlpm.factorNum)
))</f>
        <v>Factor9</v>
      </c>
      <c r="D66" s="123" t="str">
        <f>'2B RotationRule'!C11</f>
        <v>dLevel_T2_9</v>
      </c>
      <c r="E66" s="2">
        <f t="shared" ca="1" si="4"/>
        <v>1.2685213405260512E-2</v>
      </c>
      <c r="F66" s="2">
        <f t="shared" ca="1" si="4"/>
        <v>3.1391979792815911E-2</v>
      </c>
      <c r="G66" s="2">
        <f t="shared" ca="1" si="4"/>
        <v>1.2685213405260512E-2</v>
      </c>
      <c r="H66" s="145">
        <f t="shared" ca="1" si="4"/>
        <v>3.1391979792815911E-2</v>
      </c>
      <c r="I66" s="145">
        <f t="shared" ca="1" si="4"/>
        <v>0.10822600293374787</v>
      </c>
      <c r="J66" s="145">
        <f t="shared" ca="1" si="4"/>
        <v>0</v>
      </c>
      <c r="K66" s="145">
        <f t="shared" ca="1" si="4"/>
        <v>0</v>
      </c>
      <c r="L66" s="145">
        <f t="shared" ca="1" si="4"/>
        <v>0</v>
      </c>
      <c r="M66" s="145">
        <f t="shared" ca="1" si="4"/>
        <v>0</v>
      </c>
      <c r="N66" s="145">
        <f t="shared" ca="1" si="4"/>
        <v>0</v>
      </c>
      <c r="O66" s="145">
        <f t="shared" ca="1" si="5"/>
        <v>0</v>
      </c>
      <c r="P66" s="145">
        <f t="shared" ca="1" si="5"/>
        <v>0</v>
      </c>
      <c r="Q66" s="145">
        <f t="shared" ca="1" si="5"/>
        <v>0</v>
      </c>
      <c r="R66" s="145">
        <f t="shared" ca="1" si="5"/>
        <v>0</v>
      </c>
      <c r="S66" s="145">
        <f t="shared" ca="1" si="5"/>
        <v>0</v>
      </c>
      <c r="T66" s="145">
        <f t="shared" ca="1" si="5"/>
        <v>0</v>
      </c>
      <c r="U66" s="145">
        <f t="shared" ca="1" si="5"/>
        <v>0</v>
      </c>
      <c r="V66" s="145">
        <f t="shared" ca="1" si="5"/>
        <v>0</v>
      </c>
      <c r="W66" s="145">
        <f t="shared" ca="1" si="5"/>
        <v>0</v>
      </c>
      <c r="X66" s="145">
        <f t="shared" ca="1" si="5"/>
        <v>0</v>
      </c>
      <c r="Y66" s="10">
        <f>IFERROR(_xlfn.XLOOKUP(D66,'2C 均值'!$A:$A,'2C 均值'!$E:$E),0)</f>
        <v>1.9360902255639099E-2</v>
      </c>
      <c r="Z66" s="10">
        <f t="array" aca="1" ref="Z66" ca="1">IF(OR($D66=0,$D66=""),"",_xlfn.LET(
        _xlpm.channel,$D66,
        _xlpm.factorName,$C66,
        _xlpm.factorNum,IF(_xlpm.factorName="","",VALUE(RIGHT(_xlpm.factorName,LEN(_xlpm.factorName)-6))),
        _xlpm.flMatrixStart,_xlfn.XMATCH("Rotation Method: Procrustes with Kaiser Normalization.",'2B FL'!$A:$A,0),
        _xlpm.channelRow,IFERROR(_xlfn.XMATCH(_xlpm.channel,OFFSET('2B FL'!$B$1,_xlpm.flMatrixStart+2,0,100,1),0),0),
        IF(OR(_xlpm.channelRow=0,_xlpm.factorNum=""),"",INDEX(OFFSET('2B FL'!$D$1,_xlpm.flMatrixStart+2,0,100,27),_xlpm.channelRow,_xlpm.factorNum))
    ))</f>
        <v>0.94932745570576571</v>
      </c>
      <c r="AA66" s="6"/>
      <c r="AB66" s="6"/>
      <c r="AC66" s="6"/>
      <c r="AD66" s="9"/>
      <c r="AE66" s="9"/>
      <c r="AF66" s="9"/>
      <c r="AG66" s="9"/>
      <c r="AH66" s="9"/>
      <c r="AI66" s="9"/>
      <c r="AJ66" s="9"/>
    </row>
    <row r="67" spans="3:36" ht="15.75" customHeight="1" x14ac:dyDescent="0.3">
      <c r="C67" s="87" t="str">
        <f>IF(OR($D67=0,$D67=""),"",_xlfn.LET(
    _xlpm.channel,$D67,
    _xlpm.rowNum,_xlfn.XMATCH(_xlpm.channel,'2B RotationRule'!$C:$C,0),
    _xlpm.factorRow,INDEX('2B RotationRule'!$E:$AE,_xlpm.rowNum,0),
    _xlpm.factorNum,_xlfn.XMATCH(1,_xlpm.factorRow,0),
    IF(ISERROR(_xlpm.factorNum),"","Factor"&amp;_xlpm.factorNum)
))</f>
        <v>Factor10</v>
      </c>
      <c r="D67" s="123" t="str">
        <f>'2B RotationRule'!C12</f>
        <v>dLevel_T2_10</v>
      </c>
      <c r="E67" s="2">
        <f t="shared" ca="1" si="4"/>
        <v>2.1053326780691814E-2</v>
      </c>
      <c r="F67" s="2">
        <f t="shared" ca="1" si="4"/>
        <v>2.1925164074788468E-2</v>
      </c>
      <c r="G67" s="2">
        <f t="shared" ca="1" si="4"/>
        <v>2.1053326780691814E-2</v>
      </c>
      <c r="H67" s="145">
        <f t="shared" ca="1" si="4"/>
        <v>2.1925164074788468E-2</v>
      </c>
      <c r="I67" s="145">
        <f t="shared" ca="1" si="4"/>
        <v>6.2482574529802444E-2</v>
      </c>
      <c r="J67" s="145">
        <f t="shared" ca="1" si="4"/>
        <v>0</v>
      </c>
      <c r="K67" s="145">
        <f t="shared" ca="1" si="4"/>
        <v>0</v>
      </c>
      <c r="L67" s="145">
        <f t="shared" ca="1" si="4"/>
        <v>0</v>
      </c>
      <c r="M67" s="145">
        <f t="shared" ca="1" si="4"/>
        <v>0</v>
      </c>
      <c r="N67" s="145">
        <f t="shared" ca="1" si="4"/>
        <v>0</v>
      </c>
      <c r="O67" s="145">
        <f t="shared" ca="1" si="5"/>
        <v>0</v>
      </c>
      <c r="P67" s="145">
        <f t="shared" ca="1" si="5"/>
        <v>0</v>
      </c>
      <c r="Q67" s="145">
        <f t="shared" ca="1" si="5"/>
        <v>0</v>
      </c>
      <c r="R67" s="145">
        <f t="shared" ca="1" si="5"/>
        <v>0</v>
      </c>
      <c r="S67" s="145">
        <f t="shared" ca="1" si="5"/>
        <v>0</v>
      </c>
      <c r="T67" s="145">
        <f t="shared" ca="1" si="5"/>
        <v>0</v>
      </c>
      <c r="U67" s="145">
        <f t="shared" ca="1" si="5"/>
        <v>0</v>
      </c>
      <c r="V67" s="145">
        <f t="shared" ca="1" si="5"/>
        <v>0</v>
      </c>
      <c r="W67" s="145">
        <f t="shared" ca="1" si="5"/>
        <v>0</v>
      </c>
      <c r="X67" s="145">
        <f t="shared" ca="1" si="5"/>
        <v>0</v>
      </c>
      <c r="Y67" s="10">
        <f>IFERROR(_xlfn.XLOOKUP(D67,'2C 均值'!$A:$A,'2C 均值'!$E:$E),0)</f>
        <v>2.180451127819549E-2</v>
      </c>
      <c r="Z67" s="10">
        <f t="array" aca="1" ref="Z67" ca="1">IF(OR($D67=0,$D67=""),"",_xlfn.LET(
        _xlpm.channel,$D67,
        _xlpm.factorName,$C67,
        _xlpm.factorNum,IF(_xlpm.factorName="","",VALUE(RIGHT(_xlpm.factorName,LEN(_xlpm.factorName)-6))),
        _xlpm.flMatrixStart,_xlfn.XMATCH("Rotation Method: Procrustes with Kaiser Normalization.",'2B FL'!$A:$A,0),
        _xlpm.channelRow,IFERROR(_xlfn.XMATCH(_xlpm.channel,OFFSET('2B FL'!$B$1,_xlpm.flMatrixStart+2,0,100,1),0),0),
        IF(OR(_xlpm.channelRow=0,_xlpm.factorNum=""),"",INDEX(OFFSET('2B FL'!$D$1,_xlpm.flMatrixStart+2,0,100,27),_xlpm.channelRow,_xlpm.factorNum))
    ))</f>
        <v>0.92212711696919714</v>
      </c>
      <c r="AA67" s="6"/>
      <c r="AB67" s="6"/>
      <c r="AC67" s="6"/>
      <c r="AD67" s="9"/>
      <c r="AE67" s="9"/>
      <c r="AF67" s="9"/>
      <c r="AG67" s="9"/>
      <c r="AH67" s="9"/>
      <c r="AI67" s="9"/>
      <c r="AJ67" s="9"/>
    </row>
    <row r="68" spans="3:36" ht="15.75" customHeight="1" x14ac:dyDescent="0.3">
      <c r="C68" s="87" t="str">
        <f>IF(OR($D68=0,$D68=""),"",_xlfn.LET(
    _xlpm.channel,$D68,
    _xlpm.rowNum,_xlfn.XMATCH(_xlpm.channel,'2B RotationRule'!$C:$C,0),
    _xlpm.factorRow,INDEX('2B RotationRule'!$E:$AE,_xlpm.rowNum,0),
    _xlpm.factorNum,_xlfn.XMATCH(1,_xlpm.factorRow,0),
    IF(ISERROR(_xlpm.factorNum),"","Factor"&amp;_xlpm.factorNum)
))</f>
        <v>Factor11</v>
      </c>
      <c r="D68" s="123" t="str">
        <f>'2B RotationRule'!C13</f>
        <v>dLevel_T2_11</v>
      </c>
      <c r="E68" s="2">
        <f t="shared" ref="E68:N77" ca="1" si="6">IFERROR(_xlfn.XLOOKUP($C68,$D$3:$D$40,E$3:E$40)*$Z68,0)</f>
        <v>3.5992655123074861E-2</v>
      </c>
      <c r="F68" s="2">
        <f t="shared" ca="1" si="6"/>
        <v>4.1425874390075723E-2</v>
      </c>
      <c r="G68" s="2">
        <f t="shared" ca="1" si="6"/>
        <v>3.5992655123074861E-2</v>
      </c>
      <c r="H68" s="145">
        <f t="shared" ca="1" si="6"/>
        <v>4.1425874390075723E-2</v>
      </c>
      <c r="I68" s="145">
        <f t="shared" ca="1" si="6"/>
        <v>0.10094824119200589</v>
      </c>
      <c r="J68" s="145">
        <f t="shared" ca="1" si="6"/>
        <v>0</v>
      </c>
      <c r="K68" s="145">
        <f t="shared" ca="1" si="6"/>
        <v>0</v>
      </c>
      <c r="L68" s="145">
        <f t="shared" ca="1" si="6"/>
        <v>0</v>
      </c>
      <c r="M68" s="145">
        <f t="shared" ca="1" si="6"/>
        <v>0</v>
      </c>
      <c r="N68" s="145">
        <f t="shared" ca="1" si="6"/>
        <v>0</v>
      </c>
      <c r="O68" s="145">
        <f t="shared" ref="O68:X77" ca="1" si="7">IFERROR(_xlfn.XLOOKUP($C68,$D$3:$D$40,O$3:O$40)*$Z68,0)</f>
        <v>0</v>
      </c>
      <c r="P68" s="145">
        <f t="shared" ca="1" si="7"/>
        <v>0</v>
      </c>
      <c r="Q68" s="145">
        <f t="shared" ca="1" si="7"/>
        <v>0</v>
      </c>
      <c r="R68" s="145">
        <f t="shared" ca="1" si="7"/>
        <v>0</v>
      </c>
      <c r="S68" s="145">
        <f t="shared" ca="1" si="7"/>
        <v>0</v>
      </c>
      <c r="T68" s="145">
        <f t="shared" ca="1" si="7"/>
        <v>0</v>
      </c>
      <c r="U68" s="145">
        <f t="shared" ca="1" si="7"/>
        <v>0</v>
      </c>
      <c r="V68" s="145">
        <f t="shared" ca="1" si="7"/>
        <v>0</v>
      </c>
      <c r="W68" s="145">
        <f t="shared" ca="1" si="7"/>
        <v>0</v>
      </c>
      <c r="X68" s="145">
        <f t="shared" ca="1" si="7"/>
        <v>0</v>
      </c>
      <c r="Y68" s="10">
        <f>IFERROR(_xlfn.XLOOKUP(D68,'2C 均值'!$A:$A,'2C 均值'!$E:$E),0)</f>
        <v>3.6278195488721812E-2</v>
      </c>
      <c r="Z68" s="10">
        <f t="array" aca="1" ref="Z68" ca="1">IF(OR($D68=0,$D68=""),"",_xlfn.LET(
        _xlpm.channel,$D68,
        _xlpm.factorName,$C68,
        _xlpm.factorNum,IF(_xlpm.factorName="","",VALUE(RIGHT(_xlpm.factorName,LEN(_xlpm.factorName)-6))),
        _xlpm.flMatrixStart,_xlfn.XMATCH("Rotation Method: Procrustes with Kaiser Normalization.",'2B FL'!$A:$A,0),
        _xlpm.channelRow,IFERROR(_xlfn.XMATCH(_xlpm.channel,OFFSET('2B FL'!$B$1,_xlpm.flMatrixStart+2,0,100,1),0),0),
        IF(OR(_xlpm.channelRow=0,_xlpm.factorNum=""),"",INDEX(OFFSET('2B FL'!$D$1,_xlpm.flMatrixStart+2,0,100,27),_xlpm.channelRow,_xlpm.factorNum))
    ))</f>
        <v>0.90894625561943931</v>
      </c>
      <c r="AA68" s="6"/>
      <c r="AB68" s="6"/>
      <c r="AC68" s="6"/>
      <c r="AD68" s="9"/>
      <c r="AE68" s="9"/>
      <c r="AF68" s="9"/>
      <c r="AG68" s="9"/>
      <c r="AH68" s="9"/>
      <c r="AI68" s="9"/>
      <c r="AJ68" s="9"/>
    </row>
    <row r="69" spans="3:36" ht="15.75" customHeight="1" x14ac:dyDescent="0.3">
      <c r="C69" s="87" t="str">
        <f>IF(OR($D69=0,$D69=""),"",_xlfn.LET(
    _xlpm.channel,$D69,
    _xlpm.rowNum,_xlfn.XMATCH(_xlpm.channel,'2B RotationRule'!$C:$C,0),
    _xlpm.factorRow,INDEX('2B RotationRule'!$E:$AE,_xlpm.rowNum,0),
    _xlpm.factorNum,_xlfn.XMATCH(1,_xlpm.factorRow,0),
    IF(ISERROR(_xlpm.factorNum),"","Factor"&amp;_xlpm.factorNum)
))</f>
        <v>Factor12</v>
      </c>
      <c r="D69" s="123" t="str">
        <f>'2B RotationRule'!C14</f>
        <v>dLevel_T2_12</v>
      </c>
      <c r="E69" s="2">
        <f t="shared" ca="1" si="6"/>
        <v>4.3410521715814165E-2</v>
      </c>
      <c r="F69" s="2">
        <f t="shared" ca="1" si="6"/>
        <v>1.8539084265974438E-2</v>
      </c>
      <c r="G69" s="2">
        <f t="shared" ca="1" si="6"/>
        <v>4.3410521715814165E-2</v>
      </c>
      <c r="H69" s="145">
        <f t="shared" ca="1" si="6"/>
        <v>1.8539084265974438E-2</v>
      </c>
      <c r="I69" s="145">
        <f t="shared" ca="1" si="6"/>
        <v>4.5910204917901848E-2</v>
      </c>
      <c r="J69" s="145">
        <f t="shared" ca="1" si="6"/>
        <v>0</v>
      </c>
      <c r="K69" s="145">
        <f t="shared" ca="1" si="6"/>
        <v>0</v>
      </c>
      <c r="L69" s="145">
        <f t="shared" ca="1" si="6"/>
        <v>0</v>
      </c>
      <c r="M69" s="145">
        <f t="shared" ca="1" si="6"/>
        <v>0</v>
      </c>
      <c r="N69" s="145">
        <f t="shared" ca="1" si="6"/>
        <v>0</v>
      </c>
      <c r="O69" s="145">
        <f t="shared" ca="1" si="7"/>
        <v>0</v>
      </c>
      <c r="P69" s="145">
        <f t="shared" ca="1" si="7"/>
        <v>0</v>
      </c>
      <c r="Q69" s="145">
        <f t="shared" ca="1" si="7"/>
        <v>0</v>
      </c>
      <c r="R69" s="145">
        <f t="shared" ca="1" si="7"/>
        <v>0</v>
      </c>
      <c r="S69" s="145">
        <f t="shared" ca="1" si="7"/>
        <v>0</v>
      </c>
      <c r="T69" s="145">
        <f t="shared" ca="1" si="7"/>
        <v>0</v>
      </c>
      <c r="U69" s="145">
        <f t="shared" ca="1" si="7"/>
        <v>0</v>
      </c>
      <c r="V69" s="145">
        <f t="shared" ca="1" si="7"/>
        <v>0</v>
      </c>
      <c r="W69" s="145">
        <f t="shared" ca="1" si="7"/>
        <v>0</v>
      </c>
      <c r="X69" s="145">
        <f t="shared" ca="1" si="7"/>
        <v>0</v>
      </c>
      <c r="Y69" s="10">
        <f>IFERROR(_xlfn.XLOOKUP(D69,'2C 均值'!$A:$A,'2C 均值'!$E:$E),0)</f>
        <v>1.635338345864662E-2</v>
      </c>
      <c r="Z69" s="10">
        <f t="array" aca="1" ref="Z69" ca="1">IF(OR($D69=0,$D69=""),"",_xlfn.LET(
        _xlpm.channel,$D69,
        _xlpm.factorName,$C69,
        _xlpm.factorNum,IF(_xlpm.factorName="","",VALUE(RIGHT(_xlpm.factorName,LEN(_xlpm.factorName)-6))),
        _xlpm.flMatrixStart,_xlfn.XMATCH("Rotation Method: Procrustes with Kaiser Normalization.",'2B FL'!$A:$A,0),
        _xlpm.channelRow,IFERROR(_xlfn.XMATCH(_xlpm.channel,OFFSET('2B FL'!$B$1,_xlpm.flMatrixStart+2,0,100,1),0),0),
        IF(OR(_xlpm.channelRow=0,_xlpm.factorNum=""),"",INDEX(OFFSET('2B FL'!$D$1,_xlpm.flMatrixStart+2,0,100,27),_xlpm.channelRow,_xlpm.factorNum))
    ))</f>
        <v>0.9417346658306911</v>
      </c>
      <c r="AA69" s="6"/>
      <c r="AB69" s="6"/>
      <c r="AC69" s="6"/>
      <c r="AD69" s="9"/>
      <c r="AE69" s="9"/>
      <c r="AF69" s="9"/>
      <c r="AG69" s="9"/>
      <c r="AH69" s="9"/>
      <c r="AI69" s="9"/>
      <c r="AJ69" s="9"/>
    </row>
    <row r="70" spans="3:36" ht="15.75" customHeight="1" x14ac:dyDescent="0.3">
      <c r="C70" s="87" t="str">
        <f>IF(OR($D70=0,$D70=""),"",_xlfn.LET(
    _xlpm.channel,$D70,
    _xlpm.rowNum,_xlfn.XMATCH(_xlpm.channel,'2B RotationRule'!$C:$C,0),
    _xlpm.factorRow,INDEX('2B RotationRule'!$E:$AE,_xlpm.rowNum,0),
    _xlpm.factorNum,_xlfn.XMATCH(1,_xlpm.factorRow,0),
    IF(ISERROR(_xlpm.factorNum),"","Factor"&amp;_xlpm.factorNum)
))</f>
        <v>Factor13</v>
      </c>
      <c r="D70" s="123" t="str">
        <f>'2B RotationRule'!C15</f>
        <v>dLevel_T2_13</v>
      </c>
      <c r="E70" s="2">
        <f t="shared" ca="1" si="6"/>
        <v>2.2459528219110368E-2</v>
      </c>
      <c r="F70" s="2">
        <f t="shared" ca="1" si="6"/>
        <v>-1.6497797800450527E-2</v>
      </c>
      <c r="G70" s="2">
        <f t="shared" ca="1" si="6"/>
        <v>2.2459528219110368E-2</v>
      </c>
      <c r="H70" s="145">
        <f t="shared" ca="1" si="6"/>
        <v>-1.6497797800450527E-2</v>
      </c>
      <c r="I70" s="145">
        <f t="shared" ca="1" si="6"/>
        <v>5.979254624537933E-2</v>
      </c>
      <c r="J70" s="145">
        <f t="shared" ca="1" si="6"/>
        <v>0</v>
      </c>
      <c r="K70" s="145">
        <f t="shared" ca="1" si="6"/>
        <v>0</v>
      </c>
      <c r="L70" s="145">
        <f t="shared" ca="1" si="6"/>
        <v>0</v>
      </c>
      <c r="M70" s="145">
        <f t="shared" ca="1" si="6"/>
        <v>0</v>
      </c>
      <c r="N70" s="145">
        <f t="shared" ca="1" si="6"/>
        <v>0</v>
      </c>
      <c r="O70" s="145">
        <f t="shared" ca="1" si="7"/>
        <v>0</v>
      </c>
      <c r="P70" s="145">
        <f t="shared" ca="1" si="7"/>
        <v>0</v>
      </c>
      <c r="Q70" s="145">
        <f t="shared" ca="1" si="7"/>
        <v>0</v>
      </c>
      <c r="R70" s="145">
        <f t="shared" ca="1" si="7"/>
        <v>0</v>
      </c>
      <c r="S70" s="145">
        <f t="shared" ca="1" si="7"/>
        <v>0</v>
      </c>
      <c r="T70" s="145">
        <f t="shared" ca="1" si="7"/>
        <v>0</v>
      </c>
      <c r="U70" s="145">
        <f t="shared" ca="1" si="7"/>
        <v>0</v>
      </c>
      <c r="V70" s="145">
        <f t="shared" ca="1" si="7"/>
        <v>0</v>
      </c>
      <c r="W70" s="145">
        <f t="shared" ca="1" si="7"/>
        <v>0</v>
      </c>
      <c r="X70" s="145">
        <f t="shared" ca="1" si="7"/>
        <v>0</v>
      </c>
      <c r="Y70" s="10">
        <f>IFERROR(_xlfn.XLOOKUP(D70,'2C 均值'!$A:$A,'2C 均值'!$E:$E),0)</f>
        <v>1.165413533834586E-2</v>
      </c>
      <c r="Z70" s="10">
        <f t="array" aca="1" ref="Z70" ca="1">IF(OR($D70=0,$D70=""),"",_xlfn.LET(
        _xlpm.channel,$D70,
        _xlpm.factorName,$C70,
        _xlpm.factorNum,IF(_xlpm.factorName="","",VALUE(RIGHT(_xlpm.factorName,LEN(_xlpm.factorName)-6))),
        _xlpm.flMatrixStart,_xlfn.XMATCH("Rotation Method: Procrustes with Kaiser Normalization.",'2B FL'!$A:$A,0),
        _xlpm.channelRow,IFERROR(_xlfn.XMATCH(_xlpm.channel,OFFSET('2B FL'!$B$1,_xlpm.flMatrixStart+2,0,100,1),0),0),
        IF(OR(_xlpm.channelRow=0,_xlpm.factorNum=""),"",INDEX(OFFSET('2B FL'!$D$1,_xlpm.flMatrixStart+2,0,100,27),_xlpm.channelRow,_xlpm.factorNum))
    ))</f>
        <v>0.95866516568724069</v>
      </c>
      <c r="AA70" s="6"/>
      <c r="AB70" s="6"/>
      <c r="AC70" s="6"/>
      <c r="AD70" s="9"/>
      <c r="AE70" s="9"/>
      <c r="AF70" s="9"/>
      <c r="AG70" s="9"/>
      <c r="AH70" s="9"/>
      <c r="AI70" s="9"/>
      <c r="AJ70" s="9"/>
    </row>
    <row r="71" spans="3:36" ht="15.75" customHeight="1" x14ac:dyDescent="0.3">
      <c r="C71" s="87" t="str">
        <f>IF(OR($D71=0,$D71=""),"",_xlfn.LET(
    _xlpm.channel,$D71,
    _xlpm.rowNum,_xlfn.XMATCH(_xlpm.channel,'2B RotationRule'!$C:$C,0),
    _xlpm.factorRow,INDEX('2B RotationRule'!$E:$AE,_xlpm.rowNum,0),
    _xlpm.factorNum,_xlfn.XMATCH(1,_xlpm.factorRow,0),
    IF(ISERROR(_xlpm.factorNum),"","Factor"&amp;_xlpm.factorNum)
))</f>
        <v>Factor14</v>
      </c>
      <c r="D71" s="123" t="str">
        <f>'2B RotationRule'!C16</f>
        <v>dLevel_T2_14</v>
      </c>
      <c r="E71" s="2">
        <f t="shared" ca="1" si="6"/>
        <v>2.188548323266587E-2</v>
      </c>
      <c r="F71" s="2">
        <f t="shared" ca="1" si="6"/>
        <v>2.8647437436370451E-2</v>
      </c>
      <c r="G71" s="2">
        <f t="shared" ca="1" si="6"/>
        <v>2.188548323266587E-2</v>
      </c>
      <c r="H71" s="145">
        <f t="shared" ca="1" si="6"/>
        <v>2.8647437436370451E-2</v>
      </c>
      <c r="I71" s="145">
        <f t="shared" ca="1" si="6"/>
        <v>9.6689717234283032E-2</v>
      </c>
      <c r="J71" s="145">
        <f t="shared" ca="1" si="6"/>
        <v>0</v>
      </c>
      <c r="K71" s="145">
        <f t="shared" ca="1" si="6"/>
        <v>0</v>
      </c>
      <c r="L71" s="145">
        <f t="shared" ca="1" si="6"/>
        <v>0</v>
      </c>
      <c r="M71" s="145">
        <f t="shared" ca="1" si="6"/>
        <v>0</v>
      </c>
      <c r="N71" s="145">
        <f t="shared" ca="1" si="6"/>
        <v>0</v>
      </c>
      <c r="O71" s="145">
        <f t="shared" ca="1" si="7"/>
        <v>0</v>
      </c>
      <c r="P71" s="145">
        <f t="shared" ca="1" si="7"/>
        <v>0</v>
      </c>
      <c r="Q71" s="145">
        <f t="shared" ca="1" si="7"/>
        <v>0</v>
      </c>
      <c r="R71" s="145">
        <f t="shared" ca="1" si="7"/>
        <v>0</v>
      </c>
      <c r="S71" s="145">
        <f t="shared" ca="1" si="7"/>
        <v>0</v>
      </c>
      <c r="T71" s="145">
        <f t="shared" ca="1" si="7"/>
        <v>0</v>
      </c>
      <c r="U71" s="145">
        <f t="shared" ca="1" si="7"/>
        <v>0</v>
      </c>
      <c r="V71" s="145">
        <f t="shared" ca="1" si="7"/>
        <v>0</v>
      </c>
      <c r="W71" s="145">
        <f t="shared" ca="1" si="7"/>
        <v>0</v>
      </c>
      <c r="X71" s="145">
        <f t="shared" ca="1" si="7"/>
        <v>0</v>
      </c>
      <c r="Y71" s="10">
        <f>IFERROR(_xlfn.XLOOKUP(D71,'2C 均值'!$A:$A,'2C 均值'!$E:$E),0)</f>
        <v>2.424812030075188E-2</v>
      </c>
      <c r="Z71" s="10">
        <f t="array" aca="1" ref="Z71" ca="1">IF(OR($D71=0,$D71=""),"",_xlfn.LET(
        _xlpm.channel,$D71,
        _xlpm.factorName,$C71,
        _xlpm.factorNum,IF(_xlpm.factorName="","",VALUE(RIGHT(_xlpm.factorName,LEN(_xlpm.factorName)-6))),
        _xlpm.flMatrixStart,_xlfn.XMATCH("Rotation Method: Procrustes with Kaiser Normalization.",'2B FL'!$A:$A,0),
        _xlpm.channelRow,IFERROR(_xlfn.XMATCH(_xlpm.channel,OFFSET('2B FL'!$B$1,_xlpm.flMatrixStart+2,0,100,1),0),0),
        IF(OR(_xlpm.channelRow=0,_xlpm.factorNum=""),"",INDEX(OFFSET('2B FL'!$D$1,_xlpm.flMatrixStart+2,0,100,27),_xlpm.channelRow,_xlpm.factorNum))
    ))</f>
        <v>0.93584513565213601</v>
      </c>
      <c r="AA71" s="6"/>
      <c r="AB71" s="6"/>
      <c r="AC71" s="6"/>
      <c r="AD71" s="9"/>
      <c r="AE71" s="9"/>
      <c r="AF71" s="9"/>
      <c r="AG71" s="9"/>
      <c r="AH71" s="9"/>
      <c r="AI71" s="9"/>
      <c r="AJ71" s="9"/>
    </row>
    <row r="72" spans="3:36" ht="15.75" customHeight="1" x14ac:dyDescent="0.3">
      <c r="C72" s="87" t="str">
        <f>IF(OR($D72=0,$D72=""),"",_xlfn.LET(
    _xlpm.channel,$D72,
    _xlpm.rowNum,_xlfn.XMATCH(_xlpm.channel,'2B RotationRule'!$C:$C,0),
    _xlpm.factorRow,INDEX('2B RotationRule'!$E:$AE,_xlpm.rowNum,0),
    _xlpm.factorNum,_xlfn.XMATCH(1,_xlpm.factorRow,0),
    IF(ISERROR(_xlpm.factorNum),"","Factor"&amp;_xlpm.factorNum)
))</f>
        <v>Factor15</v>
      </c>
      <c r="D72" s="123" t="str">
        <f>'2B RotationRule'!C17</f>
        <v>dLevel_T2_15</v>
      </c>
      <c r="E72" s="2">
        <f t="shared" ca="1" si="6"/>
        <v>2.1032086051352865E-2</v>
      </c>
      <c r="F72" s="2">
        <f t="shared" ca="1" si="6"/>
        <v>-2.8311082845046574E-3</v>
      </c>
      <c r="G72" s="2">
        <f t="shared" ca="1" si="6"/>
        <v>2.1032086051352865E-2</v>
      </c>
      <c r="H72" s="145">
        <f t="shared" ca="1" si="6"/>
        <v>-2.8311082845046574E-3</v>
      </c>
      <c r="I72" s="145">
        <f t="shared" ca="1" si="6"/>
        <v>8.9919760486629183E-2</v>
      </c>
      <c r="J72" s="145">
        <f t="shared" ca="1" si="6"/>
        <v>0</v>
      </c>
      <c r="K72" s="145">
        <f t="shared" ca="1" si="6"/>
        <v>0</v>
      </c>
      <c r="L72" s="145">
        <f t="shared" ca="1" si="6"/>
        <v>0</v>
      </c>
      <c r="M72" s="145">
        <f t="shared" ca="1" si="6"/>
        <v>0</v>
      </c>
      <c r="N72" s="145">
        <f t="shared" ca="1" si="6"/>
        <v>0</v>
      </c>
      <c r="O72" s="145">
        <f t="shared" ca="1" si="7"/>
        <v>0</v>
      </c>
      <c r="P72" s="145">
        <f t="shared" ca="1" si="7"/>
        <v>0</v>
      </c>
      <c r="Q72" s="145">
        <f t="shared" ca="1" si="7"/>
        <v>0</v>
      </c>
      <c r="R72" s="145">
        <f t="shared" ca="1" si="7"/>
        <v>0</v>
      </c>
      <c r="S72" s="145">
        <f t="shared" ca="1" si="7"/>
        <v>0</v>
      </c>
      <c r="T72" s="145">
        <f t="shared" ca="1" si="7"/>
        <v>0</v>
      </c>
      <c r="U72" s="145">
        <f t="shared" ca="1" si="7"/>
        <v>0</v>
      </c>
      <c r="V72" s="145">
        <f t="shared" ca="1" si="7"/>
        <v>0</v>
      </c>
      <c r="W72" s="145">
        <f t="shared" ca="1" si="7"/>
        <v>0</v>
      </c>
      <c r="X72" s="145">
        <f t="shared" ca="1" si="7"/>
        <v>0</v>
      </c>
      <c r="Y72" s="10">
        <f>IFERROR(_xlfn.XLOOKUP(D72,'2C 均值'!$A:$A,'2C 均值'!$E:$E),0)</f>
        <v>1.7105263157894741E-2</v>
      </c>
      <c r="Z72" s="10">
        <f t="array" aca="1" ref="Z72" ca="1">IF(OR($D72=0,$D72=""),"",_xlfn.LET(
        _xlpm.channel,$D72,
        _xlpm.factorName,$C72,
        _xlpm.factorNum,IF(_xlpm.factorName="","",VALUE(RIGHT(_xlpm.factorName,LEN(_xlpm.factorName)-6))),
        _xlpm.flMatrixStart,_xlfn.XMATCH("Rotation Method: Procrustes with Kaiser Normalization.",'2B FL'!$A:$A,0),
        _xlpm.channelRow,IFERROR(_xlfn.XMATCH(_xlpm.channel,OFFSET('2B FL'!$B$1,_xlpm.flMatrixStart+2,0,100,1),0),0),
        IF(OR(_xlpm.channelRow=0,_xlpm.factorNum=""),"",INDEX(OFFSET('2B FL'!$D$1,_xlpm.flMatrixStart+2,0,100,27),_xlpm.channelRow,_xlpm.factorNum))
    ))</f>
        <v>0.95007925393593828</v>
      </c>
      <c r="AA72" s="6"/>
      <c r="AB72" s="6"/>
      <c r="AC72" s="6"/>
      <c r="AD72" s="9"/>
      <c r="AE72" s="9"/>
      <c r="AF72" s="9"/>
      <c r="AG72" s="9"/>
      <c r="AH72" s="9"/>
      <c r="AI72" s="9"/>
      <c r="AJ72" s="9"/>
    </row>
    <row r="73" spans="3:36" ht="15.75" customHeight="1" x14ac:dyDescent="0.3">
      <c r="C73" s="87" t="str">
        <f>IF(OR($D73=0,$D73=""),"",_xlfn.LET(
    _xlpm.channel,$D73,
    _xlpm.rowNum,_xlfn.XMATCH(_xlpm.channel,'2B RotationRule'!$C:$C,0),
    _xlpm.factorRow,INDEX('2B RotationRule'!$E:$AE,_xlpm.rowNum,0),
    _xlpm.factorNum,_xlfn.XMATCH(1,_xlpm.factorRow,0),
    IF(ISERROR(_xlpm.factorNum),"","Factor"&amp;_xlpm.factorNum)
))</f>
        <v>Factor16</v>
      </c>
      <c r="D73" s="123" t="str">
        <f>'2B RotationRule'!C18</f>
        <v>dLevel_T2_16</v>
      </c>
      <c r="E73" s="2">
        <f t="shared" ca="1" si="6"/>
        <v>1.7508179240042599E-2</v>
      </c>
      <c r="F73" s="2">
        <f t="shared" ca="1" si="6"/>
        <v>1.5324587599407715E-2</v>
      </c>
      <c r="G73" s="2">
        <f t="shared" ca="1" si="6"/>
        <v>1.7508179240042599E-2</v>
      </c>
      <c r="H73" s="145">
        <f t="shared" ca="1" si="6"/>
        <v>1.5324587599407715E-2</v>
      </c>
      <c r="I73" s="145">
        <f t="shared" ca="1" si="6"/>
        <v>9.6392707623585372E-2</v>
      </c>
      <c r="J73" s="145">
        <f t="shared" ca="1" si="6"/>
        <v>0</v>
      </c>
      <c r="K73" s="145">
        <f t="shared" ca="1" si="6"/>
        <v>0</v>
      </c>
      <c r="L73" s="145">
        <f t="shared" ca="1" si="6"/>
        <v>0</v>
      </c>
      <c r="M73" s="145">
        <f t="shared" ca="1" si="6"/>
        <v>0</v>
      </c>
      <c r="N73" s="145">
        <f t="shared" ca="1" si="6"/>
        <v>0</v>
      </c>
      <c r="O73" s="145">
        <f t="shared" ca="1" si="7"/>
        <v>0</v>
      </c>
      <c r="P73" s="145">
        <f t="shared" ca="1" si="7"/>
        <v>0</v>
      </c>
      <c r="Q73" s="145">
        <f t="shared" ca="1" si="7"/>
        <v>0</v>
      </c>
      <c r="R73" s="145">
        <f t="shared" ca="1" si="7"/>
        <v>0</v>
      </c>
      <c r="S73" s="145">
        <f t="shared" ca="1" si="7"/>
        <v>0</v>
      </c>
      <c r="T73" s="145">
        <f t="shared" ca="1" si="7"/>
        <v>0</v>
      </c>
      <c r="U73" s="145">
        <f t="shared" ca="1" si="7"/>
        <v>0</v>
      </c>
      <c r="V73" s="145">
        <f t="shared" ca="1" si="7"/>
        <v>0</v>
      </c>
      <c r="W73" s="145">
        <f t="shared" ca="1" si="7"/>
        <v>0</v>
      </c>
      <c r="X73" s="145">
        <f t="shared" ca="1" si="7"/>
        <v>0</v>
      </c>
      <c r="Y73" s="10">
        <f>IFERROR(_xlfn.XLOOKUP(D73,'2C 均值'!$A:$A,'2C 均值'!$E:$E),0)</f>
        <v>1.9360902255639099E-2</v>
      </c>
      <c r="Z73" s="10">
        <f t="array" aca="1" ref="Z73" ca="1">IF(OR($D73=0,$D73=""),"",_xlfn.LET(
        _xlpm.channel,$D73,
        _xlpm.factorName,$C73,
        _xlpm.factorNum,IF(_xlpm.factorName="","",VALUE(RIGHT(_xlpm.factorName,LEN(_xlpm.factorName)-6))),
        _xlpm.flMatrixStart,_xlfn.XMATCH("Rotation Method: Procrustes with Kaiser Normalization.",'2B FL'!$A:$A,0),
        _xlpm.channelRow,IFERROR(_xlfn.XMATCH(_xlpm.channel,OFFSET('2B FL'!$B$1,_xlpm.flMatrixStart+2,0,100,1),0),0),
        IF(OR(_xlpm.channelRow=0,_xlpm.factorNum=""),"",INDEX(OFFSET('2B FL'!$D$1,_xlpm.flMatrixStart+2,0,100,27),_xlpm.channelRow,_xlpm.factorNum))
    ))</f>
        <v>0.94834636213288181</v>
      </c>
      <c r="AA73" s="6"/>
      <c r="AB73" s="6"/>
      <c r="AC73" s="6"/>
      <c r="AD73" s="9"/>
      <c r="AE73" s="9"/>
      <c r="AF73" s="9"/>
      <c r="AG73" s="9"/>
      <c r="AH73" s="9"/>
      <c r="AI73" s="9"/>
      <c r="AJ73" s="9"/>
    </row>
    <row r="74" spans="3:36" ht="15.75" customHeight="1" x14ac:dyDescent="0.3">
      <c r="C74" s="87" t="str">
        <f>IF(OR($D74=0,$D74=""),"",_xlfn.LET(
    _xlpm.channel,$D74,
    _xlpm.rowNum,_xlfn.XMATCH(_xlpm.channel,'2B RotationRule'!$C:$C,0),
    _xlpm.factorRow,INDEX('2B RotationRule'!$E:$AE,_xlpm.rowNum,0),
    _xlpm.factorNum,_xlfn.XMATCH(1,_xlpm.factorRow,0),
    IF(ISERROR(_xlpm.factorNum),"","Factor"&amp;_xlpm.factorNum)
))</f>
        <v>Factor17</v>
      </c>
      <c r="D74" s="123" t="str">
        <f>'2B RotationRule'!C19</f>
        <v>dLevel_T2_17</v>
      </c>
      <c r="E74" s="2">
        <f t="shared" ca="1" si="6"/>
        <v>6.230302292469749E-3</v>
      </c>
      <c r="F74" s="2">
        <f t="shared" ca="1" si="6"/>
        <v>1.3902272122107732E-2</v>
      </c>
      <c r="G74" s="2">
        <f t="shared" ca="1" si="6"/>
        <v>6.230302292469749E-3</v>
      </c>
      <c r="H74" s="145">
        <f t="shared" ca="1" si="6"/>
        <v>1.3902272122107732E-2</v>
      </c>
      <c r="I74" s="145">
        <f t="shared" ca="1" si="6"/>
        <v>0.10842933959102537</v>
      </c>
      <c r="J74" s="145">
        <f t="shared" ca="1" si="6"/>
        <v>0</v>
      </c>
      <c r="K74" s="145">
        <f t="shared" ca="1" si="6"/>
        <v>0</v>
      </c>
      <c r="L74" s="145">
        <f t="shared" ca="1" si="6"/>
        <v>0</v>
      </c>
      <c r="M74" s="145">
        <f t="shared" ca="1" si="6"/>
        <v>0</v>
      </c>
      <c r="N74" s="145">
        <f t="shared" ca="1" si="6"/>
        <v>0</v>
      </c>
      <c r="O74" s="145">
        <f t="shared" ca="1" si="7"/>
        <v>0</v>
      </c>
      <c r="P74" s="145">
        <f t="shared" ca="1" si="7"/>
        <v>0</v>
      </c>
      <c r="Q74" s="145">
        <f t="shared" ca="1" si="7"/>
        <v>0</v>
      </c>
      <c r="R74" s="145">
        <f t="shared" ca="1" si="7"/>
        <v>0</v>
      </c>
      <c r="S74" s="145">
        <f t="shared" ca="1" si="7"/>
        <v>0</v>
      </c>
      <c r="T74" s="145">
        <f t="shared" ca="1" si="7"/>
        <v>0</v>
      </c>
      <c r="U74" s="145">
        <f t="shared" ca="1" si="7"/>
        <v>0</v>
      </c>
      <c r="V74" s="145">
        <f t="shared" ca="1" si="7"/>
        <v>0</v>
      </c>
      <c r="W74" s="145">
        <f t="shared" ca="1" si="7"/>
        <v>0</v>
      </c>
      <c r="X74" s="145">
        <f t="shared" ca="1" si="7"/>
        <v>0</v>
      </c>
      <c r="Y74" s="10">
        <f>IFERROR(_xlfn.XLOOKUP(D74,'2C 均值'!$A:$A,'2C 均值'!$E:$E),0)</f>
        <v>2.4812030075187969E-2</v>
      </c>
      <c r="Z74" s="10">
        <f t="array" aca="1" ref="Z74" ca="1">IF(OR($D74=0,$D74=""),"",_xlfn.LET(
        _xlpm.channel,$D74,
        _xlpm.factorName,$C74,
        _xlpm.factorNum,IF(_xlpm.factorName="","",VALUE(RIGHT(_xlpm.factorName,LEN(_xlpm.factorName)-6))),
        _xlpm.flMatrixStart,_xlfn.XMATCH("Rotation Method: Procrustes with Kaiser Normalization.",'2B FL'!$A:$A,0),
        _xlpm.channelRow,IFERROR(_xlfn.XMATCH(_xlpm.channel,OFFSET('2B FL'!$B$1,_xlpm.flMatrixStart+2,0,100,1),0),0),
        IF(OR(_xlpm.channelRow=0,_xlpm.factorNum=""),"",INDEX(OFFSET('2B FL'!$D$1,_xlpm.flMatrixStart+2,0,100,27),_xlpm.channelRow,_xlpm.factorNum))
    ))</f>
        <v>0.93823321236480572</v>
      </c>
      <c r="AA74" s="6"/>
      <c r="AB74" s="6"/>
      <c r="AC74" s="6"/>
      <c r="AD74" s="9"/>
      <c r="AE74" s="9"/>
      <c r="AF74" s="9"/>
      <c r="AG74" s="9"/>
      <c r="AH74" s="9"/>
      <c r="AI74" s="9"/>
      <c r="AJ74" s="9"/>
    </row>
    <row r="75" spans="3:36" ht="15.75" customHeight="1" x14ac:dyDescent="0.3">
      <c r="C75" s="87" t="str">
        <f>IF(OR($D75=0,$D75=""),"",_xlfn.LET(
    _xlpm.channel,$D75,
    _xlpm.rowNum,_xlfn.XMATCH(_xlpm.channel,'2B RotationRule'!$C:$C,0),
    _xlpm.factorRow,INDEX('2B RotationRule'!$E:$AE,_xlpm.rowNum,0),
    _xlpm.factorNum,_xlfn.XMATCH(1,_xlpm.factorRow,0),
    IF(ISERROR(_xlpm.factorNum),"","Factor"&amp;_xlpm.factorNum)
))</f>
        <v>Factor18</v>
      </c>
      <c r="D75" s="123" t="str">
        <f>'2B RotationRule'!C20</f>
        <v>dLevel_T2_18</v>
      </c>
      <c r="E75" s="2">
        <f t="shared" ca="1" si="6"/>
        <v>7.8007291233681718E-3</v>
      </c>
      <c r="F75" s="2">
        <f t="shared" ca="1" si="6"/>
        <v>4.2891954582487075E-2</v>
      </c>
      <c r="G75" s="2">
        <f t="shared" ca="1" si="6"/>
        <v>7.8007291233681718E-3</v>
      </c>
      <c r="H75" s="145">
        <f t="shared" ca="1" si="6"/>
        <v>4.2891954582487075E-2</v>
      </c>
      <c r="I75" s="145">
        <f t="shared" ca="1" si="6"/>
        <v>0.15785885755682991</v>
      </c>
      <c r="J75" s="145">
        <f t="shared" ca="1" si="6"/>
        <v>0</v>
      </c>
      <c r="K75" s="145">
        <f t="shared" ca="1" si="6"/>
        <v>0</v>
      </c>
      <c r="L75" s="145">
        <f t="shared" ca="1" si="6"/>
        <v>0</v>
      </c>
      <c r="M75" s="145">
        <f t="shared" ca="1" si="6"/>
        <v>0</v>
      </c>
      <c r="N75" s="145">
        <f t="shared" ca="1" si="6"/>
        <v>0</v>
      </c>
      <c r="O75" s="145">
        <f t="shared" ca="1" si="7"/>
        <v>0</v>
      </c>
      <c r="P75" s="145">
        <f t="shared" ca="1" si="7"/>
        <v>0</v>
      </c>
      <c r="Q75" s="145">
        <f t="shared" ca="1" si="7"/>
        <v>0</v>
      </c>
      <c r="R75" s="145">
        <f t="shared" ca="1" si="7"/>
        <v>0</v>
      </c>
      <c r="S75" s="145">
        <f t="shared" ca="1" si="7"/>
        <v>0</v>
      </c>
      <c r="T75" s="145">
        <f t="shared" ca="1" si="7"/>
        <v>0</v>
      </c>
      <c r="U75" s="145">
        <f t="shared" ca="1" si="7"/>
        <v>0</v>
      </c>
      <c r="V75" s="145">
        <f t="shared" ca="1" si="7"/>
        <v>0</v>
      </c>
      <c r="W75" s="145">
        <f t="shared" ca="1" si="7"/>
        <v>0</v>
      </c>
      <c r="X75" s="145">
        <f t="shared" ca="1" si="7"/>
        <v>0</v>
      </c>
      <c r="Y75" s="10">
        <f>IFERROR(_xlfn.XLOOKUP(D75,'2C 均值'!$A:$A,'2C 均值'!$E:$E),0)</f>
        <v>6.5601503759398494E-2</v>
      </c>
      <c r="Z75" s="10">
        <f t="array" aca="1" ref="Z75" ca="1">IF(OR($D75=0,$D75=""),"",_xlfn.LET(
        _xlpm.channel,$D75,
        _xlpm.factorName,$C75,
        _xlpm.factorNum,IF(_xlpm.factorName="","",VALUE(RIGHT(_xlpm.factorName,LEN(_xlpm.factorName)-6))),
        _xlpm.flMatrixStart,_xlfn.XMATCH("Rotation Method: Procrustes with Kaiser Normalization.",'2B FL'!$A:$A,0),
        _xlpm.channelRow,IFERROR(_xlfn.XMATCH(_xlpm.channel,OFFSET('2B FL'!$B$1,_xlpm.flMatrixStart+2,0,100,1),0),0),
        IF(OR(_xlpm.channelRow=0,_xlpm.factorNum=""),"",INDEX(OFFSET('2B FL'!$D$1,_xlpm.flMatrixStart+2,0,100,27),_xlpm.channelRow,_xlpm.factorNum))
    ))</f>
        <v>0.79790124581555955</v>
      </c>
      <c r="AA75" s="6"/>
      <c r="AB75" s="6"/>
      <c r="AC75" s="6"/>
      <c r="AD75" s="9"/>
      <c r="AE75" s="9"/>
      <c r="AF75" s="9"/>
      <c r="AG75" s="9"/>
      <c r="AH75" s="9"/>
      <c r="AI75" s="9"/>
      <c r="AJ75" s="9"/>
    </row>
    <row r="76" spans="3:36" ht="15.75" customHeight="1" x14ac:dyDescent="0.3">
      <c r="C76" s="87" t="str">
        <f>IF(OR($D76=0,$D76=""),"",_xlfn.LET(
    _xlpm.channel,$D76,
    _xlpm.rowNum,_xlfn.XMATCH(_xlpm.channel,'2B RotationRule'!$C:$C,0),
    _xlpm.factorRow,INDEX('2B RotationRule'!$E:$AE,_xlpm.rowNum,0),
    _xlpm.factorNum,_xlfn.XMATCH(1,_xlpm.factorRow,0),
    IF(ISERROR(_xlpm.factorNum),"","Factor"&amp;_xlpm.factorNum)
))</f>
        <v>Factor19</v>
      </c>
      <c r="D76" s="123" t="str">
        <f>'2B RotationRule'!C21</f>
        <v>dLevel_T2_19</v>
      </c>
      <c r="E76" s="2">
        <f t="shared" ca="1" si="6"/>
        <v>1.2396297251691963E-2</v>
      </c>
      <c r="F76" s="2">
        <f t="shared" ca="1" si="6"/>
        <v>9.3778982453042638E-3</v>
      </c>
      <c r="G76" s="2">
        <f t="shared" ca="1" si="6"/>
        <v>1.2396297251691963E-2</v>
      </c>
      <c r="H76" s="145">
        <f t="shared" ca="1" si="6"/>
        <v>9.3778982453042638E-3</v>
      </c>
      <c r="I76" s="145">
        <f t="shared" ca="1" si="6"/>
        <v>5.8927415675882437E-2</v>
      </c>
      <c r="J76" s="145">
        <f t="shared" ca="1" si="6"/>
        <v>0</v>
      </c>
      <c r="K76" s="145">
        <f t="shared" ca="1" si="6"/>
        <v>0</v>
      </c>
      <c r="L76" s="145">
        <f t="shared" ca="1" si="6"/>
        <v>0</v>
      </c>
      <c r="M76" s="145">
        <f t="shared" ca="1" si="6"/>
        <v>0</v>
      </c>
      <c r="N76" s="145">
        <f t="shared" ca="1" si="6"/>
        <v>0</v>
      </c>
      <c r="O76" s="145">
        <f t="shared" ca="1" si="7"/>
        <v>0</v>
      </c>
      <c r="P76" s="145">
        <f t="shared" ca="1" si="7"/>
        <v>0</v>
      </c>
      <c r="Q76" s="145">
        <f t="shared" ca="1" si="7"/>
        <v>0</v>
      </c>
      <c r="R76" s="145">
        <f t="shared" ca="1" si="7"/>
        <v>0</v>
      </c>
      <c r="S76" s="145">
        <f t="shared" ca="1" si="7"/>
        <v>0</v>
      </c>
      <c r="T76" s="145">
        <f t="shared" ca="1" si="7"/>
        <v>0</v>
      </c>
      <c r="U76" s="145">
        <f t="shared" ca="1" si="7"/>
        <v>0</v>
      </c>
      <c r="V76" s="145">
        <f t="shared" ca="1" si="7"/>
        <v>0</v>
      </c>
      <c r="W76" s="145">
        <f t="shared" ca="1" si="7"/>
        <v>0</v>
      </c>
      <c r="X76" s="145">
        <f t="shared" ca="1" si="7"/>
        <v>0</v>
      </c>
      <c r="Y76" s="10">
        <f>IFERROR(_xlfn.XLOOKUP(D76,'2C 均值'!$A:$A,'2C 均值'!$E:$E),0)</f>
        <v>1.5977443609022559E-2</v>
      </c>
      <c r="Z76" s="10">
        <f t="array" aca="1" ref="Z76" ca="1">IF(OR($D76=0,$D76=""),"",_xlfn.LET(
        _xlpm.channel,$D76,
        _xlpm.factorName,$C76,
        _xlpm.factorNum,IF(_xlpm.factorName="","",VALUE(RIGHT(_xlpm.factorName,LEN(_xlpm.factorName)-6))),
        _xlpm.flMatrixStart,_xlfn.XMATCH("Rotation Method: Procrustes with Kaiser Normalization.",'2B FL'!$A:$A,0),
        _xlpm.channelRow,IFERROR(_xlfn.XMATCH(_xlpm.channel,OFFSET('2B FL'!$B$1,_xlpm.flMatrixStart+2,0,100,1),0),0),
        IF(OR(_xlpm.channelRow=0,_xlpm.factorNum=""),"",INDEX(OFFSET('2B FL'!$D$1,_xlpm.flMatrixStart+2,0,100,27),_xlpm.channelRow,_xlpm.factorNum))
    ))</f>
        <v>0.94561016899401928</v>
      </c>
      <c r="AA76" s="6"/>
      <c r="AB76" s="6"/>
      <c r="AC76" s="6"/>
      <c r="AD76" s="9"/>
      <c r="AE76" s="9"/>
      <c r="AF76" s="9"/>
      <c r="AG76" s="9"/>
      <c r="AH76" s="9"/>
      <c r="AI76" s="9"/>
      <c r="AJ76" s="9"/>
    </row>
    <row r="77" spans="3:36" ht="15.75" customHeight="1" x14ac:dyDescent="0.3">
      <c r="C77" s="87" t="str">
        <f>IF(OR($D77=0,$D77=""),"",_xlfn.LET(
    _xlpm.channel,$D77,
    _xlpm.rowNum,_xlfn.XMATCH(_xlpm.channel,'2B RotationRule'!$C:$C,0),
    _xlpm.factorRow,INDEX('2B RotationRule'!$E:$AE,_xlpm.rowNum,0),
    _xlpm.factorNum,_xlfn.XMATCH(1,_xlpm.factorRow,0),
    IF(ISERROR(_xlpm.factorNum),"","Factor"&amp;_xlpm.factorNum)
))</f>
        <v>Factor20</v>
      </c>
      <c r="D77" s="123" t="str">
        <f>'2B RotationRule'!C22</f>
        <v>dLevel_T2_21</v>
      </c>
      <c r="E77" s="2">
        <f t="shared" ca="1" si="6"/>
        <v>1.4966525435741271E-2</v>
      </c>
      <c r="F77" s="2">
        <f t="shared" ca="1" si="6"/>
        <v>2.3782160682035088E-2</v>
      </c>
      <c r="G77" s="2">
        <f t="shared" ca="1" si="6"/>
        <v>1.4966525435741271E-2</v>
      </c>
      <c r="H77" s="145">
        <f t="shared" ca="1" si="6"/>
        <v>2.3782160682035088E-2</v>
      </c>
      <c r="I77" s="145">
        <f t="shared" ca="1" si="6"/>
        <v>9.8710061382784361E-2</v>
      </c>
      <c r="J77" s="145">
        <f t="shared" ca="1" si="6"/>
        <v>0</v>
      </c>
      <c r="K77" s="145">
        <f t="shared" ca="1" si="6"/>
        <v>0</v>
      </c>
      <c r="L77" s="145">
        <f t="shared" ca="1" si="6"/>
        <v>0</v>
      </c>
      <c r="M77" s="145">
        <f t="shared" ca="1" si="6"/>
        <v>0</v>
      </c>
      <c r="N77" s="145">
        <f t="shared" ca="1" si="6"/>
        <v>0</v>
      </c>
      <c r="O77" s="145">
        <f t="shared" ca="1" si="7"/>
        <v>0</v>
      </c>
      <c r="P77" s="145">
        <f t="shared" ca="1" si="7"/>
        <v>0</v>
      </c>
      <c r="Q77" s="145">
        <f t="shared" ca="1" si="7"/>
        <v>0</v>
      </c>
      <c r="R77" s="145">
        <f t="shared" ca="1" si="7"/>
        <v>0</v>
      </c>
      <c r="S77" s="145">
        <f t="shared" ca="1" si="7"/>
        <v>0</v>
      </c>
      <c r="T77" s="145">
        <f t="shared" ca="1" si="7"/>
        <v>0</v>
      </c>
      <c r="U77" s="145">
        <f t="shared" ca="1" si="7"/>
        <v>0</v>
      </c>
      <c r="V77" s="145">
        <f t="shared" ca="1" si="7"/>
        <v>0</v>
      </c>
      <c r="W77" s="145">
        <f t="shared" ca="1" si="7"/>
        <v>0</v>
      </c>
      <c r="X77" s="145">
        <f t="shared" ca="1" si="7"/>
        <v>0</v>
      </c>
      <c r="Y77" s="10">
        <f>IFERROR(_xlfn.XLOOKUP(D77,'2C 均值'!$A:$A,'2C 均值'!$E:$E),0)</f>
        <v>3.6466165413533827E-2</v>
      </c>
      <c r="Z77" s="10">
        <f t="array" aca="1" ref="Z77" ca="1">IF(OR($D77=0,$D77=""),"",_xlfn.LET(
        _xlpm.channel,$D77,
        _xlpm.factorName,$C77,
        _xlpm.factorNum,IF(_xlpm.factorName="","",VALUE(RIGHT(_xlpm.factorName,LEN(_xlpm.factorName)-6))),
        _xlpm.flMatrixStart,_xlfn.XMATCH("Rotation Method: Procrustes with Kaiser Normalization.",'2B FL'!$A:$A,0),
        _xlpm.channelRow,IFERROR(_xlfn.XMATCH(_xlpm.channel,OFFSET('2B FL'!$B$1,_xlpm.flMatrixStart+2,0,100,1),0),0),
        IF(OR(_xlpm.channelRow=0,_xlpm.factorNum=""),"",INDEX(OFFSET('2B FL'!$D$1,_xlpm.flMatrixStart+2,0,100,27),_xlpm.channelRow,_xlpm.factorNum))
    ))</f>
        <v>0.90617179608283538</v>
      </c>
      <c r="AA77" s="6"/>
      <c r="AB77" s="6"/>
      <c r="AC77" s="6"/>
      <c r="AD77" s="9"/>
      <c r="AE77" s="9"/>
      <c r="AF77" s="9"/>
      <c r="AG77" s="9"/>
      <c r="AH77" s="9"/>
      <c r="AI77" s="9"/>
      <c r="AJ77" s="9"/>
    </row>
    <row r="78" spans="3:36" ht="15.75" customHeight="1" x14ac:dyDescent="0.3">
      <c r="C78" s="87" t="str">
        <f>IF(OR($D78=0,$D78=""),"",_xlfn.LET(
    _xlpm.channel,$D78,
    _xlpm.rowNum,_xlfn.XMATCH(_xlpm.channel,'2B RotationRule'!$C:$C,0),
    _xlpm.factorRow,INDEX('2B RotationRule'!$E:$AE,_xlpm.rowNum,0),
    _xlpm.factorNum,_xlfn.XMATCH(1,_xlpm.factorRow,0),
    IF(ISERROR(_xlpm.factorNum),"","Factor"&amp;_xlpm.factorNum)
))</f>
        <v>Factor21</v>
      </c>
      <c r="D78" s="123" t="str">
        <f>'2B RotationRule'!C23</f>
        <v>dLevel_T2_22</v>
      </c>
      <c r="E78" s="2">
        <f t="shared" ref="E78:N92" ca="1" si="8">IFERROR(_xlfn.XLOOKUP($C78,$D$3:$D$40,E$3:E$40)*$Z78,0)</f>
        <v>0.13754264469763572</v>
      </c>
      <c r="F78" s="2">
        <f t="shared" ca="1" si="8"/>
        <v>0.12246587239507523</v>
      </c>
      <c r="G78" s="2">
        <f t="shared" ca="1" si="8"/>
        <v>0.13754264469763572</v>
      </c>
      <c r="H78" s="145">
        <f t="shared" ca="1" si="8"/>
        <v>0.12246587239507523</v>
      </c>
      <c r="I78" s="145">
        <f t="shared" ca="1" si="8"/>
        <v>0.30625506612880987</v>
      </c>
      <c r="J78" s="145">
        <f t="shared" ca="1" si="8"/>
        <v>0</v>
      </c>
      <c r="K78" s="145">
        <f t="shared" ca="1" si="8"/>
        <v>0</v>
      </c>
      <c r="L78" s="145">
        <f t="shared" ca="1" si="8"/>
        <v>0</v>
      </c>
      <c r="M78" s="145">
        <f t="shared" ca="1" si="8"/>
        <v>0</v>
      </c>
      <c r="N78" s="145">
        <f t="shared" ca="1" si="8"/>
        <v>0</v>
      </c>
      <c r="O78" s="145">
        <f t="shared" ref="O78:X92" ca="1" si="9">IFERROR(_xlfn.XLOOKUP($C78,$D$3:$D$40,O$3:O$40)*$Z78,0)</f>
        <v>0</v>
      </c>
      <c r="P78" s="145">
        <f t="shared" ca="1" si="9"/>
        <v>0</v>
      </c>
      <c r="Q78" s="145">
        <f t="shared" ca="1" si="9"/>
        <v>0</v>
      </c>
      <c r="R78" s="145">
        <f t="shared" ca="1" si="9"/>
        <v>0</v>
      </c>
      <c r="S78" s="145">
        <f t="shared" ca="1" si="9"/>
        <v>0</v>
      </c>
      <c r="T78" s="145">
        <f t="shared" ca="1" si="9"/>
        <v>0</v>
      </c>
      <c r="U78" s="145">
        <f t="shared" ca="1" si="9"/>
        <v>0</v>
      </c>
      <c r="V78" s="145">
        <f t="shared" ca="1" si="9"/>
        <v>0</v>
      </c>
      <c r="W78" s="145">
        <f t="shared" ca="1" si="9"/>
        <v>0</v>
      </c>
      <c r="X78" s="145">
        <f t="shared" ca="1" si="9"/>
        <v>0</v>
      </c>
      <c r="Y78" s="10">
        <f>IFERROR(_xlfn.XLOOKUP(D78,'2C 均值'!$A:$A,'2C 均值'!$E:$E),0)</f>
        <v>7.3496240601503754E-2</v>
      </c>
      <c r="Z78" s="10">
        <f t="array" aca="1" ref="Z78" ca="1">IF(OR($D78=0,$D78=""),"",_xlfn.LET(
        _xlpm.channel,$D78,
        _xlpm.factorName,$C78,
        _xlpm.factorNum,IF(_xlpm.factorName="","",VALUE(RIGHT(_xlpm.factorName,LEN(_xlpm.factorName)-6))),
        _xlpm.flMatrixStart,_xlfn.XMATCH("Rotation Method: Procrustes with Kaiser Normalization.",'2B FL'!$A:$A,0),
        _xlpm.channelRow,IFERROR(_xlfn.XMATCH(_xlpm.channel,OFFSET('2B FL'!$B$1,_xlpm.flMatrixStart+2,0,100,1),0),0),
        IF(OR(_xlpm.channelRow=0,_xlpm.factorNum=""),"",INDEX(OFFSET('2B FL'!$D$1,_xlpm.flMatrixStart+2,0,100,27),_xlpm.channelRow,_xlpm.factorNum))
    ))</f>
        <v>0.96968330900337163</v>
      </c>
      <c r="AA78" s="6"/>
      <c r="AB78" s="6"/>
      <c r="AC78" s="6"/>
      <c r="AD78" s="9"/>
      <c r="AE78" s="9"/>
      <c r="AF78" s="9"/>
      <c r="AG78" s="9"/>
      <c r="AH78" s="9"/>
      <c r="AI78" s="9"/>
      <c r="AJ78" s="9"/>
    </row>
    <row r="79" spans="3:36" ht="15.75" customHeight="1" x14ac:dyDescent="0.3">
      <c r="C79" s="87" t="str">
        <f>IF(OR($D79=0,$D79=""),"",_xlfn.LET(
    _xlpm.channel,$D79,
    _xlpm.rowNum,_xlfn.XMATCH(_xlpm.channel,'2B RotationRule'!$C:$C,0),
    _xlpm.factorRow,INDEX('2B RotationRule'!$E:$AE,_xlpm.rowNum,0),
    _xlpm.factorNum,_xlfn.XMATCH(1,_xlpm.factorRow,0),
    IF(ISERROR(_xlpm.factorNum),"","Factor"&amp;_xlpm.factorNum)
))</f>
        <v>Factor22</v>
      </c>
      <c r="D79" s="123" t="str">
        <f>'2B RotationRule'!C24</f>
        <v>dLevel_T2_23</v>
      </c>
      <c r="E79" s="2">
        <f t="shared" ca="1" si="8"/>
        <v>1.3173218977312559E-2</v>
      </c>
      <c r="F79" s="2">
        <f t="shared" ca="1" si="8"/>
        <v>1.4612447626601967E-3</v>
      </c>
      <c r="G79" s="2">
        <f t="shared" ca="1" si="8"/>
        <v>1.3173218977312559E-2</v>
      </c>
      <c r="H79" s="145">
        <f t="shared" ca="1" si="8"/>
        <v>1.4612447626601967E-3</v>
      </c>
      <c r="I79" s="145">
        <f t="shared" ca="1" si="8"/>
        <v>7.6519553842996552E-2</v>
      </c>
      <c r="J79" s="145">
        <f t="shared" ca="1" si="8"/>
        <v>0</v>
      </c>
      <c r="K79" s="145">
        <f t="shared" ca="1" si="8"/>
        <v>0</v>
      </c>
      <c r="L79" s="145">
        <f t="shared" ca="1" si="8"/>
        <v>0</v>
      </c>
      <c r="M79" s="145">
        <f t="shared" ca="1" si="8"/>
        <v>0</v>
      </c>
      <c r="N79" s="145">
        <f t="shared" ca="1" si="8"/>
        <v>0</v>
      </c>
      <c r="O79" s="145">
        <f t="shared" ca="1" si="9"/>
        <v>0</v>
      </c>
      <c r="P79" s="145">
        <f t="shared" ca="1" si="9"/>
        <v>0</v>
      </c>
      <c r="Q79" s="145">
        <f t="shared" ca="1" si="9"/>
        <v>0</v>
      </c>
      <c r="R79" s="145">
        <f t="shared" ca="1" si="9"/>
        <v>0</v>
      </c>
      <c r="S79" s="145">
        <f t="shared" ca="1" si="9"/>
        <v>0</v>
      </c>
      <c r="T79" s="145">
        <f t="shared" ca="1" si="9"/>
        <v>0</v>
      </c>
      <c r="U79" s="145">
        <f t="shared" ca="1" si="9"/>
        <v>0</v>
      </c>
      <c r="V79" s="145">
        <f t="shared" ca="1" si="9"/>
        <v>0</v>
      </c>
      <c r="W79" s="145">
        <f t="shared" ca="1" si="9"/>
        <v>0</v>
      </c>
      <c r="X79" s="145">
        <f t="shared" ca="1" si="9"/>
        <v>0</v>
      </c>
      <c r="Y79" s="10">
        <f>IFERROR(_xlfn.XLOOKUP(D79,'2C 均值'!$A:$A,'2C 均值'!$E:$E),0)</f>
        <v>1.578947368421053E-2</v>
      </c>
      <c r="Z79" s="10">
        <f t="array" aca="1" ref="Z79" ca="1">IF(OR($D79=0,$D79=""),"",_xlfn.LET(
        _xlpm.channel,$D79,
        _xlpm.factorName,$C79,
        _xlpm.factorNum,IF(_xlpm.factorName="","",VALUE(RIGHT(_xlpm.factorName,LEN(_xlpm.factorName)-6))),
        _xlpm.flMatrixStart,_xlfn.XMATCH("Rotation Method: Procrustes with Kaiser Normalization.",'2B FL'!$A:$A,0),
        _xlpm.channelRow,IFERROR(_xlfn.XMATCH(_xlpm.channel,OFFSET('2B FL'!$B$1,_xlpm.flMatrixStart+2,0,100,1),0),0),
        IF(OR(_xlpm.channelRow=0,_xlpm.factorNum=""),"",INDEX(OFFSET('2B FL'!$D$1,_xlpm.flMatrixStart+2,0,100,27),_xlpm.channelRow,_xlpm.factorNum))
    ))</f>
        <v>0.94439519390159488</v>
      </c>
      <c r="AA79" s="6"/>
      <c r="AB79" s="6"/>
      <c r="AC79" s="6"/>
      <c r="AD79" s="9"/>
      <c r="AE79" s="9"/>
      <c r="AF79" s="9"/>
      <c r="AG79" s="9"/>
      <c r="AH79" s="9"/>
      <c r="AI79" s="9"/>
      <c r="AJ79" s="9"/>
    </row>
    <row r="80" spans="3:36" ht="15.75" customHeight="1" x14ac:dyDescent="0.3">
      <c r="C80" s="87" t="str">
        <f>IF(OR($D80=0,$D80=""),"",_xlfn.LET(
    _xlpm.channel,$D80,
    _xlpm.rowNum,_xlfn.XMATCH(_xlpm.channel,'2B RotationRule'!$C:$C,0),
    _xlpm.factorRow,INDEX('2B RotationRule'!$E:$AE,_xlpm.rowNum,0),
    _xlpm.factorNum,_xlfn.XMATCH(1,_xlpm.factorRow,0),
    IF(ISERROR(_xlpm.factorNum),"","Factor"&amp;_xlpm.factorNum)
))</f>
        <v>Factor23</v>
      </c>
      <c r="D80" s="123" t="str">
        <f>'2B RotationRule'!C25</f>
        <v>dLevel_T2_24</v>
      </c>
      <c r="E80" s="2">
        <f t="shared" ca="1" si="8"/>
        <v>1.5357173465037774E-2</v>
      </c>
      <c r="F80" s="2">
        <f t="shared" ca="1" si="8"/>
        <v>3.5522925177967672E-2</v>
      </c>
      <c r="G80" s="2">
        <f t="shared" ca="1" si="8"/>
        <v>1.5357173465037774E-2</v>
      </c>
      <c r="H80" s="145">
        <f t="shared" ca="1" si="8"/>
        <v>3.5522925177967672E-2</v>
      </c>
      <c r="I80" s="145">
        <f t="shared" ca="1" si="8"/>
        <v>0.17581137779495201</v>
      </c>
      <c r="J80" s="145">
        <f t="shared" ca="1" si="8"/>
        <v>0</v>
      </c>
      <c r="K80" s="145">
        <f t="shared" ca="1" si="8"/>
        <v>0</v>
      </c>
      <c r="L80" s="145">
        <f t="shared" ca="1" si="8"/>
        <v>0</v>
      </c>
      <c r="M80" s="145">
        <f t="shared" ca="1" si="8"/>
        <v>0</v>
      </c>
      <c r="N80" s="145">
        <f t="shared" ca="1" si="8"/>
        <v>0</v>
      </c>
      <c r="O80" s="145">
        <f t="shared" ca="1" si="9"/>
        <v>0</v>
      </c>
      <c r="P80" s="145">
        <f t="shared" ca="1" si="9"/>
        <v>0</v>
      </c>
      <c r="Q80" s="145">
        <f t="shared" ca="1" si="9"/>
        <v>0</v>
      </c>
      <c r="R80" s="145">
        <f t="shared" ca="1" si="9"/>
        <v>0</v>
      </c>
      <c r="S80" s="145">
        <f t="shared" ca="1" si="9"/>
        <v>0</v>
      </c>
      <c r="T80" s="145">
        <f t="shared" ca="1" si="9"/>
        <v>0</v>
      </c>
      <c r="U80" s="145">
        <f t="shared" ca="1" si="9"/>
        <v>0</v>
      </c>
      <c r="V80" s="145">
        <f t="shared" ca="1" si="9"/>
        <v>0</v>
      </c>
      <c r="W80" s="145">
        <f t="shared" ca="1" si="9"/>
        <v>0</v>
      </c>
      <c r="X80" s="145">
        <f t="shared" ca="1" si="9"/>
        <v>0</v>
      </c>
      <c r="Y80" s="10">
        <f>IFERROR(_xlfn.XLOOKUP(D80,'2C 均值'!$A:$A,'2C 均值'!$E:$E),0)</f>
        <v>6.0150375939849621E-2</v>
      </c>
      <c r="Z80" s="10">
        <f t="array" aca="1" ref="Z80" ca="1">IF(OR($D80=0,$D80=""),"",_xlfn.LET(
        _xlpm.channel,$D80,
        _xlpm.factorName,$C80,
        _xlpm.factorNum,IF(_xlpm.factorName="","",VALUE(RIGHT(_xlpm.factorName,LEN(_xlpm.factorName)-6))),
        _xlpm.flMatrixStart,_xlfn.XMATCH("Rotation Method: Procrustes with Kaiser Normalization.",'2B FL'!$A:$A,0),
        _xlpm.channelRow,IFERROR(_xlfn.XMATCH(_xlpm.channel,OFFSET('2B FL'!$B$1,_xlpm.flMatrixStart+2,0,100,1),0),0),
        IF(OR(_xlpm.channelRow=0,_xlpm.factorNum=""),"",INDEX(OFFSET('2B FL'!$D$1,_xlpm.flMatrixStart+2,0,100,27),_xlpm.channelRow,_xlpm.factorNum))
    ))</f>
        <v>0.8097886432752206</v>
      </c>
      <c r="AA80" s="6"/>
      <c r="AB80" s="6"/>
      <c r="AC80" s="6"/>
      <c r="AD80" s="9"/>
      <c r="AE80" s="9"/>
      <c r="AF80" s="9"/>
      <c r="AG80" s="9"/>
      <c r="AH80" s="9"/>
      <c r="AI80" s="9"/>
      <c r="AJ80" s="9"/>
    </row>
    <row r="81" spans="1:36" ht="15.75" customHeight="1" x14ac:dyDescent="0.3">
      <c r="C81" s="87" t="str">
        <f>IF(OR($D81=0,$D81=""),"",_xlfn.LET(
    _xlpm.channel,$D81,
    _xlpm.rowNum,_xlfn.XMATCH(_xlpm.channel,'2B RotationRule'!$C:$C,0),
    _xlpm.factorRow,INDEX('2B RotationRule'!$E:$AE,_xlpm.rowNum,0),
    _xlpm.factorNum,_xlfn.XMATCH(1,_xlpm.factorRow,0),
    IF(ISERROR(_xlpm.factorNum),"","Factor"&amp;_xlpm.factorNum)
))</f>
        <v>Factor24</v>
      </c>
      <c r="D81" s="123" t="str">
        <f>'2B RotationRule'!C26</f>
        <v>dLevel_T2_25</v>
      </c>
      <c r="E81" s="2">
        <f t="shared" ca="1" si="8"/>
        <v>1.4289936908023175E-2</v>
      </c>
      <c r="F81" s="2">
        <f t="shared" ca="1" si="8"/>
        <v>4.8558586883109597E-3</v>
      </c>
      <c r="G81" s="2">
        <f t="shared" ca="1" si="8"/>
        <v>1.4289936908023175E-2</v>
      </c>
      <c r="H81" s="145">
        <f t="shared" ca="1" si="8"/>
        <v>4.8558586883109597E-3</v>
      </c>
      <c r="I81" s="145">
        <f t="shared" ca="1" si="8"/>
        <v>8.1708891634000358E-2</v>
      </c>
      <c r="J81" s="145">
        <f t="shared" ca="1" si="8"/>
        <v>0</v>
      </c>
      <c r="K81" s="145">
        <f t="shared" ca="1" si="8"/>
        <v>0</v>
      </c>
      <c r="L81" s="145">
        <f t="shared" ca="1" si="8"/>
        <v>0</v>
      </c>
      <c r="M81" s="145">
        <f t="shared" ca="1" si="8"/>
        <v>0</v>
      </c>
      <c r="N81" s="145">
        <f t="shared" ca="1" si="8"/>
        <v>0</v>
      </c>
      <c r="O81" s="145">
        <f t="shared" ca="1" si="9"/>
        <v>0</v>
      </c>
      <c r="P81" s="145">
        <f t="shared" ca="1" si="9"/>
        <v>0</v>
      </c>
      <c r="Q81" s="145">
        <f t="shared" ca="1" si="9"/>
        <v>0</v>
      </c>
      <c r="R81" s="145">
        <f t="shared" ca="1" si="9"/>
        <v>0</v>
      </c>
      <c r="S81" s="145">
        <f t="shared" ca="1" si="9"/>
        <v>0</v>
      </c>
      <c r="T81" s="145">
        <f t="shared" ca="1" si="9"/>
        <v>0</v>
      </c>
      <c r="U81" s="145">
        <f t="shared" ca="1" si="9"/>
        <v>0</v>
      </c>
      <c r="V81" s="145">
        <f t="shared" ca="1" si="9"/>
        <v>0</v>
      </c>
      <c r="W81" s="145">
        <f t="shared" ca="1" si="9"/>
        <v>0</v>
      </c>
      <c r="X81" s="145">
        <f t="shared" ca="1" si="9"/>
        <v>0</v>
      </c>
      <c r="Y81" s="10">
        <f>IFERROR(_xlfn.XLOOKUP(D81,'2C 均值'!$A:$A,'2C 均值'!$E:$E),0)</f>
        <v>1.8045112781954888E-2</v>
      </c>
      <c r="Z81" s="10">
        <f t="array" aca="1" ref="Z81" ca="1">IF(OR($D81=0,$D81=""),"",_xlfn.LET(
        _xlpm.channel,$D81,
        _xlpm.factorName,$C81,
        _xlpm.factorNum,IF(_xlpm.factorName="","",VALUE(RIGHT(_xlpm.factorName,LEN(_xlpm.factorName)-6))),
        _xlpm.flMatrixStart,_xlfn.XMATCH("Rotation Method: Procrustes with Kaiser Normalization.",'2B FL'!$A:$A,0),
        _xlpm.channelRow,IFERROR(_xlfn.XMATCH(_xlpm.channel,OFFSET('2B FL'!$B$1,_xlpm.flMatrixStart+2,0,100,1),0),0),
        IF(OR(_xlpm.channelRow=0,_xlpm.factorNum=""),"",INDEX(OFFSET('2B FL'!$D$1,_xlpm.flMatrixStart+2,0,100,27),_xlpm.channelRow,_xlpm.factorNum))
    ))</f>
        <v>0.9442708750254043</v>
      </c>
      <c r="AA81" s="6"/>
      <c r="AB81" s="6"/>
      <c r="AC81" s="6"/>
      <c r="AD81" s="9"/>
      <c r="AE81" s="9"/>
      <c r="AF81" s="9"/>
      <c r="AG81" s="9"/>
      <c r="AH81" s="9"/>
      <c r="AI81" s="9"/>
      <c r="AJ81" s="9"/>
    </row>
    <row r="82" spans="1:36" ht="15.75" customHeight="1" x14ac:dyDescent="0.3">
      <c r="C82" s="87" t="str">
        <f>IF(OR($D82=0,$D82=""),"",_xlfn.LET(
    _xlpm.channel,$D82,
    _xlpm.rowNum,_xlfn.XMATCH(_xlpm.channel,'2B RotationRule'!$C:$C,0),
    _xlpm.factorRow,INDEX('2B RotationRule'!$E:$AE,_xlpm.rowNum,0),
    _xlpm.factorNum,_xlfn.XMATCH(1,_xlpm.factorRow,0),
    IF(ISERROR(_xlpm.factorNum),"","Factor"&amp;_xlpm.factorNum)
))</f>
        <v>Factor25</v>
      </c>
      <c r="D82" s="123" t="str">
        <f>'2B RotationRule'!C27</f>
        <v>dLevel_T2_26</v>
      </c>
      <c r="E82" s="2">
        <f t="shared" ca="1" si="8"/>
        <v>2.4749255114241704E-2</v>
      </c>
      <c r="F82" s="2">
        <f t="shared" ca="1" si="8"/>
        <v>5.7383835384054371E-3</v>
      </c>
      <c r="G82" s="2">
        <f t="shared" ca="1" si="8"/>
        <v>2.4749255114241704E-2</v>
      </c>
      <c r="H82" s="145">
        <f t="shared" ca="1" si="8"/>
        <v>5.7383835384054371E-3</v>
      </c>
      <c r="I82" s="145">
        <f t="shared" ca="1" si="8"/>
        <v>5.585474221441579E-2</v>
      </c>
      <c r="J82" s="145">
        <f t="shared" ca="1" si="8"/>
        <v>0</v>
      </c>
      <c r="K82" s="145">
        <f t="shared" ca="1" si="8"/>
        <v>0</v>
      </c>
      <c r="L82" s="145">
        <f t="shared" ca="1" si="8"/>
        <v>0</v>
      </c>
      <c r="M82" s="145">
        <f t="shared" ca="1" si="8"/>
        <v>0</v>
      </c>
      <c r="N82" s="145">
        <f t="shared" ca="1" si="8"/>
        <v>0</v>
      </c>
      <c r="O82" s="145">
        <f t="shared" ca="1" si="9"/>
        <v>0</v>
      </c>
      <c r="P82" s="145">
        <f t="shared" ca="1" si="9"/>
        <v>0</v>
      </c>
      <c r="Q82" s="145">
        <f t="shared" ca="1" si="9"/>
        <v>0</v>
      </c>
      <c r="R82" s="145">
        <f t="shared" ca="1" si="9"/>
        <v>0</v>
      </c>
      <c r="S82" s="145">
        <f t="shared" ca="1" si="9"/>
        <v>0</v>
      </c>
      <c r="T82" s="145">
        <f t="shared" ca="1" si="9"/>
        <v>0</v>
      </c>
      <c r="U82" s="145">
        <f t="shared" ca="1" si="9"/>
        <v>0</v>
      </c>
      <c r="V82" s="145">
        <f t="shared" ca="1" si="9"/>
        <v>0</v>
      </c>
      <c r="W82" s="145">
        <f t="shared" ca="1" si="9"/>
        <v>0</v>
      </c>
      <c r="X82" s="145">
        <f t="shared" ca="1" si="9"/>
        <v>0</v>
      </c>
      <c r="Y82" s="10">
        <f>IFERROR(_xlfn.XLOOKUP(D82,'2C 均值'!$A:$A,'2C 均值'!$E:$E),0)</f>
        <v>1.823308270676692E-2</v>
      </c>
      <c r="Z82" s="10">
        <f t="array" aca="1" ref="Z82" ca="1">IF(OR($D82=0,$D82=""),"",_xlfn.LET(
        _xlpm.channel,$D82,
        _xlpm.factorName,$C82,
        _xlpm.factorNum,IF(_xlpm.factorName="","",VALUE(RIGHT(_xlpm.factorName,LEN(_xlpm.factorName)-6))),
        _xlpm.flMatrixStart,_xlfn.XMATCH("Rotation Method: Procrustes with Kaiser Normalization.",'2B FL'!$A:$A,0),
        _xlpm.channelRow,IFERROR(_xlfn.XMATCH(_xlpm.channel,OFFSET('2B FL'!$B$1,_xlpm.flMatrixStart+2,0,100,1),0),0),
        IF(OR(_xlpm.channelRow=0,_xlpm.factorNum=""),"",INDEX(OFFSET('2B FL'!$D$1,_xlpm.flMatrixStart+2,0,100,27),_xlpm.channelRow,_xlpm.factorNum))
    ))</f>
        <v>0.94294519647967012</v>
      </c>
      <c r="AA82" s="6"/>
      <c r="AB82" s="6"/>
      <c r="AC82" s="6"/>
      <c r="AD82" s="9"/>
      <c r="AE82" s="9"/>
      <c r="AF82" s="9"/>
      <c r="AG82" s="9"/>
      <c r="AH82" s="9"/>
      <c r="AI82" s="9"/>
      <c r="AJ82" s="9"/>
    </row>
    <row r="83" spans="1:36" ht="15.75" customHeight="1" x14ac:dyDescent="0.3">
      <c r="C83" s="87" t="str">
        <f>IF(OR($D83=0,$D83=""),"",_xlfn.LET(
    _xlpm.channel,$D83,
    _xlpm.rowNum,_xlfn.XMATCH(_xlpm.channel,'2B RotationRule'!$C:$C,0),
    _xlpm.factorRow,INDEX('2B RotationRule'!$E:$AE,_xlpm.rowNum,0),
    _xlpm.factorNum,_xlfn.XMATCH(1,_xlpm.factorRow,0),
    IF(ISERROR(_xlpm.factorNum),"","Factor"&amp;_xlpm.factorNum)
))</f>
        <v>Factor26</v>
      </c>
      <c r="D83" s="123" t="str">
        <f>'2B RotationRule'!C28</f>
        <v>dLevel_T2_27</v>
      </c>
      <c r="E83" s="2">
        <f t="shared" ca="1" si="8"/>
        <v>1.1667721351060433E-2</v>
      </c>
      <c r="F83" s="2">
        <f t="shared" ca="1" si="8"/>
        <v>2.8194494999223777E-2</v>
      </c>
      <c r="G83" s="2">
        <f t="shared" ca="1" si="8"/>
        <v>1.1667721351060433E-2</v>
      </c>
      <c r="H83" s="145">
        <f t="shared" ca="1" si="8"/>
        <v>2.8194494999223777E-2</v>
      </c>
      <c r="I83" s="145">
        <f t="shared" ca="1" si="8"/>
        <v>9.765511123949748E-2</v>
      </c>
      <c r="J83" s="145">
        <f t="shared" ca="1" si="8"/>
        <v>0</v>
      </c>
      <c r="K83" s="145">
        <f t="shared" ca="1" si="8"/>
        <v>0</v>
      </c>
      <c r="L83" s="145">
        <f t="shared" ca="1" si="8"/>
        <v>0</v>
      </c>
      <c r="M83" s="145">
        <f t="shared" ca="1" si="8"/>
        <v>0</v>
      </c>
      <c r="N83" s="145">
        <f t="shared" ca="1" si="8"/>
        <v>0</v>
      </c>
      <c r="O83" s="145">
        <f t="shared" ca="1" si="9"/>
        <v>0</v>
      </c>
      <c r="P83" s="145">
        <f t="shared" ca="1" si="9"/>
        <v>0</v>
      </c>
      <c r="Q83" s="145">
        <f t="shared" ca="1" si="9"/>
        <v>0</v>
      </c>
      <c r="R83" s="145">
        <f t="shared" ca="1" si="9"/>
        <v>0</v>
      </c>
      <c r="S83" s="145">
        <f t="shared" ca="1" si="9"/>
        <v>0</v>
      </c>
      <c r="T83" s="145">
        <f t="shared" ca="1" si="9"/>
        <v>0</v>
      </c>
      <c r="U83" s="145">
        <f t="shared" ca="1" si="9"/>
        <v>0</v>
      </c>
      <c r="V83" s="145">
        <f t="shared" ca="1" si="9"/>
        <v>0</v>
      </c>
      <c r="W83" s="145">
        <f t="shared" ca="1" si="9"/>
        <v>0</v>
      </c>
      <c r="X83" s="145">
        <f t="shared" ca="1" si="9"/>
        <v>0</v>
      </c>
      <c r="Y83" s="10">
        <f>IFERROR(_xlfn.XLOOKUP(D83,'2C 均值'!$A:$A,'2C 均值'!$E:$E),0)</f>
        <v>2.8007518796992481E-2</v>
      </c>
      <c r="Z83" s="10">
        <f t="array" aca="1" ref="Z83" ca="1">IF(OR($D83=0,$D83=""),"",_xlfn.LET(
        _xlpm.channel,$D83,
        _xlpm.factorName,$C83,
        _xlpm.factorNum,IF(_xlpm.factorName="","",VALUE(RIGHT(_xlpm.factorName,LEN(_xlpm.factorName)-6))),
        _xlpm.flMatrixStart,_xlfn.XMATCH("Rotation Method: Procrustes with Kaiser Normalization.",'2B FL'!$A:$A,0),
        _xlpm.channelRow,IFERROR(_xlfn.XMATCH(_xlpm.channel,OFFSET('2B FL'!$B$1,_xlpm.flMatrixStart+2,0,100,1),0),0),
        IF(OR(_xlpm.channelRow=0,_xlpm.factorNum=""),"",INDEX(OFFSET('2B FL'!$D$1,_xlpm.flMatrixStart+2,0,100,27),_xlpm.channelRow,_xlpm.factorNum))
    ))</f>
        <v>0.93454143204421336</v>
      </c>
      <c r="AA83" s="6"/>
      <c r="AB83" s="6"/>
      <c r="AC83" s="6"/>
      <c r="AD83" s="9"/>
      <c r="AE83" s="9"/>
      <c r="AF83" s="9"/>
      <c r="AG83" s="9"/>
      <c r="AH83" s="9"/>
      <c r="AI83" s="9"/>
      <c r="AJ83" s="9"/>
    </row>
    <row r="84" spans="1:36" ht="15.75" customHeight="1" x14ac:dyDescent="0.3">
      <c r="C84" s="87" t="str">
        <f>IF(OR($D84=0,$D84=""),"",_xlfn.LET(
    _xlpm.channel,$D84,
    _xlpm.rowNum,_xlfn.XMATCH(_xlpm.channel,'2B RotationRule'!$C:$C,0),
    _xlpm.factorRow,INDEX('2B RotationRule'!$E:$AE,_xlpm.rowNum,0),
    _xlpm.factorNum,_xlfn.XMATCH(1,_xlpm.factorRow,0),
    IF(ISERROR(_xlpm.factorNum),"","Factor"&amp;_xlpm.factorNum)
))</f>
        <v>Factor27</v>
      </c>
      <c r="D84" s="123" t="str">
        <f>'2B RotationRule'!C29</f>
        <v>dLevel_T2_28</v>
      </c>
      <c r="E84" s="2">
        <f t="shared" ca="1" si="8"/>
        <v>1.0557439005567408E-2</v>
      </c>
      <c r="F84" s="2">
        <f t="shared" ca="1" si="8"/>
        <v>1.7145409595063898E-2</v>
      </c>
      <c r="G84" s="2">
        <f t="shared" ca="1" si="8"/>
        <v>1.0557439005567408E-2</v>
      </c>
      <c r="H84" s="145">
        <f t="shared" ca="1" si="8"/>
        <v>1.7145409595063898E-2</v>
      </c>
      <c r="I84" s="145">
        <f t="shared" ca="1" si="8"/>
        <v>0.10408698997333768</v>
      </c>
      <c r="J84" s="145">
        <f t="shared" ca="1" si="8"/>
        <v>0</v>
      </c>
      <c r="K84" s="145">
        <f t="shared" ca="1" si="8"/>
        <v>0</v>
      </c>
      <c r="L84" s="145">
        <f t="shared" ca="1" si="8"/>
        <v>0</v>
      </c>
      <c r="M84" s="145">
        <f t="shared" ca="1" si="8"/>
        <v>0</v>
      </c>
      <c r="N84" s="145">
        <f t="shared" ca="1" si="8"/>
        <v>0</v>
      </c>
      <c r="O84" s="145">
        <f t="shared" ca="1" si="9"/>
        <v>0</v>
      </c>
      <c r="P84" s="145">
        <f t="shared" ca="1" si="9"/>
        <v>0</v>
      </c>
      <c r="Q84" s="145">
        <f t="shared" ca="1" si="9"/>
        <v>0</v>
      </c>
      <c r="R84" s="145">
        <f t="shared" ca="1" si="9"/>
        <v>0</v>
      </c>
      <c r="S84" s="145">
        <f t="shared" ca="1" si="9"/>
        <v>0</v>
      </c>
      <c r="T84" s="145">
        <f t="shared" ca="1" si="9"/>
        <v>0</v>
      </c>
      <c r="U84" s="145">
        <f t="shared" ca="1" si="9"/>
        <v>0</v>
      </c>
      <c r="V84" s="145">
        <f t="shared" ca="1" si="9"/>
        <v>0</v>
      </c>
      <c r="W84" s="145">
        <f t="shared" ca="1" si="9"/>
        <v>0</v>
      </c>
      <c r="X84" s="145">
        <f t="shared" ca="1" si="9"/>
        <v>0</v>
      </c>
      <c r="Y84" s="10">
        <f>IFERROR(_xlfn.XLOOKUP(D84,'2C 均值'!$A:$A,'2C 均值'!$E:$E),0)</f>
        <v>2.7443609022556392E-2</v>
      </c>
      <c r="Z84" s="10">
        <f t="array" aca="1" ref="Z84" ca="1">IF(OR($D84=0,$D84=""),"",_xlfn.LET(
        _xlpm.channel,$D84,
        _xlpm.factorName,$C84,
        _xlpm.factorNum,IF(_xlpm.factorName="","",VALUE(RIGHT(_xlpm.factorName,LEN(_xlpm.factorName)-6))),
        _xlpm.flMatrixStart,_xlfn.XMATCH("Rotation Method: Procrustes with Kaiser Normalization.",'2B FL'!$A:$A,0),
        _xlpm.channelRow,IFERROR(_xlfn.XMATCH(_xlpm.channel,OFFSET('2B FL'!$B$1,_xlpm.flMatrixStart+2,0,100,1),0),0),
        IF(OR(_xlpm.channelRow=0,_xlpm.factorNum=""),"",INDEX(OFFSET('2B FL'!$D$1,_xlpm.flMatrixStart+2,0,100,27),_xlpm.channelRow,_xlpm.factorNum))
    ))</f>
        <v>0.93194562597511976</v>
      </c>
      <c r="AA84" s="6"/>
      <c r="AB84" s="6"/>
      <c r="AC84" s="6"/>
      <c r="AD84" s="9"/>
      <c r="AE84" s="9"/>
      <c r="AF84" s="9"/>
      <c r="AG84" s="9"/>
      <c r="AH84" s="9"/>
      <c r="AI84" s="9"/>
      <c r="AJ84" s="9"/>
    </row>
    <row r="85" spans="1:36" ht="15.75" customHeight="1" x14ac:dyDescent="0.3">
      <c r="C85" s="87" t="str">
        <f>IF(OR($D85=0,$D85=""),"",_xlfn.LET(
    _xlpm.channel,$D85,
    _xlpm.rowNum,_xlfn.XMATCH(_xlpm.channel,'2B RotationRule'!$C:$C,0),
    _xlpm.factorRow,INDEX('2B RotationRule'!$E:$AE,_xlpm.rowNum,0),
    _xlpm.factorNum,_xlfn.XMATCH(1,_xlpm.factorRow,0),
    IF(ISERROR(_xlpm.factorNum),"","Factor"&amp;_xlpm.factorNum)
))</f>
        <v/>
      </c>
      <c r="D85" s="123">
        <f>'2B RotationRule'!C30</f>
        <v>0</v>
      </c>
      <c r="E85" s="2">
        <f t="shared" ca="1" si="8"/>
        <v>0</v>
      </c>
      <c r="F85" s="2">
        <f t="shared" ca="1" si="8"/>
        <v>0</v>
      </c>
      <c r="G85" s="2">
        <f t="shared" ca="1" si="8"/>
        <v>0</v>
      </c>
      <c r="H85" s="145">
        <f t="shared" ca="1" si="8"/>
        <v>0</v>
      </c>
      <c r="I85" s="145">
        <f t="shared" ca="1" si="8"/>
        <v>0</v>
      </c>
      <c r="J85" s="145">
        <f t="shared" ca="1" si="8"/>
        <v>0</v>
      </c>
      <c r="K85" s="145">
        <f t="shared" ca="1" si="8"/>
        <v>0</v>
      </c>
      <c r="L85" s="145">
        <f t="shared" ca="1" si="8"/>
        <v>0</v>
      </c>
      <c r="M85" s="145">
        <f t="shared" ca="1" si="8"/>
        <v>0</v>
      </c>
      <c r="N85" s="145">
        <f t="shared" ca="1" si="8"/>
        <v>0</v>
      </c>
      <c r="O85" s="145">
        <f t="shared" ca="1" si="9"/>
        <v>0</v>
      </c>
      <c r="P85" s="145">
        <f t="shared" ca="1" si="9"/>
        <v>0</v>
      </c>
      <c r="Q85" s="145">
        <f t="shared" ca="1" si="9"/>
        <v>0</v>
      </c>
      <c r="R85" s="145">
        <f t="shared" ca="1" si="9"/>
        <v>0</v>
      </c>
      <c r="S85" s="145">
        <f t="shared" ca="1" si="9"/>
        <v>0</v>
      </c>
      <c r="T85" s="145">
        <f t="shared" ca="1" si="9"/>
        <v>0</v>
      </c>
      <c r="U85" s="145">
        <f t="shared" ca="1" si="9"/>
        <v>0</v>
      </c>
      <c r="V85" s="145">
        <f t="shared" ca="1" si="9"/>
        <v>0</v>
      </c>
      <c r="W85" s="145">
        <f t="shared" ca="1" si="9"/>
        <v>0</v>
      </c>
      <c r="X85" s="145">
        <f t="shared" ca="1" si="9"/>
        <v>0</v>
      </c>
      <c r="Y85" s="10">
        <f>IFERROR(_xlfn.XLOOKUP(D85,'2C 均值'!$A:$A,'2C 均值'!$E:$E),0)</f>
        <v>0</v>
      </c>
      <c r="Z85" s="10" t="str">
        <f t="array" aca="1" ref="Z85" ca="1">IF(OR($D85=0,$D85=""),"",_xlfn.LET(
        _xlpm.channel,$D85,
        _xlpm.factorName,$C85,
        _xlpm.factorNum,IF(_xlpm.factorName="","",VALUE(RIGHT(_xlpm.factorName,LEN(_xlpm.factorName)-6))),
        _xlpm.flMatrixStart,_xlfn.XMATCH("Rotation Method: Procrustes with Kaiser Normalization.",'2B FL'!$A:$A,0),
        _xlpm.channelRow,IFERROR(_xlfn.XMATCH(_xlpm.channel,OFFSET('2B FL'!$B$1,_xlpm.flMatrixStart+2,0,100,1),0),0),
        IF(OR(_xlpm.channelRow=0,_xlpm.factorNum=""),"",INDEX(OFFSET('2B FL'!$D$1,_xlpm.flMatrixStart+2,0,100,27),_xlpm.channelRow,_xlpm.factorNum))
    ))</f>
        <v/>
      </c>
      <c r="AA85" s="6"/>
      <c r="AB85" s="6"/>
      <c r="AC85" s="6"/>
      <c r="AD85" s="9"/>
      <c r="AE85" s="9"/>
      <c r="AF85" s="9"/>
      <c r="AG85" s="9"/>
      <c r="AH85" s="9"/>
      <c r="AI85" s="9"/>
      <c r="AJ85" s="9"/>
    </row>
    <row r="86" spans="1:36" ht="15.75" customHeight="1" x14ac:dyDescent="0.3">
      <c r="C86" s="87" t="str">
        <f>IF(OR($D86=0,$D86=""),"",_xlfn.LET(
    _xlpm.channel,$D86,
    _xlpm.rowNum,_xlfn.XMATCH(_xlpm.channel,'2B RotationRule'!$C:$C,0),
    _xlpm.factorRow,INDEX('2B RotationRule'!$E:$AE,_xlpm.rowNum,0),
    _xlpm.factorNum,_xlfn.XMATCH(1,_xlpm.factorRow,0),
    IF(ISERROR(_xlpm.factorNum),"","Factor"&amp;_xlpm.factorNum)
))</f>
        <v/>
      </c>
      <c r="D86" s="123">
        <f>'2B RotationRule'!C31</f>
        <v>0</v>
      </c>
      <c r="E86" s="2">
        <f t="shared" ca="1" si="8"/>
        <v>0</v>
      </c>
      <c r="F86" s="2">
        <f t="shared" ca="1" si="8"/>
        <v>0</v>
      </c>
      <c r="G86" s="2">
        <f t="shared" ca="1" si="8"/>
        <v>0</v>
      </c>
      <c r="H86" s="145">
        <f t="shared" ca="1" si="8"/>
        <v>0</v>
      </c>
      <c r="I86" s="145">
        <f t="shared" ca="1" si="8"/>
        <v>0</v>
      </c>
      <c r="J86" s="145">
        <f t="shared" ca="1" si="8"/>
        <v>0</v>
      </c>
      <c r="K86" s="145">
        <f t="shared" ca="1" si="8"/>
        <v>0</v>
      </c>
      <c r="L86" s="145">
        <f t="shared" ca="1" si="8"/>
        <v>0</v>
      </c>
      <c r="M86" s="145">
        <f t="shared" ca="1" si="8"/>
        <v>0</v>
      </c>
      <c r="N86" s="145">
        <f t="shared" ca="1" si="8"/>
        <v>0</v>
      </c>
      <c r="O86" s="145">
        <f t="shared" ca="1" si="9"/>
        <v>0</v>
      </c>
      <c r="P86" s="145">
        <f t="shared" ca="1" si="9"/>
        <v>0</v>
      </c>
      <c r="Q86" s="145">
        <f t="shared" ca="1" si="9"/>
        <v>0</v>
      </c>
      <c r="R86" s="145">
        <f t="shared" ca="1" si="9"/>
        <v>0</v>
      </c>
      <c r="S86" s="145">
        <f t="shared" ca="1" si="9"/>
        <v>0</v>
      </c>
      <c r="T86" s="145">
        <f t="shared" ca="1" si="9"/>
        <v>0</v>
      </c>
      <c r="U86" s="145">
        <f t="shared" ca="1" si="9"/>
        <v>0</v>
      </c>
      <c r="V86" s="145">
        <f t="shared" ca="1" si="9"/>
        <v>0</v>
      </c>
      <c r="W86" s="145">
        <f t="shared" ca="1" si="9"/>
        <v>0</v>
      </c>
      <c r="X86" s="145">
        <f t="shared" ca="1" si="9"/>
        <v>0</v>
      </c>
      <c r="Y86" s="10">
        <f>IFERROR(_xlfn.XLOOKUP(D86,'2C 均值'!$A:$A,'2C 均值'!$E:$E),0)</f>
        <v>0</v>
      </c>
      <c r="Z86" s="10" t="str">
        <f t="array" aca="1" ref="Z86" ca="1">IF(OR($D86=0,$D86=""),"",_xlfn.LET(
        _xlpm.channel,$D86,
        _xlpm.factorName,$C86,
        _xlpm.factorNum,IF(_xlpm.factorName="","",VALUE(RIGHT(_xlpm.factorName,LEN(_xlpm.factorName)-6))),
        _xlpm.flMatrixStart,_xlfn.XMATCH("Rotation Method: Procrustes with Kaiser Normalization.",'2B FL'!$A:$A,0),
        _xlpm.channelRow,IFERROR(_xlfn.XMATCH(_xlpm.channel,OFFSET('2B FL'!$B$1,_xlpm.flMatrixStart+2,0,100,1),0),0),
        IF(OR(_xlpm.channelRow=0,_xlpm.factorNum=""),"",INDEX(OFFSET('2B FL'!$D$1,_xlpm.flMatrixStart+2,0,100,27),_xlpm.channelRow,_xlpm.factorNum))
    ))</f>
        <v/>
      </c>
      <c r="AA86" s="6"/>
      <c r="AB86" s="6"/>
      <c r="AC86" s="6"/>
      <c r="AD86" s="9"/>
      <c r="AE86" s="9"/>
      <c r="AF86" s="9"/>
      <c r="AG86" s="9"/>
      <c r="AH86" s="9"/>
      <c r="AI86" s="9"/>
      <c r="AJ86" s="9"/>
    </row>
    <row r="87" spans="1:36" ht="15.75" customHeight="1" x14ac:dyDescent="0.3">
      <c r="C87" s="87" t="str">
        <f>IF(OR($D87=0,$D87=""),"",_xlfn.LET(
    _xlpm.channel,$D87,
    _xlpm.rowNum,_xlfn.XMATCH(_xlpm.channel,'2B RotationRule'!$C:$C,0),
    _xlpm.factorRow,INDEX('2B RotationRule'!$E:$AE,_xlpm.rowNum,0),
    _xlpm.factorNum,_xlfn.XMATCH(1,_xlpm.factorRow,0),
    IF(ISERROR(_xlpm.factorNum),"","Factor"&amp;_xlpm.factorNum)
))</f>
        <v/>
      </c>
      <c r="D87" s="123">
        <f>'2B RotationRule'!C32</f>
        <v>0</v>
      </c>
      <c r="E87" s="2">
        <f t="shared" ca="1" si="8"/>
        <v>0</v>
      </c>
      <c r="F87" s="2">
        <f t="shared" ca="1" si="8"/>
        <v>0</v>
      </c>
      <c r="G87" s="2">
        <f t="shared" ca="1" si="8"/>
        <v>0</v>
      </c>
      <c r="H87" s="145">
        <f t="shared" ca="1" si="8"/>
        <v>0</v>
      </c>
      <c r="I87" s="145">
        <f t="shared" ca="1" si="8"/>
        <v>0</v>
      </c>
      <c r="J87" s="145">
        <f t="shared" ca="1" si="8"/>
        <v>0</v>
      </c>
      <c r="K87" s="145">
        <f t="shared" ca="1" si="8"/>
        <v>0</v>
      </c>
      <c r="L87" s="145">
        <f t="shared" ca="1" si="8"/>
        <v>0</v>
      </c>
      <c r="M87" s="145">
        <f t="shared" ca="1" si="8"/>
        <v>0</v>
      </c>
      <c r="N87" s="145">
        <f t="shared" ca="1" si="8"/>
        <v>0</v>
      </c>
      <c r="O87" s="145">
        <f t="shared" ca="1" si="9"/>
        <v>0</v>
      </c>
      <c r="P87" s="145">
        <f t="shared" ca="1" si="9"/>
        <v>0</v>
      </c>
      <c r="Q87" s="145">
        <f t="shared" ca="1" si="9"/>
        <v>0</v>
      </c>
      <c r="R87" s="145">
        <f t="shared" ca="1" si="9"/>
        <v>0</v>
      </c>
      <c r="S87" s="145">
        <f t="shared" ca="1" si="9"/>
        <v>0</v>
      </c>
      <c r="T87" s="145">
        <f t="shared" ca="1" si="9"/>
        <v>0</v>
      </c>
      <c r="U87" s="145">
        <f t="shared" ca="1" si="9"/>
        <v>0</v>
      </c>
      <c r="V87" s="145">
        <f t="shared" ca="1" si="9"/>
        <v>0</v>
      </c>
      <c r="W87" s="145">
        <f t="shared" ca="1" si="9"/>
        <v>0</v>
      </c>
      <c r="X87" s="145">
        <f t="shared" ca="1" si="9"/>
        <v>0</v>
      </c>
      <c r="Y87" s="10">
        <f>IFERROR(_xlfn.XLOOKUP(D87,'2C 均值'!$A:$A,'2C 均值'!$E:$E),0)</f>
        <v>0</v>
      </c>
      <c r="Z87" s="10" t="str">
        <f t="array" aca="1" ref="Z87" ca="1">IF(OR($D87=0,$D87=""),"",_xlfn.LET(
        _xlpm.channel,$D87,
        _xlpm.factorName,$C87,
        _xlpm.factorNum,IF(_xlpm.factorName="","",VALUE(RIGHT(_xlpm.factorName,LEN(_xlpm.factorName)-6))),
        _xlpm.flMatrixStart,_xlfn.XMATCH("Rotation Method: Procrustes with Kaiser Normalization.",'2B FL'!$A:$A,0),
        _xlpm.channelRow,IFERROR(_xlfn.XMATCH(_xlpm.channel,OFFSET('2B FL'!$B$1,_xlpm.flMatrixStart+2,0,100,1),0),0),
        IF(OR(_xlpm.channelRow=0,_xlpm.factorNum=""),"",INDEX(OFFSET('2B FL'!$D$1,_xlpm.flMatrixStart+2,0,100,27),_xlpm.channelRow,_xlpm.factorNum))
    ))</f>
        <v/>
      </c>
      <c r="AA87" s="6"/>
      <c r="AB87" s="6"/>
      <c r="AC87" s="6"/>
      <c r="AD87" s="9"/>
      <c r="AE87" s="9"/>
      <c r="AF87" s="9"/>
      <c r="AG87" s="9"/>
      <c r="AH87" s="9"/>
      <c r="AI87" s="9"/>
      <c r="AJ87" s="9"/>
    </row>
    <row r="88" spans="1:36" ht="15.75" customHeight="1" x14ac:dyDescent="0.3">
      <c r="C88" s="87" t="str">
        <f>IF(OR($D88=0,$D88=""),"",_xlfn.LET(
    _xlpm.channel,$D88,
    _xlpm.rowNum,_xlfn.XMATCH(_xlpm.channel,'2B RotationRule'!$C:$C,0),
    _xlpm.factorRow,INDEX('2B RotationRule'!$E:$AE,_xlpm.rowNum,0),
    _xlpm.factorNum,_xlfn.XMATCH(1,_xlpm.factorRow,0),
    IF(ISERROR(_xlpm.factorNum),"","Factor"&amp;_xlpm.factorNum)
))</f>
        <v/>
      </c>
      <c r="D88" s="123">
        <f>'2B RotationRule'!C33</f>
        <v>0</v>
      </c>
      <c r="E88" s="2">
        <f t="shared" ca="1" si="8"/>
        <v>0</v>
      </c>
      <c r="F88" s="2">
        <f t="shared" ca="1" si="8"/>
        <v>0</v>
      </c>
      <c r="G88" s="2">
        <f t="shared" ca="1" si="8"/>
        <v>0</v>
      </c>
      <c r="H88" s="145">
        <f t="shared" ca="1" si="8"/>
        <v>0</v>
      </c>
      <c r="I88" s="145">
        <f t="shared" ca="1" si="8"/>
        <v>0</v>
      </c>
      <c r="J88" s="145">
        <f t="shared" ca="1" si="8"/>
        <v>0</v>
      </c>
      <c r="K88" s="145">
        <f t="shared" ca="1" si="8"/>
        <v>0</v>
      </c>
      <c r="L88" s="145">
        <f t="shared" ca="1" si="8"/>
        <v>0</v>
      </c>
      <c r="M88" s="145">
        <f t="shared" ca="1" si="8"/>
        <v>0</v>
      </c>
      <c r="N88" s="145">
        <f t="shared" ca="1" si="8"/>
        <v>0</v>
      </c>
      <c r="O88" s="145">
        <f t="shared" ca="1" si="9"/>
        <v>0</v>
      </c>
      <c r="P88" s="145">
        <f t="shared" ca="1" si="9"/>
        <v>0</v>
      </c>
      <c r="Q88" s="145">
        <f t="shared" ca="1" si="9"/>
        <v>0</v>
      </c>
      <c r="R88" s="145">
        <f t="shared" ca="1" si="9"/>
        <v>0</v>
      </c>
      <c r="S88" s="145">
        <f t="shared" ca="1" si="9"/>
        <v>0</v>
      </c>
      <c r="T88" s="145">
        <f t="shared" ca="1" si="9"/>
        <v>0</v>
      </c>
      <c r="U88" s="145">
        <f t="shared" ca="1" si="9"/>
        <v>0</v>
      </c>
      <c r="V88" s="145">
        <f t="shared" ca="1" si="9"/>
        <v>0</v>
      </c>
      <c r="W88" s="145">
        <f t="shared" ca="1" si="9"/>
        <v>0</v>
      </c>
      <c r="X88" s="145">
        <f t="shared" ca="1" si="9"/>
        <v>0</v>
      </c>
      <c r="Y88" s="10">
        <f>IFERROR(_xlfn.XLOOKUP(D88,'2C 均值'!$A:$A,'2C 均值'!$E:$E),0)</f>
        <v>0</v>
      </c>
      <c r="Z88" s="10" t="str">
        <f t="array" aca="1" ref="Z88" ca="1">IF(OR($D88=0,$D88=""),"",_xlfn.LET(
        _xlpm.channel,$D88,
        _xlpm.factorName,$C88,
        _xlpm.factorNum,IF(_xlpm.factorName="","",VALUE(RIGHT(_xlpm.factorName,LEN(_xlpm.factorName)-6))),
        _xlpm.flMatrixStart,_xlfn.XMATCH("Rotation Method: Procrustes with Kaiser Normalization.",'2B FL'!$A:$A,0),
        _xlpm.channelRow,IFERROR(_xlfn.XMATCH(_xlpm.channel,OFFSET('2B FL'!$B$1,_xlpm.flMatrixStart+2,0,100,1),0),0),
        IF(OR(_xlpm.channelRow=0,_xlpm.factorNum=""),"",INDEX(OFFSET('2B FL'!$D$1,_xlpm.flMatrixStart+2,0,100,27),_xlpm.channelRow,_xlpm.factorNum))
    ))</f>
        <v/>
      </c>
      <c r="AA88" s="6"/>
      <c r="AB88" s="6"/>
      <c r="AC88" s="6"/>
      <c r="AD88" s="9"/>
      <c r="AE88" s="9"/>
      <c r="AF88" s="9"/>
      <c r="AG88" s="9"/>
      <c r="AH88" s="9"/>
      <c r="AI88" s="9"/>
      <c r="AJ88" s="9"/>
    </row>
    <row r="89" spans="1:36" ht="15.75" customHeight="1" x14ac:dyDescent="0.3">
      <c r="C89" s="87" t="str">
        <f>IF(OR($D89=0,$D89=""),"",_xlfn.LET(
    _xlpm.channel,$D89,
    _xlpm.rowNum,_xlfn.XMATCH(_xlpm.channel,'2B RotationRule'!$C:$C,0),
    _xlpm.factorRow,INDEX('2B RotationRule'!$E:$AE,_xlpm.rowNum,0),
    _xlpm.factorNum,_xlfn.XMATCH(1,_xlpm.factorRow,0),
    IF(ISERROR(_xlpm.factorNum),"","Factor"&amp;_xlpm.factorNum)
))</f>
        <v/>
      </c>
      <c r="D89" s="123">
        <f>'2B RotationRule'!C34</f>
        <v>0</v>
      </c>
      <c r="E89" s="2">
        <f t="shared" ca="1" si="8"/>
        <v>0</v>
      </c>
      <c r="F89" s="2">
        <f t="shared" ca="1" si="8"/>
        <v>0</v>
      </c>
      <c r="G89" s="2">
        <f t="shared" ca="1" si="8"/>
        <v>0</v>
      </c>
      <c r="H89" s="145">
        <f t="shared" ca="1" si="8"/>
        <v>0</v>
      </c>
      <c r="I89" s="145">
        <f t="shared" ca="1" si="8"/>
        <v>0</v>
      </c>
      <c r="J89" s="145">
        <f t="shared" ca="1" si="8"/>
        <v>0</v>
      </c>
      <c r="K89" s="145">
        <f t="shared" ca="1" si="8"/>
        <v>0</v>
      </c>
      <c r="L89" s="145">
        <f t="shared" ca="1" si="8"/>
        <v>0</v>
      </c>
      <c r="M89" s="145">
        <f t="shared" ca="1" si="8"/>
        <v>0</v>
      </c>
      <c r="N89" s="145">
        <f t="shared" ca="1" si="8"/>
        <v>0</v>
      </c>
      <c r="O89" s="145">
        <f t="shared" ca="1" si="9"/>
        <v>0</v>
      </c>
      <c r="P89" s="145">
        <f t="shared" ca="1" si="9"/>
        <v>0</v>
      </c>
      <c r="Q89" s="145">
        <f t="shared" ca="1" si="9"/>
        <v>0</v>
      </c>
      <c r="R89" s="145">
        <f t="shared" ca="1" si="9"/>
        <v>0</v>
      </c>
      <c r="S89" s="145">
        <f t="shared" ca="1" si="9"/>
        <v>0</v>
      </c>
      <c r="T89" s="145">
        <f t="shared" ca="1" si="9"/>
        <v>0</v>
      </c>
      <c r="U89" s="145">
        <f t="shared" ca="1" si="9"/>
        <v>0</v>
      </c>
      <c r="V89" s="145">
        <f t="shared" ca="1" si="9"/>
        <v>0</v>
      </c>
      <c r="W89" s="145">
        <f t="shared" ca="1" si="9"/>
        <v>0</v>
      </c>
      <c r="X89" s="145">
        <f t="shared" ca="1" si="9"/>
        <v>0</v>
      </c>
      <c r="Y89" s="10">
        <f>IFERROR(_xlfn.XLOOKUP(D89,'2C 均值'!$A:$A,'2C 均值'!$E:$E),0)</f>
        <v>0</v>
      </c>
      <c r="Z89" s="10" t="str">
        <f t="array" aca="1" ref="Z89" ca="1">IF(OR($D89=0,$D89=""),"",_xlfn.LET(
        _xlpm.channel,$D89,
        _xlpm.factorName,$C89,
        _xlpm.factorNum,IF(_xlpm.factorName="","",VALUE(RIGHT(_xlpm.factorName,LEN(_xlpm.factorName)-6))),
        _xlpm.flMatrixStart,_xlfn.XMATCH("Rotation Method: Procrustes with Kaiser Normalization.",'2B FL'!$A:$A,0),
        _xlpm.channelRow,IFERROR(_xlfn.XMATCH(_xlpm.channel,OFFSET('2B FL'!$B$1,_xlpm.flMatrixStart+2,0,100,1),0),0),
        IF(OR(_xlpm.channelRow=0,_xlpm.factorNum=""),"",INDEX(OFFSET('2B FL'!$D$1,_xlpm.flMatrixStart+2,0,100,27),_xlpm.channelRow,_xlpm.factorNum))
    ))</f>
        <v/>
      </c>
      <c r="AA89" s="6"/>
      <c r="AB89" s="6"/>
      <c r="AC89" s="6"/>
      <c r="AD89" s="9"/>
      <c r="AE89" s="9"/>
      <c r="AF89" s="9"/>
      <c r="AG89" s="24"/>
      <c r="AH89" s="9"/>
      <c r="AI89" s="9"/>
      <c r="AJ89" s="9"/>
    </row>
    <row r="90" spans="1:36" ht="15.75" customHeight="1" x14ac:dyDescent="0.3">
      <c r="C90" s="87" t="str">
        <f>IF(OR($D90=0,$D90=""),"",_xlfn.LET(
    _xlpm.channel,$D90,
    _xlpm.rowNum,_xlfn.XMATCH(_xlpm.channel,'2B RotationRule'!$C:$C,0),
    _xlpm.factorRow,INDEX('2B RotationRule'!$E:$AE,_xlpm.rowNum,0),
    _xlpm.factorNum,_xlfn.XMATCH(1,_xlpm.factorRow,0),
    IF(ISERROR(_xlpm.factorNum),"","Factor"&amp;_xlpm.factorNum)
))</f>
        <v/>
      </c>
      <c r="D90" s="123">
        <f>'2B RotationRule'!C35</f>
        <v>0</v>
      </c>
      <c r="E90" s="2">
        <f t="shared" ca="1" si="8"/>
        <v>0</v>
      </c>
      <c r="F90" s="2">
        <f t="shared" ca="1" si="8"/>
        <v>0</v>
      </c>
      <c r="G90" s="2">
        <f t="shared" ca="1" si="8"/>
        <v>0</v>
      </c>
      <c r="H90" s="145">
        <f t="shared" ca="1" si="8"/>
        <v>0</v>
      </c>
      <c r="I90" s="145">
        <f t="shared" ca="1" si="8"/>
        <v>0</v>
      </c>
      <c r="J90" s="145">
        <f t="shared" ca="1" si="8"/>
        <v>0</v>
      </c>
      <c r="K90" s="145">
        <f t="shared" ca="1" si="8"/>
        <v>0</v>
      </c>
      <c r="L90" s="145">
        <f t="shared" ca="1" si="8"/>
        <v>0</v>
      </c>
      <c r="M90" s="145">
        <f t="shared" ca="1" si="8"/>
        <v>0</v>
      </c>
      <c r="N90" s="145">
        <f t="shared" ca="1" si="8"/>
        <v>0</v>
      </c>
      <c r="O90" s="145">
        <f t="shared" ca="1" si="9"/>
        <v>0</v>
      </c>
      <c r="P90" s="145">
        <f t="shared" ca="1" si="9"/>
        <v>0</v>
      </c>
      <c r="Q90" s="145">
        <f t="shared" ca="1" si="9"/>
        <v>0</v>
      </c>
      <c r="R90" s="145">
        <f t="shared" ca="1" si="9"/>
        <v>0</v>
      </c>
      <c r="S90" s="145">
        <f t="shared" ca="1" si="9"/>
        <v>0</v>
      </c>
      <c r="T90" s="145">
        <f t="shared" ca="1" si="9"/>
        <v>0</v>
      </c>
      <c r="U90" s="145">
        <f t="shared" ca="1" si="9"/>
        <v>0</v>
      </c>
      <c r="V90" s="145">
        <f t="shared" ca="1" si="9"/>
        <v>0</v>
      </c>
      <c r="W90" s="145">
        <f t="shared" ca="1" si="9"/>
        <v>0</v>
      </c>
      <c r="X90" s="145">
        <f t="shared" ca="1" si="9"/>
        <v>0</v>
      </c>
      <c r="Y90" s="10">
        <f>IFERROR(_xlfn.XLOOKUP(D90,'2C 均值'!$A:$A,'2C 均值'!$E:$E),0)</f>
        <v>0</v>
      </c>
      <c r="Z90" s="10" t="str">
        <f t="array" aca="1" ref="Z90" ca="1">IF(OR($D90=0,$D90=""),"",_xlfn.LET(
        _xlpm.channel,$D90,
        _xlpm.factorName,$C90,
        _xlpm.factorNum,IF(_xlpm.factorName="","",VALUE(RIGHT(_xlpm.factorName,LEN(_xlpm.factorName)-6))),
        _xlpm.flMatrixStart,_xlfn.XMATCH("Rotation Method: Procrustes with Kaiser Normalization.",'2B FL'!$A:$A,0),
        _xlpm.channelRow,IFERROR(_xlfn.XMATCH(_xlpm.channel,OFFSET('2B FL'!$B$1,_xlpm.flMatrixStart+2,0,100,1),0),0),
        IF(OR(_xlpm.channelRow=0,_xlpm.factorNum=""),"",INDEX(OFFSET('2B FL'!$D$1,_xlpm.flMatrixStart+2,0,100,27),_xlpm.channelRow,_xlpm.factorNum))
    ))</f>
        <v/>
      </c>
      <c r="AA90" s="6"/>
      <c r="AB90" s="6"/>
      <c r="AC90" s="6"/>
      <c r="AD90" s="9"/>
      <c r="AE90" s="9"/>
      <c r="AF90" s="9"/>
      <c r="AG90" s="24"/>
      <c r="AH90" s="9"/>
      <c r="AI90" s="9"/>
      <c r="AJ90" s="9"/>
    </row>
    <row r="91" spans="1:36" ht="15.75" customHeight="1" x14ac:dyDescent="0.3">
      <c r="C91" s="87" t="str">
        <f>IF(OR($D91=0,$D91=""),"",_xlfn.LET(
    _xlpm.channel,$D91,
    _xlpm.rowNum,_xlfn.XMATCH(_xlpm.channel,'2B RotationRule'!$C:$C,0),
    _xlpm.factorRow,INDEX('2B RotationRule'!$E:$AE,_xlpm.rowNum,0),
    _xlpm.factorNum,_xlfn.XMATCH(1,_xlpm.factorRow,0),
    IF(ISERROR(_xlpm.factorNum),"","Factor"&amp;_xlpm.factorNum)
))</f>
        <v/>
      </c>
      <c r="D91" s="123">
        <f>'2B RotationRule'!C36</f>
        <v>0</v>
      </c>
      <c r="E91" s="2">
        <f t="shared" ca="1" si="8"/>
        <v>0</v>
      </c>
      <c r="F91" s="2">
        <f t="shared" ca="1" si="8"/>
        <v>0</v>
      </c>
      <c r="G91" s="2">
        <f t="shared" ca="1" si="8"/>
        <v>0</v>
      </c>
      <c r="H91" s="145">
        <f t="shared" ca="1" si="8"/>
        <v>0</v>
      </c>
      <c r="I91" s="145">
        <f t="shared" ca="1" si="8"/>
        <v>0</v>
      </c>
      <c r="J91" s="145">
        <f t="shared" ca="1" si="8"/>
        <v>0</v>
      </c>
      <c r="K91" s="145">
        <f t="shared" ca="1" si="8"/>
        <v>0</v>
      </c>
      <c r="L91" s="145">
        <f t="shared" ca="1" si="8"/>
        <v>0</v>
      </c>
      <c r="M91" s="145">
        <f t="shared" ca="1" si="8"/>
        <v>0</v>
      </c>
      <c r="N91" s="145">
        <f t="shared" ca="1" si="8"/>
        <v>0</v>
      </c>
      <c r="O91" s="145">
        <f t="shared" ca="1" si="9"/>
        <v>0</v>
      </c>
      <c r="P91" s="145">
        <f t="shared" ca="1" si="9"/>
        <v>0</v>
      </c>
      <c r="Q91" s="145">
        <f t="shared" ca="1" si="9"/>
        <v>0</v>
      </c>
      <c r="R91" s="145">
        <f t="shared" ca="1" si="9"/>
        <v>0</v>
      </c>
      <c r="S91" s="145">
        <f t="shared" ca="1" si="9"/>
        <v>0</v>
      </c>
      <c r="T91" s="145">
        <f t="shared" ca="1" si="9"/>
        <v>0</v>
      </c>
      <c r="U91" s="145">
        <f t="shared" ca="1" si="9"/>
        <v>0</v>
      </c>
      <c r="V91" s="145">
        <f t="shared" ca="1" si="9"/>
        <v>0</v>
      </c>
      <c r="W91" s="145">
        <f t="shared" ca="1" si="9"/>
        <v>0</v>
      </c>
      <c r="X91" s="145">
        <f t="shared" ca="1" si="9"/>
        <v>0</v>
      </c>
      <c r="Y91" s="10">
        <f>IFERROR(_xlfn.XLOOKUP(D91,'2C 均值'!$A:$A,'2C 均值'!$E:$E),0)</f>
        <v>0</v>
      </c>
      <c r="Z91" s="10" t="str">
        <f t="array" aca="1" ref="Z91" ca="1">IF(OR($D91=0,$D91=""),"",_xlfn.LET(
        _xlpm.channel,$D91,
        _xlpm.factorName,$C91,
        _xlpm.factorNum,IF(_xlpm.factorName="","",VALUE(RIGHT(_xlpm.factorName,LEN(_xlpm.factorName)-6))),
        _xlpm.flMatrixStart,_xlfn.XMATCH("Rotation Method: Procrustes with Kaiser Normalization.",'2B FL'!$A:$A,0),
        _xlpm.channelRow,IFERROR(_xlfn.XMATCH(_xlpm.channel,OFFSET('2B FL'!$B$1,_xlpm.flMatrixStart+2,0,100,1),0),0),
        IF(OR(_xlpm.channelRow=0,_xlpm.factorNum=""),"",INDEX(OFFSET('2B FL'!$D$1,_xlpm.flMatrixStart+2,0,100,27),_xlpm.channelRow,_xlpm.factorNum))
    ))</f>
        <v/>
      </c>
      <c r="AA91" s="6"/>
      <c r="AB91" s="6"/>
      <c r="AC91" s="6"/>
      <c r="AD91" s="9"/>
      <c r="AE91" s="9"/>
      <c r="AF91" s="9"/>
      <c r="AG91" s="9"/>
      <c r="AH91" s="9"/>
      <c r="AI91" s="9"/>
      <c r="AJ91" s="9"/>
    </row>
    <row r="92" spans="1:36" ht="15.75" customHeight="1" x14ac:dyDescent="0.3">
      <c r="C92" s="87" t="str">
        <f>IF(OR($D92=0,$D92=""),"",_xlfn.LET(
    _xlpm.channel,$D92,
    _xlpm.rowNum,_xlfn.XMATCH(_xlpm.channel,'2B RotationRule'!$C:$C,0),
    _xlpm.factorRow,INDEX('2B RotationRule'!$E:$AE,_xlpm.rowNum,0),
    _xlpm.factorNum,_xlfn.XMATCH(1,_xlpm.factorRow,0),
    IF(ISERROR(_xlpm.factorNum),"","Factor"&amp;_xlpm.factorNum)
))</f>
        <v/>
      </c>
      <c r="D92" s="123">
        <f>'2B RotationRule'!C37</f>
        <v>0</v>
      </c>
      <c r="E92" s="2">
        <f t="shared" ca="1" si="8"/>
        <v>0</v>
      </c>
      <c r="F92" s="2">
        <f t="shared" ca="1" si="8"/>
        <v>0</v>
      </c>
      <c r="G92" s="2">
        <f t="shared" ca="1" si="8"/>
        <v>0</v>
      </c>
      <c r="H92" s="145">
        <f t="shared" ca="1" si="8"/>
        <v>0</v>
      </c>
      <c r="I92" s="145">
        <f t="shared" ca="1" si="8"/>
        <v>0</v>
      </c>
      <c r="J92" s="145">
        <f t="shared" ca="1" si="8"/>
        <v>0</v>
      </c>
      <c r="K92" s="145">
        <f t="shared" ca="1" si="8"/>
        <v>0</v>
      </c>
      <c r="L92" s="145">
        <f t="shared" ca="1" si="8"/>
        <v>0</v>
      </c>
      <c r="M92" s="145">
        <f t="shared" ca="1" si="8"/>
        <v>0</v>
      </c>
      <c r="N92" s="145">
        <f t="shared" ca="1" si="8"/>
        <v>0</v>
      </c>
      <c r="O92" s="145">
        <f t="shared" ca="1" si="9"/>
        <v>0</v>
      </c>
      <c r="P92" s="145">
        <f t="shared" ca="1" si="9"/>
        <v>0</v>
      </c>
      <c r="Q92" s="145">
        <f t="shared" ca="1" si="9"/>
        <v>0</v>
      </c>
      <c r="R92" s="145">
        <f t="shared" ca="1" si="9"/>
        <v>0</v>
      </c>
      <c r="S92" s="145">
        <f t="shared" ca="1" si="9"/>
        <v>0</v>
      </c>
      <c r="T92" s="145">
        <f t="shared" ca="1" si="9"/>
        <v>0</v>
      </c>
      <c r="U92" s="145">
        <f t="shared" ca="1" si="9"/>
        <v>0</v>
      </c>
      <c r="V92" s="145">
        <f t="shared" ca="1" si="9"/>
        <v>0</v>
      </c>
      <c r="W92" s="145">
        <f t="shared" ca="1" si="9"/>
        <v>0</v>
      </c>
      <c r="X92" s="145">
        <f t="shared" ca="1" si="9"/>
        <v>0</v>
      </c>
      <c r="Y92" s="10">
        <f>IFERROR(_xlfn.XLOOKUP(D92,'2C 均值'!$A:$A,'2C 均值'!$E:$E),0)</f>
        <v>0</v>
      </c>
      <c r="Z92" s="10" t="str">
        <f t="array" aca="1" ref="Z92" ca="1">IF(OR($D92=0,$D92=""),"",_xlfn.LET(
        _xlpm.channel,$D92,
        _xlpm.factorName,$C92,
        _xlpm.factorNum,IF(_xlpm.factorName="","",VALUE(RIGHT(_xlpm.factorName,LEN(_xlpm.factorName)-6))),
        _xlpm.flMatrixStart,_xlfn.XMATCH("Rotation Method: Procrustes with Kaiser Normalization.",'2B FL'!$A:$A,0),
        _xlpm.channelRow,IFERROR(_xlfn.XMATCH(_xlpm.channel,OFFSET('2B FL'!$B$1,_xlpm.flMatrixStart+2,0,100,1),0),0),
        IF(OR(_xlpm.channelRow=0,_xlpm.factorNum=""),"",INDEX(OFFSET('2B FL'!$D$1,_xlpm.flMatrixStart+2,0,100,27),_xlpm.channelRow,_xlpm.factorNum))
    ))</f>
        <v/>
      </c>
    </row>
    <row r="93" spans="1:36" x14ac:dyDescent="0.3">
      <c r="D93" s="30"/>
      <c r="E93" s="2"/>
      <c r="F93" s="2"/>
      <c r="G93" s="2"/>
      <c r="H93" s="2"/>
      <c r="I93" s="2"/>
      <c r="J93" s="2"/>
      <c r="K93" s="2"/>
      <c r="L93" s="2"/>
      <c r="M93" s="2"/>
      <c r="N93" s="2"/>
      <c r="O93" s="2"/>
      <c r="P93" s="2"/>
      <c r="Q93" s="2"/>
      <c r="R93" s="2"/>
      <c r="S93" s="2"/>
      <c r="T93" s="2"/>
      <c r="U93" s="2"/>
      <c r="V93" s="2"/>
      <c r="W93" s="2"/>
      <c r="X93" s="2"/>
    </row>
    <row r="94" spans="1:36" x14ac:dyDescent="0.3">
      <c r="D94" s="30"/>
      <c r="E94" s="2"/>
      <c r="F94" s="2"/>
      <c r="G94" s="2"/>
      <c r="H94" s="2"/>
      <c r="I94" s="2"/>
      <c r="J94" s="2"/>
      <c r="K94" s="2"/>
      <c r="L94" s="2"/>
      <c r="M94" s="2"/>
      <c r="N94" s="2"/>
      <c r="O94" s="2"/>
      <c r="P94" s="2"/>
      <c r="Q94" s="2"/>
      <c r="R94" s="2"/>
      <c r="S94" s="2"/>
      <c r="T94" s="2"/>
      <c r="U94" s="2"/>
      <c r="V94" s="2"/>
      <c r="W94" s="2"/>
      <c r="X94" s="2"/>
    </row>
    <row r="95" spans="1:36" x14ac:dyDescent="0.3">
      <c r="D95" s="19"/>
      <c r="E95" s="2"/>
      <c r="F95" s="2"/>
      <c r="G95" s="2"/>
      <c r="H95" s="2"/>
      <c r="I95" s="2"/>
      <c r="J95" s="2"/>
      <c r="K95" s="2"/>
      <c r="L95" s="2"/>
      <c r="M95" s="2"/>
      <c r="N95" s="2"/>
      <c r="O95" s="2"/>
      <c r="P95" s="2"/>
      <c r="Q95" s="2"/>
      <c r="R95" s="2"/>
      <c r="S95" s="2"/>
      <c r="T95" s="2"/>
      <c r="U95" s="2"/>
      <c r="V95" s="2"/>
      <c r="W95" s="2"/>
      <c r="X95" s="2"/>
    </row>
    <row r="96" spans="1:36" s="16" customFormat="1" ht="48.75" customHeight="1" x14ac:dyDescent="0.45">
      <c r="A96" s="218" t="s">
        <v>59</v>
      </c>
      <c r="B96" s="219"/>
      <c r="D96" s="20" t="s">
        <v>60</v>
      </c>
      <c r="E96" s="13" t="str">
        <f t="shared" ref="E96:X96" si="10">E57</f>
        <v>dLevel_ABA</v>
      </c>
      <c r="F96" s="13" t="str">
        <f t="shared" si="10"/>
        <v>dLevel_B6_T2B</v>
      </c>
      <c r="G96" s="13" t="str">
        <f t="shared" si="10"/>
        <v>dLevel_ABA</v>
      </c>
      <c r="H96" s="13" t="str">
        <f t="shared" si="10"/>
        <v>dLevel_B6_T2B</v>
      </c>
      <c r="I96" s="13" t="str">
        <f t="shared" si="10"/>
        <v>dLevel_B7_T2B</v>
      </c>
      <c r="J96" s="13" t="str">
        <f t="shared" si="10"/>
        <v/>
      </c>
      <c r="K96" s="13" t="str">
        <f t="shared" si="10"/>
        <v/>
      </c>
      <c r="L96" s="13" t="str">
        <f t="shared" si="10"/>
        <v/>
      </c>
      <c r="M96" s="13" t="str">
        <f t="shared" si="10"/>
        <v/>
      </c>
      <c r="N96" s="13" t="str">
        <f t="shared" si="10"/>
        <v/>
      </c>
      <c r="O96" s="13" t="str">
        <f t="shared" si="10"/>
        <v/>
      </c>
      <c r="P96" s="13" t="str">
        <f t="shared" si="10"/>
        <v/>
      </c>
      <c r="Q96" s="13" t="str">
        <f t="shared" si="10"/>
        <v/>
      </c>
      <c r="R96" s="13" t="str">
        <f t="shared" si="10"/>
        <v/>
      </c>
      <c r="S96" s="13" t="str">
        <f t="shared" si="10"/>
        <v/>
      </c>
      <c r="T96" s="13" t="str">
        <f t="shared" si="10"/>
        <v/>
      </c>
      <c r="U96" s="13" t="str">
        <f t="shared" si="10"/>
        <v/>
      </c>
      <c r="V96" s="13" t="str">
        <f t="shared" si="10"/>
        <v/>
      </c>
      <c r="W96" s="13" t="str">
        <f t="shared" si="10"/>
        <v/>
      </c>
      <c r="X96" s="13" t="str">
        <f t="shared" si="10"/>
        <v/>
      </c>
    </row>
    <row r="97" spans="3:24" ht="16.5" customHeight="1" x14ac:dyDescent="0.3">
      <c r="C97" s="69"/>
      <c r="D97" s="70" t="str">
        <f t="shared" ref="D97:D131" si="11">D58</f>
        <v>dLevel_T2_1</v>
      </c>
      <c r="E97" s="17">
        <f t="shared" ref="E97:X97" ca="1" si="12">IF(ABS(E58)&gt;0,IF(E58&gt;0.001,E58,_xlfn.MINIFS(E$58:E$92,E$58:E$92,"&gt;0")/3),0)</f>
        <v>3.1143650141715981E-2</v>
      </c>
      <c r="F97" s="17">
        <f t="shared" ca="1" si="12"/>
        <v>3.3519773102202367E-2</v>
      </c>
      <c r="G97" s="17">
        <f t="shared" ca="1" si="12"/>
        <v>3.1143650141715981E-2</v>
      </c>
      <c r="H97" s="17">
        <f t="shared" ca="1" si="12"/>
        <v>3.3519773102202367E-2</v>
      </c>
      <c r="I97" s="17">
        <f t="shared" ca="1" si="12"/>
        <v>0.14703683111654278</v>
      </c>
      <c r="J97" s="17">
        <f t="shared" ca="1" si="12"/>
        <v>0</v>
      </c>
      <c r="K97" s="17">
        <f t="shared" ca="1" si="12"/>
        <v>0</v>
      </c>
      <c r="L97" s="17">
        <f t="shared" ca="1" si="12"/>
        <v>0</v>
      </c>
      <c r="M97" s="17">
        <f t="shared" ca="1" si="12"/>
        <v>0</v>
      </c>
      <c r="N97" s="17">
        <f t="shared" ca="1" si="12"/>
        <v>0</v>
      </c>
      <c r="O97" s="17">
        <f t="shared" ca="1" si="12"/>
        <v>0</v>
      </c>
      <c r="P97" s="17">
        <f t="shared" ca="1" si="12"/>
        <v>0</v>
      </c>
      <c r="Q97" s="17">
        <f t="shared" ca="1" si="12"/>
        <v>0</v>
      </c>
      <c r="R97" s="17">
        <f t="shared" ca="1" si="12"/>
        <v>0</v>
      </c>
      <c r="S97" s="17">
        <f t="shared" ca="1" si="12"/>
        <v>0</v>
      </c>
      <c r="T97" s="17">
        <f t="shared" ca="1" si="12"/>
        <v>0</v>
      </c>
      <c r="U97" s="17">
        <f t="shared" ca="1" si="12"/>
        <v>0</v>
      </c>
      <c r="V97" s="17">
        <f t="shared" ca="1" si="12"/>
        <v>0</v>
      </c>
      <c r="W97" s="17">
        <f t="shared" ca="1" si="12"/>
        <v>0</v>
      </c>
      <c r="X97" s="17">
        <f t="shared" ca="1" si="12"/>
        <v>0</v>
      </c>
    </row>
    <row r="98" spans="3:24" ht="16.5" customHeight="1" x14ac:dyDescent="0.3">
      <c r="C98" s="69"/>
      <c r="D98" s="70" t="str">
        <f t="shared" si="11"/>
        <v>dLevel_T2_2</v>
      </c>
      <c r="E98" s="17">
        <f t="shared" ref="E98:X98" ca="1" si="13">IF(ABS(E59)&gt;0,IF(E59&gt;0.001,E59,_xlfn.MINIFS(E$58:E$92,E$58:E$92,"&gt;0")/3),0)</f>
        <v>1.7510518523839665E-2</v>
      </c>
      <c r="F98" s="17">
        <f t="shared" ca="1" si="13"/>
        <v>7.5860630697873396E-3</v>
      </c>
      <c r="G98" s="17">
        <f t="shared" ca="1" si="13"/>
        <v>1.7510518523839665E-2</v>
      </c>
      <c r="H98" s="17">
        <f t="shared" ca="1" si="13"/>
        <v>7.5860630697873396E-3</v>
      </c>
      <c r="I98" s="17">
        <f t="shared" ca="1" si="13"/>
        <v>0.1193107977114035</v>
      </c>
      <c r="J98" s="17">
        <f t="shared" ca="1" si="13"/>
        <v>0</v>
      </c>
      <c r="K98" s="17">
        <f t="shared" ca="1" si="13"/>
        <v>0</v>
      </c>
      <c r="L98" s="17">
        <f t="shared" ca="1" si="13"/>
        <v>0</v>
      </c>
      <c r="M98" s="17">
        <f t="shared" ca="1" si="13"/>
        <v>0</v>
      </c>
      <c r="N98" s="17">
        <f t="shared" ca="1" si="13"/>
        <v>0</v>
      </c>
      <c r="O98" s="17">
        <f t="shared" ca="1" si="13"/>
        <v>0</v>
      </c>
      <c r="P98" s="17">
        <f t="shared" ca="1" si="13"/>
        <v>0</v>
      </c>
      <c r="Q98" s="17">
        <f t="shared" ca="1" si="13"/>
        <v>0</v>
      </c>
      <c r="R98" s="17">
        <f t="shared" ca="1" si="13"/>
        <v>0</v>
      </c>
      <c r="S98" s="17">
        <f t="shared" ca="1" si="13"/>
        <v>0</v>
      </c>
      <c r="T98" s="17">
        <f t="shared" ca="1" si="13"/>
        <v>0</v>
      </c>
      <c r="U98" s="17">
        <f t="shared" ca="1" si="13"/>
        <v>0</v>
      </c>
      <c r="V98" s="17">
        <f t="shared" ca="1" si="13"/>
        <v>0</v>
      </c>
      <c r="W98" s="17">
        <f t="shared" ca="1" si="13"/>
        <v>0</v>
      </c>
      <c r="X98" s="17">
        <f t="shared" ca="1" si="13"/>
        <v>0</v>
      </c>
    </row>
    <row r="99" spans="3:24" ht="16.5" customHeight="1" x14ac:dyDescent="0.3">
      <c r="C99" s="69"/>
      <c r="D99" s="70" t="str">
        <f t="shared" si="11"/>
        <v>dLevel_T2_3</v>
      </c>
      <c r="E99" s="17">
        <f t="shared" ref="E99:X99" ca="1" si="14">IF(ABS(E60)&gt;0,IF(E60&gt;0.001,E60,_xlfn.MINIFS(E$58:E$92,E$58:E$92,"&gt;0")/3),0)</f>
        <v>1.507912222735616E-2</v>
      </c>
      <c r="F99" s="17">
        <f t="shared" ca="1" si="14"/>
        <v>7.9671891129792435E-3</v>
      </c>
      <c r="G99" s="17">
        <f t="shared" ca="1" si="14"/>
        <v>1.507912222735616E-2</v>
      </c>
      <c r="H99" s="17">
        <f t="shared" ca="1" si="14"/>
        <v>7.9671891129792435E-3</v>
      </c>
      <c r="I99" s="17">
        <f t="shared" ca="1" si="14"/>
        <v>0.10614739424167197</v>
      </c>
      <c r="J99" s="17">
        <f t="shared" ca="1" si="14"/>
        <v>0</v>
      </c>
      <c r="K99" s="17">
        <f t="shared" ca="1" si="14"/>
        <v>0</v>
      </c>
      <c r="L99" s="17">
        <f t="shared" ca="1" si="14"/>
        <v>0</v>
      </c>
      <c r="M99" s="17">
        <f t="shared" ca="1" si="14"/>
        <v>0</v>
      </c>
      <c r="N99" s="17">
        <f t="shared" ca="1" si="14"/>
        <v>0</v>
      </c>
      <c r="O99" s="17">
        <f t="shared" ca="1" si="14"/>
        <v>0</v>
      </c>
      <c r="P99" s="17">
        <f t="shared" ca="1" si="14"/>
        <v>0</v>
      </c>
      <c r="Q99" s="17">
        <f t="shared" ca="1" si="14"/>
        <v>0</v>
      </c>
      <c r="R99" s="17">
        <f t="shared" ca="1" si="14"/>
        <v>0</v>
      </c>
      <c r="S99" s="17">
        <f t="shared" ca="1" si="14"/>
        <v>0</v>
      </c>
      <c r="T99" s="17">
        <f t="shared" ca="1" si="14"/>
        <v>0</v>
      </c>
      <c r="U99" s="17">
        <f t="shared" ca="1" si="14"/>
        <v>0</v>
      </c>
      <c r="V99" s="17">
        <f t="shared" ca="1" si="14"/>
        <v>0</v>
      </c>
      <c r="W99" s="17">
        <f t="shared" ca="1" si="14"/>
        <v>0</v>
      </c>
      <c r="X99" s="17">
        <f t="shared" ca="1" si="14"/>
        <v>0</v>
      </c>
    </row>
    <row r="100" spans="3:24" ht="16.5" customHeight="1" x14ac:dyDescent="0.3">
      <c r="C100" s="69"/>
      <c r="D100" s="70" t="str">
        <f t="shared" si="11"/>
        <v>dLevel_T2_4</v>
      </c>
      <c r="E100" s="17">
        <f t="shared" ref="E100:X100" ca="1" si="15">IF(ABS(E61)&gt;0,IF(E61&gt;0.001,E61,_xlfn.MINIFS(E$58:E$92,E$58:E$92,"&gt;0")/3),0)</f>
        <v>3.2483483302511724E-2</v>
      </c>
      <c r="F100" s="17">
        <f t="shared" ca="1" si="15"/>
        <v>4.0201438142160782E-2</v>
      </c>
      <c r="G100" s="17">
        <f t="shared" ca="1" si="15"/>
        <v>3.2483483302511724E-2</v>
      </c>
      <c r="H100" s="17">
        <f t="shared" ca="1" si="15"/>
        <v>4.0201438142160782E-2</v>
      </c>
      <c r="I100" s="17">
        <f t="shared" ca="1" si="15"/>
        <v>0.15519877466486207</v>
      </c>
      <c r="J100" s="17">
        <f t="shared" ca="1" si="15"/>
        <v>0</v>
      </c>
      <c r="K100" s="17">
        <f t="shared" ca="1" si="15"/>
        <v>0</v>
      </c>
      <c r="L100" s="17">
        <f t="shared" ca="1" si="15"/>
        <v>0</v>
      </c>
      <c r="M100" s="17">
        <f t="shared" ca="1" si="15"/>
        <v>0</v>
      </c>
      <c r="N100" s="17">
        <f t="shared" ca="1" si="15"/>
        <v>0</v>
      </c>
      <c r="O100" s="17">
        <f t="shared" ca="1" si="15"/>
        <v>0</v>
      </c>
      <c r="P100" s="17">
        <f t="shared" ca="1" si="15"/>
        <v>0</v>
      </c>
      <c r="Q100" s="17">
        <f t="shared" ca="1" si="15"/>
        <v>0</v>
      </c>
      <c r="R100" s="17">
        <f t="shared" ca="1" si="15"/>
        <v>0</v>
      </c>
      <c r="S100" s="17">
        <f t="shared" ca="1" si="15"/>
        <v>0</v>
      </c>
      <c r="T100" s="17">
        <f t="shared" ca="1" si="15"/>
        <v>0</v>
      </c>
      <c r="U100" s="17">
        <f t="shared" ca="1" si="15"/>
        <v>0</v>
      </c>
      <c r="V100" s="17">
        <f t="shared" ca="1" si="15"/>
        <v>0</v>
      </c>
      <c r="W100" s="17">
        <f t="shared" ca="1" si="15"/>
        <v>0</v>
      </c>
      <c r="X100" s="17">
        <f t="shared" ca="1" si="15"/>
        <v>0</v>
      </c>
    </row>
    <row r="101" spans="3:24" ht="16.5" customHeight="1" x14ac:dyDescent="0.3">
      <c r="C101" s="69"/>
      <c r="D101" s="70" t="str">
        <f t="shared" si="11"/>
        <v>dLevel_T2_5</v>
      </c>
      <c r="E101" s="17">
        <f t="shared" ref="E101:X101" ca="1" si="16">IF(ABS(E62)&gt;0,IF(E62&gt;0.001,E62,_xlfn.MINIFS(E$58:E$92,E$58:E$92,"&gt;0")/3),0)</f>
        <v>1.51025813743968E-2</v>
      </c>
      <c r="F101" s="17">
        <f t="shared" ca="1" si="16"/>
        <v>4.3228615883236725E-2</v>
      </c>
      <c r="G101" s="17">
        <f t="shared" ca="1" si="16"/>
        <v>1.51025813743968E-2</v>
      </c>
      <c r="H101" s="17">
        <f t="shared" ca="1" si="16"/>
        <v>4.3228615883236725E-2</v>
      </c>
      <c r="I101" s="17">
        <f t="shared" ca="1" si="16"/>
        <v>0.11099652661321352</v>
      </c>
      <c r="J101" s="17">
        <f t="shared" ca="1" si="16"/>
        <v>0</v>
      </c>
      <c r="K101" s="17">
        <f t="shared" ca="1" si="16"/>
        <v>0</v>
      </c>
      <c r="L101" s="17">
        <f t="shared" ca="1" si="16"/>
        <v>0</v>
      </c>
      <c r="M101" s="17">
        <f t="shared" ca="1" si="16"/>
        <v>0</v>
      </c>
      <c r="N101" s="17">
        <f t="shared" ca="1" si="16"/>
        <v>0</v>
      </c>
      <c r="O101" s="17">
        <f t="shared" ca="1" si="16"/>
        <v>0</v>
      </c>
      <c r="P101" s="17">
        <f t="shared" ca="1" si="16"/>
        <v>0</v>
      </c>
      <c r="Q101" s="17">
        <f t="shared" ca="1" si="16"/>
        <v>0</v>
      </c>
      <c r="R101" s="17">
        <f t="shared" ca="1" si="16"/>
        <v>0</v>
      </c>
      <c r="S101" s="17">
        <f t="shared" ca="1" si="16"/>
        <v>0</v>
      </c>
      <c r="T101" s="17">
        <f t="shared" ca="1" si="16"/>
        <v>0</v>
      </c>
      <c r="U101" s="17">
        <f t="shared" ca="1" si="16"/>
        <v>0</v>
      </c>
      <c r="V101" s="17">
        <f t="shared" ca="1" si="16"/>
        <v>0</v>
      </c>
      <c r="W101" s="17">
        <f t="shared" ca="1" si="16"/>
        <v>0</v>
      </c>
      <c r="X101" s="17">
        <f t="shared" ca="1" si="16"/>
        <v>0</v>
      </c>
    </row>
    <row r="102" spans="3:24" ht="16.5" customHeight="1" x14ac:dyDescent="0.3">
      <c r="C102" s="69"/>
      <c r="D102" s="70" t="str">
        <f t="shared" si="11"/>
        <v>dLevel_T2_6</v>
      </c>
      <c r="E102" s="17">
        <f t="shared" ref="E102:X102" ca="1" si="17">IF(ABS(E63)&gt;0,IF(E63&gt;0.001,E63,_xlfn.MINIFS(E$58:E$92,E$58:E$92,"&gt;0")/3),0)</f>
        <v>2.9238221834168777E-2</v>
      </c>
      <c r="F102" s="17">
        <f t="shared" ca="1" si="17"/>
        <v>3.1483745358142155E-2</v>
      </c>
      <c r="G102" s="17">
        <f t="shared" ca="1" si="17"/>
        <v>2.9238221834168777E-2</v>
      </c>
      <c r="H102" s="17">
        <f t="shared" ca="1" si="17"/>
        <v>3.1483745358142155E-2</v>
      </c>
      <c r="I102" s="17">
        <f t="shared" ca="1" si="17"/>
        <v>9.7904406901759583E-2</v>
      </c>
      <c r="J102" s="17">
        <f t="shared" ca="1" si="17"/>
        <v>0</v>
      </c>
      <c r="K102" s="17">
        <f t="shared" ca="1" si="17"/>
        <v>0</v>
      </c>
      <c r="L102" s="17">
        <f t="shared" ca="1" si="17"/>
        <v>0</v>
      </c>
      <c r="M102" s="17">
        <f t="shared" ca="1" si="17"/>
        <v>0</v>
      </c>
      <c r="N102" s="17">
        <f t="shared" ca="1" si="17"/>
        <v>0</v>
      </c>
      <c r="O102" s="17">
        <f t="shared" ca="1" si="17"/>
        <v>0</v>
      </c>
      <c r="P102" s="17">
        <f t="shared" ca="1" si="17"/>
        <v>0</v>
      </c>
      <c r="Q102" s="17">
        <f t="shared" ca="1" si="17"/>
        <v>0</v>
      </c>
      <c r="R102" s="17">
        <f t="shared" ca="1" si="17"/>
        <v>0</v>
      </c>
      <c r="S102" s="17">
        <f t="shared" ca="1" si="17"/>
        <v>0</v>
      </c>
      <c r="T102" s="17">
        <f t="shared" ca="1" si="17"/>
        <v>0</v>
      </c>
      <c r="U102" s="17">
        <f t="shared" ca="1" si="17"/>
        <v>0</v>
      </c>
      <c r="V102" s="17">
        <f t="shared" ca="1" si="17"/>
        <v>0</v>
      </c>
      <c r="W102" s="17">
        <f t="shared" ca="1" si="17"/>
        <v>0</v>
      </c>
      <c r="X102" s="17">
        <f t="shared" ca="1" si="17"/>
        <v>0</v>
      </c>
    </row>
    <row r="103" spans="3:24" x14ac:dyDescent="0.3">
      <c r="C103" s="1"/>
      <c r="D103" s="70" t="str">
        <f t="shared" si="11"/>
        <v>dLevel_T2_7</v>
      </c>
      <c r="E103" s="17">
        <f t="shared" ref="E103:X103" ca="1" si="18">IF(ABS(E64)&gt;0,IF(E64&gt;0.001,E64,_xlfn.MINIFS(E$58:E$92,E$58:E$92,"&gt;0")/3),0)</f>
        <v>4.353071312904129E-2</v>
      </c>
      <c r="F103" s="17">
        <f t="shared" ca="1" si="18"/>
        <v>6.1115067215706406E-2</v>
      </c>
      <c r="G103" s="17">
        <f t="shared" ca="1" si="18"/>
        <v>4.353071312904129E-2</v>
      </c>
      <c r="H103" s="17">
        <f t="shared" ca="1" si="18"/>
        <v>6.1115067215706406E-2</v>
      </c>
      <c r="I103" s="17">
        <f t="shared" ca="1" si="18"/>
        <v>0.15915799619227963</v>
      </c>
      <c r="J103" s="17">
        <f t="shared" ca="1" si="18"/>
        <v>0</v>
      </c>
      <c r="K103" s="17">
        <f t="shared" ca="1" si="18"/>
        <v>0</v>
      </c>
      <c r="L103" s="17">
        <f t="shared" ca="1" si="18"/>
        <v>0</v>
      </c>
      <c r="M103" s="17">
        <f t="shared" ca="1" si="18"/>
        <v>0</v>
      </c>
      <c r="N103" s="17">
        <f t="shared" ca="1" si="18"/>
        <v>0</v>
      </c>
      <c r="O103" s="17">
        <f t="shared" ca="1" si="18"/>
        <v>0</v>
      </c>
      <c r="P103" s="17">
        <f t="shared" ca="1" si="18"/>
        <v>0</v>
      </c>
      <c r="Q103" s="17">
        <f t="shared" ca="1" si="18"/>
        <v>0</v>
      </c>
      <c r="R103" s="17">
        <f t="shared" ca="1" si="18"/>
        <v>0</v>
      </c>
      <c r="S103" s="17">
        <f t="shared" ca="1" si="18"/>
        <v>0</v>
      </c>
      <c r="T103" s="17">
        <f t="shared" ca="1" si="18"/>
        <v>0</v>
      </c>
      <c r="U103" s="17">
        <f t="shared" ca="1" si="18"/>
        <v>0</v>
      </c>
      <c r="V103" s="17">
        <f t="shared" ca="1" si="18"/>
        <v>0</v>
      </c>
      <c r="W103" s="17">
        <f t="shared" ca="1" si="18"/>
        <v>0</v>
      </c>
      <c r="X103" s="17">
        <f t="shared" ca="1" si="18"/>
        <v>0</v>
      </c>
    </row>
    <row r="104" spans="3:24" x14ac:dyDescent="0.3">
      <c r="C104" s="1"/>
      <c r="D104" s="70" t="str">
        <f t="shared" si="11"/>
        <v>dLevel_T2_8</v>
      </c>
      <c r="E104" s="17">
        <f t="shared" ref="E104:X104" ca="1" si="19">IF(ABS(E65)&gt;0,IF(E65&gt;0.001,E65,_xlfn.MINIFS(E$58:E$92,E$58:E$92,"&gt;0")/3),0)</f>
        <v>2.0511262507783897E-2</v>
      </c>
      <c r="F104" s="17">
        <f t="shared" ca="1" si="19"/>
        <v>4.4312363105880236E-2</v>
      </c>
      <c r="G104" s="17">
        <f t="shared" ca="1" si="19"/>
        <v>2.0511262507783897E-2</v>
      </c>
      <c r="H104" s="17">
        <f t="shared" ca="1" si="19"/>
        <v>4.4312363105880236E-2</v>
      </c>
      <c r="I104" s="17">
        <f t="shared" ca="1" si="19"/>
        <v>0.16483567174959984</v>
      </c>
      <c r="J104" s="17">
        <f t="shared" ca="1" si="19"/>
        <v>0</v>
      </c>
      <c r="K104" s="17">
        <f t="shared" ca="1" si="19"/>
        <v>0</v>
      </c>
      <c r="L104" s="17">
        <f t="shared" ca="1" si="19"/>
        <v>0</v>
      </c>
      <c r="M104" s="17">
        <f t="shared" ca="1" si="19"/>
        <v>0</v>
      </c>
      <c r="N104" s="17">
        <f t="shared" ca="1" si="19"/>
        <v>0</v>
      </c>
      <c r="O104" s="17">
        <f t="shared" ca="1" si="19"/>
        <v>0</v>
      </c>
      <c r="P104" s="17">
        <f t="shared" ca="1" si="19"/>
        <v>0</v>
      </c>
      <c r="Q104" s="17">
        <f t="shared" ca="1" si="19"/>
        <v>0</v>
      </c>
      <c r="R104" s="17">
        <f t="shared" ca="1" si="19"/>
        <v>0</v>
      </c>
      <c r="S104" s="17">
        <f t="shared" ca="1" si="19"/>
        <v>0</v>
      </c>
      <c r="T104" s="17">
        <f t="shared" ca="1" si="19"/>
        <v>0</v>
      </c>
      <c r="U104" s="17">
        <f t="shared" ca="1" si="19"/>
        <v>0</v>
      </c>
      <c r="V104" s="17">
        <f t="shared" ca="1" si="19"/>
        <v>0</v>
      </c>
      <c r="W104" s="17">
        <f t="shared" ca="1" si="19"/>
        <v>0</v>
      </c>
      <c r="X104" s="17">
        <f t="shared" ca="1" si="19"/>
        <v>0</v>
      </c>
    </row>
    <row r="105" spans="3:24" x14ac:dyDescent="0.3">
      <c r="C105" s="1"/>
      <c r="D105" s="70" t="str">
        <f t="shared" si="11"/>
        <v>dLevel_T2_9</v>
      </c>
      <c r="E105" s="17">
        <f t="shared" ref="E105:X105" ca="1" si="20">IF(ABS(E66)&gt;0,IF(E66&gt;0.001,E66,_xlfn.MINIFS(E$58:E$92,E$58:E$92,"&gt;0")/3),0)</f>
        <v>1.2685213405260512E-2</v>
      </c>
      <c r="F105" s="17">
        <f t="shared" ca="1" si="20"/>
        <v>3.1391979792815911E-2</v>
      </c>
      <c r="G105" s="17">
        <f t="shared" ca="1" si="20"/>
        <v>1.2685213405260512E-2</v>
      </c>
      <c r="H105" s="17">
        <f t="shared" ca="1" si="20"/>
        <v>3.1391979792815911E-2</v>
      </c>
      <c r="I105" s="17">
        <f t="shared" ca="1" si="20"/>
        <v>0.10822600293374787</v>
      </c>
      <c r="J105" s="17">
        <f t="shared" ca="1" si="20"/>
        <v>0</v>
      </c>
      <c r="K105" s="17">
        <f t="shared" ca="1" si="20"/>
        <v>0</v>
      </c>
      <c r="L105" s="17">
        <f t="shared" ca="1" si="20"/>
        <v>0</v>
      </c>
      <c r="M105" s="17">
        <f t="shared" ca="1" si="20"/>
        <v>0</v>
      </c>
      <c r="N105" s="17">
        <f t="shared" ca="1" si="20"/>
        <v>0</v>
      </c>
      <c r="O105" s="17">
        <f t="shared" ca="1" si="20"/>
        <v>0</v>
      </c>
      <c r="P105" s="17">
        <f t="shared" ca="1" si="20"/>
        <v>0</v>
      </c>
      <c r="Q105" s="17">
        <f t="shared" ca="1" si="20"/>
        <v>0</v>
      </c>
      <c r="R105" s="17">
        <f t="shared" ca="1" si="20"/>
        <v>0</v>
      </c>
      <c r="S105" s="17">
        <f t="shared" ca="1" si="20"/>
        <v>0</v>
      </c>
      <c r="T105" s="17">
        <f t="shared" ca="1" si="20"/>
        <v>0</v>
      </c>
      <c r="U105" s="17">
        <f t="shared" ca="1" si="20"/>
        <v>0</v>
      </c>
      <c r="V105" s="17">
        <f t="shared" ca="1" si="20"/>
        <v>0</v>
      </c>
      <c r="W105" s="17">
        <f t="shared" ca="1" si="20"/>
        <v>0</v>
      </c>
      <c r="X105" s="17">
        <f t="shared" ca="1" si="20"/>
        <v>0</v>
      </c>
    </row>
    <row r="106" spans="3:24" x14ac:dyDescent="0.3">
      <c r="C106" s="1"/>
      <c r="D106" s="70" t="str">
        <f t="shared" si="11"/>
        <v>dLevel_T2_10</v>
      </c>
      <c r="E106" s="17">
        <f t="shared" ref="E106:X106" ca="1" si="21">IF(ABS(E67)&gt;0,IF(E67&gt;0.001,E67,_xlfn.MINIFS(E$58:E$92,E$58:E$92,"&gt;0")/3),0)</f>
        <v>2.1053326780691814E-2</v>
      </c>
      <c r="F106" s="17">
        <f t="shared" ca="1" si="21"/>
        <v>2.1925164074788468E-2</v>
      </c>
      <c r="G106" s="17">
        <f t="shared" ca="1" si="21"/>
        <v>2.1053326780691814E-2</v>
      </c>
      <c r="H106" s="17">
        <f t="shared" ca="1" si="21"/>
        <v>2.1925164074788468E-2</v>
      </c>
      <c r="I106" s="17">
        <f t="shared" ca="1" si="21"/>
        <v>6.2482574529802444E-2</v>
      </c>
      <c r="J106" s="17">
        <f t="shared" ca="1" si="21"/>
        <v>0</v>
      </c>
      <c r="K106" s="17">
        <f t="shared" ca="1" si="21"/>
        <v>0</v>
      </c>
      <c r="L106" s="17">
        <f t="shared" ca="1" si="21"/>
        <v>0</v>
      </c>
      <c r="M106" s="17">
        <f t="shared" ca="1" si="21"/>
        <v>0</v>
      </c>
      <c r="N106" s="17">
        <f t="shared" ca="1" si="21"/>
        <v>0</v>
      </c>
      <c r="O106" s="17">
        <f t="shared" ca="1" si="21"/>
        <v>0</v>
      </c>
      <c r="P106" s="17">
        <f t="shared" ca="1" si="21"/>
        <v>0</v>
      </c>
      <c r="Q106" s="17">
        <f t="shared" ca="1" si="21"/>
        <v>0</v>
      </c>
      <c r="R106" s="17">
        <f t="shared" ca="1" si="21"/>
        <v>0</v>
      </c>
      <c r="S106" s="17">
        <f t="shared" ca="1" si="21"/>
        <v>0</v>
      </c>
      <c r="T106" s="17">
        <f t="shared" ca="1" si="21"/>
        <v>0</v>
      </c>
      <c r="U106" s="17">
        <f t="shared" ca="1" si="21"/>
        <v>0</v>
      </c>
      <c r="V106" s="17">
        <f t="shared" ca="1" si="21"/>
        <v>0</v>
      </c>
      <c r="W106" s="17">
        <f t="shared" ca="1" si="21"/>
        <v>0</v>
      </c>
      <c r="X106" s="17">
        <f t="shared" ca="1" si="21"/>
        <v>0</v>
      </c>
    </row>
    <row r="107" spans="3:24" x14ac:dyDescent="0.3">
      <c r="C107" s="1"/>
      <c r="D107" s="70" t="str">
        <f t="shared" si="11"/>
        <v>dLevel_T2_11</v>
      </c>
      <c r="E107" s="17">
        <f t="shared" ref="E107:X107" ca="1" si="22">IF(ABS(E68)&gt;0,IF(E68&gt;0.001,E68,_xlfn.MINIFS(E$58:E$92,E$58:E$92,"&gt;0")/3),0)</f>
        <v>3.5992655123074861E-2</v>
      </c>
      <c r="F107" s="17">
        <f t="shared" ca="1" si="22"/>
        <v>4.1425874390075723E-2</v>
      </c>
      <c r="G107" s="17">
        <f t="shared" ca="1" si="22"/>
        <v>3.5992655123074861E-2</v>
      </c>
      <c r="H107" s="17">
        <f t="shared" ca="1" si="22"/>
        <v>4.1425874390075723E-2</v>
      </c>
      <c r="I107" s="17">
        <f t="shared" ca="1" si="22"/>
        <v>0.10094824119200589</v>
      </c>
      <c r="J107" s="17">
        <f t="shared" ca="1" si="22"/>
        <v>0</v>
      </c>
      <c r="K107" s="17">
        <f t="shared" ca="1" si="22"/>
        <v>0</v>
      </c>
      <c r="L107" s="17">
        <f t="shared" ca="1" si="22"/>
        <v>0</v>
      </c>
      <c r="M107" s="17">
        <f t="shared" ca="1" si="22"/>
        <v>0</v>
      </c>
      <c r="N107" s="17">
        <f t="shared" ca="1" si="22"/>
        <v>0</v>
      </c>
      <c r="O107" s="17">
        <f t="shared" ca="1" si="22"/>
        <v>0</v>
      </c>
      <c r="P107" s="17">
        <f t="shared" ca="1" si="22"/>
        <v>0</v>
      </c>
      <c r="Q107" s="17">
        <f t="shared" ca="1" si="22"/>
        <v>0</v>
      </c>
      <c r="R107" s="17">
        <f t="shared" ca="1" si="22"/>
        <v>0</v>
      </c>
      <c r="S107" s="17">
        <f t="shared" ca="1" si="22"/>
        <v>0</v>
      </c>
      <c r="T107" s="17">
        <f t="shared" ca="1" si="22"/>
        <v>0</v>
      </c>
      <c r="U107" s="17">
        <f t="shared" ca="1" si="22"/>
        <v>0</v>
      </c>
      <c r="V107" s="17">
        <f t="shared" ca="1" si="22"/>
        <v>0</v>
      </c>
      <c r="W107" s="17">
        <f t="shared" ca="1" si="22"/>
        <v>0</v>
      </c>
      <c r="X107" s="17">
        <f t="shared" ca="1" si="22"/>
        <v>0</v>
      </c>
    </row>
    <row r="108" spans="3:24" x14ac:dyDescent="0.3">
      <c r="C108" s="1"/>
      <c r="D108" s="70" t="str">
        <f t="shared" si="11"/>
        <v>dLevel_T2_12</v>
      </c>
      <c r="E108" s="17">
        <f t="shared" ref="E108:X108" ca="1" si="23">IF(ABS(E69)&gt;0,IF(E69&gt;0.001,E69,_xlfn.MINIFS(E$58:E$92,E$58:E$92,"&gt;0")/3),0)</f>
        <v>4.3410521715814165E-2</v>
      </c>
      <c r="F108" s="17">
        <f t="shared" ca="1" si="23"/>
        <v>1.8539084265974438E-2</v>
      </c>
      <c r="G108" s="17">
        <f t="shared" ca="1" si="23"/>
        <v>4.3410521715814165E-2</v>
      </c>
      <c r="H108" s="17">
        <f t="shared" ca="1" si="23"/>
        <v>1.8539084265974438E-2</v>
      </c>
      <c r="I108" s="17">
        <f t="shared" ca="1" si="23"/>
        <v>4.5910204917901848E-2</v>
      </c>
      <c r="J108" s="17">
        <f t="shared" ca="1" si="23"/>
        <v>0</v>
      </c>
      <c r="K108" s="17">
        <f t="shared" ca="1" si="23"/>
        <v>0</v>
      </c>
      <c r="L108" s="17">
        <f t="shared" ca="1" si="23"/>
        <v>0</v>
      </c>
      <c r="M108" s="17">
        <f t="shared" ca="1" si="23"/>
        <v>0</v>
      </c>
      <c r="N108" s="17">
        <f t="shared" ca="1" si="23"/>
        <v>0</v>
      </c>
      <c r="O108" s="17">
        <f t="shared" ca="1" si="23"/>
        <v>0</v>
      </c>
      <c r="P108" s="17">
        <f t="shared" ca="1" si="23"/>
        <v>0</v>
      </c>
      <c r="Q108" s="17">
        <f t="shared" ca="1" si="23"/>
        <v>0</v>
      </c>
      <c r="R108" s="17">
        <f t="shared" ca="1" si="23"/>
        <v>0</v>
      </c>
      <c r="S108" s="17">
        <f t="shared" ca="1" si="23"/>
        <v>0</v>
      </c>
      <c r="T108" s="17">
        <f t="shared" ca="1" si="23"/>
        <v>0</v>
      </c>
      <c r="U108" s="17">
        <f t="shared" ca="1" si="23"/>
        <v>0</v>
      </c>
      <c r="V108" s="17">
        <f t="shared" ca="1" si="23"/>
        <v>0</v>
      </c>
      <c r="W108" s="17">
        <f t="shared" ca="1" si="23"/>
        <v>0</v>
      </c>
      <c r="X108" s="17">
        <f t="shared" ca="1" si="23"/>
        <v>0</v>
      </c>
    </row>
    <row r="109" spans="3:24" x14ac:dyDescent="0.3">
      <c r="C109" s="1"/>
      <c r="D109" s="70" t="str">
        <f t="shared" si="11"/>
        <v>dLevel_T2_13</v>
      </c>
      <c r="E109" s="17">
        <f t="shared" ref="E109:X109" ca="1" si="24">IF(ABS(E70)&gt;0,IF(E70&gt;0.001,E70,_xlfn.MINIFS(E$58:E$92,E$58:E$92,"&gt;0")/3),0)</f>
        <v>2.2459528219110368E-2</v>
      </c>
      <c r="F109" s="17">
        <f t="shared" ca="1" si="24"/>
        <v>4.8708158755339889E-4</v>
      </c>
      <c r="G109" s="17">
        <f t="shared" ca="1" si="24"/>
        <v>2.2459528219110368E-2</v>
      </c>
      <c r="H109" s="17">
        <f t="shared" ca="1" si="24"/>
        <v>4.8708158755339889E-4</v>
      </c>
      <c r="I109" s="17">
        <f t="shared" ca="1" si="24"/>
        <v>5.979254624537933E-2</v>
      </c>
      <c r="J109" s="17">
        <f t="shared" ca="1" si="24"/>
        <v>0</v>
      </c>
      <c r="K109" s="17">
        <f t="shared" ca="1" si="24"/>
        <v>0</v>
      </c>
      <c r="L109" s="17">
        <f t="shared" ca="1" si="24"/>
        <v>0</v>
      </c>
      <c r="M109" s="17">
        <f t="shared" ca="1" si="24"/>
        <v>0</v>
      </c>
      <c r="N109" s="17">
        <f t="shared" ca="1" si="24"/>
        <v>0</v>
      </c>
      <c r="O109" s="17">
        <f t="shared" ca="1" si="24"/>
        <v>0</v>
      </c>
      <c r="P109" s="17">
        <f t="shared" ca="1" si="24"/>
        <v>0</v>
      </c>
      <c r="Q109" s="17">
        <f t="shared" ca="1" si="24"/>
        <v>0</v>
      </c>
      <c r="R109" s="17">
        <f t="shared" ca="1" si="24"/>
        <v>0</v>
      </c>
      <c r="S109" s="17">
        <f t="shared" ca="1" si="24"/>
        <v>0</v>
      </c>
      <c r="T109" s="17">
        <f t="shared" ca="1" si="24"/>
        <v>0</v>
      </c>
      <c r="U109" s="17">
        <f t="shared" ca="1" si="24"/>
        <v>0</v>
      </c>
      <c r="V109" s="17">
        <f t="shared" ca="1" si="24"/>
        <v>0</v>
      </c>
      <c r="W109" s="17">
        <f t="shared" ca="1" si="24"/>
        <v>0</v>
      </c>
      <c r="X109" s="17">
        <f t="shared" ca="1" si="24"/>
        <v>0</v>
      </c>
    </row>
    <row r="110" spans="3:24" x14ac:dyDescent="0.3">
      <c r="C110" s="1"/>
      <c r="D110" s="70" t="str">
        <f t="shared" si="11"/>
        <v>dLevel_T2_14</v>
      </c>
      <c r="E110" s="17">
        <f t="shared" ref="E110:X110" ca="1" si="25">IF(ABS(E71)&gt;0,IF(E71&gt;0.001,E71,_xlfn.MINIFS(E$58:E$92,E$58:E$92,"&gt;0")/3),0)</f>
        <v>2.188548323266587E-2</v>
      </c>
      <c r="F110" s="17">
        <f t="shared" ca="1" si="25"/>
        <v>2.8647437436370451E-2</v>
      </c>
      <c r="G110" s="17">
        <f t="shared" ca="1" si="25"/>
        <v>2.188548323266587E-2</v>
      </c>
      <c r="H110" s="17">
        <f t="shared" ca="1" si="25"/>
        <v>2.8647437436370451E-2</v>
      </c>
      <c r="I110" s="17">
        <f t="shared" ca="1" si="25"/>
        <v>9.6689717234283032E-2</v>
      </c>
      <c r="J110" s="17">
        <f t="shared" ca="1" si="25"/>
        <v>0</v>
      </c>
      <c r="K110" s="17">
        <f t="shared" ca="1" si="25"/>
        <v>0</v>
      </c>
      <c r="L110" s="17">
        <f t="shared" ca="1" si="25"/>
        <v>0</v>
      </c>
      <c r="M110" s="17">
        <f t="shared" ca="1" si="25"/>
        <v>0</v>
      </c>
      <c r="N110" s="17">
        <f t="shared" ca="1" si="25"/>
        <v>0</v>
      </c>
      <c r="O110" s="17">
        <f t="shared" ca="1" si="25"/>
        <v>0</v>
      </c>
      <c r="P110" s="17">
        <f t="shared" ca="1" si="25"/>
        <v>0</v>
      </c>
      <c r="Q110" s="17">
        <f t="shared" ca="1" si="25"/>
        <v>0</v>
      </c>
      <c r="R110" s="17">
        <f t="shared" ca="1" si="25"/>
        <v>0</v>
      </c>
      <c r="S110" s="17">
        <f t="shared" ca="1" si="25"/>
        <v>0</v>
      </c>
      <c r="T110" s="17">
        <f t="shared" ca="1" si="25"/>
        <v>0</v>
      </c>
      <c r="U110" s="17">
        <f t="shared" ca="1" si="25"/>
        <v>0</v>
      </c>
      <c r="V110" s="17">
        <f t="shared" ca="1" si="25"/>
        <v>0</v>
      </c>
      <c r="W110" s="17">
        <f t="shared" ca="1" si="25"/>
        <v>0</v>
      </c>
      <c r="X110" s="17">
        <f t="shared" ca="1" si="25"/>
        <v>0</v>
      </c>
    </row>
    <row r="111" spans="3:24" x14ac:dyDescent="0.3">
      <c r="C111" s="1"/>
      <c r="D111" s="70" t="str">
        <f t="shared" si="11"/>
        <v>dLevel_T2_15</v>
      </c>
      <c r="E111" s="17">
        <f t="shared" ref="E111:X111" ca="1" si="26">IF(ABS(E72)&gt;0,IF(E72&gt;0.001,E72,_xlfn.MINIFS(E$58:E$92,E$58:E$92,"&gt;0")/3),0)</f>
        <v>2.1032086051352865E-2</v>
      </c>
      <c r="F111" s="17">
        <f t="shared" ca="1" si="26"/>
        <v>4.8708158755339889E-4</v>
      </c>
      <c r="G111" s="17">
        <f t="shared" ca="1" si="26"/>
        <v>2.1032086051352865E-2</v>
      </c>
      <c r="H111" s="17">
        <f t="shared" ca="1" si="26"/>
        <v>4.8708158755339889E-4</v>
      </c>
      <c r="I111" s="17">
        <f t="shared" ca="1" si="26"/>
        <v>8.9919760486629183E-2</v>
      </c>
      <c r="J111" s="17">
        <f t="shared" ca="1" si="26"/>
        <v>0</v>
      </c>
      <c r="K111" s="17">
        <f t="shared" ca="1" si="26"/>
        <v>0</v>
      </c>
      <c r="L111" s="17">
        <f t="shared" ca="1" si="26"/>
        <v>0</v>
      </c>
      <c r="M111" s="17">
        <f t="shared" ca="1" si="26"/>
        <v>0</v>
      </c>
      <c r="N111" s="17">
        <f t="shared" ca="1" si="26"/>
        <v>0</v>
      </c>
      <c r="O111" s="17">
        <f t="shared" ca="1" si="26"/>
        <v>0</v>
      </c>
      <c r="P111" s="17">
        <f t="shared" ca="1" si="26"/>
        <v>0</v>
      </c>
      <c r="Q111" s="17">
        <f t="shared" ca="1" si="26"/>
        <v>0</v>
      </c>
      <c r="R111" s="17">
        <f t="shared" ca="1" si="26"/>
        <v>0</v>
      </c>
      <c r="S111" s="17">
        <f t="shared" ca="1" si="26"/>
        <v>0</v>
      </c>
      <c r="T111" s="17">
        <f t="shared" ca="1" si="26"/>
        <v>0</v>
      </c>
      <c r="U111" s="17">
        <f t="shared" ca="1" si="26"/>
        <v>0</v>
      </c>
      <c r="V111" s="17">
        <f t="shared" ca="1" si="26"/>
        <v>0</v>
      </c>
      <c r="W111" s="17">
        <f t="shared" ca="1" si="26"/>
        <v>0</v>
      </c>
      <c r="X111" s="17">
        <f t="shared" ca="1" si="26"/>
        <v>0</v>
      </c>
    </row>
    <row r="112" spans="3:24" x14ac:dyDescent="0.3">
      <c r="C112" s="1"/>
      <c r="D112" s="70" t="str">
        <f t="shared" si="11"/>
        <v>dLevel_T2_16</v>
      </c>
      <c r="E112" s="17">
        <f t="shared" ref="E112:X112" ca="1" si="27">IF(ABS(E73)&gt;0,IF(E73&gt;0.001,E73,_xlfn.MINIFS(E$58:E$92,E$58:E$92,"&gt;0")/3),0)</f>
        <v>1.7508179240042599E-2</v>
      </c>
      <c r="F112" s="17">
        <f t="shared" ca="1" si="27"/>
        <v>1.5324587599407715E-2</v>
      </c>
      <c r="G112" s="17">
        <f t="shared" ca="1" si="27"/>
        <v>1.7508179240042599E-2</v>
      </c>
      <c r="H112" s="17">
        <f t="shared" ca="1" si="27"/>
        <v>1.5324587599407715E-2</v>
      </c>
      <c r="I112" s="17">
        <f t="shared" ca="1" si="27"/>
        <v>9.6392707623585372E-2</v>
      </c>
      <c r="J112" s="17">
        <f t="shared" ca="1" si="27"/>
        <v>0</v>
      </c>
      <c r="K112" s="17">
        <f t="shared" ca="1" si="27"/>
        <v>0</v>
      </c>
      <c r="L112" s="17">
        <f t="shared" ca="1" si="27"/>
        <v>0</v>
      </c>
      <c r="M112" s="17">
        <f t="shared" ca="1" si="27"/>
        <v>0</v>
      </c>
      <c r="N112" s="17">
        <f t="shared" ca="1" si="27"/>
        <v>0</v>
      </c>
      <c r="O112" s="17">
        <f t="shared" ca="1" si="27"/>
        <v>0</v>
      </c>
      <c r="P112" s="17">
        <f t="shared" ca="1" si="27"/>
        <v>0</v>
      </c>
      <c r="Q112" s="17">
        <f t="shared" ca="1" si="27"/>
        <v>0</v>
      </c>
      <c r="R112" s="17">
        <f t="shared" ca="1" si="27"/>
        <v>0</v>
      </c>
      <c r="S112" s="17">
        <f t="shared" ca="1" si="27"/>
        <v>0</v>
      </c>
      <c r="T112" s="17">
        <f t="shared" ca="1" si="27"/>
        <v>0</v>
      </c>
      <c r="U112" s="17">
        <f t="shared" ca="1" si="27"/>
        <v>0</v>
      </c>
      <c r="V112" s="17">
        <f t="shared" ca="1" si="27"/>
        <v>0</v>
      </c>
      <c r="W112" s="17">
        <f t="shared" ca="1" si="27"/>
        <v>0</v>
      </c>
      <c r="X112" s="17">
        <f t="shared" ca="1" si="27"/>
        <v>0</v>
      </c>
    </row>
    <row r="113" spans="3:24" x14ac:dyDescent="0.3">
      <c r="C113" s="1"/>
      <c r="D113" s="70" t="str">
        <f t="shared" si="11"/>
        <v>dLevel_T2_17</v>
      </c>
      <c r="E113" s="17">
        <f t="shared" ref="E113:X113" ca="1" si="28">IF(ABS(E74)&gt;0,IF(E74&gt;0.001,E74,_xlfn.MINIFS(E$58:E$92,E$58:E$92,"&gt;0")/3),0)</f>
        <v>6.230302292469749E-3</v>
      </c>
      <c r="F113" s="17">
        <f t="shared" ca="1" si="28"/>
        <v>1.3902272122107732E-2</v>
      </c>
      <c r="G113" s="17">
        <f t="shared" ca="1" si="28"/>
        <v>6.230302292469749E-3</v>
      </c>
      <c r="H113" s="17">
        <f t="shared" ca="1" si="28"/>
        <v>1.3902272122107732E-2</v>
      </c>
      <c r="I113" s="17">
        <f t="shared" ca="1" si="28"/>
        <v>0.10842933959102537</v>
      </c>
      <c r="J113" s="17">
        <f t="shared" ca="1" si="28"/>
        <v>0</v>
      </c>
      <c r="K113" s="17">
        <f t="shared" ca="1" si="28"/>
        <v>0</v>
      </c>
      <c r="L113" s="17">
        <f t="shared" ca="1" si="28"/>
        <v>0</v>
      </c>
      <c r="M113" s="17">
        <f t="shared" ca="1" si="28"/>
        <v>0</v>
      </c>
      <c r="N113" s="17">
        <f t="shared" ca="1" si="28"/>
        <v>0</v>
      </c>
      <c r="O113" s="17">
        <f t="shared" ca="1" si="28"/>
        <v>0</v>
      </c>
      <c r="P113" s="17">
        <f t="shared" ca="1" si="28"/>
        <v>0</v>
      </c>
      <c r="Q113" s="17">
        <f t="shared" ca="1" si="28"/>
        <v>0</v>
      </c>
      <c r="R113" s="17">
        <f t="shared" ca="1" si="28"/>
        <v>0</v>
      </c>
      <c r="S113" s="17">
        <f t="shared" ca="1" si="28"/>
        <v>0</v>
      </c>
      <c r="T113" s="17">
        <f t="shared" ca="1" si="28"/>
        <v>0</v>
      </c>
      <c r="U113" s="17">
        <f t="shared" ca="1" si="28"/>
        <v>0</v>
      </c>
      <c r="V113" s="17">
        <f t="shared" ca="1" si="28"/>
        <v>0</v>
      </c>
      <c r="W113" s="17">
        <f t="shared" ca="1" si="28"/>
        <v>0</v>
      </c>
      <c r="X113" s="17">
        <f t="shared" ca="1" si="28"/>
        <v>0</v>
      </c>
    </row>
    <row r="114" spans="3:24" x14ac:dyDescent="0.3">
      <c r="C114" s="1"/>
      <c r="D114" s="70" t="str">
        <f t="shared" si="11"/>
        <v>dLevel_T2_18</v>
      </c>
      <c r="E114" s="17">
        <f t="shared" ref="E114:X114" ca="1" si="29">IF(ABS(E75)&gt;0,IF(E75&gt;0.001,E75,_xlfn.MINIFS(E$58:E$92,E$58:E$92,"&gt;0")/3),0)</f>
        <v>7.8007291233681718E-3</v>
      </c>
      <c r="F114" s="17">
        <f t="shared" ca="1" si="29"/>
        <v>4.2891954582487075E-2</v>
      </c>
      <c r="G114" s="17">
        <f t="shared" ca="1" si="29"/>
        <v>7.8007291233681718E-3</v>
      </c>
      <c r="H114" s="17">
        <f t="shared" ca="1" si="29"/>
        <v>4.2891954582487075E-2</v>
      </c>
      <c r="I114" s="17">
        <f t="shared" ca="1" si="29"/>
        <v>0.15785885755682991</v>
      </c>
      <c r="J114" s="17">
        <f t="shared" ca="1" si="29"/>
        <v>0</v>
      </c>
      <c r="K114" s="17">
        <f t="shared" ca="1" si="29"/>
        <v>0</v>
      </c>
      <c r="L114" s="17">
        <f t="shared" ca="1" si="29"/>
        <v>0</v>
      </c>
      <c r="M114" s="17">
        <f t="shared" ca="1" si="29"/>
        <v>0</v>
      </c>
      <c r="N114" s="17">
        <f t="shared" ca="1" si="29"/>
        <v>0</v>
      </c>
      <c r="O114" s="17">
        <f t="shared" ca="1" si="29"/>
        <v>0</v>
      </c>
      <c r="P114" s="17">
        <f t="shared" ca="1" si="29"/>
        <v>0</v>
      </c>
      <c r="Q114" s="17">
        <f t="shared" ca="1" si="29"/>
        <v>0</v>
      </c>
      <c r="R114" s="17">
        <f t="shared" ca="1" si="29"/>
        <v>0</v>
      </c>
      <c r="S114" s="17">
        <f t="shared" ca="1" si="29"/>
        <v>0</v>
      </c>
      <c r="T114" s="17">
        <f t="shared" ca="1" si="29"/>
        <v>0</v>
      </c>
      <c r="U114" s="17">
        <f t="shared" ca="1" si="29"/>
        <v>0</v>
      </c>
      <c r="V114" s="17">
        <f t="shared" ca="1" si="29"/>
        <v>0</v>
      </c>
      <c r="W114" s="17">
        <f t="shared" ca="1" si="29"/>
        <v>0</v>
      </c>
      <c r="X114" s="17">
        <f t="shared" ca="1" si="29"/>
        <v>0</v>
      </c>
    </row>
    <row r="115" spans="3:24" x14ac:dyDescent="0.3">
      <c r="C115" s="1"/>
      <c r="D115" s="70" t="str">
        <f t="shared" si="11"/>
        <v>dLevel_T2_19</v>
      </c>
      <c r="E115" s="17">
        <f t="shared" ref="E115:X115" ca="1" si="30">IF(ABS(E76)&gt;0,IF(E76&gt;0.001,E76,_xlfn.MINIFS(E$58:E$92,E$58:E$92,"&gt;0")/3),0)</f>
        <v>1.2396297251691963E-2</v>
      </c>
      <c r="F115" s="17">
        <f t="shared" ca="1" si="30"/>
        <v>9.3778982453042638E-3</v>
      </c>
      <c r="G115" s="17">
        <f t="shared" ca="1" si="30"/>
        <v>1.2396297251691963E-2</v>
      </c>
      <c r="H115" s="17">
        <f t="shared" ca="1" si="30"/>
        <v>9.3778982453042638E-3</v>
      </c>
      <c r="I115" s="17">
        <f t="shared" ca="1" si="30"/>
        <v>5.8927415675882437E-2</v>
      </c>
      <c r="J115" s="17">
        <f t="shared" ca="1" si="30"/>
        <v>0</v>
      </c>
      <c r="K115" s="17">
        <f t="shared" ca="1" si="30"/>
        <v>0</v>
      </c>
      <c r="L115" s="17">
        <f t="shared" ca="1" si="30"/>
        <v>0</v>
      </c>
      <c r="M115" s="17">
        <f t="shared" ca="1" si="30"/>
        <v>0</v>
      </c>
      <c r="N115" s="17">
        <f t="shared" ca="1" si="30"/>
        <v>0</v>
      </c>
      <c r="O115" s="17">
        <f t="shared" ca="1" si="30"/>
        <v>0</v>
      </c>
      <c r="P115" s="17">
        <f t="shared" ca="1" si="30"/>
        <v>0</v>
      </c>
      <c r="Q115" s="17">
        <f t="shared" ca="1" si="30"/>
        <v>0</v>
      </c>
      <c r="R115" s="17">
        <f t="shared" ca="1" si="30"/>
        <v>0</v>
      </c>
      <c r="S115" s="17">
        <f t="shared" ca="1" si="30"/>
        <v>0</v>
      </c>
      <c r="T115" s="17">
        <f t="shared" ca="1" si="30"/>
        <v>0</v>
      </c>
      <c r="U115" s="17">
        <f t="shared" ca="1" si="30"/>
        <v>0</v>
      </c>
      <c r="V115" s="17">
        <f t="shared" ca="1" si="30"/>
        <v>0</v>
      </c>
      <c r="W115" s="17">
        <f t="shared" ca="1" si="30"/>
        <v>0</v>
      </c>
      <c r="X115" s="17">
        <f t="shared" ca="1" si="30"/>
        <v>0</v>
      </c>
    </row>
    <row r="116" spans="3:24" x14ac:dyDescent="0.3">
      <c r="C116" s="1"/>
      <c r="D116" s="70" t="str">
        <f t="shared" si="11"/>
        <v>dLevel_T2_21</v>
      </c>
      <c r="E116" s="17">
        <f t="shared" ref="E116:X116" ca="1" si="31">IF(ABS(E77)&gt;0,IF(E77&gt;0.001,E77,_xlfn.MINIFS(E$58:E$92,E$58:E$92,"&gt;0")/3),0)</f>
        <v>1.4966525435741271E-2</v>
      </c>
      <c r="F116" s="17">
        <f t="shared" ca="1" si="31"/>
        <v>2.3782160682035088E-2</v>
      </c>
      <c r="G116" s="17">
        <f t="shared" ca="1" si="31"/>
        <v>1.4966525435741271E-2</v>
      </c>
      <c r="H116" s="17">
        <f t="shared" ca="1" si="31"/>
        <v>2.3782160682035088E-2</v>
      </c>
      <c r="I116" s="17">
        <f t="shared" ca="1" si="31"/>
        <v>9.8710061382784361E-2</v>
      </c>
      <c r="J116" s="17">
        <f t="shared" ca="1" si="31"/>
        <v>0</v>
      </c>
      <c r="K116" s="17">
        <f t="shared" ca="1" si="31"/>
        <v>0</v>
      </c>
      <c r="L116" s="17">
        <f t="shared" ca="1" si="31"/>
        <v>0</v>
      </c>
      <c r="M116" s="17">
        <f t="shared" ca="1" si="31"/>
        <v>0</v>
      </c>
      <c r="N116" s="17">
        <f t="shared" ca="1" si="31"/>
        <v>0</v>
      </c>
      <c r="O116" s="17">
        <f t="shared" ca="1" si="31"/>
        <v>0</v>
      </c>
      <c r="P116" s="17">
        <f t="shared" ca="1" si="31"/>
        <v>0</v>
      </c>
      <c r="Q116" s="17">
        <f t="shared" ca="1" si="31"/>
        <v>0</v>
      </c>
      <c r="R116" s="17">
        <f t="shared" ca="1" si="31"/>
        <v>0</v>
      </c>
      <c r="S116" s="17">
        <f t="shared" ca="1" si="31"/>
        <v>0</v>
      </c>
      <c r="T116" s="17">
        <f t="shared" ca="1" si="31"/>
        <v>0</v>
      </c>
      <c r="U116" s="17">
        <f t="shared" ca="1" si="31"/>
        <v>0</v>
      </c>
      <c r="V116" s="17">
        <f t="shared" ca="1" si="31"/>
        <v>0</v>
      </c>
      <c r="W116" s="17">
        <f t="shared" ca="1" si="31"/>
        <v>0</v>
      </c>
      <c r="X116" s="17">
        <f t="shared" ca="1" si="31"/>
        <v>0</v>
      </c>
    </row>
    <row r="117" spans="3:24" x14ac:dyDescent="0.3">
      <c r="C117" s="1"/>
      <c r="D117" s="70" t="str">
        <f t="shared" si="11"/>
        <v>dLevel_T2_22</v>
      </c>
      <c r="E117" s="17">
        <f t="shared" ref="E117:X117" ca="1" si="32">IF(ABS(E78)&gt;0,IF(E78&gt;0.001,E78,_xlfn.MINIFS(E$58:E$92,E$58:E$92,"&gt;0")/3),0)</f>
        <v>0.13754264469763572</v>
      </c>
      <c r="F117" s="17">
        <f t="shared" ca="1" si="32"/>
        <v>0.12246587239507523</v>
      </c>
      <c r="G117" s="17">
        <f t="shared" ca="1" si="32"/>
        <v>0.13754264469763572</v>
      </c>
      <c r="H117" s="17">
        <f t="shared" ca="1" si="32"/>
        <v>0.12246587239507523</v>
      </c>
      <c r="I117" s="17">
        <f t="shared" ca="1" si="32"/>
        <v>0.30625506612880987</v>
      </c>
      <c r="J117" s="17">
        <f t="shared" ca="1" si="32"/>
        <v>0</v>
      </c>
      <c r="K117" s="17">
        <f t="shared" ca="1" si="32"/>
        <v>0</v>
      </c>
      <c r="L117" s="17">
        <f t="shared" ca="1" si="32"/>
        <v>0</v>
      </c>
      <c r="M117" s="17">
        <f t="shared" ca="1" si="32"/>
        <v>0</v>
      </c>
      <c r="N117" s="17">
        <f t="shared" ca="1" si="32"/>
        <v>0</v>
      </c>
      <c r="O117" s="17">
        <f t="shared" ca="1" si="32"/>
        <v>0</v>
      </c>
      <c r="P117" s="17">
        <f t="shared" ca="1" si="32"/>
        <v>0</v>
      </c>
      <c r="Q117" s="17">
        <f t="shared" ca="1" si="32"/>
        <v>0</v>
      </c>
      <c r="R117" s="17">
        <f t="shared" ca="1" si="32"/>
        <v>0</v>
      </c>
      <c r="S117" s="17">
        <f t="shared" ca="1" si="32"/>
        <v>0</v>
      </c>
      <c r="T117" s="17">
        <f t="shared" ca="1" si="32"/>
        <v>0</v>
      </c>
      <c r="U117" s="17">
        <f t="shared" ca="1" si="32"/>
        <v>0</v>
      </c>
      <c r="V117" s="17">
        <f t="shared" ca="1" si="32"/>
        <v>0</v>
      </c>
      <c r="W117" s="17">
        <f t="shared" ca="1" si="32"/>
        <v>0</v>
      </c>
      <c r="X117" s="17">
        <f t="shared" ca="1" si="32"/>
        <v>0</v>
      </c>
    </row>
    <row r="118" spans="3:24" x14ac:dyDescent="0.3">
      <c r="C118" s="1"/>
      <c r="D118" s="70" t="str">
        <f t="shared" si="11"/>
        <v>dLevel_T2_23</v>
      </c>
      <c r="E118" s="17">
        <f t="shared" ref="E118:X118" ca="1" si="33">IF(ABS(E79)&gt;0,IF(E79&gt;0.001,E79,_xlfn.MINIFS(E$58:E$92,E$58:E$92,"&gt;0")/3),0)</f>
        <v>1.3173218977312559E-2</v>
      </c>
      <c r="F118" s="17">
        <f t="shared" ca="1" si="33"/>
        <v>1.4612447626601967E-3</v>
      </c>
      <c r="G118" s="17">
        <f t="shared" ca="1" si="33"/>
        <v>1.3173218977312559E-2</v>
      </c>
      <c r="H118" s="17">
        <f t="shared" ca="1" si="33"/>
        <v>1.4612447626601967E-3</v>
      </c>
      <c r="I118" s="17">
        <f t="shared" ca="1" si="33"/>
        <v>7.6519553842996552E-2</v>
      </c>
      <c r="J118" s="17">
        <f t="shared" ca="1" si="33"/>
        <v>0</v>
      </c>
      <c r="K118" s="17">
        <f t="shared" ca="1" si="33"/>
        <v>0</v>
      </c>
      <c r="L118" s="17">
        <f t="shared" ca="1" si="33"/>
        <v>0</v>
      </c>
      <c r="M118" s="17">
        <f t="shared" ca="1" si="33"/>
        <v>0</v>
      </c>
      <c r="N118" s="17">
        <f t="shared" ca="1" si="33"/>
        <v>0</v>
      </c>
      <c r="O118" s="17">
        <f t="shared" ca="1" si="33"/>
        <v>0</v>
      </c>
      <c r="P118" s="17">
        <f t="shared" ca="1" si="33"/>
        <v>0</v>
      </c>
      <c r="Q118" s="17">
        <f t="shared" ca="1" si="33"/>
        <v>0</v>
      </c>
      <c r="R118" s="17">
        <f t="shared" ca="1" si="33"/>
        <v>0</v>
      </c>
      <c r="S118" s="17">
        <f t="shared" ca="1" si="33"/>
        <v>0</v>
      </c>
      <c r="T118" s="17">
        <f t="shared" ca="1" si="33"/>
        <v>0</v>
      </c>
      <c r="U118" s="17">
        <f t="shared" ca="1" si="33"/>
        <v>0</v>
      </c>
      <c r="V118" s="17">
        <f t="shared" ca="1" si="33"/>
        <v>0</v>
      </c>
      <c r="W118" s="17">
        <f t="shared" ca="1" si="33"/>
        <v>0</v>
      </c>
      <c r="X118" s="17">
        <f t="shared" ca="1" si="33"/>
        <v>0</v>
      </c>
    </row>
    <row r="119" spans="3:24" x14ac:dyDescent="0.3">
      <c r="C119" s="1"/>
      <c r="D119" s="70" t="str">
        <f t="shared" si="11"/>
        <v>dLevel_T2_24</v>
      </c>
      <c r="E119" s="17">
        <f t="shared" ref="E119:X119" ca="1" si="34">IF(ABS(E80)&gt;0,IF(E80&gt;0.001,E80,_xlfn.MINIFS(E$58:E$92,E$58:E$92,"&gt;0")/3),0)</f>
        <v>1.5357173465037774E-2</v>
      </c>
      <c r="F119" s="17">
        <f t="shared" ca="1" si="34"/>
        <v>3.5522925177967672E-2</v>
      </c>
      <c r="G119" s="17">
        <f t="shared" ca="1" si="34"/>
        <v>1.5357173465037774E-2</v>
      </c>
      <c r="H119" s="17">
        <f t="shared" ca="1" si="34"/>
        <v>3.5522925177967672E-2</v>
      </c>
      <c r="I119" s="17">
        <f t="shared" ca="1" si="34"/>
        <v>0.17581137779495201</v>
      </c>
      <c r="J119" s="17">
        <f t="shared" ca="1" si="34"/>
        <v>0</v>
      </c>
      <c r="K119" s="17">
        <f t="shared" ca="1" si="34"/>
        <v>0</v>
      </c>
      <c r="L119" s="17">
        <f t="shared" ca="1" si="34"/>
        <v>0</v>
      </c>
      <c r="M119" s="17">
        <f t="shared" ca="1" si="34"/>
        <v>0</v>
      </c>
      <c r="N119" s="17">
        <f t="shared" ca="1" si="34"/>
        <v>0</v>
      </c>
      <c r="O119" s="17">
        <f t="shared" ca="1" si="34"/>
        <v>0</v>
      </c>
      <c r="P119" s="17">
        <f t="shared" ca="1" si="34"/>
        <v>0</v>
      </c>
      <c r="Q119" s="17">
        <f t="shared" ca="1" si="34"/>
        <v>0</v>
      </c>
      <c r="R119" s="17">
        <f t="shared" ca="1" si="34"/>
        <v>0</v>
      </c>
      <c r="S119" s="17">
        <f t="shared" ca="1" si="34"/>
        <v>0</v>
      </c>
      <c r="T119" s="17">
        <f t="shared" ca="1" si="34"/>
        <v>0</v>
      </c>
      <c r="U119" s="17">
        <f t="shared" ca="1" si="34"/>
        <v>0</v>
      </c>
      <c r="V119" s="17">
        <f t="shared" ca="1" si="34"/>
        <v>0</v>
      </c>
      <c r="W119" s="17">
        <f t="shared" ca="1" si="34"/>
        <v>0</v>
      </c>
      <c r="X119" s="17">
        <f t="shared" ca="1" si="34"/>
        <v>0</v>
      </c>
    </row>
    <row r="120" spans="3:24" x14ac:dyDescent="0.3">
      <c r="C120" s="1"/>
      <c r="D120" s="70" t="str">
        <f t="shared" si="11"/>
        <v>dLevel_T2_25</v>
      </c>
      <c r="E120" s="17">
        <f t="shared" ref="E120:X120" ca="1" si="35">IF(ABS(E81)&gt;0,IF(E81&gt;0.001,E81,_xlfn.MINIFS(E$58:E$92,E$58:E$92,"&gt;0")/3),0)</f>
        <v>1.4289936908023175E-2</v>
      </c>
      <c r="F120" s="17">
        <f t="shared" ca="1" si="35"/>
        <v>4.8558586883109597E-3</v>
      </c>
      <c r="G120" s="17">
        <f t="shared" ca="1" si="35"/>
        <v>1.4289936908023175E-2</v>
      </c>
      <c r="H120" s="17">
        <f t="shared" ca="1" si="35"/>
        <v>4.8558586883109597E-3</v>
      </c>
      <c r="I120" s="17">
        <f t="shared" ca="1" si="35"/>
        <v>8.1708891634000358E-2</v>
      </c>
      <c r="J120" s="17">
        <f t="shared" ca="1" si="35"/>
        <v>0</v>
      </c>
      <c r="K120" s="17">
        <f t="shared" ca="1" si="35"/>
        <v>0</v>
      </c>
      <c r="L120" s="17">
        <f t="shared" ca="1" si="35"/>
        <v>0</v>
      </c>
      <c r="M120" s="17">
        <f t="shared" ca="1" si="35"/>
        <v>0</v>
      </c>
      <c r="N120" s="17">
        <f t="shared" ca="1" si="35"/>
        <v>0</v>
      </c>
      <c r="O120" s="17">
        <f t="shared" ca="1" si="35"/>
        <v>0</v>
      </c>
      <c r="P120" s="17">
        <f t="shared" ca="1" si="35"/>
        <v>0</v>
      </c>
      <c r="Q120" s="17">
        <f t="shared" ca="1" si="35"/>
        <v>0</v>
      </c>
      <c r="R120" s="17">
        <f t="shared" ca="1" si="35"/>
        <v>0</v>
      </c>
      <c r="S120" s="17">
        <f t="shared" ca="1" si="35"/>
        <v>0</v>
      </c>
      <c r="T120" s="17">
        <f t="shared" ca="1" si="35"/>
        <v>0</v>
      </c>
      <c r="U120" s="17">
        <f t="shared" ca="1" si="35"/>
        <v>0</v>
      </c>
      <c r="V120" s="17">
        <f t="shared" ca="1" si="35"/>
        <v>0</v>
      </c>
      <c r="W120" s="17">
        <f t="shared" ca="1" si="35"/>
        <v>0</v>
      </c>
      <c r="X120" s="17">
        <f t="shared" ca="1" si="35"/>
        <v>0</v>
      </c>
    </row>
    <row r="121" spans="3:24" x14ac:dyDescent="0.3">
      <c r="C121" s="1"/>
      <c r="D121" s="70" t="str">
        <f t="shared" si="11"/>
        <v>dLevel_T2_26</v>
      </c>
      <c r="E121" s="17">
        <f t="shared" ref="E121:X121" ca="1" si="36">IF(ABS(E82)&gt;0,IF(E82&gt;0.001,E82,_xlfn.MINIFS(E$58:E$92,E$58:E$92,"&gt;0")/3),0)</f>
        <v>2.4749255114241704E-2</v>
      </c>
      <c r="F121" s="17">
        <f t="shared" ca="1" si="36"/>
        <v>5.7383835384054371E-3</v>
      </c>
      <c r="G121" s="17">
        <f t="shared" ca="1" si="36"/>
        <v>2.4749255114241704E-2</v>
      </c>
      <c r="H121" s="17">
        <f t="shared" ca="1" si="36"/>
        <v>5.7383835384054371E-3</v>
      </c>
      <c r="I121" s="17">
        <f t="shared" ca="1" si="36"/>
        <v>5.585474221441579E-2</v>
      </c>
      <c r="J121" s="17">
        <f t="shared" ca="1" si="36"/>
        <v>0</v>
      </c>
      <c r="K121" s="17">
        <f t="shared" ca="1" si="36"/>
        <v>0</v>
      </c>
      <c r="L121" s="17">
        <f t="shared" ca="1" si="36"/>
        <v>0</v>
      </c>
      <c r="M121" s="17">
        <f t="shared" ca="1" si="36"/>
        <v>0</v>
      </c>
      <c r="N121" s="17">
        <f t="shared" ca="1" si="36"/>
        <v>0</v>
      </c>
      <c r="O121" s="17">
        <f t="shared" ca="1" si="36"/>
        <v>0</v>
      </c>
      <c r="P121" s="17">
        <f t="shared" ca="1" si="36"/>
        <v>0</v>
      </c>
      <c r="Q121" s="17">
        <f t="shared" ca="1" si="36"/>
        <v>0</v>
      </c>
      <c r="R121" s="17">
        <f t="shared" ca="1" si="36"/>
        <v>0</v>
      </c>
      <c r="S121" s="17">
        <f t="shared" ca="1" si="36"/>
        <v>0</v>
      </c>
      <c r="T121" s="17">
        <f t="shared" ca="1" si="36"/>
        <v>0</v>
      </c>
      <c r="U121" s="17">
        <f t="shared" ca="1" si="36"/>
        <v>0</v>
      </c>
      <c r="V121" s="17">
        <f t="shared" ca="1" si="36"/>
        <v>0</v>
      </c>
      <c r="W121" s="17">
        <f t="shared" ca="1" si="36"/>
        <v>0</v>
      </c>
      <c r="X121" s="17">
        <f t="shared" ca="1" si="36"/>
        <v>0</v>
      </c>
    </row>
    <row r="122" spans="3:24" x14ac:dyDescent="0.3">
      <c r="C122" s="1"/>
      <c r="D122" s="70" t="str">
        <f t="shared" si="11"/>
        <v>dLevel_T2_27</v>
      </c>
      <c r="E122" s="17">
        <f t="shared" ref="E122:X122" ca="1" si="37">IF(ABS(E83)&gt;0,IF(E83&gt;0.001,E83,_xlfn.MINIFS(E$58:E$92,E$58:E$92,"&gt;0")/3),0)</f>
        <v>1.1667721351060433E-2</v>
      </c>
      <c r="F122" s="17">
        <f t="shared" ca="1" si="37"/>
        <v>2.8194494999223777E-2</v>
      </c>
      <c r="G122" s="17">
        <f t="shared" ca="1" si="37"/>
        <v>1.1667721351060433E-2</v>
      </c>
      <c r="H122" s="17">
        <f t="shared" ca="1" si="37"/>
        <v>2.8194494999223777E-2</v>
      </c>
      <c r="I122" s="17">
        <f t="shared" ca="1" si="37"/>
        <v>9.765511123949748E-2</v>
      </c>
      <c r="J122" s="17">
        <f t="shared" ca="1" si="37"/>
        <v>0</v>
      </c>
      <c r="K122" s="17">
        <f t="shared" ca="1" si="37"/>
        <v>0</v>
      </c>
      <c r="L122" s="17">
        <f t="shared" ca="1" si="37"/>
        <v>0</v>
      </c>
      <c r="M122" s="17">
        <f t="shared" ca="1" si="37"/>
        <v>0</v>
      </c>
      <c r="N122" s="17">
        <f t="shared" ca="1" si="37"/>
        <v>0</v>
      </c>
      <c r="O122" s="17">
        <f t="shared" ca="1" si="37"/>
        <v>0</v>
      </c>
      <c r="P122" s="17">
        <f t="shared" ca="1" si="37"/>
        <v>0</v>
      </c>
      <c r="Q122" s="17">
        <f t="shared" ca="1" si="37"/>
        <v>0</v>
      </c>
      <c r="R122" s="17">
        <f t="shared" ca="1" si="37"/>
        <v>0</v>
      </c>
      <c r="S122" s="17">
        <f t="shared" ca="1" si="37"/>
        <v>0</v>
      </c>
      <c r="T122" s="17">
        <f t="shared" ca="1" si="37"/>
        <v>0</v>
      </c>
      <c r="U122" s="17">
        <f t="shared" ca="1" si="37"/>
        <v>0</v>
      </c>
      <c r="V122" s="17">
        <f t="shared" ca="1" si="37"/>
        <v>0</v>
      </c>
      <c r="W122" s="17">
        <f t="shared" ca="1" si="37"/>
        <v>0</v>
      </c>
      <c r="X122" s="17">
        <f t="shared" ca="1" si="37"/>
        <v>0</v>
      </c>
    </row>
    <row r="123" spans="3:24" x14ac:dyDescent="0.3">
      <c r="C123" s="1"/>
      <c r="D123" s="70" t="str">
        <f t="shared" si="11"/>
        <v>dLevel_T2_28</v>
      </c>
      <c r="E123" s="17">
        <f t="shared" ref="E123:X123" ca="1" si="38">IF(ABS(E84)&gt;0,IF(E84&gt;0.001,E84,_xlfn.MINIFS(E$58:E$92,E$58:E$92,"&gt;0")/3),0)</f>
        <v>1.0557439005567408E-2</v>
      </c>
      <c r="F123" s="17">
        <f t="shared" ca="1" si="38"/>
        <v>1.7145409595063898E-2</v>
      </c>
      <c r="G123" s="17">
        <f t="shared" ca="1" si="38"/>
        <v>1.0557439005567408E-2</v>
      </c>
      <c r="H123" s="17">
        <f t="shared" ca="1" si="38"/>
        <v>1.7145409595063898E-2</v>
      </c>
      <c r="I123" s="17">
        <f t="shared" ca="1" si="38"/>
        <v>0.10408698997333768</v>
      </c>
      <c r="J123" s="17">
        <f t="shared" ca="1" si="38"/>
        <v>0</v>
      </c>
      <c r="K123" s="17">
        <f t="shared" ca="1" si="38"/>
        <v>0</v>
      </c>
      <c r="L123" s="17">
        <f t="shared" ca="1" si="38"/>
        <v>0</v>
      </c>
      <c r="M123" s="17">
        <f t="shared" ca="1" si="38"/>
        <v>0</v>
      </c>
      <c r="N123" s="17">
        <f t="shared" ca="1" si="38"/>
        <v>0</v>
      </c>
      <c r="O123" s="17">
        <f t="shared" ca="1" si="38"/>
        <v>0</v>
      </c>
      <c r="P123" s="17">
        <f t="shared" ca="1" si="38"/>
        <v>0</v>
      </c>
      <c r="Q123" s="17">
        <f t="shared" ca="1" si="38"/>
        <v>0</v>
      </c>
      <c r="R123" s="17">
        <f t="shared" ca="1" si="38"/>
        <v>0</v>
      </c>
      <c r="S123" s="17">
        <f t="shared" ca="1" si="38"/>
        <v>0</v>
      </c>
      <c r="T123" s="17">
        <f t="shared" ca="1" si="38"/>
        <v>0</v>
      </c>
      <c r="U123" s="17">
        <f t="shared" ca="1" si="38"/>
        <v>0</v>
      </c>
      <c r="V123" s="17">
        <f t="shared" ca="1" si="38"/>
        <v>0</v>
      </c>
      <c r="W123" s="17">
        <f t="shared" ca="1" si="38"/>
        <v>0</v>
      </c>
      <c r="X123" s="17">
        <f t="shared" ca="1" si="38"/>
        <v>0</v>
      </c>
    </row>
    <row r="124" spans="3:24" x14ac:dyDescent="0.3">
      <c r="C124" s="1"/>
      <c r="D124" s="70">
        <f t="shared" si="11"/>
        <v>0</v>
      </c>
      <c r="E124" s="17">
        <f t="shared" ref="E124:X124" ca="1" si="39">IF(ABS(E85)&gt;0,IF(E85&gt;0.001,E85,_xlfn.MINIFS(E$58:E$92,E$58:E$92,"&gt;0")/3),0)</f>
        <v>0</v>
      </c>
      <c r="F124" s="17">
        <f t="shared" ca="1" si="39"/>
        <v>0</v>
      </c>
      <c r="G124" s="17">
        <f t="shared" ca="1" si="39"/>
        <v>0</v>
      </c>
      <c r="H124" s="17">
        <f t="shared" ca="1" si="39"/>
        <v>0</v>
      </c>
      <c r="I124" s="17">
        <f t="shared" ca="1" si="39"/>
        <v>0</v>
      </c>
      <c r="J124" s="17">
        <f t="shared" ca="1" si="39"/>
        <v>0</v>
      </c>
      <c r="K124" s="17">
        <f t="shared" ca="1" si="39"/>
        <v>0</v>
      </c>
      <c r="L124" s="17">
        <f t="shared" ca="1" si="39"/>
        <v>0</v>
      </c>
      <c r="M124" s="17">
        <f t="shared" ca="1" si="39"/>
        <v>0</v>
      </c>
      <c r="N124" s="17">
        <f t="shared" ca="1" si="39"/>
        <v>0</v>
      </c>
      <c r="O124" s="17">
        <f t="shared" ca="1" si="39"/>
        <v>0</v>
      </c>
      <c r="P124" s="17">
        <f t="shared" ca="1" si="39"/>
        <v>0</v>
      </c>
      <c r="Q124" s="17">
        <f t="shared" ca="1" si="39"/>
        <v>0</v>
      </c>
      <c r="R124" s="17">
        <f t="shared" ca="1" si="39"/>
        <v>0</v>
      </c>
      <c r="S124" s="17">
        <f t="shared" ca="1" si="39"/>
        <v>0</v>
      </c>
      <c r="T124" s="17">
        <f t="shared" ca="1" si="39"/>
        <v>0</v>
      </c>
      <c r="U124" s="17">
        <f t="shared" ca="1" si="39"/>
        <v>0</v>
      </c>
      <c r="V124" s="17">
        <f t="shared" ca="1" si="39"/>
        <v>0</v>
      </c>
      <c r="W124" s="17">
        <f t="shared" ca="1" si="39"/>
        <v>0</v>
      </c>
      <c r="X124" s="17">
        <f t="shared" ca="1" si="39"/>
        <v>0</v>
      </c>
    </row>
    <row r="125" spans="3:24" x14ac:dyDescent="0.3">
      <c r="C125" s="1"/>
      <c r="D125" s="70">
        <f t="shared" si="11"/>
        <v>0</v>
      </c>
      <c r="E125" s="17">
        <f t="shared" ref="E125:X125" ca="1" si="40">IF(ABS(E86)&gt;0,IF(E86&gt;0.001,E86,_xlfn.MINIFS(E$58:E$92,E$58:E$92,"&gt;0")/3),0)</f>
        <v>0</v>
      </c>
      <c r="F125" s="17">
        <f t="shared" ca="1" si="40"/>
        <v>0</v>
      </c>
      <c r="G125" s="17">
        <f t="shared" ca="1" si="40"/>
        <v>0</v>
      </c>
      <c r="H125" s="17">
        <f t="shared" ca="1" si="40"/>
        <v>0</v>
      </c>
      <c r="I125" s="17">
        <f t="shared" ca="1" si="40"/>
        <v>0</v>
      </c>
      <c r="J125" s="17">
        <f t="shared" ca="1" si="40"/>
        <v>0</v>
      </c>
      <c r="K125" s="17">
        <f t="shared" ca="1" si="40"/>
        <v>0</v>
      </c>
      <c r="L125" s="17">
        <f t="shared" ca="1" si="40"/>
        <v>0</v>
      </c>
      <c r="M125" s="17">
        <f t="shared" ca="1" si="40"/>
        <v>0</v>
      </c>
      <c r="N125" s="17">
        <f t="shared" ca="1" si="40"/>
        <v>0</v>
      </c>
      <c r="O125" s="17">
        <f t="shared" ca="1" si="40"/>
        <v>0</v>
      </c>
      <c r="P125" s="17">
        <f t="shared" ca="1" si="40"/>
        <v>0</v>
      </c>
      <c r="Q125" s="17">
        <f t="shared" ca="1" si="40"/>
        <v>0</v>
      </c>
      <c r="R125" s="17">
        <f t="shared" ca="1" si="40"/>
        <v>0</v>
      </c>
      <c r="S125" s="17">
        <f t="shared" ca="1" si="40"/>
        <v>0</v>
      </c>
      <c r="T125" s="17">
        <f t="shared" ca="1" si="40"/>
        <v>0</v>
      </c>
      <c r="U125" s="17">
        <f t="shared" ca="1" si="40"/>
        <v>0</v>
      </c>
      <c r="V125" s="17">
        <f t="shared" ca="1" si="40"/>
        <v>0</v>
      </c>
      <c r="W125" s="17">
        <f t="shared" ca="1" si="40"/>
        <v>0</v>
      </c>
      <c r="X125" s="17">
        <f t="shared" ca="1" si="40"/>
        <v>0</v>
      </c>
    </row>
    <row r="126" spans="3:24" x14ac:dyDescent="0.3">
      <c r="C126" s="1"/>
      <c r="D126" s="70">
        <f t="shared" si="11"/>
        <v>0</v>
      </c>
      <c r="E126" s="17">
        <f t="shared" ref="E126:X126" ca="1" si="41">IF(ABS(E87)&gt;0,IF(E87&gt;0.001,E87,_xlfn.MINIFS(E$58:E$92,E$58:E$92,"&gt;0")/3),0)</f>
        <v>0</v>
      </c>
      <c r="F126" s="17">
        <f t="shared" ca="1" si="41"/>
        <v>0</v>
      </c>
      <c r="G126" s="17">
        <f t="shared" ca="1" si="41"/>
        <v>0</v>
      </c>
      <c r="H126" s="17">
        <f t="shared" ca="1" si="41"/>
        <v>0</v>
      </c>
      <c r="I126" s="17">
        <f t="shared" ca="1" si="41"/>
        <v>0</v>
      </c>
      <c r="J126" s="17">
        <f t="shared" ca="1" si="41"/>
        <v>0</v>
      </c>
      <c r="K126" s="17">
        <f t="shared" ca="1" si="41"/>
        <v>0</v>
      </c>
      <c r="L126" s="17">
        <f t="shared" ca="1" si="41"/>
        <v>0</v>
      </c>
      <c r="M126" s="17">
        <f t="shared" ca="1" si="41"/>
        <v>0</v>
      </c>
      <c r="N126" s="17">
        <f t="shared" ca="1" si="41"/>
        <v>0</v>
      </c>
      <c r="O126" s="17">
        <f t="shared" ca="1" si="41"/>
        <v>0</v>
      </c>
      <c r="P126" s="17">
        <f t="shared" ca="1" si="41"/>
        <v>0</v>
      </c>
      <c r="Q126" s="17">
        <f t="shared" ca="1" si="41"/>
        <v>0</v>
      </c>
      <c r="R126" s="17">
        <f t="shared" ca="1" si="41"/>
        <v>0</v>
      </c>
      <c r="S126" s="17">
        <f t="shared" ca="1" si="41"/>
        <v>0</v>
      </c>
      <c r="T126" s="17">
        <f t="shared" ca="1" si="41"/>
        <v>0</v>
      </c>
      <c r="U126" s="17">
        <f t="shared" ca="1" si="41"/>
        <v>0</v>
      </c>
      <c r="V126" s="17">
        <f t="shared" ca="1" si="41"/>
        <v>0</v>
      </c>
      <c r="W126" s="17">
        <f t="shared" ca="1" si="41"/>
        <v>0</v>
      </c>
      <c r="X126" s="17">
        <f t="shared" ca="1" si="41"/>
        <v>0</v>
      </c>
    </row>
    <row r="127" spans="3:24" x14ac:dyDescent="0.3">
      <c r="C127" s="1"/>
      <c r="D127" s="70">
        <f t="shared" si="11"/>
        <v>0</v>
      </c>
      <c r="E127" s="17">
        <f t="shared" ref="E127:X127" ca="1" si="42">IF(ABS(E88)&gt;0,IF(E88&gt;0.001,E88,_xlfn.MINIFS(E$58:E$92,E$58:E$92,"&gt;0")/3),0)</f>
        <v>0</v>
      </c>
      <c r="F127" s="17">
        <f t="shared" ca="1" si="42"/>
        <v>0</v>
      </c>
      <c r="G127" s="17">
        <f t="shared" ca="1" si="42"/>
        <v>0</v>
      </c>
      <c r="H127" s="17">
        <f t="shared" ca="1" si="42"/>
        <v>0</v>
      </c>
      <c r="I127" s="17">
        <f t="shared" ca="1" si="42"/>
        <v>0</v>
      </c>
      <c r="J127" s="17">
        <f t="shared" ca="1" si="42"/>
        <v>0</v>
      </c>
      <c r="K127" s="17">
        <f t="shared" ca="1" si="42"/>
        <v>0</v>
      </c>
      <c r="L127" s="17">
        <f t="shared" ca="1" si="42"/>
        <v>0</v>
      </c>
      <c r="M127" s="17">
        <f t="shared" ca="1" si="42"/>
        <v>0</v>
      </c>
      <c r="N127" s="17">
        <f t="shared" ca="1" si="42"/>
        <v>0</v>
      </c>
      <c r="O127" s="17">
        <f t="shared" ca="1" si="42"/>
        <v>0</v>
      </c>
      <c r="P127" s="17">
        <f t="shared" ca="1" si="42"/>
        <v>0</v>
      </c>
      <c r="Q127" s="17">
        <f t="shared" ca="1" si="42"/>
        <v>0</v>
      </c>
      <c r="R127" s="17">
        <f t="shared" ca="1" si="42"/>
        <v>0</v>
      </c>
      <c r="S127" s="17">
        <f t="shared" ca="1" si="42"/>
        <v>0</v>
      </c>
      <c r="T127" s="17">
        <f t="shared" ca="1" si="42"/>
        <v>0</v>
      </c>
      <c r="U127" s="17">
        <f t="shared" ca="1" si="42"/>
        <v>0</v>
      </c>
      <c r="V127" s="17">
        <f t="shared" ca="1" si="42"/>
        <v>0</v>
      </c>
      <c r="W127" s="17">
        <f t="shared" ca="1" si="42"/>
        <v>0</v>
      </c>
      <c r="X127" s="17">
        <f t="shared" ca="1" si="42"/>
        <v>0</v>
      </c>
    </row>
    <row r="128" spans="3:24" x14ac:dyDescent="0.3">
      <c r="C128" s="1"/>
      <c r="D128" s="70">
        <f t="shared" si="11"/>
        <v>0</v>
      </c>
      <c r="E128" s="17">
        <f t="shared" ref="E128:X128" ca="1" si="43">IF(ABS(E89)&gt;0,IF(E89&gt;0.001,E89,_xlfn.MINIFS(E$58:E$92,E$58:E$92,"&gt;0")/3),0)</f>
        <v>0</v>
      </c>
      <c r="F128" s="17">
        <f t="shared" ca="1" si="43"/>
        <v>0</v>
      </c>
      <c r="G128" s="17">
        <f t="shared" ca="1" si="43"/>
        <v>0</v>
      </c>
      <c r="H128" s="17">
        <f t="shared" ca="1" si="43"/>
        <v>0</v>
      </c>
      <c r="I128" s="17">
        <f t="shared" ca="1" si="43"/>
        <v>0</v>
      </c>
      <c r="J128" s="17">
        <f t="shared" ca="1" si="43"/>
        <v>0</v>
      </c>
      <c r="K128" s="17">
        <f t="shared" ca="1" si="43"/>
        <v>0</v>
      </c>
      <c r="L128" s="17">
        <f t="shared" ca="1" si="43"/>
        <v>0</v>
      </c>
      <c r="M128" s="17">
        <f t="shared" ca="1" si="43"/>
        <v>0</v>
      </c>
      <c r="N128" s="17">
        <f t="shared" ca="1" si="43"/>
        <v>0</v>
      </c>
      <c r="O128" s="17">
        <f t="shared" ca="1" si="43"/>
        <v>0</v>
      </c>
      <c r="P128" s="17">
        <f t="shared" ca="1" si="43"/>
        <v>0</v>
      </c>
      <c r="Q128" s="17">
        <f t="shared" ca="1" si="43"/>
        <v>0</v>
      </c>
      <c r="R128" s="17">
        <f t="shared" ca="1" si="43"/>
        <v>0</v>
      </c>
      <c r="S128" s="17">
        <f t="shared" ca="1" si="43"/>
        <v>0</v>
      </c>
      <c r="T128" s="17">
        <f t="shared" ca="1" si="43"/>
        <v>0</v>
      </c>
      <c r="U128" s="17">
        <f t="shared" ca="1" si="43"/>
        <v>0</v>
      </c>
      <c r="V128" s="17">
        <f t="shared" ca="1" si="43"/>
        <v>0</v>
      </c>
      <c r="W128" s="17">
        <f t="shared" ca="1" si="43"/>
        <v>0</v>
      </c>
      <c r="X128" s="17">
        <f t="shared" ca="1" si="43"/>
        <v>0</v>
      </c>
    </row>
    <row r="129" spans="3:24" x14ac:dyDescent="0.3">
      <c r="C129" s="1"/>
      <c r="D129" s="70">
        <f t="shared" si="11"/>
        <v>0</v>
      </c>
      <c r="E129" s="17">
        <f t="shared" ref="E129:X129" ca="1" si="44">IF(ABS(E90)&gt;0,IF(E90&gt;0.001,E90,_xlfn.MINIFS(E$58:E$92,E$58:E$92,"&gt;0")/3),0)</f>
        <v>0</v>
      </c>
      <c r="F129" s="17">
        <f t="shared" ca="1" si="44"/>
        <v>0</v>
      </c>
      <c r="G129" s="17">
        <f t="shared" ca="1" si="44"/>
        <v>0</v>
      </c>
      <c r="H129" s="17">
        <f t="shared" ca="1" si="44"/>
        <v>0</v>
      </c>
      <c r="I129" s="17">
        <f t="shared" ca="1" si="44"/>
        <v>0</v>
      </c>
      <c r="J129" s="17">
        <f t="shared" ca="1" si="44"/>
        <v>0</v>
      </c>
      <c r="K129" s="17">
        <f t="shared" ca="1" si="44"/>
        <v>0</v>
      </c>
      <c r="L129" s="17">
        <f t="shared" ca="1" si="44"/>
        <v>0</v>
      </c>
      <c r="M129" s="17">
        <f t="shared" ca="1" si="44"/>
        <v>0</v>
      </c>
      <c r="N129" s="17">
        <f t="shared" ca="1" si="44"/>
        <v>0</v>
      </c>
      <c r="O129" s="17">
        <f t="shared" ca="1" si="44"/>
        <v>0</v>
      </c>
      <c r="P129" s="17">
        <f t="shared" ca="1" si="44"/>
        <v>0</v>
      </c>
      <c r="Q129" s="17">
        <f t="shared" ca="1" si="44"/>
        <v>0</v>
      </c>
      <c r="R129" s="17">
        <f t="shared" ca="1" si="44"/>
        <v>0</v>
      </c>
      <c r="S129" s="17">
        <f t="shared" ca="1" si="44"/>
        <v>0</v>
      </c>
      <c r="T129" s="17">
        <f t="shared" ca="1" si="44"/>
        <v>0</v>
      </c>
      <c r="U129" s="17">
        <f t="shared" ca="1" si="44"/>
        <v>0</v>
      </c>
      <c r="V129" s="17">
        <f t="shared" ca="1" si="44"/>
        <v>0</v>
      </c>
      <c r="W129" s="17">
        <f t="shared" ca="1" si="44"/>
        <v>0</v>
      </c>
      <c r="X129" s="17">
        <f t="shared" ca="1" si="44"/>
        <v>0</v>
      </c>
    </row>
    <row r="130" spans="3:24" x14ac:dyDescent="0.3">
      <c r="C130" s="1"/>
      <c r="D130" s="70">
        <f t="shared" si="11"/>
        <v>0</v>
      </c>
      <c r="E130" s="17">
        <f t="shared" ref="E130:X130" ca="1" si="45">IF(ABS(E91)&gt;0,IF(E91&gt;0.001,E91,_xlfn.MINIFS(E$58:E$92,E$58:E$92,"&gt;0")/3),0)</f>
        <v>0</v>
      </c>
      <c r="F130" s="17">
        <f t="shared" ca="1" si="45"/>
        <v>0</v>
      </c>
      <c r="G130" s="17">
        <f t="shared" ca="1" si="45"/>
        <v>0</v>
      </c>
      <c r="H130" s="17">
        <f t="shared" ca="1" si="45"/>
        <v>0</v>
      </c>
      <c r="I130" s="17">
        <f t="shared" ca="1" si="45"/>
        <v>0</v>
      </c>
      <c r="J130" s="17">
        <f t="shared" ca="1" si="45"/>
        <v>0</v>
      </c>
      <c r="K130" s="17">
        <f t="shared" ca="1" si="45"/>
        <v>0</v>
      </c>
      <c r="L130" s="17">
        <f t="shared" ca="1" si="45"/>
        <v>0</v>
      </c>
      <c r="M130" s="17">
        <f t="shared" ca="1" si="45"/>
        <v>0</v>
      </c>
      <c r="N130" s="17">
        <f t="shared" ca="1" si="45"/>
        <v>0</v>
      </c>
      <c r="O130" s="17">
        <f t="shared" ca="1" si="45"/>
        <v>0</v>
      </c>
      <c r="P130" s="17">
        <f t="shared" ca="1" si="45"/>
        <v>0</v>
      </c>
      <c r="Q130" s="17">
        <f t="shared" ca="1" si="45"/>
        <v>0</v>
      </c>
      <c r="R130" s="17">
        <f t="shared" ca="1" si="45"/>
        <v>0</v>
      </c>
      <c r="S130" s="17">
        <f t="shared" ca="1" si="45"/>
        <v>0</v>
      </c>
      <c r="T130" s="17">
        <f t="shared" ca="1" si="45"/>
        <v>0</v>
      </c>
      <c r="U130" s="17">
        <f t="shared" ca="1" si="45"/>
        <v>0</v>
      </c>
      <c r="V130" s="17">
        <f t="shared" ca="1" si="45"/>
        <v>0</v>
      </c>
      <c r="W130" s="17">
        <f t="shared" ca="1" si="45"/>
        <v>0</v>
      </c>
      <c r="X130" s="17">
        <f t="shared" ca="1" si="45"/>
        <v>0</v>
      </c>
    </row>
    <row r="131" spans="3:24" x14ac:dyDescent="0.3">
      <c r="C131" s="1"/>
      <c r="D131" s="70">
        <f t="shared" si="11"/>
        <v>0</v>
      </c>
      <c r="E131" s="17">
        <f t="shared" ref="E131:X131" ca="1" si="46">IF(ABS(E92)&gt;0,IF(E92&gt;0.001,E92,_xlfn.MINIFS(E$58:E$92,E$58:E$92,"&gt;0")/3),0)</f>
        <v>0</v>
      </c>
      <c r="F131" s="17">
        <f t="shared" ca="1" si="46"/>
        <v>0</v>
      </c>
      <c r="G131" s="17">
        <f t="shared" ca="1" si="46"/>
        <v>0</v>
      </c>
      <c r="H131" s="17">
        <f t="shared" ca="1" si="46"/>
        <v>0</v>
      </c>
      <c r="I131" s="17">
        <f t="shared" ca="1" si="46"/>
        <v>0</v>
      </c>
      <c r="J131" s="17">
        <f t="shared" ca="1" si="46"/>
        <v>0</v>
      </c>
      <c r="K131" s="17">
        <f t="shared" ca="1" si="46"/>
        <v>0</v>
      </c>
      <c r="L131" s="17">
        <f t="shared" ca="1" si="46"/>
        <v>0</v>
      </c>
      <c r="M131" s="17">
        <f t="shared" ca="1" si="46"/>
        <v>0</v>
      </c>
      <c r="N131" s="17">
        <f t="shared" ca="1" si="46"/>
        <v>0</v>
      </c>
      <c r="O131" s="17">
        <f t="shared" ca="1" si="46"/>
        <v>0</v>
      </c>
      <c r="P131" s="17">
        <f t="shared" ca="1" si="46"/>
        <v>0</v>
      </c>
      <c r="Q131" s="17">
        <f t="shared" ca="1" si="46"/>
        <v>0</v>
      </c>
      <c r="R131" s="17">
        <f t="shared" ca="1" si="46"/>
        <v>0</v>
      </c>
      <c r="S131" s="17">
        <f t="shared" ca="1" si="46"/>
        <v>0</v>
      </c>
      <c r="T131" s="17">
        <f t="shared" ca="1" si="46"/>
        <v>0</v>
      </c>
      <c r="U131" s="17">
        <f t="shared" ca="1" si="46"/>
        <v>0</v>
      </c>
      <c r="V131" s="17">
        <f t="shared" ca="1" si="46"/>
        <v>0</v>
      </c>
      <c r="W131" s="17">
        <f t="shared" ca="1" si="46"/>
        <v>0</v>
      </c>
      <c r="X131" s="17">
        <f t="shared" ca="1" si="46"/>
        <v>0</v>
      </c>
    </row>
    <row r="132" spans="3:24" x14ac:dyDescent="0.3">
      <c r="C132" s="1"/>
      <c r="D132" s="12"/>
      <c r="E132" s="17"/>
      <c r="F132" s="17"/>
      <c r="G132" s="17"/>
      <c r="H132" s="17"/>
      <c r="I132" s="17"/>
      <c r="J132" s="17"/>
      <c r="K132" s="17"/>
      <c r="L132" s="17"/>
      <c r="M132" s="17"/>
      <c r="N132" s="17"/>
      <c r="O132" s="17"/>
      <c r="P132" s="17"/>
      <c r="Q132" s="17"/>
      <c r="R132" s="17"/>
      <c r="S132" s="17"/>
      <c r="T132" s="17"/>
      <c r="U132" s="17"/>
      <c r="V132" s="17"/>
      <c r="W132" s="17"/>
      <c r="X132" s="17"/>
    </row>
    <row r="133" spans="3:24" x14ac:dyDescent="0.3">
      <c r="C133" s="1"/>
      <c r="D133" s="12"/>
      <c r="E133" s="17"/>
      <c r="F133" s="17"/>
      <c r="G133" s="17"/>
      <c r="H133" s="17"/>
      <c r="I133" s="17"/>
      <c r="J133" s="17"/>
      <c r="K133" s="17"/>
      <c r="L133" s="17"/>
      <c r="M133" s="17"/>
      <c r="N133" s="17"/>
      <c r="O133" s="17"/>
      <c r="P133" s="17"/>
      <c r="Q133" s="17"/>
      <c r="R133" s="17"/>
      <c r="S133" s="17"/>
      <c r="T133" s="17"/>
      <c r="U133" s="17"/>
      <c r="V133" s="17"/>
      <c r="W133" s="17"/>
      <c r="X133" s="17"/>
    </row>
    <row r="134" spans="3:24" x14ac:dyDescent="0.3">
      <c r="C134" s="1"/>
      <c r="D134" s="12"/>
      <c r="E134" s="17"/>
      <c r="F134" s="17"/>
      <c r="G134" s="17"/>
      <c r="H134" s="17"/>
      <c r="I134" s="17"/>
      <c r="J134" s="17"/>
      <c r="K134" s="17"/>
      <c r="L134" s="17"/>
      <c r="M134" s="17"/>
      <c r="N134" s="17"/>
      <c r="O134" s="17"/>
      <c r="P134" s="17"/>
      <c r="Q134" s="17"/>
      <c r="R134" s="17"/>
      <c r="S134" s="17"/>
      <c r="T134" s="17"/>
      <c r="U134" s="17"/>
      <c r="V134" s="17"/>
      <c r="W134" s="17"/>
      <c r="X134" s="17"/>
    </row>
    <row r="135" spans="3:24" ht="22.5" customHeight="1" x14ac:dyDescent="0.3">
      <c r="D135" s="20" t="s">
        <v>61</v>
      </c>
      <c r="E135" s="13" t="str">
        <f t="shared" ref="E135:X135" si="47">E96</f>
        <v>dLevel_ABA</v>
      </c>
      <c r="F135" s="13" t="str">
        <f t="shared" si="47"/>
        <v>dLevel_B6_T2B</v>
      </c>
      <c r="G135" s="13" t="str">
        <f t="shared" si="47"/>
        <v>dLevel_ABA</v>
      </c>
      <c r="H135" s="13" t="str">
        <f t="shared" si="47"/>
        <v>dLevel_B6_T2B</v>
      </c>
      <c r="I135" s="13" t="str">
        <f t="shared" si="47"/>
        <v>dLevel_B7_T2B</v>
      </c>
      <c r="J135" s="13" t="str">
        <f t="shared" si="47"/>
        <v/>
      </c>
      <c r="K135" s="13" t="str">
        <f t="shared" si="47"/>
        <v/>
      </c>
      <c r="L135" s="13" t="str">
        <f t="shared" si="47"/>
        <v/>
      </c>
      <c r="M135" s="13" t="str">
        <f t="shared" si="47"/>
        <v/>
      </c>
      <c r="N135" s="13" t="str">
        <f t="shared" si="47"/>
        <v/>
      </c>
      <c r="O135" s="13" t="str">
        <f t="shared" si="47"/>
        <v/>
      </c>
      <c r="P135" s="13" t="str">
        <f t="shared" si="47"/>
        <v/>
      </c>
      <c r="Q135" s="13" t="str">
        <f t="shared" si="47"/>
        <v/>
      </c>
      <c r="R135" s="13" t="str">
        <f t="shared" si="47"/>
        <v/>
      </c>
      <c r="S135" s="13" t="str">
        <f t="shared" si="47"/>
        <v/>
      </c>
      <c r="T135" s="13" t="str">
        <f t="shared" si="47"/>
        <v/>
      </c>
      <c r="U135" s="13" t="str">
        <f t="shared" si="47"/>
        <v/>
      </c>
      <c r="V135" s="13" t="str">
        <f t="shared" si="47"/>
        <v/>
      </c>
      <c r="W135" s="13" t="str">
        <f t="shared" si="47"/>
        <v/>
      </c>
      <c r="X135" s="13" t="str">
        <f t="shared" si="47"/>
        <v/>
      </c>
    </row>
    <row r="136" spans="3:24" ht="16.5" customHeight="1" x14ac:dyDescent="0.3">
      <c r="C136" s="69"/>
      <c r="D136" s="70" t="str">
        <f t="shared" ref="D136:D170" si="48">D97</f>
        <v>dLevel_T2_1</v>
      </c>
      <c r="E136" s="144">
        <f t="shared" ref="E136:X136" ca="1" si="49">IFERROR(E97*$Y58/SUMPRODUCT(E$97:E$131,$Y$58:$Y$92),0)</f>
        <v>6.5971342719553058E-2</v>
      </c>
      <c r="F136" s="144">
        <f t="shared" ca="1" si="49"/>
        <v>5.7950023138094733E-2</v>
      </c>
      <c r="G136" s="144">
        <f t="shared" ca="1" si="49"/>
        <v>6.5971342719553058E-2</v>
      </c>
      <c r="H136" s="42">
        <f t="shared" ca="1" si="49"/>
        <v>5.7950023138094733E-2</v>
      </c>
      <c r="I136" s="42">
        <f t="shared" ca="1" si="49"/>
        <v>7.0041322408335382E-2</v>
      </c>
      <c r="J136" s="42">
        <f t="shared" ca="1" si="49"/>
        <v>0</v>
      </c>
      <c r="K136" s="42">
        <f t="shared" ca="1" si="49"/>
        <v>0</v>
      </c>
      <c r="L136" s="42">
        <f t="shared" ca="1" si="49"/>
        <v>0</v>
      </c>
      <c r="M136" s="42">
        <f t="shared" ca="1" si="49"/>
        <v>0</v>
      </c>
      <c r="N136" s="42">
        <f t="shared" ca="1" si="49"/>
        <v>0</v>
      </c>
      <c r="O136" s="42">
        <f t="shared" ca="1" si="49"/>
        <v>0</v>
      </c>
      <c r="P136" s="42">
        <f t="shared" ca="1" si="49"/>
        <v>0</v>
      </c>
      <c r="Q136" s="42">
        <f t="shared" ca="1" si="49"/>
        <v>0</v>
      </c>
      <c r="R136" s="42">
        <f t="shared" ca="1" si="49"/>
        <v>0</v>
      </c>
      <c r="S136" s="42">
        <f t="shared" ca="1" si="49"/>
        <v>0</v>
      </c>
      <c r="T136" s="42">
        <f t="shared" ca="1" si="49"/>
        <v>0</v>
      </c>
      <c r="U136" s="42">
        <f t="shared" ca="1" si="49"/>
        <v>0</v>
      </c>
      <c r="V136" s="42">
        <f t="shared" ca="1" si="49"/>
        <v>0</v>
      </c>
      <c r="W136" s="42">
        <f t="shared" ca="1" si="49"/>
        <v>0</v>
      </c>
      <c r="X136" s="42">
        <f t="shared" ca="1" si="49"/>
        <v>0</v>
      </c>
    </row>
    <row r="137" spans="3:24" ht="16.5" customHeight="1" x14ac:dyDescent="0.3">
      <c r="C137" s="69"/>
      <c r="D137" s="70" t="str">
        <f t="shared" si="48"/>
        <v>dLevel_T2_2</v>
      </c>
      <c r="E137" s="144">
        <f t="shared" ref="E137:X137" ca="1" si="50">IFERROR(E98*$Y59/SUMPRODUCT(E$97:E$131,$Y$58:$Y$92),0)</f>
        <v>1.8993091292241721E-2</v>
      </c>
      <c r="F137" s="144">
        <f t="shared" ca="1" si="50"/>
        <v>6.7155228358905606E-3</v>
      </c>
      <c r="G137" s="144">
        <f t="shared" ca="1" si="50"/>
        <v>1.8993091292241721E-2</v>
      </c>
      <c r="H137" s="42">
        <f t="shared" ca="1" si="50"/>
        <v>6.7155228358905606E-3</v>
      </c>
      <c r="I137" s="42">
        <f t="shared" ca="1" si="50"/>
        <v>2.9101728843080481E-2</v>
      </c>
      <c r="J137" s="42">
        <f t="shared" ca="1" si="50"/>
        <v>0</v>
      </c>
      <c r="K137" s="42">
        <f t="shared" ca="1" si="50"/>
        <v>0</v>
      </c>
      <c r="L137" s="42">
        <f t="shared" ca="1" si="50"/>
        <v>0</v>
      </c>
      <c r="M137" s="42">
        <f t="shared" ca="1" si="50"/>
        <v>0</v>
      </c>
      <c r="N137" s="42">
        <f t="shared" ca="1" si="50"/>
        <v>0</v>
      </c>
      <c r="O137" s="42">
        <f t="shared" ca="1" si="50"/>
        <v>0</v>
      </c>
      <c r="P137" s="42">
        <f t="shared" ca="1" si="50"/>
        <v>0</v>
      </c>
      <c r="Q137" s="42">
        <f t="shared" ca="1" si="50"/>
        <v>0</v>
      </c>
      <c r="R137" s="42">
        <f t="shared" ca="1" si="50"/>
        <v>0</v>
      </c>
      <c r="S137" s="42">
        <f t="shared" ca="1" si="50"/>
        <v>0</v>
      </c>
      <c r="T137" s="42">
        <f t="shared" ca="1" si="50"/>
        <v>0</v>
      </c>
      <c r="U137" s="42">
        <f t="shared" ca="1" si="50"/>
        <v>0</v>
      </c>
      <c r="V137" s="42">
        <f t="shared" ca="1" si="50"/>
        <v>0</v>
      </c>
      <c r="W137" s="42">
        <f t="shared" ca="1" si="50"/>
        <v>0</v>
      </c>
      <c r="X137" s="42">
        <f t="shared" ca="1" si="50"/>
        <v>0</v>
      </c>
    </row>
    <row r="138" spans="3:24" ht="16.5" customHeight="1" x14ac:dyDescent="0.3">
      <c r="C138" s="69"/>
      <c r="D138" s="70" t="str">
        <f t="shared" si="48"/>
        <v>dLevel_T2_3</v>
      </c>
      <c r="E138" s="144">
        <f t="shared" ref="E138:X138" ca="1" si="51">IFERROR(E99*$Y60/SUMPRODUCT(E$97:E$131,$Y$58:$Y$92),0)</f>
        <v>1.2507402944036784E-2</v>
      </c>
      <c r="F138" s="144">
        <f t="shared" ca="1" si="51"/>
        <v>5.3934038151143889E-3</v>
      </c>
      <c r="G138" s="144">
        <f t="shared" ca="1" si="51"/>
        <v>1.2507402944036784E-2</v>
      </c>
      <c r="H138" s="42">
        <f t="shared" ca="1" si="51"/>
        <v>5.3934038151143889E-3</v>
      </c>
      <c r="I138" s="42">
        <f t="shared" ca="1" si="51"/>
        <v>1.9798979625122927E-2</v>
      </c>
      <c r="J138" s="42">
        <f t="shared" ca="1" si="51"/>
        <v>0</v>
      </c>
      <c r="K138" s="42">
        <f t="shared" ca="1" si="51"/>
        <v>0</v>
      </c>
      <c r="L138" s="42">
        <f t="shared" ca="1" si="51"/>
        <v>0</v>
      </c>
      <c r="M138" s="42">
        <f t="shared" ca="1" si="51"/>
        <v>0</v>
      </c>
      <c r="N138" s="42">
        <f t="shared" ca="1" si="51"/>
        <v>0</v>
      </c>
      <c r="O138" s="42">
        <f t="shared" ca="1" si="51"/>
        <v>0</v>
      </c>
      <c r="P138" s="42">
        <f t="shared" ca="1" si="51"/>
        <v>0</v>
      </c>
      <c r="Q138" s="42">
        <f t="shared" ca="1" si="51"/>
        <v>0</v>
      </c>
      <c r="R138" s="42">
        <f t="shared" ca="1" si="51"/>
        <v>0</v>
      </c>
      <c r="S138" s="42">
        <f t="shared" ca="1" si="51"/>
        <v>0</v>
      </c>
      <c r="T138" s="42">
        <f t="shared" ca="1" si="51"/>
        <v>0</v>
      </c>
      <c r="U138" s="42">
        <f t="shared" ca="1" si="51"/>
        <v>0</v>
      </c>
      <c r="V138" s="42">
        <f t="shared" ca="1" si="51"/>
        <v>0</v>
      </c>
      <c r="W138" s="42">
        <f t="shared" ca="1" si="51"/>
        <v>0</v>
      </c>
      <c r="X138" s="42">
        <f t="shared" ca="1" si="51"/>
        <v>0</v>
      </c>
    </row>
    <row r="139" spans="3:24" ht="16.5" customHeight="1" x14ac:dyDescent="0.3">
      <c r="C139" s="69"/>
      <c r="D139" s="70" t="str">
        <f t="shared" si="48"/>
        <v>dLevel_T2_4</v>
      </c>
      <c r="E139" s="144">
        <f t="shared" ref="E139:X139" ca="1" si="52">IFERROR(E100*$Y61/SUMPRODUCT(E$97:E$131,$Y$58:$Y$92),0)</f>
        <v>8.3110270169688513E-2</v>
      </c>
      <c r="F139" s="144">
        <f t="shared" ca="1" si="52"/>
        <v>8.3946080216781446E-2</v>
      </c>
      <c r="G139" s="144">
        <f t="shared" ca="1" si="52"/>
        <v>8.3110270169688513E-2</v>
      </c>
      <c r="H139" s="42">
        <f t="shared" ca="1" si="52"/>
        <v>8.3946080216781446E-2</v>
      </c>
      <c r="I139" s="42">
        <f t="shared" ca="1" si="52"/>
        <v>8.9294103163286939E-2</v>
      </c>
      <c r="J139" s="42">
        <f t="shared" ca="1" si="52"/>
        <v>0</v>
      </c>
      <c r="K139" s="42">
        <f t="shared" ca="1" si="52"/>
        <v>0</v>
      </c>
      <c r="L139" s="42">
        <f t="shared" ca="1" si="52"/>
        <v>0</v>
      </c>
      <c r="M139" s="42">
        <f t="shared" ca="1" si="52"/>
        <v>0</v>
      </c>
      <c r="N139" s="42">
        <f t="shared" ca="1" si="52"/>
        <v>0</v>
      </c>
      <c r="O139" s="42">
        <f t="shared" ca="1" si="52"/>
        <v>0</v>
      </c>
      <c r="P139" s="42">
        <f t="shared" ca="1" si="52"/>
        <v>0</v>
      </c>
      <c r="Q139" s="42">
        <f t="shared" ca="1" si="52"/>
        <v>0</v>
      </c>
      <c r="R139" s="42">
        <f t="shared" ca="1" si="52"/>
        <v>0</v>
      </c>
      <c r="S139" s="42">
        <f t="shared" ca="1" si="52"/>
        <v>0</v>
      </c>
      <c r="T139" s="42">
        <f t="shared" ca="1" si="52"/>
        <v>0</v>
      </c>
      <c r="U139" s="42">
        <f t="shared" ca="1" si="52"/>
        <v>0</v>
      </c>
      <c r="V139" s="42">
        <f t="shared" ca="1" si="52"/>
        <v>0</v>
      </c>
      <c r="W139" s="42">
        <f t="shared" ca="1" si="52"/>
        <v>0</v>
      </c>
      <c r="X139" s="42">
        <f t="shared" ca="1" si="52"/>
        <v>0</v>
      </c>
    </row>
    <row r="140" spans="3:24" ht="16.5" customHeight="1" x14ac:dyDescent="0.3">
      <c r="C140" s="69"/>
      <c r="D140" s="70" t="str">
        <f t="shared" si="48"/>
        <v>dLevel_T2_5</v>
      </c>
      <c r="E140" s="144">
        <f t="shared" ref="E140:X140" ca="1" si="53">IFERROR(E101*$Y62/SUMPRODUCT(E$97:E$131,$Y$58:$Y$92),0)</f>
        <v>1.753760564144765E-2</v>
      </c>
      <c r="F140" s="144">
        <f t="shared" ca="1" si="53"/>
        <v>4.0969171175530401E-2</v>
      </c>
      <c r="G140" s="144">
        <f t="shared" ca="1" si="53"/>
        <v>1.753760564144765E-2</v>
      </c>
      <c r="H140" s="42">
        <f t="shared" ca="1" si="53"/>
        <v>4.0969171175530401E-2</v>
      </c>
      <c r="I140" s="42">
        <f t="shared" ca="1" si="53"/>
        <v>2.8984839226664186E-2</v>
      </c>
      <c r="J140" s="42">
        <f t="shared" ca="1" si="53"/>
        <v>0</v>
      </c>
      <c r="K140" s="42">
        <f t="shared" ca="1" si="53"/>
        <v>0</v>
      </c>
      <c r="L140" s="42">
        <f t="shared" ca="1" si="53"/>
        <v>0</v>
      </c>
      <c r="M140" s="42">
        <f t="shared" ca="1" si="53"/>
        <v>0</v>
      </c>
      <c r="N140" s="42">
        <f t="shared" ca="1" si="53"/>
        <v>0</v>
      </c>
      <c r="O140" s="42">
        <f t="shared" ca="1" si="53"/>
        <v>0</v>
      </c>
      <c r="P140" s="42">
        <f t="shared" ca="1" si="53"/>
        <v>0</v>
      </c>
      <c r="Q140" s="42">
        <f t="shared" ca="1" si="53"/>
        <v>0</v>
      </c>
      <c r="R140" s="42">
        <f t="shared" ca="1" si="53"/>
        <v>0</v>
      </c>
      <c r="S140" s="42">
        <f t="shared" ca="1" si="53"/>
        <v>0</v>
      </c>
      <c r="T140" s="42">
        <f t="shared" ca="1" si="53"/>
        <v>0</v>
      </c>
      <c r="U140" s="42">
        <f t="shared" ca="1" si="53"/>
        <v>0</v>
      </c>
      <c r="V140" s="42">
        <f t="shared" ca="1" si="53"/>
        <v>0</v>
      </c>
      <c r="W140" s="42">
        <f t="shared" ca="1" si="53"/>
        <v>0</v>
      </c>
      <c r="X140" s="42">
        <f t="shared" ca="1" si="53"/>
        <v>0</v>
      </c>
    </row>
    <row r="141" spans="3:24" ht="16.5" customHeight="1" x14ac:dyDescent="0.3">
      <c r="C141" s="69"/>
      <c r="D141" s="70" t="str">
        <f t="shared" si="48"/>
        <v>dLevel_T2_6</v>
      </c>
      <c r="E141" s="144">
        <f t="shared" ref="E141:X141" ca="1" si="54">IFERROR(E102*$Y63/SUMPRODUCT(E$97:E$131,$Y$58:$Y$92),0)</f>
        <v>3.1713750553025458E-2</v>
      </c>
      <c r="F141" s="144">
        <f t="shared" ca="1" si="54"/>
        <v>2.7870821658999744E-2</v>
      </c>
      <c r="G141" s="144">
        <f t="shared" ca="1" si="54"/>
        <v>3.1713750553025458E-2</v>
      </c>
      <c r="H141" s="42">
        <f t="shared" ca="1" si="54"/>
        <v>2.7870821658999744E-2</v>
      </c>
      <c r="I141" s="42">
        <f t="shared" ca="1" si="54"/>
        <v>2.3880382638035991E-2</v>
      </c>
      <c r="J141" s="42">
        <f t="shared" ca="1" si="54"/>
        <v>0</v>
      </c>
      <c r="K141" s="42">
        <f t="shared" ca="1" si="54"/>
        <v>0</v>
      </c>
      <c r="L141" s="42">
        <f t="shared" ca="1" si="54"/>
        <v>0</v>
      </c>
      <c r="M141" s="42">
        <f t="shared" ca="1" si="54"/>
        <v>0</v>
      </c>
      <c r="N141" s="42">
        <f t="shared" ca="1" si="54"/>
        <v>0</v>
      </c>
      <c r="O141" s="42">
        <f t="shared" ca="1" si="54"/>
        <v>0</v>
      </c>
      <c r="P141" s="42">
        <f t="shared" ca="1" si="54"/>
        <v>0</v>
      </c>
      <c r="Q141" s="42">
        <f t="shared" ca="1" si="54"/>
        <v>0</v>
      </c>
      <c r="R141" s="42">
        <f t="shared" ca="1" si="54"/>
        <v>0</v>
      </c>
      <c r="S141" s="42">
        <f t="shared" ca="1" si="54"/>
        <v>0</v>
      </c>
      <c r="T141" s="42">
        <f t="shared" ca="1" si="54"/>
        <v>0</v>
      </c>
      <c r="U141" s="42">
        <f t="shared" ca="1" si="54"/>
        <v>0</v>
      </c>
      <c r="V141" s="42">
        <f t="shared" ca="1" si="54"/>
        <v>0</v>
      </c>
      <c r="W141" s="42">
        <f t="shared" ca="1" si="54"/>
        <v>0</v>
      </c>
      <c r="X141" s="42">
        <f t="shared" ca="1" si="54"/>
        <v>0</v>
      </c>
    </row>
    <row r="142" spans="3:24" x14ac:dyDescent="0.3">
      <c r="C142" s="1"/>
      <c r="D142" s="70" t="str">
        <f t="shared" si="48"/>
        <v>dLevel_T2_7</v>
      </c>
      <c r="E142" s="144">
        <f t="shared" ref="E142:X142" ca="1" si="55">IFERROR(E103*$Y64/SUMPRODUCT(E$97:E$131,$Y$58:$Y$92),0)</f>
        <v>0.10582017740486382</v>
      </c>
      <c r="F142" s="144">
        <f t="shared" ca="1" si="55"/>
        <v>0.12125167010216173</v>
      </c>
      <c r="G142" s="144">
        <f t="shared" ca="1" si="55"/>
        <v>0.10582017740486382</v>
      </c>
      <c r="H142" s="42">
        <f t="shared" ca="1" si="55"/>
        <v>0.12125167010216173</v>
      </c>
      <c r="I142" s="42">
        <f t="shared" ca="1" si="55"/>
        <v>8.7004868998054319E-2</v>
      </c>
      <c r="J142" s="42">
        <f t="shared" ca="1" si="55"/>
        <v>0</v>
      </c>
      <c r="K142" s="42">
        <f t="shared" ca="1" si="55"/>
        <v>0</v>
      </c>
      <c r="L142" s="42">
        <f t="shared" ca="1" si="55"/>
        <v>0</v>
      </c>
      <c r="M142" s="42">
        <f t="shared" ca="1" si="55"/>
        <v>0</v>
      </c>
      <c r="N142" s="42">
        <f t="shared" ca="1" si="55"/>
        <v>0</v>
      </c>
      <c r="O142" s="42">
        <f t="shared" ca="1" si="55"/>
        <v>0</v>
      </c>
      <c r="P142" s="42">
        <f t="shared" ca="1" si="55"/>
        <v>0</v>
      </c>
      <c r="Q142" s="42">
        <f t="shared" ca="1" si="55"/>
        <v>0</v>
      </c>
      <c r="R142" s="42">
        <f t="shared" ca="1" si="55"/>
        <v>0</v>
      </c>
      <c r="S142" s="42">
        <f t="shared" ca="1" si="55"/>
        <v>0</v>
      </c>
      <c r="T142" s="42">
        <f t="shared" ca="1" si="55"/>
        <v>0</v>
      </c>
      <c r="U142" s="42">
        <f t="shared" ca="1" si="55"/>
        <v>0</v>
      </c>
      <c r="V142" s="42">
        <f t="shared" ca="1" si="55"/>
        <v>0</v>
      </c>
      <c r="W142" s="42">
        <f t="shared" ca="1" si="55"/>
        <v>0</v>
      </c>
      <c r="X142" s="42">
        <f t="shared" ca="1" si="55"/>
        <v>0</v>
      </c>
    </row>
    <row r="143" spans="3:24" x14ac:dyDescent="0.3">
      <c r="C143" s="1"/>
      <c r="D143" s="70" t="str">
        <f t="shared" si="48"/>
        <v>dLevel_T2_8</v>
      </c>
      <c r="E143" s="144">
        <f t="shared" ref="E143:X143" ca="1" si="56">IFERROR(E104*$Y65/SUMPRODUCT(E$97:E$131,$Y$58:$Y$92),0)</f>
        <v>4.6982331961307237E-2</v>
      </c>
      <c r="F143" s="144">
        <f t="shared" ca="1" si="56"/>
        <v>8.2838803843928263E-2</v>
      </c>
      <c r="G143" s="144">
        <f t="shared" ca="1" si="56"/>
        <v>4.6982331961307237E-2</v>
      </c>
      <c r="H143" s="42">
        <f t="shared" ca="1" si="56"/>
        <v>8.2838803843928263E-2</v>
      </c>
      <c r="I143" s="42">
        <f t="shared" ca="1" si="56"/>
        <v>8.4905489462278383E-2</v>
      </c>
      <c r="J143" s="42">
        <f t="shared" ca="1" si="56"/>
        <v>0</v>
      </c>
      <c r="K143" s="42">
        <f t="shared" ca="1" si="56"/>
        <v>0</v>
      </c>
      <c r="L143" s="42">
        <f t="shared" ca="1" si="56"/>
        <v>0</v>
      </c>
      <c r="M143" s="42">
        <f t="shared" ca="1" si="56"/>
        <v>0</v>
      </c>
      <c r="N143" s="42">
        <f t="shared" ca="1" si="56"/>
        <v>0</v>
      </c>
      <c r="O143" s="42">
        <f t="shared" ca="1" si="56"/>
        <v>0</v>
      </c>
      <c r="P143" s="42">
        <f t="shared" ca="1" si="56"/>
        <v>0</v>
      </c>
      <c r="Q143" s="42">
        <f t="shared" ca="1" si="56"/>
        <v>0</v>
      </c>
      <c r="R143" s="42">
        <f t="shared" ca="1" si="56"/>
        <v>0</v>
      </c>
      <c r="S143" s="42">
        <f t="shared" ca="1" si="56"/>
        <v>0</v>
      </c>
      <c r="T143" s="42">
        <f t="shared" ca="1" si="56"/>
        <v>0</v>
      </c>
      <c r="U143" s="42">
        <f t="shared" ca="1" si="56"/>
        <v>0</v>
      </c>
      <c r="V143" s="42">
        <f t="shared" ca="1" si="56"/>
        <v>0</v>
      </c>
      <c r="W143" s="42">
        <f t="shared" ca="1" si="56"/>
        <v>0</v>
      </c>
      <c r="X143" s="42">
        <f t="shared" ca="1" si="56"/>
        <v>0</v>
      </c>
    </row>
    <row r="144" spans="3:24" x14ac:dyDescent="0.3">
      <c r="C144" s="1"/>
      <c r="D144" s="70" t="str">
        <f t="shared" si="48"/>
        <v>dLevel_T2_9</v>
      </c>
      <c r="E144" s="144">
        <f t="shared" ref="E144:X144" ca="1" si="57">IFERROR(E105*$Y66/SUMPRODUCT(E$97:E$131,$Y$58:$Y$92),0)</f>
        <v>8.3364803382020881E-3</v>
      </c>
      <c r="F144" s="144">
        <f t="shared" ca="1" si="57"/>
        <v>1.6837220158924582E-2</v>
      </c>
      <c r="G144" s="144">
        <f t="shared" ca="1" si="57"/>
        <v>8.3364803382020881E-3</v>
      </c>
      <c r="H144" s="42">
        <f t="shared" ca="1" si="57"/>
        <v>1.6837220158924582E-2</v>
      </c>
      <c r="I144" s="42">
        <f t="shared" ca="1" si="57"/>
        <v>1.5994068911810773E-2</v>
      </c>
      <c r="J144" s="42">
        <f t="shared" ca="1" si="57"/>
        <v>0</v>
      </c>
      <c r="K144" s="42">
        <f t="shared" ca="1" si="57"/>
        <v>0</v>
      </c>
      <c r="L144" s="42">
        <f t="shared" ca="1" si="57"/>
        <v>0</v>
      </c>
      <c r="M144" s="42">
        <f t="shared" ca="1" si="57"/>
        <v>0</v>
      </c>
      <c r="N144" s="42">
        <f t="shared" ca="1" si="57"/>
        <v>0</v>
      </c>
      <c r="O144" s="42">
        <f t="shared" ca="1" si="57"/>
        <v>0</v>
      </c>
      <c r="P144" s="42">
        <f t="shared" ca="1" si="57"/>
        <v>0</v>
      </c>
      <c r="Q144" s="42">
        <f t="shared" ca="1" si="57"/>
        <v>0</v>
      </c>
      <c r="R144" s="42">
        <f t="shared" ca="1" si="57"/>
        <v>0</v>
      </c>
      <c r="S144" s="42">
        <f t="shared" ca="1" si="57"/>
        <v>0</v>
      </c>
      <c r="T144" s="42">
        <f t="shared" ca="1" si="57"/>
        <v>0</v>
      </c>
      <c r="U144" s="42">
        <f t="shared" ca="1" si="57"/>
        <v>0</v>
      </c>
      <c r="V144" s="42">
        <f t="shared" ca="1" si="57"/>
        <v>0</v>
      </c>
      <c r="W144" s="42">
        <f t="shared" ca="1" si="57"/>
        <v>0</v>
      </c>
      <c r="X144" s="42">
        <f t="shared" ca="1" si="57"/>
        <v>0</v>
      </c>
    </row>
    <row r="145" spans="3:24" x14ac:dyDescent="0.3">
      <c r="C145" s="1"/>
      <c r="D145" s="70" t="str">
        <f t="shared" si="48"/>
        <v>dLevel_T2_10</v>
      </c>
      <c r="E145" s="144">
        <f t="shared" ref="E145:X145" ca="1" si="58">IFERROR(E106*$Y67/SUMPRODUCT(E$97:E$131,$Y$58:$Y$92),0)</f>
        <v>1.5582116547556538E-2</v>
      </c>
      <c r="F145" s="144">
        <f t="shared" ca="1" si="58"/>
        <v>1.3243881952658958E-2</v>
      </c>
      <c r="G145" s="144">
        <f t="shared" ca="1" si="58"/>
        <v>1.5582116547556538E-2</v>
      </c>
      <c r="H145" s="42">
        <f t="shared" ca="1" si="58"/>
        <v>1.3243881952658958E-2</v>
      </c>
      <c r="I145" s="42">
        <f t="shared" ca="1" si="58"/>
        <v>1.0399369853728703E-2</v>
      </c>
      <c r="J145" s="42">
        <f t="shared" ca="1" si="58"/>
        <v>0</v>
      </c>
      <c r="K145" s="42">
        <f t="shared" ca="1" si="58"/>
        <v>0</v>
      </c>
      <c r="L145" s="42">
        <f t="shared" ca="1" si="58"/>
        <v>0</v>
      </c>
      <c r="M145" s="42">
        <f t="shared" ca="1" si="58"/>
        <v>0</v>
      </c>
      <c r="N145" s="42">
        <f t="shared" ca="1" si="58"/>
        <v>0</v>
      </c>
      <c r="O145" s="42">
        <f t="shared" ca="1" si="58"/>
        <v>0</v>
      </c>
      <c r="P145" s="42">
        <f t="shared" ca="1" si="58"/>
        <v>0</v>
      </c>
      <c r="Q145" s="42">
        <f t="shared" ca="1" si="58"/>
        <v>0</v>
      </c>
      <c r="R145" s="42">
        <f t="shared" ca="1" si="58"/>
        <v>0</v>
      </c>
      <c r="S145" s="42">
        <f t="shared" ca="1" si="58"/>
        <v>0</v>
      </c>
      <c r="T145" s="42">
        <f t="shared" ca="1" si="58"/>
        <v>0</v>
      </c>
      <c r="U145" s="42">
        <f t="shared" ca="1" si="58"/>
        <v>0</v>
      </c>
      <c r="V145" s="42">
        <f t="shared" ca="1" si="58"/>
        <v>0</v>
      </c>
      <c r="W145" s="42">
        <f t="shared" ca="1" si="58"/>
        <v>0</v>
      </c>
      <c r="X145" s="42">
        <f t="shared" ca="1" si="58"/>
        <v>0</v>
      </c>
    </row>
    <row r="146" spans="3:24" x14ac:dyDescent="0.3">
      <c r="C146" s="1"/>
      <c r="D146" s="70" t="str">
        <f t="shared" si="48"/>
        <v>dLevel_T2_11</v>
      </c>
      <c r="E146" s="144">
        <f t="shared" ref="E146:X146" ca="1" si="59">IFERROR(E107*$Y68/SUMPRODUCT(E$97:E$131,$Y$58:$Y$92),0)</f>
        <v>4.4321956357664109E-2</v>
      </c>
      <c r="F146" s="144">
        <f t="shared" ca="1" si="59"/>
        <v>4.1633550863937156E-2</v>
      </c>
      <c r="G146" s="144">
        <f t="shared" ca="1" si="59"/>
        <v>4.4321956357664109E-2</v>
      </c>
      <c r="H146" s="42">
        <f t="shared" ca="1" si="59"/>
        <v>4.1633550863937156E-2</v>
      </c>
      <c r="I146" s="42">
        <f t="shared" ca="1" si="59"/>
        <v>2.7954143145983993E-2</v>
      </c>
      <c r="J146" s="42">
        <f t="shared" ca="1" si="59"/>
        <v>0</v>
      </c>
      <c r="K146" s="42">
        <f t="shared" ca="1" si="59"/>
        <v>0</v>
      </c>
      <c r="L146" s="42">
        <f t="shared" ca="1" si="59"/>
        <v>0</v>
      </c>
      <c r="M146" s="42">
        <f t="shared" ca="1" si="59"/>
        <v>0</v>
      </c>
      <c r="N146" s="42">
        <f t="shared" ca="1" si="59"/>
        <v>0</v>
      </c>
      <c r="O146" s="42">
        <f t="shared" ca="1" si="59"/>
        <v>0</v>
      </c>
      <c r="P146" s="42">
        <f t="shared" ca="1" si="59"/>
        <v>0</v>
      </c>
      <c r="Q146" s="42">
        <f t="shared" ca="1" si="59"/>
        <v>0</v>
      </c>
      <c r="R146" s="42">
        <f t="shared" ca="1" si="59"/>
        <v>0</v>
      </c>
      <c r="S146" s="42">
        <f t="shared" ca="1" si="59"/>
        <v>0</v>
      </c>
      <c r="T146" s="42">
        <f t="shared" ca="1" si="59"/>
        <v>0</v>
      </c>
      <c r="U146" s="42">
        <f t="shared" ca="1" si="59"/>
        <v>0</v>
      </c>
      <c r="V146" s="42">
        <f t="shared" ca="1" si="59"/>
        <v>0</v>
      </c>
      <c r="W146" s="42">
        <f t="shared" ca="1" si="59"/>
        <v>0</v>
      </c>
      <c r="X146" s="42">
        <f t="shared" ca="1" si="59"/>
        <v>0</v>
      </c>
    </row>
    <row r="147" spans="3:24" x14ac:dyDescent="0.3">
      <c r="C147" s="1"/>
      <c r="D147" s="70" t="str">
        <f t="shared" si="48"/>
        <v>dLevel_T2_12</v>
      </c>
      <c r="E147" s="144">
        <f t="shared" ref="E147:X147" ca="1" si="60">IFERROR(E108*$Y69/SUMPRODUCT(E$97:E$131,$Y$58:$Y$92),0)</f>
        <v>2.4096944955977508E-2</v>
      </c>
      <c r="F147" s="144">
        <f t="shared" ca="1" si="60"/>
        <v>8.3988918859891609E-3</v>
      </c>
      <c r="G147" s="144">
        <f t="shared" ca="1" si="60"/>
        <v>2.4096944955977508E-2</v>
      </c>
      <c r="H147" s="42">
        <f t="shared" ca="1" si="60"/>
        <v>8.3988918859891609E-3</v>
      </c>
      <c r="I147" s="42">
        <f t="shared" ca="1" si="60"/>
        <v>5.7308442145018951E-3</v>
      </c>
      <c r="J147" s="42">
        <f t="shared" ca="1" si="60"/>
        <v>0</v>
      </c>
      <c r="K147" s="42">
        <f t="shared" ca="1" si="60"/>
        <v>0</v>
      </c>
      <c r="L147" s="42">
        <f t="shared" ca="1" si="60"/>
        <v>0</v>
      </c>
      <c r="M147" s="42">
        <f t="shared" ca="1" si="60"/>
        <v>0</v>
      </c>
      <c r="N147" s="42">
        <f t="shared" ca="1" si="60"/>
        <v>0</v>
      </c>
      <c r="O147" s="42">
        <f t="shared" ca="1" si="60"/>
        <v>0</v>
      </c>
      <c r="P147" s="42">
        <f t="shared" ca="1" si="60"/>
        <v>0</v>
      </c>
      <c r="Q147" s="42">
        <f t="shared" ca="1" si="60"/>
        <v>0</v>
      </c>
      <c r="R147" s="42">
        <f t="shared" ca="1" si="60"/>
        <v>0</v>
      </c>
      <c r="S147" s="42">
        <f t="shared" ca="1" si="60"/>
        <v>0</v>
      </c>
      <c r="T147" s="42">
        <f t="shared" ca="1" si="60"/>
        <v>0</v>
      </c>
      <c r="U147" s="42">
        <f t="shared" ca="1" si="60"/>
        <v>0</v>
      </c>
      <c r="V147" s="42">
        <f t="shared" ca="1" si="60"/>
        <v>0</v>
      </c>
      <c r="W147" s="42">
        <f t="shared" ca="1" si="60"/>
        <v>0</v>
      </c>
      <c r="X147" s="42">
        <f t="shared" ca="1" si="60"/>
        <v>0</v>
      </c>
    </row>
    <row r="148" spans="3:24" x14ac:dyDescent="0.3">
      <c r="C148" s="1"/>
      <c r="D148" s="70" t="str">
        <f t="shared" si="48"/>
        <v>dLevel_T2_13</v>
      </c>
      <c r="E148" s="144">
        <f t="shared" ref="E148:X148" ca="1" si="61">IFERROR(E109*$Y70/SUMPRODUCT(E$97:E$131,$Y$58:$Y$92),0)</f>
        <v>8.884644323407109E-3</v>
      </c>
      <c r="F148" s="144">
        <f t="shared" ca="1" si="61"/>
        <v>1.5725623084150185E-4</v>
      </c>
      <c r="G148" s="144">
        <f t="shared" ca="1" si="61"/>
        <v>8.884644323407109E-3</v>
      </c>
      <c r="H148" s="42">
        <f t="shared" ca="1" si="61"/>
        <v>1.5725623084150185E-4</v>
      </c>
      <c r="I148" s="42">
        <f t="shared" ca="1" si="61"/>
        <v>5.3189861154019922E-3</v>
      </c>
      <c r="J148" s="42">
        <f t="shared" ca="1" si="61"/>
        <v>0</v>
      </c>
      <c r="K148" s="42">
        <f t="shared" ca="1" si="61"/>
        <v>0</v>
      </c>
      <c r="L148" s="42">
        <f t="shared" ca="1" si="61"/>
        <v>0</v>
      </c>
      <c r="M148" s="42">
        <f t="shared" ca="1" si="61"/>
        <v>0</v>
      </c>
      <c r="N148" s="42">
        <f t="shared" ca="1" si="61"/>
        <v>0</v>
      </c>
      <c r="O148" s="42">
        <f t="shared" ca="1" si="61"/>
        <v>0</v>
      </c>
      <c r="P148" s="42">
        <f t="shared" ca="1" si="61"/>
        <v>0</v>
      </c>
      <c r="Q148" s="42">
        <f t="shared" ca="1" si="61"/>
        <v>0</v>
      </c>
      <c r="R148" s="42">
        <f t="shared" ca="1" si="61"/>
        <v>0</v>
      </c>
      <c r="S148" s="42">
        <f t="shared" ca="1" si="61"/>
        <v>0</v>
      </c>
      <c r="T148" s="42">
        <f t="shared" ca="1" si="61"/>
        <v>0</v>
      </c>
      <c r="U148" s="42">
        <f t="shared" ca="1" si="61"/>
        <v>0</v>
      </c>
      <c r="V148" s="42">
        <f t="shared" ca="1" si="61"/>
        <v>0</v>
      </c>
      <c r="W148" s="42">
        <f t="shared" ca="1" si="61"/>
        <v>0</v>
      </c>
      <c r="X148" s="42">
        <f t="shared" ca="1" si="61"/>
        <v>0</v>
      </c>
    </row>
    <row r="149" spans="3:24" x14ac:dyDescent="0.3">
      <c r="C149" s="1"/>
      <c r="D149" s="70" t="str">
        <f t="shared" si="48"/>
        <v>dLevel_T2_14</v>
      </c>
      <c r="E149" s="144">
        <f t="shared" ref="E149:X149" ca="1" si="62">IFERROR(E110*$Y71/SUMPRODUCT(E$97:E$131,$Y$58:$Y$92),0)</f>
        <v>1.8013312290201325E-2</v>
      </c>
      <c r="F149" s="144">
        <f t="shared" ca="1" si="62"/>
        <v>1.9243760789149637E-2</v>
      </c>
      <c r="G149" s="144">
        <f t="shared" ca="1" si="62"/>
        <v>1.8013312290201325E-2</v>
      </c>
      <c r="H149" s="42">
        <f t="shared" ca="1" si="62"/>
        <v>1.9243760789149637E-2</v>
      </c>
      <c r="I149" s="42">
        <f t="shared" ca="1" si="62"/>
        <v>1.7896170944854708E-2</v>
      </c>
      <c r="J149" s="42">
        <f t="shared" ca="1" si="62"/>
        <v>0</v>
      </c>
      <c r="K149" s="42">
        <f t="shared" ca="1" si="62"/>
        <v>0</v>
      </c>
      <c r="L149" s="42">
        <f t="shared" ca="1" si="62"/>
        <v>0</v>
      </c>
      <c r="M149" s="42">
        <f t="shared" ca="1" si="62"/>
        <v>0</v>
      </c>
      <c r="N149" s="42">
        <f t="shared" ca="1" si="62"/>
        <v>0</v>
      </c>
      <c r="O149" s="42">
        <f t="shared" ca="1" si="62"/>
        <v>0</v>
      </c>
      <c r="P149" s="42">
        <f t="shared" ca="1" si="62"/>
        <v>0</v>
      </c>
      <c r="Q149" s="42">
        <f t="shared" ca="1" si="62"/>
        <v>0</v>
      </c>
      <c r="R149" s="42">
        <f t="shared" ca="1" si="62"/>
        <v>0</v>
      </c>
      <c r="S149" s="42">
        <f t="shared" ca="1" si="62"/>
        <v>0</v>
      </c>
      <c r="T149" s="42">
        <f t="shared" ca="1" si="62"/>
        <v>0</v>
      </c>
      <c r="U149" s="42">
        <f t="shared" ca="1" si="62"/>
        <v>0</v>
      </c>
      <c r="V149" s="42">
        <f t="shared" ca="1" si="62"/>
        <v>0</v>
      </c>
      <c r="W149" s="42">
        <f t="shared" ca="1" si="62"/>
        <v>0</v>
      </c>
      <c r="X149" s="42">
        <f t="shared" ca="1" si="62"/>
        <v>0</v>
      </c>
    </row>
    <row r="150" spans="3:24" x14ac:dyDescent="0.3">
      <c r="C150" s="1"/>
      <c r="D150" s="70" t="str">
        <f t="shared" si="48"/>
        <v>dLevel_T2_15</v>
      </c>
      <c r="E150" s="144">
        <f t="shared" ref="E150:X150" ca="1" si="63">IFERROR(E111*$Y72/SUMPRODUCT(E$97:E$131,$Y$58:$Y$92),0)</f>
        <v>1.2211569063647915E-2</v>
      </c>
      <c r="F150" s="144">
        <f t="shared" ca="1" si="63"/>
        <v>2.3081156462220452E-4</v>
      </c>
      <c r="G150" s="144">
        <f t="shared" ca="1" si="63"/>
        <v>1.2211569063647915E-2</v>
      </c>
      <c r="H150" s="42">
        <f t="shared" ca="1" si="63"/>
        <v>2.3081156462220452E-4</v>
      </c>
      <c r="I150" s="42">
        <f t="shared" ca="1" si="63"/>
        <v>1.174050161987155E-2</v>
      </c>
      <c r="J150" s="42">
        <f t="shared" ca="1" si="63"/>
        <v>0</v>
      </c>
      <c r="K150" s="42">
        <f t="shared" ca="1" si="63"/>
        <v>0</v>
      </c>
      <c r="L150" s="42">
        <f t="shared" ca="1" si="63"/>
        <v>0</v>
      </c>
      <c r="M150" s="42">
        <f t="shared" ca="1" si="63"/>
        <v>0</v>
      </c>
      <c r="N150" s="42">
        <f t="shared" ca="1" si="63"/>
        <v>0</v>
      </c>
      <c r="O150" s="42">
        <f t="shared" ca="1" si="63"/>
        <v>0</v>
      </c>
      <c r="P150" s="42">
        <f t="shared" ca="1" si="63"/>
        <v>0</v>
      </c>
      <c r="Q150" s="42">
        <f t="shared" ca="1" si="63"/>
        <v>0</v>
      </c>
      <c r="R150" s="42">
        <f t="shared" ca="1" si="63"/>
        <v>0</v>
      </c>
      <c r="S150" s="42">
        <f t="shared" ca="1" si="63"/>
        <v>0</v>
      </c>
      <c r="T150" s="42">
        <f t="shared" ca="1" si="63"/>
        <v>0</v>
      </c>
      <c r="U150" s="42">
        <f t="shared" ca="1" si="63"/>
        <v>0</v>
      </c>
      <c r="V150" s="42">
        <f t="shared" ca="1" si="63"/>
        <v>0</v>
      </c>
      <c r="W150" s="42">
        <f t="shared" ca="1" si="63"/>
        <v>0</v>
      </c>
      <c r="X150" s="42">
        <f t="shared" ca="1" si="63"/>
        <v>0</v>
      </c>
    </row>
    <row r="151" spans="3:24" x14ac:dyDescent="0.3">
      <c r="C151" s="1"/>
      <c r="D151" s="70" t="str">
        <f t="shared" si="48"/>
        <v>dLevel_T2_16</v>
      </c>
      <c r="E151" s="144">
        <f t="shared" ref="E151:X151" ca="1" si="64">IFERROR(E112*$Y73/SUMPRODUCT(E$97:E$131,$Y$58:$Y$92),0)</f>
        <v>1.1506041509069564E-2</v>
      </c>
      <c r="F151" s="144">
        <f t="shared" ca="1" si="64"/>
        <v>8.2194068981594533E-3</v>
      </c>
      <c r="G151" s="144">
        <f t="shared" ca="1" si="64"/>
        <v>1.1506041509069564E-2</v>
      </c>
      <c r="H151" s="42">
        <f t="shared" ca="1" si="64"/>
        <v>8.2194068981594533E-3</v>
      </c>
      <c r="I151" s="42">
        <f t="shared" ca="1" si="64"/>
        <v>1.4245297493537052E-2</v>
      </c>
      <c r="J151" s="42">
        <f t="shared" ca="1" si="64"/>
        <v>0</v>
      </c>
      <c r="K151" s="42">
        <f t="shared" ca="1" si="64"/>
        <v>0</v>
      </c>
      <c r="L151" s="42">
        <f t="shared" ca="1" si="64"/>
        <v>0</v>
      </c>
      <c r="M151" s="42">
        <f t="shared" ca="1" si="64"/>
        <v>0</v>
      </c>
      <c r="N151" s="42">
        <f t="shared" ca="1" si="64"/>
        <v>0</v>
      </c>
      <c r="O151" s="42">
        <f t="shared" ca="1" si="64"/>
        <v>0</v>
      </c>
      <c r="P151" s="42">
        <f t="shared" ca="1" si="64"/>
        <v>0</v>
      </c>
      <c r="Q151" s="42">
        <f t="shared" ca="1" si="64"/>
        <v>0</v>
      </c>
      <c r="R151" s="42">
        <f t="shared" ca="1" si="64"/>
        <v>0</v>
      </c>
      <c r="S151" s="42">
        <f t="shared" ca="1" si="64"/>
        <v>0</v>
      </c>
      <c r="T151" s="42">
        <f t="shared" ca="1" si="64"/>
        <v>0</v>
      </c>
      <c r="U151" s="42">
        <f t="shared" ca="1" si="64"/>
        <v>0</v>
      </c>
      <c r="V151" s="42">
        <f t="shared" ca="1" si="64"/>
        <v>0</v>
      </c>
      <c r="W151" s="42">
        <f t="shared" ca="1" si="64"/>
        <v>0</v>
      </c>
      <c r="X151" s="42">
        <f t="shared" ca="1" si="64"/>
        <v>0</v>
      </c>
    </row>
    <row r="152" spans="3:24" x14ac:dyDescent="0.3">
      <c r="C152" s="1"/>
      <c r="D152" s="70" t="str">
        <f t="shared" si="48"/>
        <v>dLevel_T2_17</v>
      </c>
      <c r="E152" s="144">
        <f t="shared" ref="E152:X152" ca="1" si="65">IFERROR(E113*$Y74/SUMPRODUCT(E$97:E$131,$Y$58:$Y$92),0)</f>
        <v>5.2472381798137268E-3</v>
      </c>
      <c r="F152" s="144">
        <f t="shared" ca="1" si="65"/>
        <v>9.5559567640293216E-3</v>
      </c>
      <c r="G152" s="144">
        <f t="shared" ca="1" si="65"/>
        <v>5.2472381798137268E-3</v>
      </c>
      <c r="H152" s="42">
        <f t="shared" ca="1" si="65"/>
        <v>9.5559567640293216E-3</v>
      </c>
      <c r="I152" s="42">
        <f t="shared" ca="1" si="65"/>
        <v>2.0535763913493078E-2</v>
      </c>
      <c r="J152" s="42">
        <f t="shared" ca="1" si="65"/>
        <v>0</v>
      </c>
      <c r="K152" s="42">
        <f t="shared" ca="1" si="65"/>
        <v>0</v>
      </c>
      <c r="L152" s="42">
        <f t="shared" ca="1" si="65"/>
        <v>0</v>
      </c>
      <c r="M152" s="42">
        <f t="shared" ca="1" si="65"/>
        <v>0</v>
      </c>
      <c r="N152" s="42">
        <f t="shared" ca="1" si="65"/>
        <v>0</v>
      </c>
      <c r="O152" s="42">
        <f t="shared" ca="1" si="65"/>
        <v>0</v>
      </c>
      <c r="P152" s="42">
        <f t="shared" ca="1" si="65"/>
        <v>0</v>
      </c>
      <c r="Q152" s="42">
        <f t="shared" ca="1" si="65"/>
        <v>0</v>
      </c>
      <c r="R152" s="42">
        <f t="shared" ca="1" si="65"/>
        <v>0</v>
      </c>
      <c r="S152" s="42">
        <f t="shared" ca="1" si="65"/>
        <v>0</v>
      </c>
      <c r="T152" s="42">
        <f t="shared" ca="1" si="65"/>
        <v>0</v>
      </c>
      <c r="U152" s="42">
        <f t="shared" ca="1" si="65"/>
        <v>0</v>
      </c>
      <c r="V152" s="42">
        <f t="shared" ca="1" si="65"/>
        <v>0</v>
      </c>
      <c r="W152" s="42">
        <f t="shared" ca="1" si="65"/>
        <v>0</v>
      </c>
      <c r="X152" s="42">
        <f t="shared" ca="1" si="65"/>
        <v>0</v>
      </c>
    </row>
    <row r="153" spans="3:24" x14ac:dyDescent="0.3">
      <c r="C153" s="1"/>
      <c r="D153" s="70" t="str">
        <f t="shared" si="48"/>
        <v>dLevel_T2_18</v>
      </c>
      <c r="E153" s="144">
        <f t="shared" ref="E153:X153" ca="1" si="66">IFERROR(E114*$Y75/SUMPRODUCT(E$97:E$131,$Y$58:$Y$92),0)</f>
        <v>1.7370341316103106E-2</v>
      </c>
      <c r="F153" s="144">
        <f t="shared" ca="1" si="66"/>
        <v>7.7949929046645203E-2</v>
      </c>
      <c r="G153" s="144">
        <f t="shared" ca="1" si="66"/>
        <v>1.7370341316103106E-2</v>
      </c>
      <c r="H153" s="42">
        <f t="shared" ca="1" si="66"/>
        <v>7.7949929046645203E-2</v>
      </c>
      <c r="I153" s="42">
        <f t="shared" ca="1" si="66"/>
        <v>7.9046837874153397E-2</v>
      </c>
      <c r="J153" s="42">
        <f t="shared" ca="1" si="66"/>
        <v>0</v>
      </c>
      <c r="K153" s="42">
        <f t="shared" ca="1" si="66"/>
        <v>0</v>
      </c>
      <c r="L153" s="42">
        <f t="shared" ca="1" si="66"/>
        <v>0</v>
      </c>
      <c r="M153" s="42">
        <f t="shared" ca="1" si="66"/>
        <v>0</v>
      </c>
      <c r="N153" s="42">
        <f t="shared" ca="1" si="66"/>
        <v>0</v>
      </c>
      <c r="O153" s="42">
        <f t="shared" ca="1" si="66"/>
        <v>0</v>
      </c>
      <c r="P153" s="42">
        <f t="shared" ca="1" si="66"/>
        <v>0</v>
      </c>
      <c r="Q153" s="42">
        <f t="shared" ca="1" si="66"/>
        <v>0</v>
      </c>
      <c r="R153" s="42">
        <f t="shared" ca="1" si="66"/>
        <v>0</v>
      </c>
      <c r="S153" s="42">
        <f t="shared" ca="1" si="66"/>
        <v>0</v>
      </c>
      <c r="T153" s="42">
        <f t="shared" ca="1" si="66"/>
        <v>0</v>
      </c>
      <c r="U153" s="42">
        <f t="shared" ca="1" si="66"/>
        <v>0</v>
      </c>
      <c r="V153" s="42">
        <f t="shared" ca="1" si="66"/>
        <v>0</v>
      </c>
      <c r="W153" s="42">
        <f t="shared" ca="1" si="66"/>
        <v>0</v>
      </c>
      <c r="X153" s="42">
        <f t="shared" ca="1" si="66"/>
        <v>0</v>
      </c>
    </row>
    <row r="154" spans="3:24" x14ac:dyDescent="0.3">
      <c r="C154" s="1"/>
      <c r="D154" s="70" t="str">
        <f t="shared" si="48"/>
        <v>dLevel_T2_19</v>
      </c>
      <c r="E154" s="144">
        <f t="shared" ref="E154:X154" ca="1" si="67">IFERROR(E115*$Y76/SUMPRODUCT(E$97:E$131,$Y$58:$Y$92),0)</f>
        <v>6.722930707808732E-3</v>
      </c>
      <c r="F154" s="144">
        <f t="shared" ca="1" si="67"/>
        <v>4.1508677979370037E-3</v>
      </c>
      <c r="G154" s="144">
        <f t="shared" ca="1" si="67"/>
        <v>6.722930707808732E-3</v>
      </c>
      <c r="H154" s="42">
        <f t="shared" ca="1" si="67"/>
        <v>4.1508677979370037E-3</v>
      </c>
      <c r="I154" s="42">
        <f t="shared" ca="1" si="67"/>
        <v>7.186649093450472E-3</v>
      </c>
      <c r="J154" s="42">
        <f t="shared" ca="1" si="67"/>
        <v>0</v>
      </c>
      <c r="K154" s="42">
        <f t="shared" ca="1" si="67"/>
        <v>0</v>
      </c>
      <c r="L154" s="42">
        <f t="shared" ca="1" si="67"/>
        <v>0</v>
      </c>
      <c r="M154" s="42">
        <f t="shared" ca="1" si="67"/>
        <v>0</v>
      </c>
      <c r="N154" s="42">
        <f t="shared" ca="1" si="67"/>
        <v>0</v>
      </c>
      <c r="O154" s="42">
        <f t="shared" ca="1" si="67"/>
        <v>0</v>
      </c>
      <c r="P154" s="42">
        <f t="shared" ca="1" si="67"/>
        <v>0</v>
      </c>
      <c r="Q154" s="42">
        <f t="shared" ca="1" si="67"/>
        <v>0</v>
      </c>
      <c r="R154" s="42">
        <f t="shared" ca="1" si="67"/>
        <v>0</v>
      </c>
      <c r="S154" s="42">
        <f t="shared" ca="1" si="67"/>
        <v>0</v>
      </c>
      <c r="T154" s="42">
        <f t="shared" ca="1" si="67"/>
        <v>0</v>
      </c>
      <c r="U154" s="42">
        <f t="shared" ca="1" si="67"/>
        <v>0</v>
      </c>
      <c r="V154" s="42">
        <f t="shared" ca="1" si="67"/>
        <v>0</v>
      </c>
      <c r="W154" s="42">
        <f t="shared" ca="1" si="67"/>
        <v>0</v>
      </c>
      <c r="X154" s="42">
        <f t="shared" ca="1" si="67"/>
        <v>0</v>
      </c>
    </row>
    <row r="155" spans="3:24" x14ac:dyDescent="0.3">
      <c r="C155" s="1"/>
      <c r="D155" s="70" t="str">
        <f t="shared" si="48"/>
        <v>dLevel_T2_21</v>
      </c>
      <c r="E155" s="144">
        <f t="shared" ref="E155:X155" ca="1" si="68">IFERROR(E116*$Y77/SUMPRODUCT(E$97:E$131,$Y$58:$Y$92),0)</f>
        <v>1.8525521643088579E-2</v>
      </c>
      <c r="F155" s="144">
        <f t="shared" ca="1" si="68"/>
        <v>2.4025226946938368E-2</v>
      </c>
      <c r="G155" s="144">
        <f t="shared" ca="1" si="68"/>
        <v>1.8525521643088579E-2</v>
      </c>
      <c r="H155" s="42">
        <f t="shared" ca="1" si="68"/>
        <v>2.4025226946938368E-2</v>
      </c>
      <c r="I155" s="42">
        <f t="shared" ca="1" si="68"/>
        <v>2.7475985021833023E-2</v>
      </c>
      <c r="J155" s="42">
        <f t="shared" ca="1" si="68"/>
        <v>0</v>
      </c>
      <c r="K155" s="42">
        <f t="shared" ca="1" si="68"/>
        <v>0</v>
      </c>
      <c r="L155" s="42">
        <f t="shared" ca="1" si="68"/>
        <v>0</v>
      </c>
      <c r="M155" s="42">
        <f t="shared" ca="1" si="68"/>
        <v>0</v>
      </c>
      <c r="N155" s="42">
        <f t="shared" ca="1" si="68"/>
        <v>0</v>
      </c>
      <c r="O155" s="42">
        <f t="shared" ca="1" si="68"/>
        <v>0</v>
      </c>
      <c r="P155" s="42">
        <f t="shared" ca="1" si="68"/>
        <v>0</v>
      </c>
      <c r="Q155" s="42">
        <f t="shared" ca="1" si="68"/>
        <v>0</v>
      </c>
      <c r="R155" s="42">
        <f t="shared" ca="1" si="68"/>
        <v>0</v>
      </c>
      <c r="S155" s="42">
        <f t="shared" ca="1" si="68"/>
        <v>0</v>
      </c>
      <c r="T155" s="42">
        <f t="shared" ca="1" si="68"/>
        <v>0</v>
      </c>
      <c r="U155" s="42">
        <f t="shared" ca="1" si="68"/>
        <v>0</v>
      </c>
      <c r="V155" s="42">
        <f t="shared" ca="1" si="68"/>
        <v>0</v>
      </c>
      <c r="W155" s="42">
        <f t="shared" ca="1" si="68"/>
        <v>0</v>
      </c>
      <c r="X155" s="42">
        <f t="shared" ca="1" si="68"/>
        <v>0</v>
      </c>
    </row>
    <row r="156" spans="3:24" x14ac:dyDescent="0.3">
      <c r="C156" s="1"/>
      <c r="D156" s="70" t="str">
        <f t="shared" si="48"/>
        <v>dLevel_T2_22</v>
      </c>
      <c r="E156" s="144">
        <f t="shared" ref="E156:X156" ca="1" si="69">IFERROR(E117*$Y78/SUMPRODUCT(E$97:E$131,$Y$58:$Y$92),0)</f>
        <v>0.34313250111083393</v>
      </c>
      <c r="F156" s="144">
        <f t="shared" ca="1" si="69"/>
        <v>0.24934823462148153</v>
      </c>
      <c r="G156" s="144">
        <f t="shared" ca="1" si="69"/>
        <v>0.34313250111083393</v>
      </c>
      <c r="H156" s="42">
        <f t="shared" ca="1" si="69"/>
        <v>0.24934823462148153</v>
      </c>
      <c r="I156" s="42">
        <f t="shared" ca="1" si="69"/>
        <v>0.1718106805351739</v>
      </c>
      <c r="J156" s="42">
        <f t="shared" ca="1" si="69"/>
        <v>0</v>
      </c>
      <c r="K156" s="42">
        <f t="shared" ca="1" si="69"/>
        <v>0</v>
      </c>
      <c r="L156" s="42">
        <f t="shared" ca="1" si="69"/>
        <v>0</v>
      </c>
      <c r="M156" s="42">
        <f t="shared" ca="1" si="69"/>
        <v>0</v>
      </c>
      <c r="N156" s="42">
        <f t="shared" ca="1" si="69"/>
        <v>0</v>
      </c>
      <c r="O156" s="42">
        <f t="shared" ca="1" si="69"/>
        <v>0</v>
      </c>
      <c r="P156" s="42">
        <f t="shared" ca="1" si="69"/>
        <v>0</v>
      </c>
      <c r="Q156" s="42">
        <f t="shared" ca="1" si="69"/>
        <v>0</v>
      </c>
      <c r="R156" s="42">
        <f t="shared" ca="1" si="69"/>
        <v>0</v>
      </c>
      <c r="S156" s="42">
        <f t="shared" ca="1" si="69"/>
        <v>0</v>
      </c>
      <c r="T156" s="42">
        <f t="shared" ca="1" si="69"/>
        <v>0</v>
      </c>
      <c r="U156" s="42">
        <f t="shared" ca="1" si="69"/>
        <v>0</v>
      </c>
      <c r="V156" s="42">
        <f t="shared" ca="1" si="69"/>
        <v>0</v>
      </c>
      <c r="W156" s="42">
        <f t="shared" ca="1" si="69"/>
        <v>0</v>
      </c>
      <c r="X156" s="42">
        <f t="shared" ca="1" si="69"/>
        <v>0</v>
      </c>
    </row>
    <row r="157" spans="3:24" x14ac:dyDescent="0.3">
      <c r="C157" s="1"/>
      <c r="D157" s="70" t="str">
        <f t="shared" si="48"/>
        <v>dLevel_T2_23</v>
      </c>
      <c r="E157" s="144">
        <f t="shared" ref="E157:X157" ca="1" si="70">IFERROR(E118*$Y79/SUMPRODUCT(E$97:E$131,$Y$58:$Y$92),0)</f>
        <v>7.060231229819326E-3</v>
      </c>
      <c r="F157" s="144">
        <f t="shared" ca="1" si="70"/>
        <v>6.3917048664610481E-4</v>
      </c>
      <c r="G157" s="144">
        <f t="shared" ca="1" si="70"/>
        <v>7.060231229819326E-3</v>
      </c>
      <c r="H157" s="42">
        <f t="shared" ca="1" si="70"/>
        <v>6.3917048664610481E-4</v>
      </c>
      <c r="I157" s="42">
        <f t="shared" ca="1" si="70"/>
        <v>9.2223549698465523E-3</v>
      </c>
      <c r="J157" s="42">
        <f t="shared" ca="1" si="70"/>
        <v>0</v>
      </c>
      <c r="K157" s="42">
        <f t="shared" ca="1" si="70"/>
        <v>0</v>
      </c>
      <c r="L157" s="42">
        <f t="shared" ca="1" si="70"/>
        <v>0</v>
      </c>
      <c r="M157" s="42">
        <f t="shared" ca="1" si="70"/>
        <v>0</v>
      </c>
      <c r="N157" s="42">
        <f t="shared" ca="1" si="70"/>
        <v>0</v>
      </c>
      <c r="O157" s="42">
        <f t="shared" ca="1" si="70"/>
        <v>0</v>
      </c>
      <c r="P157" s="42">
        <f t="shared" ca="1" si="70"/>
        <v>0</v>
      </c>
      <c r="Q157" s="42">
        <f t="shared" ca="1" si="70"/>
        <v>0</v>
      </c>
      <c r="R157" s="42">
        <f t="shared" ca="1" si="70"/>
        <v>0</v>
      </c>
      <c r="S157" s="42">
        <f t="shared" ca="1" si="70"/>
        <v>0</v>
      </c>
      <c r="T157" s="42">
        <f t="shared" ca="1" si="70"/>
        <v>0</v>
      </c>
      <c r="U157" s="42">
        <f t="shared" ca="1" si="70"/>
        <v>0</v>
      </c>
      <c r="V157" s="42">
        <f t="shared" ca="1" si="70"/>
        <v>0</v>
      </c>
      <c r="W157" s="42">
        <f t="shared" ca="1" si="70"/>
        <v>0</v>
      </c>
      <c r="X157" s="42">
        <f t="shared" ca="1" si="70"/>
        <v>0</v>
      </c>
    </row>
    <row r="158" spans="3:24" x14ac:dyDescent="0.3">
      <c r="C158" s="1"/>
      <c r="D158" s="70" t="str">
        <f t="shared" si="48"/>
        <v>dLevel_T2_24</v>
      </c>
      <c r="E158" s="144">
        <f t="shared" ref="E158:X158" ca="1" si="71">IFERROR(E119*$Y80/SUMPRODUCT(E$97:E$131,$Y$58:$Y$92),0)</f>
        <v>3.1355158164554926E-2</v>
      </c>
      <c r="F158" s="144">
        <f t="shared" ca="1" si="71"/>
        <v>5.9193382709866058E-2</v>
      </c>
      <c r="G158" s="144">
        <f t="shared" ca="1" si="71"/>
        <v>3.1355158164554926E-2</v>
      </c>
      <c r="H158" s="42">
        <f t="shared" ca="1" si="71"/>
        <v>5.9193382709866058E-2</v>
      </c>
      <c r="I158" s="42">
        <f t="shared" ca="1" si="71"/>
        <v>8.0721100615462671E-2</v>
      </c>
      <c r="J158" s="42">
        <f t="shared" ca="1" si="71"/>
        <v>0</v>
      </c>
      <c r="K158" s="42">
        <f t="shared" ca="1" si="71"/>
        <v>0</v>
      </c>
      <c r="L158" s="42">
        <f t="shared" ca="1" si="71"/>
        <v>0</v>
      </c>
      <c r="M158" s="42">
        <f t="shared" ca="1" si="71"/>
        <v>0</v>
      </c>
      <c r="N158" s="42">
        <f t="shared" ca="1" si="71"/>
        <v>0</v>
      </c>
      <c r="O158" s="42">
        <f t="shared" ca="1" si="71"/>
        <v>0</v>
      </c>
      <c r="P158" s="42">
        <f t="shared" ca="1" si="71"/>
        <v>0</v>
      </c>
      <c r="Q158" s="42">
        <f t="shared" ca="1" si="71"/>
        <v>0</v>
      </c>
      <c r="R158" s="42">
        <f t="shared" ca="1" si="71"/>
        <v>0</v>
      </c>
      <c r="S158" s="42">
        <f t="shared" ca="1" si="71"/>
        <v>0</v>
      </c>
      <c r="T158" s="42">
        <f t="shared" ca="1" si="71"/>
        <v>0</v>
      </c>
      <c r="U158" s="42">
        <f t="shared" ca="1" si="71"/>
        <v>0</v>
      </c>
      <c r="V158" s="42">
        <f t="shared" ca="1" si="71"/>
        <v>0</v>
      </c>
      <c r="W158" s="42">
        <f t="shared" ca="1" si="71"/>
        <v>0</v>
      </c>
      <c r="X158" s="42">
        <f t="shared" ca="1" si="71"/>
        <v>0</v>
      </c>
    </row>
    <row r="159" spans="3:24" x14ac:dyDescent="0.3">
      <c r="C159" s="1"/>
      <c r="D159" s="70" t="str">
        <f t="shared" si="48"/>
        <v>dLevel_T2_25</v>
      </c>
      <c r="E159" s="144">
        <f t="shared" ref="E159:X159" ca="1" si="72">IFERROR(E120*$Y81/SUMPRODUCT(E$97:E$131,$Y$58:$Y$92),0)</f>
        <v>8.7528456899827467E-3</v>
      </c>
      <c r="F159" s="144">
        <f t="shared" ca="1" si="72"/>
        <v>2.42745804532303E-3</v>
      </c>
      <c r="G159" s="144">
        <f t="shared" ca="1" si="72"/>
        <v>8.7528456899827467E-3</v>
      </c>
      <c r="H159" s="42">
        <f t="shared" ca="1" si="72"/>
        <v>2.42745804532303E-3</v>
      </c>
      <c r="I159" s="42">
        <f t="shared" ca="1" si="72"/>
        <v>1.1254615734469474E-2</v>
      </c>
      <c r="J159" s="42">
        <f t="shared" ca="1" si="72"/>
        <v>0</v>
      </c>
      <c r="K159" s="42">
        <f t="shared" ca="1" si="72"/>
        <v>0</v>
      </c>
      <c r="L159" s="42">
        <f t="shared" ca="1" si="72"/>
        <v>0</v>
      </c>
      <c r="M159" s="42">
        <f t="shared" ca="1" si="72"/>
        <v>0</v>
      </c>
      <c r="N159" s="42">
        <f t="shared" ca="1" si="72"/>
        <v>0</v>
      </c>
      <c r="O159" s="42">
        <f t="shared" ca="1" si="72"/>
        <v>0</v>
      </c>
      <c r="P159" s="42">
        <f t="shared" ca="1" si="72"/>
        <v>0</v>
      </c>
      <c r="Q159" s="42">
        <f t="shared" ca="1" si="72"/>
        <v>0</v>
      </c>
      <c r="R159" s="42">
        <f t="shared" ca="1" si="72"/>
        <v>0</v>
      </c>
      <c r="S159" s="42">
        <f t="shared" ca="1" si="72"/>
        <v>0</v>
      </c>
      <c r="T159" s="42">
        <f t="shared" ca="1" si="72"/>
        <v>0</v>
      </c>
      <c r="U159" s="42">
        <f t="shared" ca="1" si="72"/>
        <v>0</v>
      </c>
      <c r="V159" s="42">
        <f t="shared" ca="1" si="72"/>
        <v>0</v>
      </c>
      <c r="W159" s="42">
        <f t="shared" ca="1" si="72"/>
        <v>0</v>
      </c>
      <c r="X159" s="42">
        <f t="shared" ca="1" si="72"/>
        <v>0</v>
      </c>
    </row>
    <row r="160" spans="3:24" x14ac:dyDescent="0.3">
      <c r="C160" s="1"/>
      <c r="D160" s="70" t="str">
        <f t="shared" si="48"/>
        <v>dLevel_T2_26</v>
      </c>
      <c r="E160" s="144">
        <f t="shared" ref="E160:X160" ca="1" si="73">IFERROR(E121*$Y82/SUMPRODUCT(E$97:E$131,$Y$58:$Y$92),0)</f>
        <v>1.5317277989395176E-2</v>
      </c>
      <c r="F160" s="144">
        <f t="shared" ca="1" si="73"/>
        <v>2.8985164271240729E-3</v>
      </c>
      <c r="G160" s="144">
        <f t="shared" ca="1" si="73"/>
        <v>1.5317277989395176E-2</v>
      </c>
      <c r="H160" s="42">
        <f t="shared" ca="1" si="73"/>
        <v>2.8985164271240729E-3</v>
      </c>
      <c r="I160" s="42">
        <f t="shared" ca="1" si="73"/>
        <v>7.7735949050341084E-3</v>
      </c>
      <c r="J160" s="42">
        <f t="shared" ca="1" si="73"/>
        <v>0</v>
      </c>
      <c r="K160" s="42">
        <f t="shared" ca="1" si="73"/>
        <v>0</v>
      </c>
      <c r="L160" s="42">
        <f t="shared" ca="1" si="73"/>
        <v>0</v>
      </c>
      <c r="M160" s="42">
        <f t="shared" ca="1" si="73"/>
        <v>0</v>
      </c>
      <c r="N160" s="42">
        <f t="shared" ca="1" si="73"/>
        <v>0</v>
      </c>
      <c r="O160" s="42">
        <f t="shared" ca="1" si="73"/>
        <v>0</v>
      </c>
      <c r="P160" s="42">
        <f t="shared" ca="1" si="73"/>
        <v>0</v>
      </c>
      <c r="Q160" s="42">
        <f t="shared" ca="1" si="73"/>
        <v>0</v>
      </c>
      <c r="R160" s="42">
        <f t="shared" ca="1" si="73"/>
        <v>0</v>
      </c>
      <c r="S160" s="42">
        <f t="shared" ca="1" si="73"/>
        <v>0</v>
      </c>
      <c r="T160" s="42">
        <f t="shared" ca="1" si="73"/>
        <v>0</v>
      </c>
      <c r="U160" s="42">
        <f t="shared" ca="1" si="73"/>
        <v>0</v>
      </c>
      <c r="V160" s="42">
        <f t="shared" ca="1" si="73"/>
        <v>0</v>
      </c>
      <c r="W160" s="42">
        <f t="shared" ca="1" si="73"/>
        <v>0</v>
      </c>
      <c r="X160" s="42">
        <f t="shared" ca="1" si="73"/>
        <v>0</v>
      </c>
    </row>
    <row r="161" spans="3:24" x14ac:dyDescent="0.3">
      <c r="C161" s="1"/>
      <c r="D161" s="70" t="str">
        <f t="shared" si="48"/>
        <v>dLevel_T2_27</v>
      </c>
      <c r="E161" s="144">
        <f t="shared" ref="E161:X161" ca="1" si="74">IFERROR(E122*$Y83/SUMPRODUCT(E$97:E$131,$Y$58:$Y$92),0)</f>
        <v>1.1092260103455263E-2</v>
      </c>
      <c r="F161" s="144">
        <f t="shared" ca="1" si="74"/>
        <v>2.187585562188412E-2</v>
      </c>
      <c r="G161" s="144">
        <f t="shared" ca="1" si="74"/>
        <v>1.1092260103455263E-2</v>
      </c>
      <c r="H161" s="42">
        <f t="shared" ca="1" si="74"/>
        <v>2.187585562188412E-2</v>
      </c>
      <c r="I161" s="42">
        <f t="shared" ca="1" si="74"/>
        <v>2.0877157448296234E-2</v>
      </c>
      <c r="J161" s="42">
        <f t="shared" ca="1" si="74"/>
        <v>0</v>
      </c>
      <c r="K161" s="42">
        <f t="shared" ca="1" si="74"/>
        <v>0</v>
      </c>
      <c r="L161" s="42">
        <f t="shared" ca="1" si="74"/>
        <v>0</v>
      </c>
      <c r="M161" s="42">
        <f t="shared" ca="1" si="74"/>
        <v>0</v>
      </c>
      <c r="N161" s="42">
        <f t="shared" ca="1" si="74"/>
        <v>0</v>
      </c>
      <c r="O161" s="42">
        <f t="shared" ca="1" si="74"/>
        <v>0</v>
      </c>
      <c r="P161" s="42">
        <f t="shared" ca="1" si="74"/>
        <v>0</v>
      </c>
      <c r="Q161" s="42">
        <f t="shared" ca="1" si="74"/>
        <v>0</v>
      </c>
      <c r="R161" s="42">
        <f t="shared" ca="1" si="74"/>
        <v>0</v>
      </c>
      <c r="S161" s="42">
        <f t="shared" ca="1" si="74"/>
        <v>0</v>
      </c>
      <c r="T161" s="42">
        <f t="shared" ca="1" si="74"/>
        <v>0</v>
      </c>
      <c r="U161" s="42">
        <f t="shared" ca="1" si="74"/>
        <v>0</v>
      </c>
      <c r="V161" s="42">
        <f t="shared" ca="1" si="74"/>
        <v>0</v>
      </c>
      <c r="W161" s="42">
        <f t="shared" ca="1" si="74"/>
        <v>0</v>
      </c>
      <c r="X161" s="42">
        <f t="shared" ca="1" si="74"/>
        <v>0</v>
      </c>
    </row>
    <row r="162" spans="3:24" x14ac:dyDescent="0.3">
      <c r="C162" s="1"/>
      <c r="D162" s="70" t="str">
        <f t="shared" si="48"/>
        <v>dLevel_T2_28</v>
      </c>
      <c r="E162" s="144">
        <f t="shared" ref="E162:X162" ca="1" si="75">IFERROR(E123*$Y84/SUMPRODUCT(E$97:E$131,$Y$58:$Y$92),0)</f>
        <v>9.8346557932542829E-3</v>
      </c>
      <c r="F162" s="144">
        <f t="shared" ca="1" si="75"/>
        <v>1.303512440134136E-2</v>
      </c>
      <c r="G162" s="144">
        <f t="shared" ca="1" si="75"/>
        <v>9.8346557932542829E-3</v>
      </c>
      <c r="H162" s="42">
        <f t="shared" ca="1" si="75"/>
        <v>1.303512440134136E-2</v>
      </c>
      <c r="I162" s="42">
        <f t="shared" ca="1" si="75"/>
        <v>2.1804163224237914E-2</v>
      </c>
      <c r="J162" s="42">
        <f t="shared" ca="1" si="75"/>
        <v>0</v>
      </c>
      <c r="K162" s="42">
        <f t="shared" ca="1" si="75"/>
        <v>0</v>
      </c>
      <c r="L162" s="42">
        <f t="shared" ca="1" si="75"/>
        <v>0</v>
      </c>
      <c r="M162" s="42">
        <f t="shared" ca="1" si="75"/>
        <v>0</v>
      </c>
      <c r="N162" s="42">
        <f t="shared" ca="1" si="75"/>
        <v>0</v>
      </c>
      <c r="O162" s="42">
        <f t="shared" ca="1" si="75"/>
        <v>0</v>
      </c>
      <c r="P162" s="42">
        <f t="shared" ca="1" si="75"/>
        <v>0</v>
      </c>
      <c r="Q162" s="42">
        <f t="shared" ca="1" si="75"/>
        <v>0</v>
      </c>
      <c r="R162" s="42">
        <f t="shared" ca="1" si="75"/>
        <v>0</v>
      </c>
      <c r="S162" s="42">
        <f t="shared" ca="1" si="75"/>
        <v>0</v>
      </c>
      <c r="T162" s="42">
        <f t="shared" ca="1" si="75"/>
        <v>0</v>
      </c>
      <c r="U162" s="42">
        <f t="shared" ca="1" si="75"/>
        <v>0</v>
      </c>
      <c r="V162" s="42">
        <f t="shared" ca="1" si="75"/>
        <v>0</v>
      </c>
      <c r="W162" s="42">
        <f t="shared" ca="1" si="75"/>
        <v>0</v>
      </c>
      <c r="X162" s="42">
        <f t="shared" ca="1" si="75"/>
        <v>0</v>
      </c>
    </row>
    <row r="163" spans="3:24" x14ac:dyDescent="0.3">
      <c r="C163" s="1"/>
      <c r="D163" s="70">
        <f t="shared" si="48"/>
        <v>0</v>
      </c>
      <c r="E163" s="42">
        <f t="shared" ref="E163:X163" ca="1" si="76">IFERROR(E124*$Y85/SUMPRODUCT(E$97:E$131,$Y$58:$Y$92),0)</f>
        <v>0</v>
      </c>
      <c r="F163" s="42">
        <f t="shared" ca="1" si="76"/>
        <v>0</v>
      </c>
      <c r="G163" s="42">
        <f t="shared" ca="1" si="76"/>
        <v>0</v>
      </c>
      <c r="H163" s="42">
        <f t="shared" ca="1" si="76"/>
        <v>0</v>
      </c>
      <c r="I163" s="42">
        <f t="shared" ca="1" si="76"/>
        <v>0</v>
      </c>
      <c r="J163" s="42">
        <f t="shared" ca="1" si="76"/>
        <v>0</v>
      </c>
      <c r="K163" s="42">
        <f t="shared" ca="1" si="76"/>
        <v>0</v>
      </c>
      <c r="L163" s="42">
        <f t="shared" ca="1" si="76"/>
        <v>0</v>
      </c>
      <c r="M163" s="42">
        <f t="shared" ca="1" si="76"/>
        <v>0</v>
      </c>
      <c r="N163" s="42">
        <f t="shared" ca="1" si="76"/>
        <v>0</v>
      </c>
      <c r="O163" s="42">
        <f t="shared" ca="1" si="76"/>
        <v>0</v>
      </c>
      <c r="P163" s="42">
        <f t="shared" ca="1" si="76"/>
        <v>0</v>
      </c>
      <c r="Q163" s="42">
        <f t="shared" ca="1" si="76"/>
        <v>0</v>
      </c>
      <c r="R163" s="42">
        <f t="shared" ca="1" si="76"/>
        <v>0</v>
      </c>
      <c r="S163" s="42">
        <f t="shared" ca="1" si="76"/>
        <v>0</v>
      </c>
      <c r="T163" s="42">
        <f t="shared" ca="1" si="76"/>
        <v>0</v>
      </c>
      <c r="U163" s="42">
        <f t="shared" ca="1" si="76"/>
        <v>0</v>
      </c>
      <c r="V163" s="42">
        <f t="shared" ca="1" si="76"/>
        <v>0</v>
      </c>
      <c r="W163" s="42">
        <f t="shared" ca="1" si="76"/>
        <v>0</v>
      </c>
      <c r="X163" s="42">
        <f t="shared" ca="1" si="76"/>
        <v>0</v>
      </c>
    </row>
    <row r="164" spans="3:24" x14ac:dyDescent="0.3">
      <c r="C164" s="1"/>
      <c r="D164" s="70">
        <f t="shared" si="48"/>
        <v>0</v>
      </c>
      <c r="E164" s="42">
        <f t="shared" ref="E164:X164" ca="1" si="77">IFERROR(E125*$Y86/SUMPRODUCT(E$97:E$131,$Y$58:$Y$92),0)</f>
        <v>0</v>
      </c>
      <c r="F164" s="42">
        <f t="shared" ca="1" si="77"/>
        <v>0</v>
      </c>
      <c r="G164" s="42">
        <f t="shared" ca="1" si="77"/>
        <v>0</v>
      </c>
      <c r="H164" s="42">
        <f t="shared" ca="1" si="77"/>
        <v>0</v>
      </c>
      <c r="I164" s="42">
        <f t="shared" ca="1" si="77"/>
        <v>0</v>
      </c>
      <c r="J164" s="42">
        <f t="shared" ca="1" si="77"/>
        <v>0</v>
      </c>
      <c r="K164" s="42">
        <f t="shared" ca="1" si="77"/>
        <v>0</v>
      </c>
      <c r="L164" s="42">
        <f t="shared" ca="1" si="77"/>
        <v>0</v>
      </c>
      <c r="M164" s="42">
        <f t="shared" ca="1" si="77"/>
        <v>0</v>
      </c>
      <c r="N164" s="42">
        <f t="shared" ca="1" si="77"/>
        <v>0</v>
      </c>
      <c r="O164" s="42">
        <f t="shared" ca="1" si="77"/>
        <v>0</v>
      </c>
      <c r="P164" s="42">
        <f t="shared" ca="1" si="77"/>
        <v>0</v>
      </c>
      <c r="Q164" s="42">
        <f t="shared" ca="1" si="77"/>
        <v>0</v>
      </c>
      <c r="R164" s="42">
        <f t="shared" ca="1" si="77"/>
        <v>0</v>
      </c>
      <c r="S164" s="42">
        <f t="shared" ca="1" si="77"/>
        <v>0</v>
      </c>
      <c r="T164" s="42">
        <f t="shared" ca="1" si="77"/>
        <v>0</v>
      </c>
      <c r="U164" s="42">
        <f t="shared" ca="1" si="77"/>
        <v>0</v>
      </c>
      <c r="V164" s="42">
        <f t="shared" ca="1" si="77"/>
        <v>0</v>
      </c>
      <c r="W164" s="42">
        <f t="shared" ca="1" si="77"/>
        <v>0</v>
      </c>
      <c r="X164" s="42">
        <f t="shared" ca="1" si="77"/>
        <v>0</v>
      </c>
    </row>
    <row r="165" spans="3:24" x14ac:dyDescent="0.3">
      <c r="C165" s="1"/>
      <c r="D165" s="70">
        <f t="shared" si="48"/>
        <v>0</v>
      </c>
      <c r="E165" s="42">
        <f t="shared" ref="E165:X165" ca="1" si="78">IFERROR(E126*$Y87/SUMPRODUCT(E$97:E$131,$Y$58:$Y$92),0)</f>
        <v>0</v>
      </c>
      <c r="F165" s="42">
        <f t="shared" ca="1" si="78"/>
        <v>0</v>
      </c>
      <c r="G165" s="42">
        <f t="shared" ca="1" si="78"/>
        <v>0</v>
      </c>
      <c r="H165" s="42">
        <f t="shared" ca="1" si="78"/>
        <v>0</v>
      </c>
      <c r="I165" s="42">
        <f t="shared" ca="1" si="78"/>
        <v>0</v>
      </c>
      <c r="J165" s="42">
        <f t="shared" ca="1" si="78"/>
        <v>0</v>
      </c>
      <c r="K165" s="42">
        <f t="shared" ca="1" si="78"/>
        <v>0</v>
      </c>
      <c r="L165" s="42">
        <f t="shared" ca="1" si="78"/>
        <v>0</v>
      </c>
      <c r="M165" s="42">
        <f t="shared" ca="1" si="78"/>
        <v>0</v>
      </c>
      <c r="N165" s="42">
        <f t="shared" ca="1" si="78"/>
        <v>0</v>
      </c>
      <c r="O165" s="42">
        <f t="shared" ca="1" si="78"/>
        <v>0</v>
      </c>
      <c r="P165" s="42">
        <f t="shared" ca="1" si="78"/>
        <v>0</v>
      </c>
      <c r="Q165" s="42">
        <f t="shared" ca="1" si="78"/>
        <v>0</v>
      </c>
      <c r="R165" s="42">
        <f t="shared" ca="1" si="78"/>
        <v>0</v>
      </c>
      <c r="S165" s="42">
        <f t="shared" ca="1" si="78"/>
        <v>0</v>
      </c>
      <c r="T165" s="42">
        <f t="shared" ca="1" si="78"/>
        <v>0</v>
      </c>
      <c r="U165" s="42">
        <f t="shared" ca="1" si="78"/>
        <v>0</v>
      </c>
      <c r="V165" s="42">
        <f t="shared" ca="1" si="78"/>
        <v>0</v>
      </c>
      <c r="W165" s="42">
        <f t="shared" ca="1" si="78"/>
        <v>0</v>
      </c>
      <c r="X165" s="42">
        <f t="shared" ca="1" si="78"/>
        <v>0</v>
      </c>
    </row>
    <row r="166" spans="3:24" x14ac:dyDescent="0.3">
      <c r="C166" s="1"/>
      <c r="D166" s="70">
        <f t="shared" si="48"/>
        <v>0</v>
      </c>
      <c r="E166" s="42">
        <f t="shared" ref="E166:X166" ca="1" si="79">IFERROR(E127*$Y88/SUMPRODUCT(E$97:E$131,$Y$58:$Y$92),0)</f>
        <v>0</v>
      </c>
      <c r="F166" s="42">
        <f t="shared" ca="1" si="79"/>
        <v>0</v>
      </c>
      <c r="G166" s="42">
        <f t="shared" ca="1" si="79"/>
        <v>0</v>
      </c>
      <c r="H166" s="42">
        <f t="shared" ca="1" si="79"/>
        <v>0</v>
      </c>
      <c r="I166" s="42">
        <f t="shared" ca="1" si="79"/>
        <v>0</v>
      </c>
      <c r="J166" s="42">
        <f t="shared" ca="1" si="79"/>
        <v>0</v>
      </c>
      <c r="K166" s="42">
        <f t="shared" ca="1" si="79"/>
        <v>0</v>
      </c>
      <c r="L166" s="42">
        <f t="shared" ca="1" si="79"/>
        <v>0</v>
      </c>
      <c r="M166" s="42">
        <f t="shared" ca="1" si="79"/>
        <v>0</v>
      </c>
      <c r="N166" s="42">
        <f t="shared" ca="1" si="79"/>
        <v>0</v>
      </c>
      <c r="O166" s="42">
        <f t="shared" ca="1" si="79"/>
        <v>0</v>
      </c>
      <c r="P166" s="42">
        <f t="shared" ca="1" si="79"/>
        <v>0</v>
      </c>
      <c r="Q166" s="42">
        <f t="shared" ca="1" si="79"/>
        <v>0</v>
      </c>
      <c r="R166" s="42">
        <f t="shared" ca="1" si="79"/>
        <v>0</v>
      </c>
      <c r="S166" s="42">
        <f t="shared" ca="1" si="79"/>
        <v>0</v>
      </c>
      <c r="T166" s="42">
        <f t="shared" ca="1" si="79"/>
        <v>0</v>
      </c>
      <c r="U166" s="42">
        <f t="shared" ca="1" si="79"/>
        <v>0</v>
      </c>
      <c r="V166" s="42">
        <f t="shared" ca="1" si="79"/>
        <v>0</v>
      </c>
      <c r="W166" s="42">
        <f t="shared" ca="1" si="79"/>
        <v>0</v>
      </c>
      <c r="X166" s="42">
        <f t="shared" ca="1" si="79"/>
        <v>0</v>
      </c>
    </row>
    <row r="167" spans="3:24" x14ac:dyDescent="0.3">
      <c r="C167" s="1"/>
      <c r="D167" s="70">
        <f t="shared" si="48"/>
        <v>0</v>
      </c>
      <c r="E167" s="42">
        <f t="shared" ref="E167:X167" ca="1" si="80">IFERROR(E128*$Y89/SUMPRODUCT(E$97:E$131,$Y$58:$Y$92),0)</f>
        <v>0</v>
      </c>
      <c r="F167" s="42">
        <f t="shared" ca="1" si="80"/>
        <v>0</v>
      </c>
      <c r="G167" s="42">
        <f t="shared" ca="1" si="80"/>
        <v>0</v>
      </c>
      <c r="H167" s="42">
        <f t="shared" ca="1" si="80"/>
        <v>0</v>
      </c>
      <c r="I167" s="42">
        <f t="shared" ca="1" si="80"/>
        <v>0</v>
      </c>
      <c r="J167" s="42">
        <f t="shared" ca="1" si="80"/>
        <v>0</v>
      </c>
      <c r="K167" s="42">
        <f t="shared" ca="1" si="80"/>
        <v>0</v>
      </c>
      <c r="L167" s="42">
        <f t="shared" ca="1" si="80"/>
        <v>0</v>
      </c>
      <c r="M167" s="42">
        <f t="shared" ca="1" si="80"/>
        <v>0</v>
      </c>
      <c r="N167" s="42">
        <f t="shared" ca="1" si="80"/>
        <v>0</v>
      </c>
      <c r="O167" s="42">
        <f t="shared" ca="1" si="80"/>
        <v>0</v>
      </c>
      <c r="P167" s="42">
        <f t="shared" ca="1" si="80"/>
        <v>0</v>
      </c>
      <c r="Q167" s="42">
        <f t="shared" ca="1" si="80"/>
        <v>0</v>
      </c>
      <c r="R167" s="42">
        <f t="shared" ca="1" si="80"/>
        <v>0</v>
      </c>
      <c r="S167" s="42">
        <f t="shared" ca="1" si="80"/>
        <v>0</v>
      </c>
      <c r="T167" s="42">
        <f t="shared" ca="1" si="80"/>
        <v>0</v>
      </c>
      <c r="U167" s="42">
        <f t="shared" ca="1" si="80"/>
        <v>0</v>
      </c>
      <c r="V167" s="42">
        <f t="shared" ca="1" si="80"/>
        <v>0</v>
      </c>
      <c r="W167" s="42">
        <f t="shared" ca="1" si="80"/>
        <v>0</v>
      </c>
      <c r="X167" s="42">
        <f t="shared" ca="1" si="80"/>
        <v>0</v>
      </c>
    </row>
    <row r="168" spans="3:24" x14ac:dyDescent="0.3">
      <c r="C168" s="1"/>
      <c r="D168" s="70">
        <f t="shared" si="48"/>
        <v>0</v>
      </c>
      <c r="E168" s="42">
        <f t="shared" ref="E168:X168" ca="1" si="81">IFERROR(E129*$Y90/SUMPRODUCT(E$97:E$131,$Y$58:$Y$92),0)</f>
        <v>0</v>
      </c>
      <c r="F168" s="42">
        <f t="shared" ca="1" si="81"/>
        <v>0</v>
      </c>
      <c r="G168" s="42">
        <f t="shared" ca="1" si="81"/>
        <v>0</v>
      </c>
      <c r="H168" s="42">
        <f t="shared" ca="1" si="81"/>
        <v>0</v>
      </c>
      <c r="I168" s="42">
        <f t="shared" ca="1" si="81"/>
        <v>0</v>
      </c>
      <c r="J168" s="42">
        <f t="shared" ca="1" si="81"/>
        <v>0</v>
      </c>
      <c r="K168" s="42">
        <f t="shared" ca="1" si="81"/>
        <v>0</v>
      </c>
      <c r="L168" s="42">
        <f t="shared" ca="1" si="81"/>
        <v>0</v>
      </c>
      <c r="M168" s="42">
        <f t="shared" ca="1" si="81"/>
        <v>0</v>
      </c>
      <c r="N168" s="42">
        <f t="shared" ca="1" si="81"/>
        <v>0</v>
      </c>
      <c r="O168" s="42">
        <f t="shared" ca="1" si="81"/>
        <v>0</v>
      </c>
      <c r="P168" s="42">
        <f t="shared" ca="1" si="81"/>
        <v>0</v>
      </c>
      <c r="Q168" s="42">
        <f t="shared" ca="1" si="81"/>
        <v>0</v>
      </c>
      <c r="R168" s="42">
        <f t="shared" ca="1" si="81"/>
        <v>0</v>
      </c>
      <c r="S168" s="42">
        <f t="shared" ca="1" si="81"/>
        <v>0</v>
      </c>
      <c r="T168" s="42">
        <f t="shared" ca="1" si="81"/>
        <v>0</v>
      </c>
      <c r="U168" s="42">
        <f t="shared" ca="1" si="81"/>
        <v>0</v>
      </c>
      <c r="V168" s="42">
        <f t="shared" ca="1" si="81"/>
        <v>0</v>
      </c>
      <c r="W168" s="42">
        <f t="shared" ca="1" si="81"/>
        <v>0</v>
      </c>
      <c r="X168" s="42">
        <f t="shared" ca="1" si="81"/>
        <v>0</v>
      </c>
    </row>
    <row r="169" spans="3:24" x14ac:dyDescent="0.3">
      <c r="C169" s="1"/>
      <c r="D169" s="70">
        <f t="shared" si="48"/>
        <v>0</v>
      </c>
      <c r="E169" s="42">
        <f t="shared" ref="E169:X169" ca="1" si="82">IFERROR(E130*$Y91/SUMPRODUCT(E$97:E$131,$Y$58:$Y$92),0)</f>
        <v>0</v>
      </c>
      <c r="F169" s="42">
        <f t="shared" ca="1" si="82"/>
        <v>0</v>
      </c>
      <c r="G169" s="42">
        <f t="shared" ca="1" si="82"/>
        <v>0</v>
      </c>
      <c r="H169" s="42">
        <f t="shared" ca="1" si="82"/>
        <v>0</v>
      </c>
      <c r="I169" s="42">
        <f t="shared" ca="1" si="82"/>
        <v>0</v>
      </c>
      <c r="J169" s="42">
        <f t="shared" ca="1" si="82"/>
        <v>0</v>
      </c>
      <c r="K169" s="42">
        <f t="shared" ca="1" si="82"/>
        <v>0</v>
      </c>
      <c r="L169" s="42">
        <f t="shared" ca="1" si="82"/>
        <v>0</v>
      </c>
      <c r="M169" s="42">
        <f t="shared" ca="1" si="82"/>
        <v>0</v>
      </c>
      <c r="N169" s="42">
        <f t="shared" ca="1" si="82"/>
        <v>0</v>
      </c>
      <c r="O169" s="42">
        <f t="shared" ca="1" si="82"/>
        <v>0</v>
      </c>
      <c r="P169" s="42">
        <f t="shared" ca="1" si="82"/>
        <v>0</v>
      </c>
      <c r="Q169" s="42">
        <f t="shared" ca="1" si="82"/>
        <v>0</v>
      </c>
      <c r="R169" s="42">
        <f t="shared" ca="1" si="82"/>
        <v>0</v>
      </c>
      <c r="S169" s="42">
        <f t="shared" ca="1" si="82"/>
        <v>0</v>
      </c>
      <c r="T169" s="42">
        <f t="shared" ca="1" si="82"/>
        <v>0</v>
      </c>
      <c r="U169" s="42">
        <f t="shared" ca="1" si="82"/>
        <v>0</v>
      </c>
      <c r="V169" s="42">
        <f t="shared" ca="1" si="82"/>
        <v>0</v>
      </c>
      <c r="W169" s="42">
        <f t="shared" ca="1" si="82"/>
        <v>0</v>
      </c>
      <c r="X169" s="42">
        <f t="shared" ca="1" si="82"/>
        <v>0</v>
      </c>
    </row>
    <row r="170" spans="3:24" x14ac:dyDescent="0.3">
      <c r="C170" s="1"/>
      <c r="D170" s="70">
        <f t="shared" si="48"/>
        <v>0</v>
      </c>
      <c r="E170" s="42">
        <f t="shared" ref="E170:X170" ca="1" si="83">IFERROR(E131*$Y92/SUMPRODUCT(E$97:E$131,$Y$58:$Y$92),0)</f>
        <v>0</v>
      </c>
      <c r="F170" s="42">
        <f t="shared" ca="1" si="83"/>
        <v>0</v>
      </c>
      <c r="G170" s="42">
        <f t="shared" ca="1" si="83"/>
        <v>0</v>
      </c>
      <c r="H170" s="42">
        <f t="shared" ca="1" si="83"/>
        <v>0</v>
      </c>
      <c r="I170" s="42">
        <f t="shared" ca="1" si="83"/>
        <v>0</v>
      </c>
      <c r="J170" s="42">
        <f t="shared" ca="1" si="83"/>
        <v>0</v>
      </c>
      <c r="K170" s="42">
        <f t="shared" ca="1" si="83"/>
        <v>0</v>
      </c>
      <c r="L170" s="42">
        <f t="shared" ca="1" si="83"/>
        <v>0</v>
      </c>
      <c r="M170" s="42">
        <f t="shared" ca="1" si="83"/>
        <v>0</v>
      </c>
      <c r="N170" s="42">
        <f t="shared" ca="1" si="83"/>
        <v>0</v>
      </c>
      <c r="O170" s="42">
        <f t="shared" ca="1" si="83"/>
        <v>0</v>
      </c>
      <c r="P170" s="42">
        <f t="shared" ca="1" si="83"/>
        <v>0</v>
      </c>
      <c r="Q170" s="42">
        <f t="shared" ca="1" si="83"/>
        <v>0</v>
      </c>
      <c r="R170" s="42">
        <f t="shared" ca="1" si="83"/>
        <v>0</v>
      </c>
      <c r="S170" s="42">
        <f t="shared" ca="1" si="83"/>
        <v>0</v>
      </c>
      <c r="T170" s="42">
        <f t="shared" ca="1" si="83"/>
        <v>0</v>
      </c>
      <c r="U170" s="42">
        <f t="shared" ca="1" si="83"/>
        <v>0</v>
      </c>
      <c r="V170" s="42">
        <f t="shared" ca="1" si="83"/>
        <v>0</v>
      </c>
      <c r="W170" s="42">
        <f t="shared" ca="1" si="83"/>
        <v>0</v>
      </c>
      <c r="X170" s="42">
        <f t="shared" ca="1" si="83"/>
        <v>0</v>
      </c>
    </row>
    <row r="171" spans="3:24" x14ac:dyDescent="0.3">
      <c r="D171" s="12"/>
      <c r="E171" s="14"/>
      <c r="F171" s="14"/>
      <c r="G171" s="14"/>
      <c r="H171" s="14"/>
      <c r="I171" s="14"/>
      <c r="J171" s="14"/>
      <c r="K171" s="14"/>
      <c r="L171" s="14"/>
      <c r="M171" s="14"/>
      <c r="N171" s="14"/>
      <c r="O171" s="14"/>
      <c r="P171" s="14"/>
      <c r="Q171" s="14"/>
      <c r="R171" s="14"/>
      <c r="S171" s="14"/>
      <c r="T171" s="14"/>
      <c r="U171" s="14"/>
      <c r="V171" s="14"/>
      <c r="W171" s="14"/>
      <c r="X171" s="14"/>
    </row>
    <row r="174" spans="3:24" ht="30" customHeight="1" x14ac:dyDescent="0.3">
      <c r="D174" s="20" t="s">
        <v>391</v>
      </c>
      <c r="E174" s="13" t="str">
        <f t="shared" ref="E174:X174" si="84">E135</f>
        <v>dLevel_ABA</v>
      </c>
      <c r="F174" s="13" t="str">
        <f t="shared" si="84"/>
        <v>dLevel_B6_T2B</v>
      </c>
      <c r="G174" s="13" t="str">
        <f t="shared" si="84"/>
        <v>dLevel_ABA</v>
      </c>
      <c r="H174" s="13" t="str">
        <f t="shared" si="84"/>
        <v>dLevel_B6_T2B</v>
      </c>
      <c r="I174" s="13" t="str">
        <f t="shared" si="84"/>
        <v>dLevel_B7_T2B</v>
      </c>
      <c r="J174" s="13" t="str">
        <f t="shared" si="84"/>
        <v/>
      </c>
      <c r="K174" s="13" t="str">
        <f t="shared" si="84"/>
        <v/>
      </c>
      <c r="L174" s="13" t="str">
        <f t="shared" si="84"/>
        <v/>
      </c>
      <c r="M174" s="13" t="str">
        <f t="shared" si="84"/>
        <v/>
      </c>
      <c r="N174" s="13" t="str">
        <f t="shared" si="84"/>
        <v/>
      </c>
      <c r="O174" s="13" t="str">
        <f t="shared" si="84"/>
        <v/>
      </c>
      <c r="P174" s="13" t="str">
        <f t="shared" si="84"/>
        <v/>
      </c>
      <c r="Q174" s="13" t="str">
        <f t="shared" si="84"/>
        <v/>
      </c>
      <c r="R174" s="13" t="str">
        <f t="shared" si="84"/>
        <v/>
      </c>
      <c r="S174" s="13" t="str">
        <f t="shared" si="84"/>
        <v/>
      </c>
      <c r="T174" s="13" t="str">
        <f t="shared" si="84"/>
        <v/>
      </c>
      <c r="U174" s="13" t="str">
        <f t="shared" si="84"/>
        <v/>
      </c>
      <c r="V174" s="13" t="str">
        <f t="shared" si="84"/>
        <v/>
      </c>
      <c r="W174" s="13" t="str">
        <f t="shared" si="84"/>
        <v/>
      </c>
      <c r="X174" s="13" t="str">
        <f t="shared" si="84"/>
        <v/>
      </c>
    </row>
    <row r="175" spans="3:24" x14ac:dyDescent="0.3">
      <c r="D175" s="70" t="str">
        <f t="shared" ref="D175:D209" si="85">D58</f>
        <v>dLevel_T2_1</v>
      </c>
      <c r="E175" s="78">
        <f t="shared" ref="E175:X175" ca="1" si="86">IFERROR(E136*E$50/$Y58,0)</f>
        <v>0.1892325908928259</v>
      </c>
      <c r="F175" s="78">
        <f t="shared" ca="1" si="86"/>
        <v>0.15028435635381057</v>
      </c>
      <c r="G175" s="78">
        <f t="shared" ca="1" si="86"/>
        <v>0.1892325908928259</v>
      </c>
      <c r="H175" s="78">
        <f t="shared" ca="1" si="86"/>
        <v>0.15028435635381057</v>
      </c>
      <c r="I175" s="78">
        <f t="shared" ca="1" si="86"/>
        <v>0.12842104240833599</v>
      </c>
      <c r="J175" s="78">
        <f t="shared" ca="1" si="86"/>
        <v>0</v>
      </c>
      <c r="K175" s="78">
        <f t="shared" ca="1" si="86"/>
        <v>0</v>
      </c>
      <c r="L175" s="78">
        <f t="shared" ca="1" si="86"/>
        <v>0</v>
      </c>
      <c r="M175" s="78">
        <f t="shared" ca="1" si="86"/>
        <v>0</v>
      </c>
      <c r="N175" s="78">
        <f t="shared" ca="1" si="86"/>
        <v>0</v>
      </c>
      <c r="O175" s="78">
        <f t="shared" ca="1" si="86"/>
        <v>0</v>
      </c>
      <c r="P175" s="78">
        <f t="shared" ca="1" si="86"/>
        <v>0</v>
      </c>
      <c r="Q175" s="78">
        <f t="shared" ca="1" si="86"/>
        <v>0</v>
      </c>
      <c r="R175" s="78">
        <f t="shared" ca="1" si="86"/>
        <v>0</v>
      </c>
      <c r="S175" s="78">
        <f t="shared" ca="1" si="86"/>
        <v>0</v>
      </c>
      <c r="T175" s="78">
        <f t="shared" ca="1" si="86"/>
        <v>0</v>
      </c>
      <c r="U175" s="78">
        <f t="shared" ca="1" si="86"/>
        <v>0</v>
      </c>
      <c r="V175" s="78">
        <f t="shared" ca="1" si="86"/>
        <v>0</v>
      </c>
      <c r="W175" s="78">
        <f t="shared" ca="1" si="86"/>
        <v>0</v>
      </c>
      <c r="X175" s="78">
        <f t="shared" ca="1" si="86"/>
        <v>0</v>
      </c>
    </row>
    <row r="176" spans="3:24" x14ac:dyDescent="0.3">
      <c r="D176" s="70" t="str">
        <f t="shared" si="85"/>
        <v>dLevel_T2_2</v>
      </c>
      <c r="E176" s="78">
        <f t="shared" ref="E176:X176" ca="1" si="87">IFERROR(E137*E$50/$Y59,0)</f>
        <v>0.10639603171320584</v>
      </c>
      <c r="F176" s="78">
        <f t="shared" ca="1" si="87"/>
        <v>3.4011763809567566E-2</v>
      </c>
      <c r="G176" s="78">
        <f t="shared" ca="1" si="87"/>
        <v>0.10639603171320584</v>
      </c>
      <c r="H176" s="78">
        <f t="shared" ca="1" si="87"/>
        <v>3.4011763809567566E-2</v>
      </c>
      <c r="I176" s="78">
        <f t="shared" ca="1" si="87"/>
        <v>0.1042052994227288</v>
      </c>
      <c r="J176" s="78">
        <f t="shared" ca="1" si="87"/>
        <v>0</v>
      </c>
      <c r="K176" s="78">
        <f t="shared" ca="1" si="87"/>
        <v>0</v>
      </c>
      <c r="L176" s="78">
        <f t="shared" ca="1" si="87"/>
        <v>0</v>
      </c>
      <c r="M176" s="78">
        <f t="shared" ca="1" si="87"/>
        <v>0</v>
      </c>
      <c r="N176" s="78">
        <f t="shared" ca="1" si="87"/>
        <v>0</v>
      </c>
      <c r="O176" s="78">
        <f t="shared" ca="1" si="87"/>
        <v>0</v>
      </c>
      <c r="P176" s="78">
        <f t="shared" ca="1" si="87"/>
        <v>0</v>
      </c>
      <c r="Q176" s="78">
        <f t="shared" ca="1" si="87"/>
        <v>0</v>
      </c>
      <c r="R176" s="78">
        <f t="shared" ca="1" si="87"/>
        <v>0</v>
      </c>
      <c r="S176" s="78">
        <f t="shared" ca="1" si="87"/>
        <v>0</v>
      </c>
      <c r="T176" s="78">
        <f t="shared" ca="1" si="87"/>
        <v>0</v>
      </c>
      <c r="U176" s="78">
        <f t="shared" ca="1" si="87"/>
        <v>0</v>
      </c>
      <c r="V176" s="78">
        <f t="shared" ca="1" si="87"/>
        <v>0</v>
      </c>
      <c r="W176" s="78">
        <f t="shared" ca="1" si="87"/>
        <v>0</v>
      </c>
      <c r="X176" s="78">
        <f t="shared" ca="1" si="87"/>
        <v>0</v>
      </c>
    </row>
    <row r="177" spans="4:24" x14ac:dyDescent="0.3">
      <c r="D177" s="70" t="str">
        <f t="shared" si="85"/>
        <v>dLevel_T2_3</v>
      </c>
      <c r="E177" s="78">
        <f t="shared" ref="E177:X177" ca="1" si="88">IFERROR(E138*E$50/$Y60,0)</f>
        <v>9.1622573285013886E-2</v>
      </c>
      <c r="F177" s="78">
        <f t="shared" ca="1" si="88"/>
        <v>3.572052484193286E-2</v>
      </c>
      <c r="G177" s="78">
        <f t="shared" ca="1" si="88"/>
        <v>9.1622573285013886E-2</v>
      </c>
      <c r="H177" s="78">
        <f t="shared" ca="1" si="88"/>
        <v>3.572052484193286E-2</v>
      </c>
      <c r="I177" s="78">
        <f t="shared" ca="1" si="88"/>
        <v>9.2708465722031314E-2</v>
      </c>
      <c r="J177" s="78">
        <f t="shared" ca="1" si="88"/>
        <v>0</v>
      </c>
      <c r="K177" s="78">
        <f t="shared" ca="1" si="88"/>
        <v>0</v>
      </c>
      <c r="L177" s="78">
        <f t="shared" ca="1" si="88"/>
        <v>0</v>
      </c>
      <c r="M177" s="78">
        <f t="shared" ca="1" si="88"/>
        <v>0</v>
      </c>
      <c r="N177" s="78">
        <f t="shared" ca="1" si="88"/>
        <v>0</v>
      </c>
      <c r="O177" s="78">
        <f t="shared" ca="1" si="88"/>
        <v>0</v>
      </c>
      <c r="P177" s="78">
        <f t="shared" ca="1" si="88"/>
        <v>0</v>
      </c>
      <c r="Q177" s="78">
        <f t="shared" ca="1" si="88"/>
        <v>0</v>
      </c>
      <c r="R177" s="78">
        <f t="shared" ca="1" si="88"/>
        <v>0</v>
      </c>
      <c r="S177" s="78">
        <f t="shared" ca="1" si="88"/>
        <v>0</v>
      </c>
      <c r="T177" s="78">
        <f t="shared" ca="1" si="88"/>
        <v>0</v>
      </c>
      <c r="U177" s="78">
        <f t="shared" ca="1" si="88"/>
        <v>0</v>
      </c>
      <c r="V177" s="78">
        <f t="shared" ca="1" si="88"/>
        <v>0</v>
      </c>
      <c r="W177" s="78">
        <f t="shared" ca="1" si="88"/>
        <v>0</v>
      </c>
      <c r="X177" s="78">
        <f t="shared" ca="1" si="88"/>
        <v>0</v>
      </c>
    </row>
    <row r="178" spans="4:24" x14ac:dyDescent="0.3">
      <c r="D178" s="70" t="str">
        <f t="shared" si="85"/>
        <v>dLevel_T2_4</v>
      </c>
      <c r="E178" s="78">
        <f t="shared" ref="E178:X178" ca="1" si="89">IFERROR(E139*E$50/$Y61,0)</f>
        <v>0.19737357948047679</v>
      </c>
      <c r="F178" s="78">
        <f t="shared" ca="1" si="89"/>
        <v>0.18024129331875477</v>
      </c>
      <c r="G178" s="78">
        <f t="shared" ca="1" si="89"/>
        <v>0.19737357948047679</v>
      </c>
      <c r="H178" s="78">
        <f t="shared" ca="1" si="89"/>
        <v>0.18024129331875477</v>
      </c>
      <c r="I178" s="78">
        <f t="shared" ca="1" si="89"/>
        <v>0.13554963250779462</v>
      </c>
      <c r="J178" s="78">
        <f t="shared" ca="1" si="89"/>
        <v>0</v>
      </c>
      <c r="K178" s="78">
        <f t="shared" ca="1" si="89"/>
        <v>0</v>
      </c>
      <c r="L178" s="78">
        <f t="shared" ca="1" si="89"/>
        <v>0</v>
      </c>
      <c r="M178" s="78">
        <f t="shared" ca="1" si="89"/>
        <v>0</v>
      </c>
      <c r="N178" s="78">
        <f t="shared" ca="1" si="89"/>
        <v>0</v>
      </c>
      <c r="O178" s="78">
        <f t="shared" ca="1" si="89"/>
        <v>0</v>
      </c>
      <c r="P178" s="78">
        <f t="shared" ca="1" si="89"/>
        <v>0</v>
      </c>
      <c r="Q178" s="78">
        <f t="shared" ca="1" si="89"/>
        <v>0</v>
      </c>
      <c r="R178" s="78">
        <f t="shared" ca="1" si="89"/>
        <v>0</v>
      </c>
      <c r="S178" s="78">
        <f t="shared" ca="1" si="89"/>
        <v>0</v>
      </c>
      <c r="T178" s="78">
        <f t="shared" ca="1" si="89"/>
        <v>0</v>
      </c>
      <c r="U178" s="78">
        <f t="shared" ca="1" si="89"/>
        <v>0</v>
      </c>
      <c r="V178" s="78">
        <f t="shared" ca="1" si="89"/>
        <v>0</v>
      </c>
      <c r="W178" s="78">
        <f t="shared" ca="1" si="89"/>
        <v>0</v>
      </c>
      <c r="X178" s="78">
        <f t="shared" ca="1" si="89"/>
        <v>0</v>
      </c>
    </row>
    <row r="179" spans="4:24" x14ac:dyDescent="0.3">
      <c r="D179" s="70" t="str">
        <f t="shared" si="85"/>
        <v>dLevel_T2_5</v>
      </c>
      <c r="E179" s="78">
        <f t="shared" ref="E179:X179" ca="1" si="90">IFERROR(E140*E$50/$Y62,0)</f>
        <v>9.1765113904191037E-2</v>
      </c>
      <c r="F179" s="78">
        <f t="shared" ca="1" si="90"/>
        <v>0.19381350506968362</v>
      </c>
      <c r="G179" s="78">
        <f t="shared" ca="1" si="90"/>
        <v>9.1765113904191037E-2</v>
      </c>
      <c r="H179" s="78">
        <f t="shared" ca="1" si="90"/>
        <v>0.19381350506968362</v>
      </c>
      <c r="I179" s="78">
        <f t="shared" ca="1" si="90"/>
        <v>9.6943667400417544E-2</v>
      </c>
      <c r="J179" s="78">
        <f t="shared" ca="1" si="90"/>
        <v>0</v>
      </c>
      <c r="K179" s="78">
        <f t="shared" ca="1" si="90"/>
        <v>0</v>
      </c>
      <c r="L179" s="78">
        <f t="shared" ca="1" si="90"/>
        <v>0</v>
      </c>
      <c r="M179" s="78">
        <f t="shared" ca="1" si="90"/>
        <v>0</v>
      </c>
      <c r="N179" s="78">
        <f t="shared" ca="1" si="90"/>
        <v>0</v>
      </c>
      <c r="O179" s="78">
        <f t="shared" ca="1" si="90"/>
        <v>0</v>
      </c>
      <c r="P179" s="78">
        <f t="shared" ca="1" si="90"/>
        <v>0</v>
      </c>
      <c r="Q179" s="78">
        <f t="shared" ca="1" si="90"/>
        <v>0</v>
      </c>
      <c r="R179" s="78">
        <f t="shared" ca="1" si="90"/>
        <v>0</v>
      </c>
      <c r="S179" s="78">
        <f t="shared" ca="1" si="90"/>
        <v>0</v>
      </c>
      <c r="T179" s="78">
        <f t="shared" ca="1" si="90"/>
        <v>0</v>
      </c>
      <c r="U179" s="78">
        <f t="shared" ca="1" si="90"/>
        <v>0</v>
      </c>
      <c r="V179" s="78">
        <f t="shared" ca="1" si="90"/>
        <v>0</v>
      </c>
      <c r="W179" s="78">
        <f t="shared" ca="1" si="90"/>
        <v>0</v>
      </c>
      <c r="X179" s="78">
        <f t="shared" ca="1" si="90"/>
        <v>0</v>
      </c>
    </row>
    <row r="180" spans="4:24" x14ac:dyDescent="0.3">
      <c r="D180" s="70" t="str">
        <f t="shared" si="85"/>
        <v>dLevel_T2_6</v>
      </c>
      <c r="E180" s="78">
        <f t="shared" ref="E180:X180" ca="1" si="91">IFERROR(E141*E$50/$Y63,0)</f>
        <v>0.17765497767931504</v>
      </c>
      <c r="F180" s="78">
        <f t="shared" ca="1" si="91"/>
        <v>0.14115591989030463</v>
      </c>
      <c r="G180" s="78">
        <f t="shared" ca="1" si="91"/>
        <v>0.17765497767931504</v>
      </c>
      <c r="H180" s="78">
        <f t="shared" ca="1" si="91"/>
        <v>0.14115591989030463</v>
      </c>
      <c r="I180" s="78">
        <f t="shared" ca="1" si="91"/>
        <v>8.5509092485326912E-2</v>
      </c>
      <c r="J180" s="78">
        <f t="shared" ca="1" si="91"/>
        <v>0</v>
      </c>
      <c r="K180" s="78">
        <f t="shared" ca="1" si="91"/>
        <v>0</v>
      </c>
      <c r="L180" s="78">
        <f t="shared" ca="1" si="91"/>
        <v>0</v>
      </c>
      <c r="M180" s="78">
        <f t="shared" ca="1" si="91"/>
        <v>0</v>
      </c>
      <c r="N180" s="78">
        <f t="shared" ca="1" si="91"/>
        <v>0</v>
      </c>
      <c r="O180" s="78">
        <f t="shared" ca="1" si="91"/>
        <v>0</v>
      </c>
      <c r="P180" s="78">
        <f t="shared" ca="1" si="91"/>
        <v>0</v>
      </c>
      <c r="Q180" s="78">
        <f t="shared" ca="1" si="91"/>
        <v>0</v>
      </c>
      <c r="R180" s="78">
        <f t="shared" ca="1" si="91"/>
        <v>0</v>
      </c>
      <c r="S180" s="78">
        <f t="shared" ca="1" si="91"/>
        <v>0</v>
      </c>
      <c r="T180" s="78">
        <f t="shared" ca="1" si="91"/>
        <v>0</v>
      </c>
      <c r="U180" s="78">
        <f t="shared" ca="1" si="91"/>
        <v>0</v>
      </c>
      <c r="V180" s="78">
        <f t="shared" ca="1" si="91"/>
        <v>0</v>
      </c>
      <c r="W180" s="78">
        <f t="shared" ca="1" si="91"/>
        <v>0</v>
      </c>
      <c r="X180" s="78">
        <f t="shared" ca="1" si="91"/>
        <v>0</v>
      </c>
    </row>
    <row r="181" spans="4:24" x14ac:dyDescent="0.3">
      <c r="D181" s="70" t="str">
        <f t="shared" si="85"/>
        <v>dLevel_T2_7</v>
      </c>
      <c r="E181" s="78">
        <f t="shared" ref="E181:X181" ca="1" si="92">IFERROR(E142*E$50/$Y64,0)</f>
        <v>0.26449788612886604</v>
      </c>
      <c r="F181" s="78">
        <f t="shared" ca="1" si="92"/>
        <v>0.27400658447263904</v>
      </c>
      <c r="G181" s="78">
        <f t="shared" ca="1" si="92"/>
        <v>0.26449788612886604</v>
      </c>
      <c r="H181" s="78">
        <f t="shared" ca="1" si="92"/>
        <v>0.27400658447263904</v>
      </c>
      <c r="I181" s="78">
        <f t="shared" ca="1" si="92"/>
        <v>0.13900759165867899</v>
      </c>
      <c r="J181" s="78">
        <f t="shared" ca="1" si="92"/>
        <v>0</v>
      </c>
      <c r="K181" s="78">
        <f t="shared" ca="1" si="92"/>
        <v>0</v>
      </c>
      <c r="L181" s="78">
        <f t="shared" ca="1" si="92"/>
        <v>0</v>
      </c>
      <c r="M181" s="78">
        <f t="shared" ca="1" si="92"/>
        <v>0</v>
      </c>
      <c r="N181" s="78">
        <f t="shared" ca="1" si="92"/>
        <v>0</v>
      </c>
      <c r="O181" s="78">
        <f t="shared" ca="1" si="92"/>
        <v>0</v>
      </c>
      <c r="P181" s="78">
        <f t="shared" ca="1" si="92"/>
        <v>0</v>
      </c>
      <c r="Q181" s="78">
        <f t="shared" ca="1" si="92"/>
        <v>0</v>
      </c>
      <c r="R181" s="78">
        <f t="shared" ca="1" si="92"/>
        <v>0</v>
      </c>
      <c r="S181" s="78">
        <f t="shared" ca="1" si="92"/>
        <v>0</v>
      </c>
      <c r="T181" s="78">
        <f t="shared" ca="1" si="92"/>
        <v>0</v>
      </c>
      <c r="U181" s="78">
        <f t="shared" ca="1" si="92"/>
        <v>0</v>
      </c>
      <c r="V181" s="78">
        <f t="shared" ca="1" si="92"/>
        <v>0</v>
      </c>
      <c r="W181" s="78">
        <f t="shared" ca="1" si="92"/>
        <v>0</v>
      </c>
      <c r="X181" s="78">
        <f t="shared" ca="1" si="92"/>
        <v>0</v>
      </c>
    </row>
    <row r="182" spans="4:24" x14ac:dyDescent="0.3">
      <c r="D182" s="70" t="str">
        <f t="shared" si="85"/>
        <v>dLevel_T2_8</v>
      </c>
      <c r="E182" s="78">
        <f t="shared" ref="E182:X182" ca="1" si="93">IFERROR(E143*E$50/$Y65,0)</f>
        <v>0.12462891565917673</v>
      </c>
      <c r="F182" s="78">
        <f t="shared" ca="1" si="93"/>
        <v>0.19867243574647001</v>
      </c>
      <c r="G182" s="78">
        <f t="shared" ca="1" si="93"/>
        <v>0.12462891565917673</v>
      </c>
      <c r="H182" s="78">
        <f t="shared" ca="1" si="93"/>
        <v>0.19867243574647001</v>
      </c>
      <c r="I182" s="78">
        <f t="shared" ca="1" si="93"/>
        <v>0.1439664377381995</v>
      </c>
      <c r="J182" s="78">
        <f t="shared" ca="1" si="93"/>
        <v>0</v>
      </c>
      <c r="K182" s="78">
        <f t="shared" ca="1" si="93"/>
        <v>0</v>
      </c>
      <c r="L182" s="78">
        <f t="shared" ca="1" si="93"/>
        <v>0</v>
      </c>
      <c r="M182" s="78">
        <f t="shared" ca="1" si="93"/>
        <v>0</v>
      </c>
      <c r="N182" s="78">
        <f t="shared" ca="1" si="93"/>
        <v>0</v>
      </c>
      <c r="O182" s="78">
        <f t="shared" ca="1" si="93"/>
        <v>0</v>
      </c>
      <c r="P182" s="78">
        <f t="shared" ca="1" si="93"/>
        <v>0</v>
      </c>
      <c r="Q182" s="78">
        <f t="shared" ca="1" si="93"/>
        <v>0</v>
      </c>
      <c r="R182" s="78">
        <f t="shared" ca="1" si="93"/>
        <v>0</v>
      </c>
      <c r="S182" s="78">
        <f t="shared" ca="1" si="93"/>
        <v>0</v>
      </c>
      <c r="T182" s="78">
        <f t="shared" ca="1" si="93"/>
        <v>0</v>
      </c>
      <c r="U182" s="78">
        <f t="shared" ca="1" si="93"/>
        <v>0</v>
      </c>
      <c r="V182" s="78">
        <f t="shared" ca="1" si="93"/>
        <v>0</v>
      </c>
      <c r="W182" s="78">
        <f t="shared" ca="1" si="93"/>
        <v>0</v>
      </c>
      <c r="X182" s="78">
        <f t="shared" ca="1" si="93"/>
        <v>0</v>
      </c>
    </row>
    <row r="183" spans="4:24" x14ac:dyDescent="0.3">
      <c r="D183" s="70" t="str">
        <f t="shared" si="85"/>
        <v>dLevel_T2_9</v>
      </c>
      <c r="E183" s="78">
        <f t="shared" ref="E183:X183" ca="1" si="94">IFERROR(E144*E$50/$Y66,0)</f>
        <v>7.7076893292302773E-2</v>
      </c>
      <c r="F183" s="78">
        <f t="shared" ca="1" si="94"/>
        <v>0.14074449321153654</v>
      </c>
      <c r="G183" s="78">
        <f t="shared" ca="1" si="94"/>
        <v>7.7076893292302773E-2</v>
      </c>
      <c r="H183" s="78">
        <f t="shared" ca="1" si="94"/>
        <v>0.14074449321153654</v>
      </c>
      <c r="I183" s="78">
        <f t="shared" ca="1" si="94"/>
        <v>9.4523909464720793E-2</v>
      </c>
      <c r="J183" s="78">
        <f t="shared" ca="1" si="94"/>
        <v>0</v>
      </c>
      <c r="K183" s="78">
        <f t="shared" ca="1" si="94"/>
        <v>0</v>
      </c>
      <c r="L183" s="78">
        <f t="shared" ca="1" si="94"/>
        <v>0</v>
      </c>
      <c r="M183" s="78">
        <f t="shared" ca="1" si="94"/>
        <v>0</v>
      </c>
      <c r="N183" s="78">
        <f t="shared" ca="1" si="94"/>
        <v>0</v>
      </c>
      <c r="O183" s="78">
        <f t="shared" ca="1" si="94"/>
        <v>0</v>
      </c>
      <c r="P183" s="78">
        <f t="shared" ca="1" si="94"/>
        <v>0</v>
      </c>
      <c r="Q183" s="78">
        <f t="shared" ca="1" si="94"/>
        <v>0</v>
      </c>
      <c r="R183" s="78">
        <f t="shared" ca="1" si="94"/>
        <v>0</v>
      </c>
      <c r="S183" s="78">
        <f t="shared" ca="1" si="94"/>
        <v>0</v>
      </c>
      <c r="T183" s="78">
        <f t="shared" ca="1" si="94"/>
        <v>0</v>
      </c>
      <c r="U183" s="78">
        <f t="shared" ca="1" si="94"/>
        <v>0</v>
      </c>
      <c r="V183" s="78">
        <f t="shared" ca="1" si="94"/>
        <v>0</v>
      </c>
      <c r="W183" s="78">
        <f t="shared" ca="1" si="94"/>
        <v>0</v>
      </c>
      <c r="X183" s="78">
        <f t="shared" ca="1" si="94"/>
        <v>0</v>
      </c>
    </row>
    <row r="184" spans="4:24" x14ac:dyDescent="0.3">
      <c r="D184" s="70" t="str">
        <f t="shared" si="85"/>
        <v>dLevel_T2_10</v>
      </c>
      <c r="E184" s="78">
        <f t="shared" ref="E184:X184" ca="1" si="95">IFERROR(E145*E$50/$Y67,0)</f>
        <v>0.12792256384511635</v>
      </c>
      <c r="F184" s="78">
        <f t="shared" ca="1" si="95"/>
        <v>9.8300461667348862E-2</v>
      </c>
      <c r="G184" s="78">
        <f t="shared" ca="1" si="95"/>
        <v>0.12792256384511635</v>
      </c>
      <c r="H184" s="78">
        <f t="shared" ca="1" si="95"/>
        <v>9.8300461667348862E-2</v>
      </c>
      <c r="I184" s="78">
        <f t="shared" ca="1" si="95"/>
        <v>5.4571887142438581E-2</v>
      </c>
      <c r="J184" s="78">
        <f t="shared" ca="1" si="95"/>
        <v>0</v>
      </c>
      <c r="K184" s="78">
        <f t="shared" ca="1" si="95"/>
        <v>0</v>
      </c>
      <c r="L184" s="78">
        <f t="shared" ca="1" si="95"/>
        <v>0</v>
      </c>
      <c r="M184" s="78">
        <f t="shared" ca="1" si="95"/>
        <v>0</v>
      </c>
      <c r="N184" s="78">
        <f t="shared" ca="1" si="95"/>
        <v>0</v>
      </c>
      <c r="O184" s="78">
        <f t="shared" ca="1" si="95"/>
        <v>0</v>
      </c>
      <c r="P184" s="78">
        <f t="shared" ca="1" si="95"/>
        <v>0</v>
      </c>
      <c r="Q184" s="78">
        <f t="shared" ca="1" si="95"/>
        <v>0</v>
      </c>
      <c r="R184" s="78">
        <f t="shared" ca="1" si="95"/>
        <v>0</v>
      </c>
      <c r="S184" s="78">
        <f t="shared" ca="1" si="95"/>
        <v>0</v>
      </c>
      <c r="T184" s="78">
        <f t="shared" ca="1" si="95"/>
        <v>0</v>
      </c>
      <c r="U184" s="78">
        <f t="shared" ca="1" si="95"/>
        <v>0</v>
      </c>
      <c r="V184" s="78">
        <f t="shared" ca="1" si="95"/>
        <v>0</v>
      </c>
      <c r="W184" s="78">
        <f t="shared" ca="1" si="95"/>
        <v>0</v>
      </c>
      <c r="X184" s="78">
        <f t="shared" ca="1" si="95"/>
        <v>0</v>
      </c>
    </row>
    <row r="185" spans="4:24" x14ac:dyDescent="0.3">
      <c r="D185" s="70" t="str">
        <f t="shared" si="85"/>
        <v>dLevel_T2_11</v>
      </c>
      <c r="E185" s="78">
        <f t="shared" ref="E185:X185" ca="1" si="96">IFERROR(E146*E$50/$Y68,0)</f>
        <v>0.21869573255089622</v>
      </c>
      <c r="F185" s="78">
        <f t="shared" ca="1" si="96"/>
        <v>0.18573099675001342</v>
      </c>
      <c r="G185" s="78">
        <f t="shared" ca="1" si="96"/>
        <v>0.21869573255089622</v>
      </c>
      <c r="H185" s="78">
        <f t="shared" ca="1" si="96"/>
        <v>0.18573099675001342</v>
      </c>
      <c r="I185" s="78">
        <f t="shared" ca="1" si="96"/>
        <v>8.8167558187446426E-2</v>
      </c>
      <c r="J185" s="78">
        <f t="shared" ca="1" si="96"/>
        <v>0</v>
      </c>
      <c r="K185" s="78">
        <f t="shared" ca="1" si="96"/>
        <v>0</v>
      </c>
      <c r="L185" s="78">
        <f t="shared" ca="1" si="96"/>
        <v>0</v>
      </c>
      <c r="M185" s="78">
        <f t="shared" ca="1" si="96"/>
        <v>0</v>
      </c>
      <c r="N185" s="78">
        <f t="shared" ca="1" si="96"/>
        <v>0</v>
      </c>
      <c r="O185" s="78">
        <f t="shared" ca="1" si="96"/>
        <v>0</v>
      </c>
      <c r="P185" s="78">
        <f t="shared" ca="1" si="96"/>
        <v>0</v>
      </c>
      <c r="Q185" s="78">
        <f t="shared" ca="1" si="96"/>
        <v>0</v>
      </c>
      <c r="R185" s="78">
        <f t="shared" ca="1" si="96"/>
        <v>0</v>
      </c>
      <c r="S185" s="78">
        <f t="shared" ca="1" si="96"/>
        <v>0</v>
      </c>
      <c r="T185" s="78">
        <f t="shared" ca="1" si="96"/>
        <v>0</v>
      </c>
      <c r="U185" s="78">
        <f t="shared" ca="1" si="96"/>
        <v>0</v>
      </c>
      <c r="V185" s="78">
        <f t="shared" ca="1" si="96"/>
        <v>0</v>
      </c>
      <c r="W185" s="78">
        <f t="shared" ca="1" si="96"/>
        <v>0</v>
      </c>
      <c r="X185" s="78">
        <f t="shared" ca="1" si="96"/>
        <v>0</v>
      </c>
    </row>
    <row r="186" spans="4:24" x14ac:dyDescent="0.3">
      <c r="D186" s="70" t="str">
        <f t="shared" si="85"/>
        <v>dLevel_T2_12</v>
      </c>
      <c r="E186" s="78">
        <f t="shared" ref="E186:X186" ca="1" si="97">IFERROR(E147*E$50/$Y69,0)</f>
        <v>0.26376758854253474</v>
      </c>
      <c r="F186" s="78">
        <f t="shared" ca="1" si="97"/>
        <v>8.3119129052755023E-2</v>
      </c>
      <c r="G186" s="78">
        <f t="shared" ca="1" si="97"/>
        <v>0.26376758854253474</v>
      </c>
      <c r="H186" s="78">
        <f t="shared" ca="1" si="97"/>
        <v>8.3119129052755023E-2</v>
      </c>
      <c r="I186" s="78">
        <f t="shared" ca="1" si="97"/>
        <v>4.0097683879382388E-2</v>
      </c>
      <c r="J186" s="78">
        <f t="shared" ca="1" si="97"/>
        <v>0</v>
      </c>
      <c r="K186" s="78">
        <f t="shared" ca="1" si="97"/>
        <v>0</v>
      </c>
      <c r="L186" s="78">
        <f t="shared" ca="1" si="97"/>
        <v>0</v>
      </c>
      <c r="M186" s="78">
        <f t="shared" ca="1" si="97"/>
        <v>0</v>
      </c>
      <c r="N186" s="78">
        <f t="shared" ca="1" si="97"/>
        <v>0</v>
      </c>
      <c r="O186" s="78">
        <f t="shared" ca="1" si="97"/>
        <v>0</v>
      </c>
      <c r="P186" s="78">
        <f t="shared" ca="1" si="97"/>
        <v>0</v>
      </c>
      <c r="Q186" s="78">
        <f t="shared" ca="1" si="97"/>
        <v>0</v>
      </c>
      <c r="R186" s="78">
        <f t="shared" ca="1" si="97"/>
        <v>0</v>
      </c>
      <c r="S186" s="78">
        <f t="shared" ca="1" si="97"/>
        <v>0</v>
      </c>
      <c r="T186" s="78">
        <f t="shared" ca="1" si="97"/>
        <v>0</v>
      </c>
      <c r="U186" s="78">
        <f t="shared" ca="1" si="97"/>
        <v>0</v>
      </c>
      <c r="V186" s="78">
        <f t="shared" ca="1" si="97"/>
        <v>0</v>
      </c>
      <c r="W186" s="78">
        <f t="shared" ca="1" si="97"/>
        <v>0</v>
      </c>
      <c r="X186" s="78">
        <f t="shared" ca="1" si="97"/>
        <v>0</v>
      </c>
    </row>
    <row r="187" spans="4:24" x14ac:dyDescent="0.3">
      <c r="D187" s="70" t="str">
        <f t="shared" si="85"/>
        <v>dLevel_T2_13</v>
      </c>
      <c r="E187" s="78">
        <f t="shared" ref="E187:X187" ca="1" si="98">IFERROR(E148*E$50/$Y70,0)</f>
        <v>0.13646681412722214</v>
      </c>
      <c r="F187" s="78">
        <f t="shared" ca="1" si="98"/>
        <v>2.1838078275191316E-3</v>
      </c>
      <c r="G187" s="78">
        <f t="shared" ca="1" si="98"/>
        <v>0.13646681412722214</v>
      </c>
      <c r="H187" s="78">
        <f t="shared" ca="1" si="98"/>
        <v>2.1838078275191316E-3</v>
      </c>
      <c r="I187" s="78">
        <f t="shared" ca="1" si="98"/>
        <v>5.2222433377893611E-2</v>
      </c>
      <c r="J187" s="78">
        <f t="shared" ca="1" si="98"/>
        <v>0</v>
      </c>
      <c r="K187" s="78">
        <f t="shared" ca="1" si="98"/>
        <v>0</v>
      </c>
      <c r="L187" s="78">
        <f t="shared" ca="1" si="98"/>
        <v>0</v>
      </c>
      <c r="M187" s="78">
        <f t="shared" ca="1" si="98"/>
        <v>0</v>
      </c>
      <c r="N187" s="78">
        <f t="shared" ca="1" si="98"/>
        <v>0</v>
      </c>
      <c r="O187" s="78">
        <f t="shared" ca="1" si="98"/>
        <v>0</v>
      </c>
      <c r="P187" s="78">
        <f t="shared" ca="1" si="98"/>
        <v>0</v>
      </c>
      <c r="Q187" s="78">
        <f t="shared" ca="1" si="98"/>
        <v>0</v>
      </c>
      <c r="R187" s="78">
        <f t="shared" ca="1" si="98"/>
        <v>0</v>
      </c>
      <c r="S187" s="78">
        <f t="shared" ca="1" si="98"/>
        <v>0</v>
      </c>
      <c r="T187" s="78">
        <f t="shared" ca="1" si="98"/>
        <v>0</v>
      </c>
      <c r="U187" s="78">
        <f t="shared" ca="1" si="98"/>
        <v>0</v>
      </c>
      <c r="V187" s="78">
        <f t="shared" ca="1" si="98"/>
        <v>0</v>
      </c>
      <c r="W187" s="78">
        <f t="shared" ca="1" si="98"/>
        <v>0</v>
      </c>
      <c r="X187" s="78">
        <f t="shared" ca="1" si="98"/>
        <v>0</v>
      </c>
    </row>
    <row r="188" spans="4:24" x14ac:dyDescent="0.3">
      <c r="D188" s="70" t="str">
        <f t="shared" si="85"/>
        <v>dLevel_T2_14</v>
      </c>
      <c r="E188" s="78">
        <f t="shared" ref="E188:X188" ca="1" si="99">IFERROR(E149*E$50/$Y71,0)</f>
        <v>0.13297884725180362</v>
      </c>
      <c r="F188" s="78">
        <f t="shared" ca="1" si="99"/>
        <v>0.12843946416893018</v>
      </c>
      <c r="G188" s="78">
        <f t="shared" ca="1" si="99"/>
        <v>0.13297884725180362</v>
      </c>
      <c r="H188" s="78">
        <f t="shared" ca="1" si="99"/>
        <v>0.12843946416893018</v>
      </c>
      <c r="I188" s="78">
        <f t="shared" ca="1" si="99"/>
        <v>8.4448190178636598E-2</v>
      </c>
      <c r="J188" s="78">
        <f t="shared" ca="1" si="99"/>
        <v>0</v>
      </c>
      <c r="K188" s="78">
        <f t="shared" ca="1" si="99"/>
        <v>0</v>
      </c>
      <c r="L188" s="78">
        <f t="shared" ca="1" si="99"/>
        <v>0</v>
      </c>
      <c r="M188" s="78">
        <f t="shared" ca="1" si="99"/>
        <v>0</v>
      </c>
      <c r="N188" s="78">
        <f t="shared" ca="1" si="99"/>
        <v>0</v>
      </c>
      <c r="O188" s="78">
        <f t="shared" ca="1" si="99"/>
        <v>0</v>
      </c>
      <c r="P188" s="78">
        <f t="shared" ca="1" si="99"/>
        <v>0</v>
      </c>
      <c r="Q188" s="78">
        <f t="shared" ca="1" si="99"/>
        <v>0</v>
      </c>
      <c r="R188" s="78">
        <f t="shared" ca="1" si="99"/>
        <v>0</v>
      </c>
      <c r="S188" s="78">
        <f t="shared" ca="1" si="99"/>
        <v>0</v>
      </c>
      <c r="T188" s="78">
        <f t="shared" ca="1" si="99"/>
        <v>0</v>
      </c>
      <c r="U188" s="78">
        <f t="shared" ca="1" si="99"/>
        <v>0</v>
      </c>
      <c r="V188" s="78">
        <f t="shared" ca="1" si="99"/>
        <v>0</v>
      </c>
      <c r="W188" s="78">
        <f t="shared" ca="1" si="99"/>
        <v>0</v>
      </c>
      <c r="X188" s="78">
        <f t="shared" ca="1" si="99"/>
        <v>0</v>
      </c>
    </row>
    <row r="189" spans="4:24" x14ac:dyDescent="0.3">
      <c r="D189" s="70" t="str">
        <f t="shared" si="85"/>
        <v>dLevel_T2_15</v>
      </c>
      <c r="E189" s="78">
        <f t="shared" ref="E189:X189" ca="1" si="100">IFERROR(E150*E$50/$Y72,0)</f>
        <v>0.12779350260062597</v>
      </c>
      <c r="F189" s="78">
        <f t="shared" ca="1" si="100"/>
        <v>2.1838078275191321E-3</v>
      </c>
      <c r="G189" s="78">
        <f t="shared" ca="1" si="100"/>
        <v>0.12779350260062597</v>
      </c>
      <c r="H189" s="78">
        <f t="shared" ca="1" si="100"/>
        <v>2.1838078275191321E-3</v>
      </c>
      <c r="I189" s="78">
        <f t="shared" ca="1" si="100"/>
        <v>7.853535258555791E-2</v>
      </c>
      <c r="J189" s="78">
        <f t="shared" ca="1" si="100"/>
        <v>0</v>
      </c>
      <c r="K189" s="78">
        <f t="shared" ca="1" si="100"/>
        <v>0</v>
      </c>
      <c r="L189" s="78">
        <f t="shared" ca="1" si="100"/>
        <v>0</v>
      </c>
      <c r="M189" s="78">
        <f t="shared" ca="1" si="100"/>
        <v>0</v>
      </c>
      <c r="N189" s="78">
        <f t="shared" ca="1" si="100"/>
        <v>0</v>
      </c>
      <c r="O189" s="78">
        <f t="shared" ca="1" si="100"/>
        <v>0</v>
      </c>
      <c r="P189" s="78">
        <f t="shared" ca="1" si="100"/>
        <v>0</v>
      </c>
      <c r="Q189" s="78">
        <f t="shared" ca="1" si="100"/>
        <v>0</v>
      </c>
      <c r="R189" s="78">
        <f t="shared" ca="1" si="100"/>
        <v>0</v>
      </c>
      <c r="S189" s="78">
        <f t="shared" ca="1" si="100"/>
        <v>0</v>
      </c>
      <c r="T189" s="78">
        <f t="shared" ca="1" si="100"/>
        <v>0</v>
      </c>
      <c r="U189" s="78">
        <f t="shared" ca="1" si="100"/>
        <v>0</v>
      </c>
      <c r="V189" s="78">
        <f t="shared" ca="1" si="100"/>
        <v>0</v>
      </c>
      <c r="W189" s="78">
        <f t="shared" ca="1" si="100"/>
        <v>0</v>
      </c>
      <c r="X189" s="78">
        <f t="shared" ca="1" si="100"/>
        <v>0</v>
      </c>
    </row>
    <row r="190" spans="4:24" x14ac:dyDescent="0.3">
      <c r="D190" s="70" t="str">
        <f t="shared" si="85"/>
        <v>dLevel_T2_16</v>
      </c>
      <c r="E190" s="78">
        <f t="shared" ref="E190:X190" ca="1" si="101">IFERROR(E151*E$50/$Y73,0)</f>
        <v>0.10638181794148228</v>
      </c>
      <c r="F190" s="78">
        <f t="shared" ca="1" si="101"/>
        <v>6.8707081540872877E-2</v>
      </c>
      <c r="G190" s="78">
        <f t="shared" ca="1" si="101"/>
        <v>0.10638181794148228</v>
      </c>
      <c r="H190" s="78">
        <f t="shared" ca="1" si="101"/>
        <v>6.8707081540872877E-2</v>
      </c>
      <c r="I190" s="78">
        <f t="shared" ca="1" si="101"/>
        <v>8.4188783854918597E-2</v>
      </c>
      <c r="J190" s="78">
        <f t="shared" ca="1" si="101"/>
        <v>0</v>
      </c>
      <c r="K190" s="78">
        <f t="shared" ca="1" si="101"/>
        <v>0</v>
      </c>
      <c r="L190" s="78">
        <f t="shared" ca="1" si="101"/>
        <v>0</v>
      </c>
      <c r="M190" s="78">
        <f t="shared" ca="1" si="101"/>
        <v>0</v>
      </c>
      <c r="N190" s="78">
        <f t="shared" ca="1" si="101"/>
        <v>0</v>
      </c>
      <c r="O190" s="78">
        <f t="shared" ca="1" si="101"/>
        <v>0</v>
      </c>
      <c r="P190" s="78">
        <f t="shared" ca="1" si="101"/>
        <v>0</v>
      </c>
      <c r="Q190" s="78">
        <f t="shared" ca="1" si="101"/>
        <v>0</v>
      </c>
      <c r="R190" s="78">
        <f t="shared" ca="1" si="101"/>
        <v>0</v>
      </c>
      <c r="S190" s="78">
        <f t="shared" ca="1" si="101"/>
        <v>0</v>
      </c>
      <c r="T190" s="78">
        <f t="shared" ca="1" si="101"/>
        <v>0</v>
      </c>
      <c r="U190" s="78">
        <f t="shared" ca="1" si="101"/>
        <v>0</v>
      </c>
      <c r="V190" s="78">
        <f t="shared" ca="1" si="101"/>
        <v>0</v>
      </c>
      <c r="W190" s="78">
        <f t="shared" ca="1" si="101"/>
        <v>0</v>
      </c>
      <c r="X190" s="78">
        <f t="shared" ca="1" si="101"/>
        <v>0</v>
      </c>
    </row>
    <row r="191" spans="4:24" x14ac:dyDescent="0.3">
      <c r="D191" s="70" t="str">
        <f t="shared" si="85"/>
        <v>dLevel_T2_17</v>
      </c>
      <c r="E191" s="78">
        <f t="shared" ref="E191:X191" ca="1" si="102">IFERROR(E152*E$50/$Y74,0)</f>
        <v>3.7856071445856641E-2</v>
      </c>
      <c r="F191" s="78">
        <f t="shared" ca="1" si="102"/>
        <v>6.2330195713323919E-2</v>
      </c>
      <c r="G191" s="78">
        <f t="shared" ca="1" si="102"/>
        <v>3.7856071445856641E-2</v>
      </c>
      <c r="H191" s="78">
        <f t="shared" ca="1" si="102"/>
        <v>6.2330195713323919E-2</v>
      </c>
      <c r="I191" s="78">
        <f t="shared" ca="1" si="102"/>
        <v>9.4701502420778905E-2</v>
      </c>
      <c r="J191" s="78">
        <f t="shared" ca="1" si="102"/>
        <v>0</v>
      </c>
      <c r="K191" s="78">
        <f t="shared" ca="1" si="102"/>
        <v>0</v>
      </c>
      <c r="L191" s="78">
        <f t="shared" ca="1" si="102"/>
        <v>0</v>
      </c>
      <c r="M191" s="78">
        <f t="shared" ca="1" si="102"/>
        <v>0</v>
      </c>
      <c r="N191" s="78">
        <f t="shared" ca="1" si="102"/>
        <v>0</v>
      </c>
      <c r="O191" s="78">
        <f t="shared" ca="1" si="102"/>
        <v>0</v>
      </c>
      <c r="P191" s="78">
        <f t="shared" ca="1" si="102"/>
        <v>0</v>
      </c>
      <c r="Q191" s="78">
        <f t="shared" ca="1" si="102"/>
        <v>0</v>
      </c>
      <c r="R191" s="78">
        <f t="shared" ca="1" si="102"/>
        <v>0</v>
      </c>
      <c r="S191" s="78">
        <f t="shared" ca="1" si="102"/>
        <v>0</v>
      </c>
      <c r="T191" s="78">
        <f t="shared" ca="1" si="102"/>
        <v>0</v>
      </c>
      <c r="U191" s="78">
        <f t="shared" ca="1" si="102"/>
        <v>0</v>
      </c>
      <c r="V191" s="78">
        <f t="shared" ca="1" si="102"/>
        <v>0</v>
      </c>
      <c r="W191" s="78">
        <f t="shared" ca="1" si="102"/>
        <v>0</v>
      </c>
      <c r="X191" s="78">
        <f t="shared" ca="1" si="102"/>
        <v>0</v>
      </c>
    </row>
    <row r="192" spans="4:24" x14ac:dyDescent="0.3">
      <c r="D192" s="70" t="str">
        <f t="shared" si="85"/>
        <v>dLevel_T2_18</v>
      </c>
      <c r="E192" s="78">
        <f t="shared" ref="E192:X192" ca="1" si="103">IFERROR(E153*E$50/$Y75,0)</f>
        <v>4.739817510635403E-2</v>
      </c>
      <c r="F192" s="78">
        <f t="shared" ca="1" si="103"/>
        <v>0.19230409965878978</v>
      </c>
      <c r="G192" s="78">
        <f t="shared" ca="1" si="103"/>
        <v>4.739817510635403E-2</v>
      </c>
      <c r="H192" s="78">
        <f t="shared" ca="1" si="103"/>
        <v>0.19230409965878978</v>
      </c>
      <c r="I192" s="78">
        <f t="shared" ca="1" si="103"/>
        <v>0.13787293215513485</v>
      </c>
      <c r="J192" s="78">
        <f t="shared" ca="1" si="103"/>
        <v>0</v>
      </c>
      <c r="K192" s="78">
        <f t="shared" ca="1" si="103"/>
        <v>0</v>
      </c>
      <c r="L192" s="78">
        <f t="shared" ca="1" si="103"/>
        <v>0</v>
      </c>
      <c r="M192" s="78">
        <f t="shared" ca="1" si="103"/>
        <v>0</v>
      </c>
      <c r="N192" s="78">
        <f t="shared" ca="1" si="103"/>
        <v>0</v>
      </c>
      <c r="O192" s="78">
        <f t="shared" ca="1" si="103"/>
        <v>0</v>
      </c>
      <c r="P192" s="78">
        <f t="shared" ca="1" si="103"/>
        <v>0</v>
      </c>
      <c r="Q192" s="78">
        <f t="shared" ca="1" si="103"/>
        <v>0</v>
      </c>
      <c r="R192" s="78">
        <f t="shared" ca="1" si="103"/>
        <v>0</v>
      </c>
      <c r="S192" s="78">
        <f t="shared" ca="1" si="103"/>
        <v>0</v>
      </c>
      <c r="T192" s="78">
        <f t="shared" ca="1" si="103"/>
        <v>0</v>
      </c>
      <c r="U192" s="78">
        <f t="shared" ca="1" si="103"/>
        <v>0</v>
      </c>
      <c r="V192" s="78">
        <f t="shared" ca="1" si="103"/>
        <v>0</v>
      </c>
      <c r="W192" s="78">
        <f t="shared" ca="1" si="103"/>
        <v>0</v>
      </c>
      <c r="X192" s="78">
        <f t="shared" ca="1" si="103"/>
        <v>0</v>
      </c>
    </row>
    <row r="193" spans="4:24" x14ac:dyDescent="0.3">
      <c r="D193" s="70" t="str">
        <f t="shared" si="85"/>
        <v>dLevel_T2_19</v>
      </c>
      <c r="E193" s="78">
        <f t="shared" ref="E193:X193" ca="1" si="104">IFERROR(E154*E$50/$Y76,0)</f>
        <v>7.5321403744938065E-2</v>
      </c>
      <c r="F193" s="78">
        <f t="shared" ca="1" si="104"/>
        <v>4.2045374157215917E-2</v>
      </c>
      <c r="G193" s="78">
        <f t="shared" ca="1" si="104"/>
        <v>7.5321403744938065E-2</v>
      </c>
      <c r="H193" s="78">
        <f t="shared" ca="1" si="104"/>
        <v>4.2045374157215917E-2</v>
      </c>
      <c r="I193" s="78">
        <f t="shared" ca="1" si="104"/>
        <v>5.1466833786210031E-2</v>
      </c>
      <c r="J193" s="78">
        <f t="shared" ca="1" si="104"/>
        <v>0</v>
      </c>
      <c r="K193" s="78">
        <f t="shared" ca="1" si="104"/>
        <v>0</v>
      </c>
      <c r="L193" s="78">
        <f t="shared" ca="1" si="104"/>
        <v>0</v>
      </c>
      <c r="M193" s="78">
        <f t="shared" ca="1" si="104"/>
        <v>0</v>
      </c>
      <c r="N193" s="78">
        <f t="shared" ca="1" si="104"/>
        <v>0</v>
      </c>
      <c r="O193" s="78">
        <f t="shared" ca="1" si="104"/>
        <v>0</v>
      </c>
      <c r="P193" s="78">
        <f t="shared" ca="1" si="104"/>
        <v>0</v>
      </c>
      <c r="Q193" s="78">
        <f t="shared" ca="1" si="104"/>
        <v>0</v>
      </c>
      <c r="R193" s="78">
        <f t="shared" ca="1" si="104"/>
        <v>0</v>
      </c>
      <c r="S193" s="78">
        <f t="shared" ca="1" si="104"/>
        <v>0</v>
      </c>
      <c r="T193" s="78">
        <f t="shared" ca="1" si="104"/>
        <v>0</v>
      </c>
      <c r="U193" s="78">
        <f t="shared" ca="1" si="104"/>
        <v>0</v>
      </c>
      <c r="V193" s="78">
        <f t="shared" ca="1" si="104"/>
        <v>0</v>
      </c>
      <c r="W193" s="78">
        <f t="shared" ca="1" si="104"/>
        <v>0</v>
      </c>
      <c r="X193" s="78">
        <f t="shared" ca="1" si="104"/>
        <v>0</v>
      </c>
    </row>
    <row r="194" spans="4:24" x14ac:dyDescent="0.3">
      <c r="D194" s="70" t="str">
        <f t="shared" si="85"/>
        <v>dLevel_T2_21</v>
      </c>
      <c r="E194" s="78">
        <f t="shared" ref="E194:X194" ca="1" si="105">IFERROR(E155*E$50/$Y77,0)</f>
        <v>9.0938421539584244E-2</v>
      </c>
      <c r="F194" s="78">
        <f t="shared" ca="1" si="105"/>
        <v>0.10662622028809955</v>
      </c>
      <c r="G194" s="78">
        <f t="shared" ca="1" si="105"/>
        <v>9.0938421539584244E-2</v>
      </c>
      <c r="H194" s="78">
        <f t="shared" ca="1" si="105"/>
        <v>0.10662622028809955</v>
      </c>
      <c r="I194" s="78">
        <f t="shared" ca="1" si="105"/>
        <v>8.6212746035859045E-2</v>
      </c>
      <c r="J194" s="78">
        <f t="shared" ca="1" si="105"/>
        <v>0</v>
      </c>
      <c r="K194" s="78">
        <f t="shared" ca="1" si="105"/>
        <v>0</v>
      </c>
      <c r="L194" s="78">
        <f t="shared" ca="1" si="105"/>
        <v>0</v>
      </c>
      <c r="M194" s="78">
        <f t="shared" ca="1" si="105"/>
        <v>0</v>
      </c>
      <c r="N194" s="78">
        <f t="shared" ca="1" si="105"/>
        <v>0</v>
      </c>
      <c r="O194" s="78">
        <f t="shared" ca="1" si="105"/>
        <v>0</v>
      </c>
      <c r="P194" s="78">
        <f t="shared" ca="1" si="105"/>
        <v>0</v>
      </c>
      <c r="Q194" s="78">
        <f t="shared" ca="1" si="105"/>
        <v>0</v>
      </c>
      <c r="R194" s="78">
        <f t="shared" ca="1" si="105"/>
        <v>0</v>
      </c>
      <c r="S194" s="78">
        <f t="shared" ca="1" si="105"/>
        <v>0</v>
      </c>
      <c r="T194" s="78">
        <f t="shared" ca="1" si="105"/>
        <v>0</v>
      </c>
      <c r="U194" s="78">
        <f t="shared" ca="1" si="105"/>
        <v>0</v>
      </c>
      <c r="V194" s="78">
        <f t="shared" ca="1" si="105"/>
        <v>0</v>
      </c>
      <c r="W194" s="78">
        <f t="shared" ca="1" si="105"/>
        <v>0</v>
      </c>
      <c r="X194" s="78">
        <f t="shared" ca="1" si="105"/>
        <v>0</v>
      </c>
    </row>
    <row r="195" spans="4:24" x14ac:dyDescent="0.3">
      <c r="D195" s="70" t="str">
        <f t="shared" si="85"/>
        <v>dLevel_T2_22</v>
      </c>
      <c r="E195" s="78">
        <f t="shared" ref="E195:X195" ca="1" si="106">IFERROR(E156*E$50/$Y78,0)</f>
        <v>0.83572577061292785</v>
      </c>
      <c r="F195" s="78">
        <f t="shared" ca="1" si="106"/>
        <v>0.54907008923018408</v>
      </c>
      <c r="G195" s="78">
        <f t="shared" ca="1" si="106"/>
        <v>0.83572577061292785</v>
      </c>
      <c r="H195" s="78">
        <f t="shared" ca="1" si="106"/>
        <v>0.54907008923018408</v>
      </c>
      <c r="I195" s="78">
        <f t="shared" ca="1" si="106"/>
        <v>0.26748124627306902</v>
      </c>
      <c r="J195" s="78">
        <f t="shared" ca="1" si="106"/>
        <v>0</v>
      </c>
      <c r="K195" s="78">
        <f t="shared" ca="1" si="106"/>
        <v>0</v>
      </c>
      <c r="L195" s="78">
        <f t="shared" ca="1" si="106"/>
        <v>0</v>
      </c>
      <c r="M195" s="78">
        <f t="shared" ca="1" si="106"/>
        <v>0</v>
      </c>
      <c r="N195" s="78">
        <f t="shared" ca="1" si="106"/>
        <v>0</v>
      </c>
      <c r="O195" s="78">
        <f t="shared" ca="1" si="106"/>
        <v>0</v>
      </c>
      <c r="P195" s="78">
        <f t="shared" ca="1" si="106"/>
        <v>0</v>
      </c>
      <c r="Q195" s="78">
        <f t="shared" ca="1" si="106"/>
        <v>0</v>
      </c>
      <c r="R195" s="78">
        <f t="shared" ca="1" si="106"/>
        <v>0</v>
      </c>
      <c r="S195" s="78">
        <f t="shared" ca="1" si="106"/>
        <v>0</v>
      </c>
      <c r="T195" s="78">
        <f t="shared" ca="1" si="106"/>
        <v>0</v>
      </c>
      <c r="U195" s="78">
        <f t="shared" ca="1" si="106"/>
        <v>0</v>
      </c>
      <c r="V195" s="78">
        <f t="shared" ca="1" si="106"/>
        <v>0</v>
      </c>
      <c r="W195" s="78">
        <f t="shared" ca="1" si="106"/>
        <v>0</v>
      </c>
      <c r="X195" s="78">
        <f t="shared" ca="1" si="106"/>
        <v>0</v>
      </c>
    </row>
    <row r="196" spans="4:24" x14ac:dyDescent="0.3">
      <c r="D196" s="70" t="str">
        <f t="shared" si="85"/>
        <v>dLevel_T2_23</v>
      </c>
      <c r="E196" s="78">
        <f t="shared" ref="E196:X196" ca="1" si="107">IFERROR(E157*E$50/$Y79,0)</f>
        <v>8.0042074263362087E-2</v>
      </c>
      <c r="F196" s="78">
        <f t="shared" ca="1" si="107"/>
        <v>6.5514234825573957E-3</v>
      </c>
      <c r="G196" s="78">
        <f t="shared" ca="1" si="107"/>
        <v>8.0042074263362087E-2</v>
      </c>
      <c r="H196" s="78">
        <f t="shared" ca="1" si="107"/>
        <v>6.5514234825573957E-3</v>
      </c>
      <c r="I196" s="78">
        <f t="shared" ca="1" si="107"/>
        <v>6.6831696483921482E-2</v>
      </c>
      <c r="J196" s="78">
        <f t="shared" ca="1" si="107"/>
        <v>0</v>
      </c>
      <c r="K196" s="78">
        <f t="shared" ca="1" si="107"/>
        <v>0</v>
      </c>
      <c r="L196" s="78">
        <f t="shared" ca="1" si="107"/>
        <v>0</v>
      </c>
      <c r="M196" s="78">
        <f t="shared" ca="1" si="107"/>
        <v>0</v>
      </c>
      <c r="N196" s="78">
        <f t="shared" ca="1" si="107"/>
        <v>0</v>
      </c>
      <c r="O196" s="78">
        <f t="shared" ca="1" si="107"/>
        <v>0</v>
      </c>
      <c r="P196" s="78">
        <f t="shared" ca="1" si="107"/>
        <v>0</v>
      </c>
      <c r="Q196" s="78">
        <f t="shared" ca="1" si="107"/>
        <v>0</v>
      </c>
      <c r="R196" s="78">
        <f t="shared" ca="1" si="107"/>
        <v>0</v>
      </c>
      <c r="S196" s="78">
        <f t="shared" ca="1" si="107"/>
        <v>0</v>
      </c>
      <c r="T196" s="78">
        <f t="shared" ca="1" si="107"/>
        <v>0</v>
      </c>
      <c r="U196" s="78">
        <f t="shared" ca="1" si="107"/>
        <v>0</v>
      </c>
      <c r="V196" s="78">
        <f t="shared" ca="1" si="107"/>
        <v>0</v>
      </c>
      <c r="W196" s="78">
        <f t="shared" ca="1" si="107"/>
        <v>0</v>
      </c>
      <c r="X196" s="78">
        <f t="shared" ca="1" si="107"/>
        <v>0</v>
      </c>
    </row>
    <row r="197" spans="4:24" x14ac:dyDescent="0.3">
      <c r="D197" s="70" t="str">
        <f t="shared" si="85"/>
        <v>dLevel_T2_24</v>
      </c>
      <c r="E197" s="78">
        <f t="shared" ref="E197:X197" ca="1" si="108">IFERROR(E158*E$50/$Y80,0)</f>
        <v>9.3312046287312073E-2</v>
      </c>
      <c r="F197" s="78">
        <f t="shared" ca="1" si="108"/>
        <v>0.15926539627515207</v>
      </c>
      <c r="G197" s="78">
        <f t="shared" ca="1" si="108"/>
        <v>9.3312046287312073E-2</v>
      </c>
      <c r="H197" s="78">
        <f t="shared" ca="1" si="108"/>
        <v>0.15926539627515207</v>
      </c>
      <c r="I197" s="78">
        <f t="shared" ca="1" si="108"/>
        <v>0.15355255028434386</v>
      </c>
      <c r="J197" s="78">
        <f t="shared" ca="1" si="108"/>
        <v>0</v>
      </c>
      <c r="K197" s="78">
        <f t="shared" ca="1" si="108"/>
        <v>0</v>
      </c>
      <c r="L197" s="78">
        <f t="shared" ca="1" si="108"/>
        <v>0</v>
      </c>
      <c r="M197" s="78">
        <f t="shared" ca="1" si="108"/>
        <v>0</v>
      </c>
      <c r="N197" s="78">
        <f t="shared" ca="1" si="108"/>
        <v>0</v>
      </c>
      <c r="O197" s="78">
        <f t="shared" ca="1" si="108"/>
        <v>0</v>
      </c>
      <c r="P197" s="78">
        <f t="shared" ca="1" si="108"/>
        <v>0</v>
      </c>
      <c r="Q197" s="78">
        <f t="shared" ca="1" si="108"/>
        <v>0</v>
      </c>
      <c r="R197" s="78">
        <f t="shared" ca="1" si="108"/>
        <v>0</v>
      </c>
      <c r="S197" s="78">
        <f t="shared" ca="1" si="108"/>
        <v>0</v>
      </c>
      <c r="T197" s="78">
        <f t="shared" ca="1" si="108"/>
        <v>0</v>
      </c>
      <c r="U197" s="78">
        <f t="shared" ca="1" si="108"/>
        <v>0</v>
      </c>
      <c r="V197" s="78">
        <f t="shared" ca="1" si="108"/>
        <v>0</v>
      </c>
      <c r="W197" s="78">
        <f t="shared" ca="1" si="108"/>
        <v>0</v>
      </c>
      <c r="X197" s="78">
        <f t="shared" ca="1" si="108"/>
        <v>0</v>
      </c>
    </row>
    <row r="198" spans="4:24" x14ac:dyDescent="0.3">
      <c r="D198" s="70" t="str">
        <f t="shared" si="85"/>
        <v>dLevel_T2_25</v>
      </c>
      <c r="E198" s="78">
        <f t="shared" ref="E198:X198" ca="1" si="109">IFERROR(E159*E$50/$Y81,0)</f>
        <v>8.6827387685624979E-2</v>
      </c>
      <c r="F198" s="78">
        <f t="shared" ca="1" si="109"/>
        <v>2.177101841628885E-2</v>
      </c>
      <c r="G198" s="78">
        <f t="shared" ca="1" si="109"/>
        <v>8.6827387685624979E-2</v>
      </c>
      <c r="H198" s="78">
        <f t="shared" ca="1" si="109"/>
        <v>2.177101841628885E-2</v>
      </c>
      <c r="I198" s="78">
        <f t="shared" ca="1" si="109"/>
        <v>7.1364031433397312E-2</v>
      </c>
      <c r="J198" s="78">
        <f t="shared" ca="1" si="109"/>
        <v>0</v>
      </c>
      <c r="K198" s="78">
        <f t="shared" ca="1" si="109"/>
        <v>0</v>
      </c>
      <c r="L198" s="78">
        <f t="shared" ca="1" si="109"/>
        <v>0</v>
      </c>
      <c r="M198" s="78">
        <f t="shared" ca="1" si="109"/>
        <v>0</v>
      </c>
      <c r="N198" s="78">
        <f t="shared" ca="1" si="109"/>
        <v>0</v>
      </c>
      <c r="O198" s="78">
        <f t="shared" ca="1" si="109"/>
        <v>0</v>
      </c>
      <c r="P198" s="78">
        <f t="shared" ca="1" si="109"/>
        <v>0</v>
      </c>
      <c r="Q198" s="78">
        <f t="shared" ca="1" si="109"/>
        <v>0</v>
      </c>
      <c r="R198" s="78">
        <f t="shared" ca="1" si="109"/>
        <v>0</v>
      </c>
      <c r="S198" s="78">
        <f t="shared" ca="1" si="109"/>
        <v>0</v>
      </c>
      <c r="T198" s="78">
        <f t="shared" ca="1" si="109"/>
        <v>0</v>
      </c>
      <c r="U198" s="78">
        <f t="shared" ca="1" si="109"/>
        <v>0</v>
      </c>
      <c r="V198" s="78">
        <f t="shared" ca="1" si="109"/>
        <v>0</v>
      </c>
      <c r="W198" s="78">
        <f t="shared" ca="1" si="109"/>
        <v>0</v>
      </c>
      <c r="X198" s="78">
        <f t="shared" ca="1" si="109"/>
        <v>0</v>
      </c>
    </row>
    <row r="199" spans="4:24" x14ac:dyDescent="0.3">
      <c r="D199" s="70" t="str">
        <f t="shared" si="85"/>
        <v>dLevel_T2_26</v>
      </c>
      <c r="E199" s="78">
        <f t="shared" ref="E199:X199" ca="1" si="110">IFERROR(E160*E$50/$Y82,0)</f>
        <v>0.15037947211146752</v>
      </c>
      <c r="F199" s="78">
        <f t="shared" ca="1" si="110"/>
        <v>2.5727777868636621E-2</v>
      </c>
      <c r="G199" s="78">
        <f t="shared" ca="1" si="110"/>
        <v>0.15037947211146752</v>
      </c>
      <c r="H199" s="78">
        <f t="shared" ca="1" si="110"/>
        <v>2.5727777868636621E-2</v>
      </c>
      <c r="I199" s="78">
        <f t="shared" ca="1" si="110"/>
        <v>4.8783180133546516E-2</v>
      </c>
      <c r="J199" s="78">
        <f t="shared" ca="1" si="110"/>
        <v>0</v>
      </c>
      <c r="K199" s="78">
        <f t="shared" ca="1" si="110"/>
        <v>0</v>
      </c>
      <c r="L199" s="78">
        <f t="shared" ca="1" si="110"/>
        <v>0</v>
      </c>
      <c r="M199" s="78">
        <f t="shared" ca="1" si="110"/>
        <v>0</v>
      </c>
      <c r="N199" s="78">
        <f t="shared" ca="1" si="110"/>
        <v>0</v>
      </c>
      <c r="O199" s="78">
        <f t="shared" ca="1" si="110"/>
        <v>0</v>
      </c>
      <c r="P199" s="78">
        <f t="shared" ca="1" si="110"/>
        <v>0</v>
      </c>
      <c r="Q199" s="78">
        <f t="shared" ca="1" si="110"/>
        <v>0</v>
      </c>
      <c r="R199" s="78">
        <f t="shared" ca="1" si="110"/>
        <v>0</v>
      </c>
      <c r="S199" s="78">
        <f t="shared" ca="1" si="110"/>
        <v>0</v>
      </c>
      <c r="T199" s="78">
        <f t="shared" ca="1" si="110"/>
        <v>0</v>
      </c>
      <c r="U199" s="78">
        <f t="shared" ca="1" si="110"/>
        <v>0</v>
      </c>
      <c r="V199" s="78">
        <f t="shared" ca="1" si="110"/>
        <v>0</v>
      </c>
      <c r="W199" s="78">
        <f t="shared" ca="1" si="110"/>
        <v>0</v>
      </c>
      <c r="X199" s="78">
        <f t="shared" ca="1" si="110"/>
        <v>0</v>
      </c>
    </row>
    <row r="200" spans="4:24" x14ac:dyDescent="0.3">
      <c r="D200" s="70" t="str">
        <f t="shared" si="85"/>
        <v>dLevel_T2_27</v>
      </c>
      <c r="E200" s="78">
        <f t="shared" ref="E200:X200" ca="1" si="111">IFERROR(E161*E$50/$Y83,0)</f>
        <v>7.0894488315590087E-2</v>
      </c>
      <c r="F200" s="78">
        <f t="shared" ca="1" si="111"/>
        <v>0.12640871764733624</v>
      </c>
      <c r="G200" s="78">
        <f t="shared" ca="1" si="111"/>
        <v>7.0894488315590087E-2</v>
      </c>
      <c r="H200" s="78">
        <f t="shared" ca="1" si="111"/>
        <v>0.12640871764733624</v>
      </c>
      <c r="I200" s="78">
        <f t="shared" ca="1" si="111"/>
        <v>8.5291359223718458E-2</v>
      </c>
      <c r="J200" s="78">
        <f t="shared" ca="1" si="111"/>
        <v>0</v>
      </c>
      <c r="K200" s="78">
        <f t="shared" ca="1" si="111"/>
        <v>0</v>
      </c>
      <c r="L200" s="78">
        <f t="shared" ca="1" si="111"/>
        <v>0</v>
      </c>
      <c r="M200" s="78">
        <f t="shared" ca="1" si="111"/>
        <v>0</v>
      </c>
      <c r="N200" s="78">
        <f t="shared" ca="1" si="111"/>
        <v>0</v>
      </c>
      <c r="O200" s="78">
        <f t="shared" ca="1" si="111"/>
        <v>0</v>
      </c>
      <c r="P200" s="78">
        <f t="shared" ca="1" si="111"/>
        <v>0</v>
      </c>
      <c r="Q200" s="78">
        <f t="shared" ca="1" si="111"/>
        <v>0</v>
      </c>
      <c r="R200" s="78">
        <f t="shared" ca="1" si="111"/>
        <v>0</v>
      </c>
      <c r="S200" s="78">
        <f t="shared" ca="1" si="111"/>
        <v>0</v>
      </c>
      <c r="T200" s="78">
        <f t="shared" ca="1" si="111"/>
        <v>0</v>
      </c>
      <c r="U200" s="78">
        <f t="shared" ca="1" si="111"/>
        <v>0</v>
      </c>
      <c r="V200" s="78">
        <f t="shared" ca="1" si="111"/>
        <v>0</v>
      </c>
      <c r="W200" s="78">
        <f t="shared" ca="1" si="111"/>
        <v>0</v>
      </c>
      <c r="X200" s="78">
        <f t="shared" ca="1" si="111"/>
        <v>0</v>
      </c>
    </row>
    <row r="201" spans="4:24" x14ac:dyDescent="0.3">
      <c r="D201" s="70" t="str">
        <f t="shared" si="85"/>
        <v>dLevel_T2_28</v>
      </c>
      <c r="E201" s="78">
        <f t="shared" ref="E201:X201" ca="1" si="112">IFERROR(E162*E$50/$Y84,0)</f>
        <v>6.4148278288693322E-2</v>
      </c>
      <c r="F201" s="78">
        <f t="shared" ca="1" si="112"/>
        <v>7.6870652959382002E-2</v>
      </c>
      <c r="G201" s="78">
        <f t="shared" ca="1" si="112"/>
        <v>6.4148278288693322E-2</v>
      </c>
      <c r="H201" s="78">
        <f t="shared" ca="1" si="112"/>
        <v>7.6870652959382002E-2</v>
      </c>
      <c r="I201" s="78">
        <f t="shared" ca="1" si="112"/>
        <v>9.0908921608404789E-2</v>
      </c>
      <c r="J201" s="78">
        <f t="shared" ca="1" si="112"/>
        <v>0</v>
      </c>
      <c r="K201" s="78">
        <f t="shared" ca="1" si="112"/>
        <v>0</v>
      </c>
      <c r="L201" s="78">
        <f t="shared" ca="1" si="112"/>
        <v>0</v>
      </c>
      <c r="M201" s="78">
        <f t="shared" ca="1" si="112"/>
        <v>0</v>
      </c>
      <c r="N201" s="78">
        <f t="shared" ca="1" si="112"/>
        <v>0</v>
      </c>
      <c r="O201" s="78">
        <f t="shared" ca="1" si="112"/>
        <v>0</v>
      </c>
      <c r="P201" s="78">
        <f t="shared" ca="1" si="112"/>
        <v>0</v>
      </c>
      <c r="Q201" s="78">
        <f t="shared" ca="1" si="112"/>
        <v>0</v>
      </c>
      <c r="R201" s="78">
        <f t="shared" ca="1" si="112"/>
        <v>0</v>
      </c>
      <c r="S201" s="78">
        <f t="shared" ca="1" si="112"/>
        <v>0</v>
      </c>
      <c r="T201" s="78">
        <f t="shared" ca="1" si="112"/>
        <v>0</v>
      </c>
      <c r="U201" s="78">
        <f t="shared" ca="1" si="112"/>
        <v>0</v>
      </c>
      <c r="V201" s="78">
        <f t="shared" ca="1" si="112"/>
        <v>0</v>
      </c>
      <c r="W201" s="78">
        <f t="shared" ca="1" si="112"/>
        <v>0</v>
      </c>
      <c r="X201" s="78">
        <f t="shared" ca="1" si="112"/>
        <v>0</v>
      </c>
    </row>
    <row r="202" spans="4:24" x14ac:dyDescent="0.3">
      <c r="D202" s="70">
        <f t="shared" si="85"/>
        <v>0</v>
      </c>
      <c r="E202" s="78">
        <f t="shared" ref="E202:X202" ca="1" si="113">IFERROR(E163*E$50/$Y85,0)</f>
        <v>0</v>
      </c>
      <c r="F202" s="78">
        <f t="shared" ca="1" si="113"/>
        <v>0</v>
      </c>
      <c r="G202" s="78">
        <f t="shared" ca="1" si="113"/>
        <v>0</v>
      </c>
      <c r="H202" s="78">
        <f t="shared" ca="1" si="113"/>
        <v>0</v>
      </c>
      <c r="I202" s="78">
        <f t="shared" ca="1" si="113"/>
        <v>0</v>
      </c>
      <c r="J202" s="78">
        <f t="shared" ca="1" si="113"/>
        <v>0</v>
      </c>
      <c r="K202" s="78">
        <f t="shared" ca="1" si="113"/>
        <v>0</v>
      </c>
      <c r="L202" s="78">
        <f t="shared" ca="1" si="113"/>
        <v>0</v>
      </c>
      <c r="M202" s="78">
        <f t="shared" ca="1" si="113"/>
        <v>0</v>
      </c>
      <c r="N202" s="78">
        <f t="shared" ca="1" si="113"/>
        <v>0</v>
      </c>
      <c r="O202" s="78">
        <f t="shared" ca="1" si="113"/>
        <v>0</v>
      </c>
      <c r="P202" s="78">
        <f t="shared" ca="1" si="113"/>
        <v>0</v>
      </c>
      <c r="Q202" s="78">
        <f t="shared" ca="1" si="113"/>
        <v>0</v>
      </c>
      <c r="R202" s="78">
        <f t="shared" ca="1" si="113"/>
        <v>0</v>
      </c>
      <c r="S202" s="78">
        <f t="shared" ca="1" si="113"/>
        <v>0</v>
      </c>
      <c r="T202" s="78">
        <f t="shared" ca="1" si="113"/>
        <v>0</v>
      </c>
      <c r="U202" s="78">
        <f t="shared" ca="1" si="113"/>
        <v>0</v>
      </c>
      <c r="V202" s="78">
        <f t="shared" ca="1" si="113"/>
        <v>0</v>
      </c>
      <c r="W202" s="78">
        <f t="shared" ca="1" si="113"/>
        <v>0</v>
      </c>
      <c r="X202" s="78">
        <f t="shared" ca="1" si="113"/>
        <v>0</v>
      </c>
    </row>
    <row r="203" spans="4:24" x14ac:dyDescent="0.3">
      <c r="D203" s="70">
        <f t="shared" si="85"/>
        <v>0</v>
      </c>
      <c r="E203" s="78">
        <f t="shared" ref="E203:X203" ca="1" si="114">IFERROR(E164*E$50/$Y86,0)</f>
        <v>0</v>
      </c>
      <c r="F203" s="78">
        <f t="shared" ca="1" si="114"/>
        <v>0</v>
      </c>
      <c r="G203" s="78">
        <f t="shared" ca="1" si="114"/>
        <v>0</v>
      </c>
      <c r="H203" s="78">
        <f t="shared" ca="1" si="114"/>
        <v>0</v>
      </c>
      <c r="I203" s="78">
        <f t="shared" ca="1" si="114"/>
        <v>0</v>
      </c>
      <c r="J203" s="78">
        <f t="shared" ca="1" si="114"/>
        <v>0</v>
      </c>
      <c r="K203" s="78">
        <f t="shared" ca="1" si="114"/>
        <v>0</v>
      </c>
      <c r="L203" s="78">
        <f t="shared" ca="1" si="114"/>
        <v>0</v>
      </c>
      <c r="M203" s="78">
        <f t="shared" ca="1" si="114"/>
        <v>0</v>
      </c>
      <c r="N203" s="78">
        <f t="shared" ca="1" si="114"/>
        <v>0</v>
      </c>
      <c r="O203" s="78">
        <f t="shared" ca="1" si="114"/>
        <v>0</v>
      </c>
      <c r="P203" s="78">
        <f t="shared" ca="1" si="114"/>
        <v>0</v>
      </c>
      <c r="Q203" s="78">
        <f t="shared" ca="1" si="114"/>
        <v>0</v>
      </c>
      <c r="R203" s="78">
        <f t="shared" ca="1" si="114"/>
        <v>0</v>
      </c>
      <c r="S203" s="78">
        <f t="shared" ca="1" si="114"/>
        <v>0</v>
      </c>
      <c r="T203" s="78">
        <f t="shared" ca="1" si="114"/>
        <v>0</v>
      </c>
      <c r="U203" s="78">
        <f t="shared" ca="1" si="114"/>
        <v>0</v>
      </c>
      <c r="V203" s="78">
        <f t="shared" ca="1" si="114"/>
        <v>0</v>
      </c>
      <c r="W203" s="78">
        <f t="shared" ca="1" si="114"/>
        <v>0</v>
      </c>
      <c r="X203" s="78">
        <f t="shared" ca="1" si="114"/>
        <v>0</v>
      </c>
    </row>
    <row r="204" spans="4:24" x14ac:dyDescent="0.3">
      <c r="D204" s="70">
        <f t="shared" si="85"/>
        <v>0</v>
      </c>
      <c r="E204" s="78">
        <f t="shared" ref="E204:X204" ca="1" si="115">IFERROR(E165*E$50/$Y87,0)</f>
        <v>0</v>
      </c>
      <c r="F204" s="78">
        <f t="shared" ca="1" si="115"/>
        <v>0</v>
      </c>
      <c r="G204" s="78">
        <f t="shared" ca="1" si="115"/>
        <v>0</v>
      </c>
      <c r="H204" s="78">
        <f t="shared" ca="1" si="115"/>
        <v>0</v>
      </c>
      <c r="I204" s="78">
        <f t="shared" ca="1" si="115"/>
        <v>0</v>
      </c>
      <c r="J204" s="78">
        <f t="shared" ca="1" si="115"/>
        <v>0</v>
      </c>
      <c r="K204" s="78">
        <f t="shared" ca="1" si="115"/>
        <v>0</v>
      </c>
      <c r="L204" s="78">
        <f t="shared" ca="1" si="115"/>
        <v>0</v>
      </c>
      <c r="M204" s="78">
        <f t="shared" ca="1" si="115"/>
        <v>0</v>
      </c>
      <c r="N204" s="78">
        <f t="shared" ca="1" si="115"/>
        <v>0</v>
      </c>
      <c r="O204" s="78">
        <f t="shared" ca="1" si="115"/>
        <v>0</v>
      </c>
      <c r="P204" s="78">
        <f t="shared" ca="1" si="115"/>
        <v>0</v>
      </c>
      <c r="Q204" s="78">
        <f t="shared" ca="1" si="115"/>
        <v>0</v>
      </c>
      <c r="R204" s="78">
        <f t="shared" ca="1" si="115"/>
        <v>0</v>
      </c>
      <c r="S204" s="78">
        <f t="shared" ca="1" si="115"/>
        <v>0</v>
      </c>
      <c r="T204" s="78">
        <f t="shared" ca="1" si="115"/>
        <v>0</v>
      </c>
      <c r="U204" s="78">
        <f t="shared" ca="1" si="115"/>
        <v>0</v>
      </c>
      <c r="V204" s="78">
        <f t="shared" ca="1" si="115"/>
        <v>0</v>
      </c>
      <c r="W204" s="78">
        <f t="shared" ca="1" si="115"/>
        <v>0</v>
      </c>
      <c r="X204" s="78">
        <f t="shared" ca="1" si="115"/>
        <v>0</v>
      </c>
    </row>
    <row r="205" spans="4:24" x14ac:dyDescent="0.3">
      <c r="D205" s="70">
        <f t="shared" si="85"/>
        <v>0</v>
      </c>
      <c r="E205" s="78">
        <f t="shared" ref="E205:X205" ca="1" si="116">IFERROR(E166*E$50/$Y88,0)</f>
        <v>0</v>
      </c>
      <c r="F205" s="78">
        <f t="shared" ca="1" si="116"/>
        <v>0</v>
      </c>
      <c r="G205" s="78">
        <f t="shared" ca="1" si="116"/>
        <v>0</v>
      </c>
      <c r="H205" s="78">
        <f t="shared" ca="1" si="116"/>
        <v>0</v>
      </c>
      <c r="I205" s="78">
        <f t="shared" ca="1" si="116"/>
        <v>0</v>
      </c>
      <c r="J205" s="78">
        <f t="shared" ca="1" si="116"/>
        <v>0</v>
      </c>
      <c r="K205" s="78">
        <f t="shared" ca="1" si="116"/>
        <v>0</v>
      </c>
      <c r="L205" s="78">
        <f t="shared" ca="1" si="116"/>
        <v>0</v>
      </c>
      <c r="M205" s="78">
        <f t="shared" ca="1" si="116"/>
        <v>0</v>
      </c>
      <c r="N205" s="78">
        <f t="shared" ca="1" si="116"/>
        <v>0</v>
      </c>
      <c r="O205" s="78">
        <f t="shared" ca="1" si="116"/>
        <v>0</v>
      </c>
      <c r="P205" s="78">
        <f t="shared" ca="1" si="116"/>
        <v>0</v>
      </c>
      <c r="Q205" s="78">
        <f t="shared" ca="1" si="116"/>
        <v>0</v>
      </c>
      <c r="R205" s="78">
        <f t="shared" ca="1" si="116"/>
        <v>0</v>
      </c>
      <c r="S205" s="78">
        <f t="shared" ca="1" si="116"/>
        <v>0</v>
      </c>
      <c r="T205" s="78">
        <f t="shared" ca="1" si="116"/>
        <v>0</v>
      </c>
      <c r="U205" s="78">
        <f t="shared" ca="1" si="116"/>
        <v>0</v>
      </c>
      <c r="V205" s="78">
        <f t="shared" ca="1" si="116"/>
        <v>0</v>
      </c>
      <c r="W205" s="78">
        <f t="shared" ca="1" si="116"/>
        <v>0</v>
      </c>
      <c r="X205" s="78">
        <f t="shared" ca="1" si="116"/>
        <v>0</v>
      </c>
    </row>
    <row r="206" spans="4:24" x14ac:dyDescent="0.3">
      <c r="D206" s="70">
        <f t="shared" si="85"/>
        <v>0</v>
      </c>
      <c r="E206" s="78">
        <f t="shared" ref="E206:X206" ca="1" si="117">IFERROR(E167*E$50/$Y89,0)</f>
        <v>0</v>
      </c>
      <c r="F206" s="78">
        <f t="shared" ca="1" si="117"/>
        <v>0</v>
      </c>
      <c r="G206" s="78">
        <f t="shared" ca="1" si="117"/>
        <v>0</v>
      </c>
      <c r="H206" s="78">
        <f t="shared" ca="1" si="117"/>
        <v>0</v>
      </c>
      <c r="I206" s="78">
        <f t="shared" ca="1" si="117"/>
        <v>0</v>
      </c>
      <c r="J206" s="78">
        <f t="shared" ca="1" si="117"/>
        <v>0</v>
      </c>
      <c r="K206" s="78">
        <f t="shared" ca="1" si="117"/>
        <v>0</v>
      </c>
      <c r="L206" s="78">
        <f t="shared" ca="1" si="117"/>
        <v>0</v>
      </c>
      <c r="M206" s="78">
        <f t="shared" ca="1" si="117"/>
        <v>0</v>
      </c>
      <c r="N206" s="78">
        <f t="shared" ca="1" si="117"/>
        <v>0</v>
      </c>
      <c r="O206" s="78">
        <f t="shared" ca="1" si="117"/>
        <v>0</v>
      </c>
      <c r="P206" s="78">
        <f t="shared" ca="1" si="117"/>
        <v>0</v>
      </c>
      <c r="Q206" s="78">
        <f t="shared" ca="1" si="117"/>
        <v>0</v>
      </c>
      <c r="R206" s="78">
        <f t="shared" ca="1" si="117"/>
        <v>0</v>
      </c>
      <c r="S206" s="78">
        <f t="shared" ca="1" si="117"/>
        <v>0</v>
      </c>
      <c r="T206" s="78">
        <f t="shared" ca="1" si="117"/>
        <v>0</v>
      </c>
      <c r="U206" s="78">
        <f t="shared" ca="1" si="117"/>
        <v>0</v>
      </c>
      <c r="V206" s="78">
        <f t="shared" ca="1" si="117"/>
        <v>0</v>
      </c>
      <c r="W206" s="78">
        <f t="shared" ca="1" si="117"/>
        <v>0</v>
      </c>
      <c r="X206" s="78">
        <f t="shared" ca="1" si="117"/>
        <v>0</v>
      </c>
    </row>
    <row r="207" spans="4:24" x14ac:dyDescent="0.3">
      <c r="D207" s="70">
        <f t="shared" si="85"/>
        <v>0</v>
      </c>
      <c r="E207" s="78">
        <f t="shared" ref="E207:X207" ca="1" si="118">IFERROR(E168*E$50/$Y90,0)</f>
        <v>0</v>
      </c>
      <c r="F207" s="78">
        <f t="shared" ca="1" si="118"/>
        <v>0</v>
      </c>
      <c r="G207" s="78">
        <f t="shared" ca="1" si="118"/>
        <v>0</v>
      </c>
      <c r="H207" s="78">
        <f t="shared" ca="1" si="118"/>
        <v>0</v>
      </c>
      <c r="I207" s="78">
        <f t="shared" ca="1" si="118"/>
        <v>0</v>
      </c>
      <c r="J207" s="78">
        <f t="shared" ca="1" si="118"/>
        <v>0</v>
      </c>
      <c r="K207" s="78">
        <f t="shared" ca="1" si="118"/>
        <v>0</v>
      </c>
      <c r="L207" s="78">
        <f t="shared" ca="1" si="118"/>
        <v>0</v>
      </c>
      <c r="M207" s="78">
        <f t="shared" ca="1" si="118"/>
        <v>0</v>
      </c>
      <c r="N207" s="78">
        <f t="shared" ca="1" si="118"/>
        <v>0</v>
      </c>
      <c r="O207" s="78">
        <f t="shared" ca="1" si="118"/>
        <v>0</v>
      </c>
      <c r="P207" s="78">
        <f t="shared" ca="1" si="118"/>
        <v>0</v>
      </c>
      <c r="Q207" s="78">
        <f t="shared" ca="1" si="118"/>
        <v>0</v>
      </c>
      <c r="R207" s="78">
        <f t="shared" ca="1" si="118"/>
        <v>0</v>
      </c>
      <c r="S207" s="78">
        <f t="shared" ca="1" si="118"/>
        <v>0</v>
      </c>
      <c r="T207" s="78">
        <f t="shared" ca="1" si="118"/>
        <v>0</v>
      </c>
      <c r="U207" s="78">
        <f t="shared" ca="1" si="118"/>
        <v>0</v>
      </c>
      <c r="V207" s="78">
        <f t="shared" ca="1" si="118"/>
        <v>0</v>
      </c>
      <c r="W207" s="78">
        <f t="shared" ca="1" si="118"/>
        <v>0</v>
      </c>
      <c r="X207" s="78">
        <f t="shared" ca="1" si="118"/>
        <v>0</v>
      </c>
    </row>
    <row r="208" spans="4:24" x14ac:dyDescent="0.3">
      <c r="D208" s="70">
        <f t="shared" si="85"/>
        <v>0</v>
      </c>
      <c r="E208" s="78">
        <f t="shared" ref="E208:X208" ca="1" si="119">IFERROR(E169*E$50/$Y91,0)</f>
        <v>0</v>
      </c>
      <c r="F208" s="78">
        <f t="shared" ca="1" si="119"/>
        <v>0</v>
      </c>
      <c r="G208" s="78">
        <f t="shared" ca="1" si="119"/>
        <v>0</v>
      </c>
      <c r="H208" s="78">
        <f t="shared" ca="1" si="119"/>
        <v>0</v>
      </c>
      <c r="I208" s="78">
        <f t="shared" ca="1" si="119"/>
        <v>0</v>
      </c>
      <c r="J208" s="78">
        <f t="shared" ca="1" si="119"/>
        <v>0</v>
      </c>
      <c r="K208" s="78">
        <f t="shared" ca="1" si="119"/>
        <v>0</v>
      </c>
      <c r="L208" s="78">
        <f t="shared" ca="1" si="119"/>
        <v>0</v>
      </c>
      <c r="M208" s="78">
        <f t="shared" ca="1" si="119"/>
        <v>0</v>
      </c>
      <c r="N208" s="78">
        <f t="shared" ca="1" si="119"/>
        <v>0</v>
      </c>
      <c r="O208" s="78">
        <f t="shared" ca="1" si="119"/>
        <v>0</v>
      </c>
      <c r="P208" s="78">
        <f t="shared" ca="1" si="119"/>
        <v>0</v>
      </c>
      <c r="Q208" s="78">
        <f t="shared" ca="1" si="119"/>
        <v>0</v>
      </c>
      <c r="R208" s="78">
        <f t="shared" ca="1" si="119"/>
        <v>0</v>
      </c>
      <c r="S208" s="78">
        <f t="shared" ca="1" si="119"/>
        <v>0</v>
      </c>
      <c r="T208" s="78">
        <f t="shared" ca="1" si="119"/>
        <v>0</v>
      </c>
      <c r="U208" s="78">
        <f t="shared" ca="1" si="119"/>
        <v>0</v>
      </c>
      <c r="V208" s="78">
        <f t="shared" ca="1" si="119"/>
        <v>0</v>
      </c>
      <c r="W208" s="78">
        <f t="shared" ca="1" si="119"/>
        <v>0</v>
      </c>
      <c r="X208" s="78">
        <f t="shared" ca="1" si="119"/>
        <v>0</v>
      </c>
    </row>
    <row r="209" spans="4:24" x14ac:dyDescent="0.3">
      <c r="D209" s="70">
        <f t="shared" si="85"/>
        <v>0</v>
      </c>
      <c r="E209" s="78">
        <f t="shared" ref="E209:X209" ca="1" si="120">IFERROR(E170*E$50/$Y92,0)</f>
        <v>0</v>
      </c>
      <c r="F209" s="78">
        <f t="shared" ca="1" si="120"/>
        <v>0</v>
      </c>
      <c r="G209" s="78">
        <f t="shared" ca="1" si="120"/>
        <v>0</v>
      </c>
      <c r="H209" s="78">
        <f t="shared" ca="1" si="120"/>
        <v>0</v>
      </c>
      <c r="I209" s="78">
        <f t="shared" ca="1" si="120"/>
        <v>0</v>
      </c>
      <c r="J209" s="78">
        <f t="shared" ca="1" si="120"/>
        <v>0</v>
      </c>
      <c r="K209" s="78">
        <f t="shared" ca="1" si="120"/>
        <v>0</v>
      </c>
      <c r="L209" s="78">
        <f t="shared" ca="1" si="120"/>
        <v>0</v>
      </c>
      <c r="M209" s="78">
        <f t="shared" ca="1" si="120"/>
        <v>0</v>
      </c>
      <c r="N209" s="78">
        <f t="shared" ca="1" si="120"/>
        <v>0</v>
      </c>
      <c r="O209" s="78">
        <f t="shared" ca="1" si="120"/>
        <v>0</v>
      </c>
      <c r="P209" s="78">
        <f t="shared" ca="1" si="120"/>
        <v>0</v>
      </c>
      <c r="Q209" s="78">
        <f t="shared" ca="1" si="120"/>
        <v>0</v>
      </c>
      <c r="R209" s="78">
        <f t="shared" ca="1" si="120"/>
        <v>0</v>
      </c>
      <c r="S209" s="78">
        <f t="shared" ca="1" si="120"/>
        <v>0</v>
      </c>
      <c r="T209" s="78">
        <f t="shared" ca="1" si="120"/>
        <v>0</v>
      </c>
      <c r="U209" s="78">
        <f t="shared" ca="1" si="120"/>
        <v>0</v>
      </c>
      <c r="V209" s="78">
        <f t="shared" ca="1" si="120"/>
        <v>0</v>
      </c>
      <c r="W209" s="78">
        <f t="shared" ca="1" si="120"/>
        <v>0</v>
      </c>
      <c r="X209" s="78">
        <f t="shared" ca="1" si="120"/>
        <v>0</v>
      </c>
    </row>
    <row r="210" spans="4:24" x14ac:dyDescent="0.3">
      <c r="D210" s="94" t="s">
        <v>392</v>
      </c>
      <c r="E210" s="95">
        <f t="shared" ref="E210:X210" ca="1" si="121">IFERROR(AVERAGEIF(E175:E209,"&gt;0"),"")</f>
        <v>0.15063329697395431</v>
      </c>
      <c r="F210" s="95">
        <f t="shared" ca="1" si="121"/>
        <v>0.12171431819431942</v>
      </c>
      <c r="G210" s="95">
        <f t="shared" ca="1" si="121"/>
        <v>0.15063329697395431</v>
      </c>
      <c r="H210" s="95">
        <f t="shared" ca="1" si="121"/>
        <v>0.12171431819431942</v>
      </c>
      <c r="I210" s="95">
        <f t="shared" ca="1" si="121"/>
        <v>9.8427186216773793E-2</v>
      </c>
      <c r="J210" s="95" t="str">
        <f t="shared" ca="1" si="121"/>
        <v/>
      </c>
      <c r="K210" s="95" t="str">
        <f t="shared" ca="1" si="121"/>
        <v/>
      </c>
      <c r="L210" s="95" t="str">
        <f t="shared" ca="1" si="121"/>
        <v/>
      </c>
      <c r="M210" s="95" t="str">
        <f t="shared" ca="1" si="121"/>
        <v/>
      </c>
      <c r="N210" s="95" t="str">
        <f t="shared" ca="1" si="121"/>
        <v/>
      </c>
      <c r="O210" s="95" t="str">
        <f t="shared" ca="1" si="121"/>
        <v/>
      </c>
      <c r="P210" s="95" t="str">
        <f t="shared" ca="1" si="121"/>
        <v/>
      </c>
      <c r="Q210" s="95" t="str">
        <f t="shared" ca="1" si="121"/>
        <v/>
      </c>
      <c r="R210" s="95" t="str">
        <f t="shared" ca="1" si="121"/>
        <v/>
      </c>
      <c r="S210" s="95" t="str">
        <f t="shared" ca="1" si="121"/>
        <v/>
      </c>
      <c r="T210" s="95" t="str">
        <f t="shared" ca="1" si="121"/>
        <v/>
      </c>
      <c r="U210" s="95" t="str">
        <f t="shared" ca="1" si="121"/>
        <v/>
      </c>
      <c r="V210" s="95" t="str">
        <f t="shared" ca="1" si="121"/>
        <v/>
      </c>
      <c r="W210" s="95" t="str">
        <f t="shared" ca="1" si="121"/>
        <v/>
      </c>
      <c r="X210" s="95" t="str">
        <f t="shared" ca="1" si="121"/>
        <v/>
      </c>
    </row>
    <row r="213" spans="4:24" ht="22.5" customHeight="1" x14ac:dyDescent="0.3">
      <c r="D213" s="20" t="s">
        <v>393</v>
      </c>
      <c r="E213" s="13" t="str">
        <f t="shared" ref="E213:X213" si="122">E174</f>
        <v>dLevel_ABA</v>
      </c>
      <c r="F213" s="13" t="str">
        <f t="shared" si="122"/>
        <v>dLevel_B6_T2B</v>
      </c>
      <c r="G213" s="13" t="str">
        <f t="shared" si="122"/>
        <v>dLevel_ABA</v>
      </c>
      <c r="H213" s="13" t="str">
        <f t="shared" si="122"/>
        <v>dLevel_B6_T2B</v>
      </c>
      <c r="I213" s="13" t="str">
        <f t="shared" si="122"/>
        <v>dLevel_B7_T2B</v>
      </c>
      <c r="J213" s="13" t="str">
        <f t="shared" si="122"/>
        <v/>
      </c>
      <c r="K213" s="13" t="str">
        <f t="shared" si="122"/>
        <v/>
      </c>
      <c r="L213" s="13" t="str">
        <f t="shared" si="122"/>
        <v/>
      </c>
      <c r="M213" s="13" t="str">
        <f t="shared" si="122"/>
        <v/>
      </c>
      <c r="N213" s="13" t="str">
        <f t="shared" si="122"/>
        <v/>
      </c>
      <c r="O213" s="13" t="str">
        <f t="shared" si="122"/>
        <v/>
      </c>
      <c r="P213" s="13" t="str">
        <f t="shared" si="122"/>
        <v/>
      </c>
      <c r="Q213" s="13" t="str">
        <f t="shared" si="122"/>
        <v/>
      </c>
      <c r="R213" s="13" t="str">
        <f t="shared" si="122"/>
        <v/>
      </c>
      <c r="S213" s="13" t="str">
        <f t="shared" si="122"/>
        <v/>
      </c>
      <c r="T213" s="13" t="str">
        <f t="shared" si="122"/>
        <v/>
      </c>
      <c r="U213" s="13" t="str">
        <f t="shared" si="122"/>
        <v/>
      </c>
      <c r="V213" s="13" t="str">
        <f t="shared" si="122"/>
        <v/>
      </c>
      <c r="W213" s="13" t="str">
        <f t="shared" si="122"/>
        <v/>
      </c>
      <c r="X213" s="13" t="str">
        <f t="shared" si="122"/>
        <v/>
      </c>
    </row>
    <row r="214" spans="4:24" x14ac:dyDescent="0.3">
      <c r="D214" s="70" t="str">
        <f t="shared" ref="D214:D248" si="123">D97</f>
        <v>dLevel_T2_1</v>
      </c>
      <c r="E214" s="78">
        <f t="shared" ref="E214:X214" ca="1" si="124">IFERROR(SQRT(E175/E$210)*100,0)</f>
        <v>112.08241420870348</v>
      </c>
      <c r="F214" s="78">
        <f t="shared" ca="1" si="124"/>
        <v>111.11841871743906</v>
      </c>
      <c r="G214" s="78">
        <f t="shared" ca="1" si="124"/>
        <v>112.08241420870348</v>
      </c>
      <c r="H214" s="78">
        <f t="shared" ca="1" si="124"/>
        <v>111.11841871743906</v>
      </c>
      <c r="I214" s="78">
        <f t="shared" ca="1" si="124"/>
        <v>114.22484054207598</v>
      </c>
      <c r="J214" s="78">
        <f t="shared" ca="1" si="124"/>
        <v>0</v>
      </c>
      <c r="K214" s="78">
        <f t="shared" ca="1" si="124"/>
        <v>0</v>
      </c>
      <c r="L214" s="78">
        <f t="shared" ca="1" si="124"/>
        <v>0</v>
      </c>
      <c r="M214" s="78">
        <f t="shared" ca="1" si="124"/>
        <v>0</v>
      </c>
      <c r="N214" s="78">
        <f t="shared" ca="1" si="124"/>
        <v>0</v>
      </c>
      <c r="O214" s="78">
        <f t="shared" ca="1" si="124"/>
        <v>0</v>
      </c>
      <c r="P214" s="78">
        <f t="shared" ca="1" si="124"/>
        <v>0</v>
      </c>
      <c r="Q214" s="78">
        <f t="shared" ca="1" si="124"/>
        <v>0</v>
      </c>
      <c r="R214" s="78">
        <f t="shared" ca="1" si="124"/>
        <v>0</v>
      </c>
      <c r="S214" s="78">
        <f t="shared" ca="1" si="124"/>
        <v>0</v>
      </c>
      <c r="T214" s="78">
        <f t="shared" ca="1" si="124"/>
        <v>0</v>
      </c>
      <c r="U214" s="78">
        <f t="shared" ca="1" si="124"/>
        <v>0</v>
      </c>
      <c r="V214" s="78">
        <f t="shared" ca="1" si="124"/>
        <v>0</v>
      </c>
      <c r="W214" s="78">
        <f t="shared" ca="1" si="124"/>
        <v>0</v>
      </c>
      <c r="X214" s="78">
        <f t="shared" ca="1" si="124"/>
        <v>0</v>
      </c>
    </row>
    <row r="215" spans="4:24" x14ac:dyDescent="0.3">
      <c r="D215" s="70" t="str">
        <f t="shared" si="123"/>
        <v>dLevel_T2_2</v>
      </c>
      <c r="E215" s="78">
        <f t="shared" ref="E215:X215" ca="1" si="125">IFERROR(SQRT(E176/E$210)*100,0)</f>
        <v>84.043131133822797</v>
      </c>
      <c r="F215" s="78">
        <f t="shared" ca="1" si="125"/>
        <v>52.862018449220038</v>
      </c>
      <c r="G215" s="78">
        <f t="shared" ca="1" si="125"/>
        <v>84.043131133822797</v>
      </c>
      <c r="H215" s="78">
        <f t="shared" ca="1" si="125"/>
        <v>52.862018449220038</v>
      </c>
      <c r="I215" s="78">
        <f t="shared" ca="1" si="125"/>
        <v>102.89336439442994</v>
      </c>
      <c r="J215" s="78">
        <f t="shared" ca="1" si="125"/>
        <v>0</v>
      </c>
      <c r="K215" s="78">
        <f t="shared" ca="1" si="125"/>
        <v>0</v>
      </c>
      <c r="L215" s="78">
        <f t="shared" ca="1" si="125"/>
        <v>0</v>
      </c>
      <c r="M215" s="78">
        <f t="shared" ca="1" si="125"/>
        <v>0</v>
      </c>
      <c r="N215" s="78">
        <f t="shared" ca="1" si="125"/>
        <v>0</v>
      </c>
      <c r="O215" s="78">
        <f t="shared" ca="1" si="125"/>
        <v>0</v>
      </c>
      <c r="P215" s="78">
        <f t="shared" ca="1" si="125"/>
        <v>0</v>
      </c>
      <c r="Q215" s="78">
        <f t="shared" ca="1" si="125"/>
        <v>0</v>
      </c>
      <c r="R215" s="78">
        <f t="shared" ca="1" si="125"/>
        <v>0</v>
      </c>
      <c r="S215" s="78">
        <f t="shared" ca="1" si="125"/>
        <v>0</v>
      </c>
      <c r="T215" s="78">
        <f t="shared" ca="1" si="125"/>
        <v>0</v>
      </c>
      <c r="U215" s="78">
        <f t="shared" ca="1" si="125"/>
        <v>0</v>
      </c>
      <c r="V215" s="78">
        <f t="shared" ca="1" si="125"/>
        <v>0</v>
      </c>
      <c r="W215" s="78">
        <f t="shared" ca="1" si="125"/>
        <v>0</v>
      </c>
      <c r="X215" s="78">
        <f t="shared" ca="1" si="125"/>
        <v>0</v>
      </c>
    </row>
    <row r="216" spans="4:24" x14ac:dyDescent="0.3">
      <c r="D216" s="70" t="str">
        <f t="shared" si="123"/>
        <v>dLevel_T2_3</v>
      </c>
      <c r="E216" s="78">
        <f t="shared" ref="E216:X216" ca="1" si="126">IFERROR(SQRT(E177/E$210)*100,0)</f>
        <v>77.990328864320006</v>
      </c>
      <c r="F216" s="78">
        <f t="shared" ca="1" si="126"/>
        <v>54.173647852923779</v>
      </c>
      <c r="G216" s="78">
        <f t="shared" ca="1" si="126"/>
        <v>77.990328864320006</v>
      </c>
      <c r="H216" s="78">
        <f t="shared" ca="1" si="126"/>
        <v>54.173647852923779</v>
      </c>
      <c r="I216" s="78">
        <f t="shared" ca="1" si="126"/>
        <v>97.051479850086182</v>
      </c>
      <c r="J216" s="78">
        <f t="shared" ca="1" si="126"/>
        <v>0</v>
      </c>
      <c r="K216" s="78">
        <f t="shared" ca="1" si="126"/>
        <v>0</v>
      </c>
      <c r="L216" s="78">
        <f t="shared" ca="1" si="126"/>
        <v>0</v>
      </c>
      <c r="M216" s="78">
        <f t="shared" ca="1" si="126"/>
        <v>0</v>
      </c>
      <c r="N216" s="78">
        <f t="shared" ca="1" si="126"/>
        <v>0</v>
      </c>
      <c r="O216" s="78">
        <f t="shared" ca="1" si="126"/>
        <v>0</v>
      </c>
      <c r="P216" s="78">
        <f t="shared" ca="1" si="126"/>
        <v>0</v>
      </c>
      <c r="Q216" s="78">
        <f t="shared" ca="1" si="126"/>
        <v>0</v>
      </c>
      <c r="R216" s="78">
        <f t="shared" ca="1" si="126"/>
        <v>0</v>
      </c>
      <c r="S216" s="78">
        <f t="shared" ca="1" si="126"/>
        <v>0</v>
      </c>
      <c r="T216" s="78">
        <f t="shared" ca="1" si="126"/>
        <v>0</v>
      </c>
      <c r="U216" s="78">
        <f t="shared" ca="1" si="126"/>
        <v>0</v>
      </c>
      <c r="V216" s="78">
        <f t="shared" ca="1" si="126"/>
        <v>0</v>
      </c>
      <c r="W216" s="78">
        <f t="shared" ca="1" si="126"/>
        <v>0</v>
      </c>
      <c r="X216" s="78">
        <f t="shared" ca="1" si="126"/>
        <v>0</v>
      </c>
    </row>
    <row r="217" spans="4:24" x14ac:dyDescent="0.3">
      <c r="D217" s="70" t="str">
        <f t="shared" si="123"/>
        <v>dLevel_T2_4</v>
      </c>
      <c r="E217" s="78">
        <f t="shared" ref="E217:X217" ca="1" si="127">IFERROR(SQRT(E178/E$210)*100,0)</f>
        <v>114.46797969295224</v>
      </c>
      <c r="F217" s="78">
        <f t="shared" ca="1" si="127"/>
        <v>121.69039818767942</v>
      </c>
      <c r="G217" s="78">
        <f t="shared" ca="1" si="127"/>
        <v>114.46797969295224</v>
      </c>
      <c r="H217" s="78">
        <f t="shared" ca="1" si="127"/>
        <v>121.69039818767942</v>
      </c>
      <c r="I217" s="78">
        <f t="shared" ca="1" si="127"/>
        <v>117.35230850925585</v>
      </c>
      <c r="J217" s="78">
        <f t="shared" ca="1" si="127"/>
        <v>0</v>
      </c>
      <c r="K217" s="78">
        <f t="shared" ca="1" si="127"/>
        <v>0</v>
      </c>
      <c r="L217" s="78">
        <f t="shared" ca="1" si="127"/>
        <v>0</v>
      </c>
      <c r="M217" s="78">
        <f t="shared" ca="1" si="127"/>
        <v>0</v>
      </c>
      <c r="N217" s="78">
        <f t="shared" ca="1" si="127"/>
        <v>0</v>
      </c>
      <c r="O217" s="78">
        <f t="shared" ca="1" si="127"/>
        <v>0</v>
      </c>
      <c r="P217" s="78">
        <f t="shared" ca="1" si="127"/>
        <v>0</v>
      </c>
      <c r="Q217" s="78">
        <f t="shared" ca="1" si="127"/>
        <v>0</v>
      </c>
      <c r="R217" s="78">
        <f t="shared" ca="1" si="127"/>
        <v>0</v>
      </c>
      <c r="S217" s="78">
        <f t="shared" ca="1" si="127"/>
        <v>0</v>
      </c>
      <c r="T217" s="78">
        <f t="shared" ca="1" si="127"/>
        <v>0</v>
      </c>
      <c r="U217" s="78">
        <f t="shared" ca="1" si="127"/>
        <v>0</v>
      </c>
      <c r="V217" s="78">
        <f t="shared" ca="1" si="127"/>
        <v>0</v>
      </c>
      <c r="W217" s="78">
        <f t="shared" ca="1" si="127"/>
        <v>0</v>
      </c>
      <c r="X217" s="78">
        <f t="shared" ca="1" si="127"/>
        <v>0</v>
      </c>
    </row>
    <row r="218" spans="4:24" x14ac:dyDescent="0.3">
      <c r="D218" s="70" t="str">
        <f t="shared" si="123"/>
        <v>dLevel_T2_5</v>
      </c>
      <c r="E218" s="78">
        <f t="shared" ref="E218:X218" ca="1" si="128">IFERROR(SQRT(E179/E$210)*100,0)</f>
        <v>78.050971504161296</v>
      </c>
      <c r="F218" s="78">
        <f t="shared" ca="1" si="128"/>
        <v>126.18890812358103</v>
      </c>
      <c r="G218" s="78">
        <f t="shared" ca="1" si="128"/>
        <v>78.050971504161296</v>
      </c>
      <c r="H218" s="78">
        <f t="shared" ca="1" si="128"/>
        <v>126.18890812358103</v>
      </c>
      <c r="I218" s="78">
        <f t="shared" ca="1" si="128"/>
        <v>99.243526411827048</v>
      </c>
      <c r="J218" s="78">
        <f t="shared" ca="1" si="128"/>
        <v>0</v>
      </c>
      <c r="K218" s="78">
        <f t="shared" ca="1" si="128"/>
        <v>0</v>
      </c>
      <c r="L218" s="78">
        <f t="shared" ca="1" si="128"/>
        <v>0</v>
      </c>
      <c r="M218" s="78">
        <f t="shared" ca="1" si="128"/>
        <v>0</v>
      </c>
      <c r="N218" s="78">
        <f t="shared" ca="1" si="128"/>
        <v>0</v>
      </c>
      <c r="O218" s="78">
        <f t="shared" ca="1" si="128"/>
        <v>0</v>
      </c>
      <c r="P218" s="78">
        <f t="shared" ca="1" si="128"/>
        <v>0</v>
      </c>
      <c r="Q218" s="78">
        <f t="shared" ca="1" si="128"/>
        <v>0</v>
      </c>
      <c r="R218" s="78">
        <f t="shared" ca="1" si="128"/>
        <v>0</v>
      </c>
      <c r="S218" s="78">
        <f t="shared" ca="1" si="128"/>
        <v>0</v>
      </c>
      <c r="T218" s="78">
        <f t="shared" ca="1" si="128"/>
        <v>0</v>
      </c>
      <c r="U218" s="78">
        <f t="shared" ca="1" si="128"/>
        <v>0</v>
      </c>
      <c r="V218" s="78">
        <f t="shared" ca="1" si="128"/>
        <v>0</v>
      </c>
      <c r="W218" s="78">
        <f t="shared" ca="1" si="128"/>
        <v>0</v>
      </c>
      <c r="X218" s="78">
        <f t="shared" ca="1" si="128"/>
        <v>0</v>
      </c>
    </row>
    <row r="219" spans="4:24" x14ac:dyDescent="0.3">
      <c r="D219" s="70" t="str">
        <f t="shared" si="123"/>
        <v>dLevel_T2_6</v>
      </c>
      <c r="E219" s="78">
        <f t="shared" ref="E219:X219" ca="1" si="129">IFERROR(SQRT(E180/E$210)*100,0)</f>
        <v>108.59959341668817</v>
      </c>
      <c r="F219" s="78">
        <f t="shared" ca="1" si="129"/>
        <v>107.69082721885479</v>
      </c>
      <c r="G219" s="78">
        <f t="shared" ca="1" si="129"/>
        <v>108.59959341668817</v>
      </c>
      <c r="H219" s="78">
        <f t="shared" ca="1" si="129"/>
        <v>107.69082721885479</v>
      </c>
      <c r="I219" s="78">
        <f t="shared" ca="1" si="129"/>
        <v>93.207017998171011</v>
      </c>
      <c r="J219" s="78">
        <f t="shared" ca="1" si="129"/>
        <v>0</v>
      </c>
      <c r="K219" s="78">
        <f t="shared" ca="1" si="129"/>
        <v>0</v>
      </c>
      <c r="L219" s="78">
        <f t="shared" ca="1" si="129"/>
        <v>0</v>
      </c>
      <c r="M219" s="78">
        <f t="shared" ca="1" si="129"/>
        <v>0</v>
      </c>
      <c r="N219" s="78">
        <f t="shared" ca="1" si="129"/>
        <v>0</v>
      </c>
      <c r="O219" s="78">
        <f t="shared" ca="1" si="129"/>
        <v>0</v>
      </c>
      <c r="P219" s="78">
        <f t="shared" ca="1" si="129"/>
        <v>0</v>
      </c>
      <c r="Q219" s="78">
        <f t="shared" ca="1" si="129"/>
        <v>0</v>
      </c>
      <c r="R219" s="78">
        <f t="shared" ca="1" si="129"/>
        <v>0</v>
      </c>
      <c r="S219" s="78">
        <f t="shared" ca="1" si="129"/>
        <v>0</v>
      </c>
      <c r="T219" s="78">
        <f t="shared" ca="1" si="129"/>
        <v>0</v>
      </c>
      <c r="U219" s="78">
        <f t="shared" ca="1" si="129"/>
        <v>0</v>
      </c>
      <c r="V219" s="78">
        <f t="shared" ca="1" si="129"/>
        <v>0</v>
      </c>
      <c r="W219" s="78">
        <f t="shared" ca="1" si="129"/>
        <v>0</v>
      </c>
      <c r="X219" s="78">
        <f t="shared" ca="1" si="129"/>
        <v>0</v>
      </c>
    </row>
    <row r="220" spans="4:24" x14ac:dyDescent="0.3">
      <c r="D220" s="70" t="str">
        <f t="shared" si="123"/>
        <v>dLevel_T2_7</v>
      </c>
      <c r="E220" s="78">
        <f t="shared" ref="E220:X220" ca="1" si="130">IFERROR(SQRT(E181/E$210)*100,0)</f>
        <v>132.51059738066084</v>
      </c>
      <c r="F220" s="78">
        <f t="shared" ca="1" si="130"/>
        <v>150.0409012885967</v>
      </c>
      <c r="G220" s="78">
        <f t="shared" ca="1" si="130"/>
        <v>132.51059738066084</v>
      </c>
      <c r="H220" s="78">
        <f t="shared" ca="1" si="130"/>
        <v>150.0409012885967</v>
      </c>
      <c r="I220" s="78">
        <f t="shared" ca="1" si="130"/>
        <v>118.83974865878616</v>
      </c>
      <c r="J220" s="78">
        <f t="shared" ca="1" si="130"/>
        <v>0</v>
      </c>
      <c r="K220" s="78">
        <f t="shared" ca="1" si="130"/>
        <v>0</v>
      </c>
      <c r="L220" s="78">
        <f t="shared" ca="1" si="130"/>
        <v>0</v>
      </c>
      <c r="M220" s="78">
        <f t="shared" ca="1" si="130"/>
        <v>0</v>
      </c>
      <c r="N220" s="78">
        <f t="shared" ca="1" si="130"/>
        <v>0</v>
      </c>
      <c r="O220" s="78">
        <f t="shared" ca="1" si="130"/>
        <v>0</v>
      </c>
      <c r="P220" s="78">
        <f t="shared" ca="1" si="130"/>
        <v>0</v>
      </c>
      <c r="Q220" s="78">
        <f t="shared" ca="1" si="130"/>
        <v>0</v>
      </c>
      <c r="R220" s="78">
        <f t="shared" ca="1" si="130"/>
        <v>0</v>
      </c>
      <c r="S220" s="78">
        <f t="shared" ca="1" si="130"/>
        <v>0</v>
      </c>
      <c r="T220" s="78">
        <f t="shared" ca="1" si="130"/>
        <v>0</v>
      </c>
      <c r="U220" s="78">
        <f t="shared" ca="1" si="130"/>
        <v>0</v>
      </c>
      <c r="V220" s="78">
        <f t="shared" ca="1" si="130"/>
        <v>0</v>
      </c>
      <c r="W220" s="78">
        <f t="shared" ca="1" si="130"/>
        <v>0</v>
      </c>
      <c r="X220" s="78">
        <f t="shared" ca="1" si="130"/>
        <v>0</v>
      </c>
    </row>
    <row r="221" spans="4:24" x14ac:dyDescent="0.3">
      <c r="D221" s="70" t="str">
        <f t="shared" si="123"/>
        <v>dLevel_T2_8</v>
      </c>
      <c r="E221" s="78">
        <f t="shared" ref="E221:X221" ca="1" si="131">IFERROR(SQRT(E182/E$210)*100,0)</f>
        <v>90.959678640691848</v>
      </c>
      <c r="F221" s="78">
        <f t="shared" ca="1" si="131"/>
        <v>127.76090304293157</v>
      </c>
      <c r="G221" s="78">
        <f t="shared" ca="1" si="131"/>
        <v>90.959678640691848</v>
      </c>
      <c r="H221" s="78">
        <f t="shared" ca="1" si="131"/>
        <v>127.76090304293157</v>
      </c>
      <c r="I221" s="78">
        <f t="shared" ca="1" si="131"/>
        <v>120.9408716687733</v>
      </c>
      <c r="J221" s="78">
        <f t="shared" ca="1" si="131"/>
        <v>0</v>
      </c>
      <c r="K221" s="78">
        <f t="shared" ca="1" si="131"/>
        <v>0</v>
      </c>
      <c r="L221" s="78">
        <f t="shared" ca="1" si="131"/>
        <v>0</v>
      </c>
      <c r="M221" s="78">
        <f t="shared" ca="1" si="131"/>
        <v>0</v>
      </c>
      <c r="N221" s="78">
        <f t="shared" ca="1" si="131"/>
        <v>0</v>
      </c>
      <c r="O221" s="78">
        <f t="shared" ca="1" si="131"/>
        <v>0</v>
      </c>
      <c r="P221" s="78">
        <f t="shared" ca="1" si="131"/>
        <v>0</v>
      </c>
      <c r="Q221" s="78">
        <f t="shared" ca="1" si="131"/>
        <v>0</v>
      </c>
      <c r="R221" s="78">
        <f t="shared" ca="1" si="131"/>
        <v>0</v>
      </c>
      <c r="S221" s="78">
        <f t="shared" ca="1" si="131"/>
        <v>0</v>
      </c>
      <c r="T221" s="78">
        <f t="shared" ca="1" si="131"/>
        <v>0</v>
      </c>
      <c r="U221" s="78">
        <f t="shared" ca="1" si="131"/>
        <v>0</v>
      </c>
      <c r="V221" s="78">
        <f t="shared" ca="1" si="131"/>
        <v>0</v>
      </c>
      <c r="W221" s="78">
        <f t="shared" ca="1" si="131"/>
        <v>0</v>
      </c>
      <c r="X221" s="78">
        <f t="shared" ca="1" si="131"/>
        <v>0</v>
      </c>
    </row>
    <row r="222" spans="4:24" x14ac:dyDescent="0.3">
      <c r="D222" s="70" t="str">
        <f t="shared" si="123"/>
        <v>dLevel_T2_9</v>
      </c>
      <c r="E222" s="78">
        <f t="shared" ref="E222:X222" ca="1" si="132">IFERROR(SQRT(E183/E$210)*100,0)</f>
        <v>71.532204557069974</v>
      </c>
      <c r="F222" s="78">
        <f t="shared" ca="1" si="132"/>
        <v>107.53376964795991</v>
      </c>
      <c r="G222" s="78">
        <f t="shared" ca="1" si="132"/>
        <v>71.532204557069974</v>
      </c>
      <c r="H222" s="78">
        <f t="shared" ca="1" si="132"/>
        <v>107.53376964795991</v>
      </c>
      <c r="I222" s="78">
        <f t="shared" ca="1" si="132"/>
        <v>97.997117801220696</v>
      </c>
      <c r="J222" s="78">
        <f t="shared" ca="1" si="132"/>
        <v>0</v>
      </c>
      <c r="K222" s="78">
        <f t="shared" ca="1" si="132"/>
        <v>0</v>
      </c>
      <c r="L222" s="78">
        <f t="shared" ca="1" si="132"/>
        <v>0</v>
      </c>
      <c r="M222" s="78">
        <f t="shared" ca="1" si="132"/>
        <v>0</v>
      </c>
      <c r="N222" s="78">
        <f t="shared" ca="1" si="132"/>
        <v>0</v>
      </c>
      <c r="O222" s="78">
        <f t="shared" ca="1" si="132"/>
        <v>0</v>
      </c>
      <c r="P222" s="78">
        <f t="shared" ca="1" si="132"/>
        <v>0</v>
      </c>
      <c r="Q222" s="78">
        <f t="shared" ca="1" si="132"/>
        <v>0</v>
      </c>
      <c r="R222" s="78">
        <f t="shared" ca="1" si="132"/>
        <v>0</v>
      </c>
      <c r="S222" s="78">
        <f t="shared" ca="1" si="132"/>
        <v>0</v>
      </c>
      <c r="T222" s="78">
        <f t="shared" ca="1" si="132"/>
        <v>0</v>
      </c>
      <c r="U222" s="78">
        <f t="shared" ca="1" si="132"/>
        <v>0</v>
      </c>
      <c r="V222" s="78">
        <f t="shared" ca="1" si="132"/>
        <v>0</v>
      </c>
      <c r="W222" s="78">
        <f t="shared" ca="1" si="132"/>
        <v>0</v>
      </c>
      <c r="X222" s="78">
        <f t="shared" ca="1" si="132"/>
        <v>0</v>
      </c>
    </row>
    <row r="223" spans="4:24" x14ac:dyDescent="0.3">
      <c r="D223" s="70" t="str">
        <f t="shared" si="123"/>
        <v>dLevel_T2_10</v>
      </c>
      <c r="E223" s="78">
        <f t="shared" ref="E223:X223" ca="1" si="133">IFERROR(SQRT(E184/E$210)*100,0)</f>
        <v>92.153765706684268</v>
      </c>
      <c r="F223" s="78">
        <f t="shared" ca="1" si="133"/>
        <v>89.868386293635609</v>
      </c>
      <c r="G223" s="78">
        <f t="shared" ca="1" si="133"/>
        <v>92.153765706684268</v>
      </c>
      <c r="H223" s="78">
        <f t="shared" ca="1" si="133"/>
        <v>89.868386293635609</v>
      </c>
      <c r="I223" s="78">
        <f t="shared" ca="1" si="133"/>
        <v>74.460671972764658</v>
      </c>
      <c r="J223" s="78">
        <f t="shared" ca="1" si="133"/>
        <v>0</v>
      </c>
      <c r="K223" s="78">
        <f t="shared" ca="1" si="133"/>
        <v>0</v>
      </c>
      <c r="L223" s="78">
        <f t="shared" ca="1" si="133"/>
        <v>0</v>
      </c>
      <c r="M223" s="78">
        <f t="shared" ca="1" si="133"/>
        <v>0</v>
      </c>
      <c r="N223" s="78">
        <f t="shared" ca="1" si="133"/>
        <v>0</v>
      </c>
      <c r="O223" s="78">
        <f t="shared" ca="1" si="133"/>
        <v>0</v>
      </c>
      <c r="P223" s="78">
        <f t="shared" ca="1" si="133"/>
        <v>0</v>
      </c>
      <c r="Q223" s="78">
        <f t="shared" ca="1" si="133"/>
        <v>0</v>
      </c>
      <c r="R223" s="78">
        <f t="shared" ca="1" si="133"/>
        <v>0</v>
      </c>
      <c r="S223" s="78">
        <f t="shared" ca="1" si="133"/>
        <v>0</v>
      </c>
      <c r="T223" s="78">
        <f t="shared" ca="1" si="133"/>
        <v>0</v>
      </c>
      <c r="U223" s="78">
        <f t="shared" ca="1" si="133"/>
        <v>0</v>
      </c>
      <c r="V223" s="78">
        <f t="shared" ca="1" si="133"/>
        <v>0</v>
      </c>
      <c r="W223" s="78">
        <f t="shared" ca="1" si="133"/>
        <v>0</v>
      </c>
      <c r="X223" s="78">
        <f t="shared" ca="1" si="133"/>
        <v>0</v>
      </c>
    </row>
    <row r="224" spans="4:24" x14ac:dyDescent="0.3">
      <c r="D224" s="70" t="str">
        <f t="shared" si="123"/>
        <v>dLevel_T2_11</v>
      </c>
      <c r="E224" s="78">
        <f t="shared" ref="E224:X224" ca="1" si="134">IFERROR(SQRT(E185/E$210)*100,0)</f>
        <v>120.49240237929098</v>
      </c>
      <c r="F224" s="78">
        <f t="shared" ca="1" si="134"/>
        <v>123.52969223133259</v>
      </c>
      <c r="G224" s="78">
        <f t="shared" ca="1" si="134"/>
        <v>120.49240237929098</v>
      </c>
      <c r="H224" s="78">
        <f t="shared" ca="1" si="134"/>
        <v>123.52969223133259</v>
      </c>
      <c r="I224" s="78">
        <f t="shared" ca="1" si="134"/>
        <v>94.644824794088336</v>
      </c>
      <c r="J224" s="78">
        <f t="shared" ca="1" si="134"/>
        <v>0</v>
      </c>
      <c r="K224" s="78">
        <f t="shared" ca="1" si="134"/>
        <v>0</v>
      </c>
      <c r="L224" s="78">
        <f t="shared" ca="1" si="134"/>
        <v>0</v>
      </c>
      <c r="M224" s="78">
        <f t="shared" ca="1" si="134"/>
        <v>0</v>
      </c>
      <c r="N224" s="78">
        <f t="shared" ca="1" si="134"/>
        <v>0</v>
      </c>
      <c r="O224" s="78">
        <f t="shared" ca="1" si="134"/>
        <v>0</v>
      </c>
      <c r="P224" s="78">
        <f t="shared" ca="1" si="134"/>
        <v>0</v>
      </c>
      <c r="Q224" s="78">
        <f t="shared" ca="1" si="134"/>
        <v>0</v>
      </c>
      <c r="R224" s="78">
        <f t="shared" ca="1" si="134"/>
        <v>0</v>
      </c>
      <c r="S224" s="78">
        <f t="shared" ca="1" si="134"/>
        <v>0</v>
      </c>
      <c r="T224" s="78">
        <f t="shared" ca="1" si="134"/>
        <v>0</v>
      </c>
      <c r="U224" s="78">
        <f t="shared" ca="1" si="134"/>
        <v>0</v>
      </c>
      <c r="V224" s="78">
        <f t="shared" ca="1" si="134"/>
        <v>0</v>
      </c>
      <c r="W224" s="78">
        <f t="shared" ca="1" si="134"/>
        <v>0</v>
      </c>
      <c r="X224" s="78">
        <f t="shared" ca="1" si="134"/>
        <v>0</v>
      </c>
    </row>
    <row r="225" spans="4:24" x14ac:dyDescent="0.3">
      <c r="D225" s="70" t="str">
        <f t="shared" si="123"/>
        <v>dLevel_T2_12</v>
      </c>
      <c r="E225" s="78">
        <f t="shared" ref="E225:X225" ca="1" si="135">IFERROR(SQRT(E186/E$210)*100,0)</f>
        <v>132.32753531172344</v>
      </c>
      <c r="F225" s="78">
        <f t="shared" ca="1" si="135"/>
        <v>82.637973124719693</v>
      </c>
      <c r="G225" s="78">
        <f t="shared" ca="1" si="135"/>
        <v>132.32753531172344</v>
      </c>
      <c r="H225" s="78">
        <f t="shared" ca="1" si="135"/>
        <v>82.637973124719693</v>
      </c>
      <c r="I225" s="78">
        <f t="shared" ca="1" si="135"/>
        <v>63.826658551086048</v>
      </c>
      <c r="J225" s="78">
        <f t="shared" ca="1" si="135"/>
        <v>0</v>
      </c>
      <c r="K225" s="78">
        <f t="shared" ca="1" si="135"/>
        <v>0</v>
      </c>
      <c r="L225" s="78">
        <f t="shared" ca="1" si="135"/>
        <v>0</v>
      </c>
      <c r="M225" s="78">
        <f t="shared" ca="1" si="135"/>
        <v>0</v>
      </c>
      <c r="N225" s="78">
        <f t="shared" ca="1" si="135"/>
        <v>0</v>
      </c>
      <c r="O225" s="78">
        <f t="shared" ca="1" si="135"/>
        <v>0</v>
      </c>
      <c r="P225" s="78">
        <f t="shared" ca="1" si="135"/>
        <v>0</v>
      </c>
      <c r="Q225" s="78">
        <f t="shared" ca="1" si="135"/>
        <v>0</v>
      </c>
      <c r="R225" s="78">
        <f t="shared" ca="1" si="135"/>
        <v>0</v>
      </c>
      <c r="S225" s="78">
        <f t="shared" ca="1" si="135"/>
        <v>0</v>
      </c>
      <c r="T225" s="78">
        <f t="shared" ca="1" si="135"/>
        <v>0</v>
      </c>
      <c r="U225" s="78">
        <f t="shared" ca="1" si="135"/>
        <v>0</v>
      </c>
      <c r="V225" s="78">
        <f t="shared" ca="1" si="135"/>
        <v>0</v>
      </c>
      <c r="W225" s="78">
        <f t="shared" ca="1" si="135"/>
        <v>0</v>
      </c>
      <c r="X225" s="78">
        <f t="shared" ca="1" si="135"/>
        <v>0</v>
      </c>
    </row>
    <row r="226" spans="4:24" x14ac:dyDescent="0.3">
      <c r="D226" s="70" t="str">
        <f t="shared" si="123"/>
        <v>dLevel_T2_13</v>
      </c>
      <c r="E226" s="78">
        <f t="shared" ref="E226:X226" ca="1" si="136">IFERROR(SQRT(E187/E$210)*100,0)</f>
        <v>95.181607572240196</v>
      </c>
      <c r="F226" s="78">
        <f t="shared" ca="1" si="136"/>
        <v>13.394804329297733</v>
      </c>
      <c r="G226" s="78">
        <f t="shared" ca="1" si="136"/>
        <v>95.181607572240196</v>
      </c>
      <c r="H226" s="78">
        <f t="shared" ca="1" si="136"/>
        <v>13.394804329297733</v>
      </c>
      <c r="I226" s="78">
        <f t="shared" ca="1" si="136"/>
        <v>72.840181169096581</v>
      </c>
      <c r="J226" s="78">
        <f t="shared" ca="1" si="136"/>
        <v>0</v>
      </c>
      <c r="K226" s="78">
        <f t="shared" ca="1" si="136"/>
        <v>0</v>
      </c>
      <c r="L226" s="78">
        <f t="shared" ca="1" si="136"/>
        <v>0</v>
      </c>
      <c r="M226" s="78">
        <f t="shared" ca="1" si="136"/>
        <v>0</v>
      </c>
      <c r="N226" s="78">
        <f t="shared" ca="1" si="136"/>
        <v>0</v>
      </c>
      <c r="O226" s="78">
        <f t="shared" ca="1" si="136"/>
        <v>0</v>
      </c>
      <c r="P226" s="78">
        <f t="shared" ca="1" si="136"/>
        <v>0</v>
      </c>
      <c r="Q226" s="78">
        <f t="shared" ca="1" si="136"/>
        <v>0</v>
      </c>
      <c r="R226" s="78">
        <f t="shared" ca="1" si="136"/>
        <v>0</v>
      </c>
      <c r="S226" s="78">
        <f t="shared" ca="1" si="136"/>
        <v>0</v>
      </c>
      <c r="T226" s="78">
        <f t="shared" ca="1" si="136"/>
        <v>0</v>
      </c>
      <c r="U226" s="78">
        <f t="shared" ca="1" si="136"/>
        <v>0</v>
      </c>
      <c r="V226" s="78">
        <f t="shared" ca="1" si="136"/>
        <v>0</v>
      </c>
      <c r="W226" s="78">
        <f t="shared" ca="1" si="136"/>
        <v>0</v>
      </c>
      <c r="X226" s="78">
        <f t="shared" ca="1" si="136"/>
        <v>0</v>
      </c>
    </row>
    <row r="227" spans="4:24" x14ac:dyDescent="0.3">
      <c r="D227" s="70" t="str">
        <f t="shared" si="123"/>
        <v>dLevel_T2_14</v>
      </c>
      <c r="E227" s="78">
        <f t="shared" ref="E227:X227" ca="1" si="137">IFERROR(SQRT(E188/E$210)*100,0)</f>
        <v>93.957356866076509</v>
      </c>
      <c r="F227" s="78">
        <f t="shared" ca="1" si="137"/>
        <v>102.72553392390292</v>
      </c>
      <c r="G227" s="78">
        <f t="shared" ca="1" si="137"/>
        <v>93.957356866076509</v>
      </c>
      <c r="H227" s="78">
        <f t="shared" ca="1" si="137"/>
        <v>102.72553392390292</v>
      </c>
      <c r="I227" s="78">
        <f t="shared" ca="1" si="137"/>
        <v>92.62700852509505</v>
      </c>
      <c r="J227" s="78">
        <f t="shared" ca="1" si="137"/>
        <v>0</v>
      </c>
      <c r="K227" s="78">
        <f t="shared" ca="1" si="137"/>
        <v>0</v>
      </c>
      <c r="L227" s="78">
        <f t="shared" ca="1" si="137"/>
        <v>0</v>
      </c>
      <c r="M227" s="78">
        <f t="shared" ca="1" si="137"/>
        <v>0</v>
      </c>
      <c r="N227" s="78">
        <f t="shared" ca="1" si="137"/>
        <v>0</v>
      </c>
      <c r="O227" s="78">
        <f t="shared" ca="1" si="137"/>
        <v>0</v>
      </c>
      <c r="P227" s="78">
        <f t="shared" ca="1" si="137"/>
        <v>0</v>
      </c>
      <c r="Q227" s="78">
        <f t="shared" ca="1" si="137"/>
        <v>0</v>
      </c>
      <c r="R227" s="78">
        <f t="shared" ca="1" si="137"/>
        <v>0</v>
      </c>
      <c r="S227" s="78">
        <f t="shared" ca="1" si="137"/>
        <v>0</v>
      </c>
      <c r="T227" s="78">
        <f t="shared" ca="1" si="137"/>
        <v>0</v>
      </c>
      <c r="U227" s="78">
        <f t="shared" ca="1" si="137"/>
        <v>0</v>
      </c>
      <c r="V227" s="78">
        <f t="shared" ca="1" si="137"/>
        <v>0</v>
      </c>
      <c r="W227" s="78">
        <f t="shared" ca="1" si="137"/>
        <v>0</v>
      </c>
      <c r="X227" s="78">
        <f t="shared" ca="1" si="137"/>
        <v>0</v>
      </c>
    </row>
    <row r="228" spans="4:24" x14ac:dyDescent="0.3">
      <c r="D228" s="70" t="str">
        <f t="shared" si="123"/>
        <v>dLevel_T2_15</v>
      </c>
      <c r="E228" s="78">
        <f t="shared" ref="E228:X228" ca="1" si="138">IFERROR(SQRT(E189/E$210)*100,0)</f>
        <v>92.107266947278248</v>
      </c>
      <c r="F228" s="78">
        <f t="shared" ca="1" si="138"/>
        <v>13.394804329297735</v>
      </c>
      <c r="G228" s="78">
        <f t="shared" ca="1" si="138"/>
        <v>92.107266947278248</v>
      </c>
      <c r="H228" s="78">
        <f t="shared" ca="1" si="138"/>
        <v>13.394804329297735</v>
      </c>
      <c r="I228" s="78">
        <f t="shared" ca="1" si="138"/>
        <v>89.325419399110743</v>
      </c>
      <c r="J228" s="78">
        <f t="shared" ca="1" si="138"/>
        <v>0</v>
      </c>
      <c r="K228" s="78">
        <f t="shared" ca="1" si="138"/>
        <v>0</v>
      </c>
      <c r="L228" s="78">
        <f t="shared" ca="1" si="138"/>
        <v>0</v>
      </c>
      <c r="M228" s="78">
        <f t="shared" ca="1" si="138"/>
        <v>0</v>
      </c>
      <c r="N228" s="78">
        <f t="shared" ca="1" si="138"/>
        <v>0</v>
      </c>
      <c r="O228" s="78">
        <f t="shared" ca="1" si="138"/>
        <v>0</v>
      </c>
      <c r="P228" s="78">
        <f t="shared" ca="1" si="138"/>
        <v>0</v>
      </c>
      <c r="Q228" s="78">
        <f t="shared" ca="1" si="138"/>
        <v>0</v>
      </c>
      <c r="R228" s="78">
        <f t="shared" ca="1" si="138"/>
        <v>0</v>
      </c>
      <c r="S228" s="78">
        <f t="shared" ca="1" si="138"/>
        <v>0</v>
      </c>
      <c r="T228" s="78">
        <f t="shared" ca="1" si="138"/>
        <v>0</v>
      </c>
      <c r="U228" s="78">
        <f t="shared" ca="1" si="138"/>
        <v>0</v>
      </c>
      <c r="V228" s="78">
        <f t="shared" ca="1" si="138"/>
        <v>0</v>
      </c>
      <c r="W228" s="78">
        <f t="shared" ca="1" si="138"/>
        <v>0</v>
      </c>
      <c r="X228" s="78">
        <f t="shared" ca="1" si="138"/>
        <v>0</v>
      </c>
    </row>
    <row r="229" spans="4:24" x14ac:dyDescent="0.3">
      <c r="D229" s="70" t="str">
        <f t="shared" si="123"/>
        <v>dLevel_T2_16</v>
      </c>
      <c r="E229" s="78">
        <f t="shared" ref="E229:X229" ca="1" si="139">IFERROR(SQRT(E190/E$210)*100,0)</f>
        <v>84.037517156680693</v>
      </c>
      <c r="F229" s="78">
        <f t="shared" ca="1" si="139"/>
        <v>75.132859040108173</v>
      </c>
      <c r="G229" s="78">
        <f t="shared" ca="1" si="139"/>
        <v>84.037517156680693</v>
      </c>
      <c r="H229" s="78">
        <f t="shared" ca="1" si="139"/>
        <v>75.132859040108173</v>
      </c>
      <c r="I229" s="78">
        <f t="shared" ca="1" si="139"/>
        <v>92.484634175129756</v>
      </c>
      <c r="J229" s="78">
        <f t="shared" ca="1" si="139"/>
        <v>0</v>
      </c>
      <c r="K229" s="78">
        <f t="shared" ca="1" si="139"/>
        <v>0</v>
      </c>
      <c r="L229" s="78">
        <f t="shared" ca="1" si="139"/>
        <v>0</v>
      </c>
      <c r="M229" s="78">
        <f t="shared" ca="1" si="139"/>
        <v>0</v>
      </c>
      <c r="N229" s="78">
        <f t="shared" ca="1" si="139"/>
        <v>0</v>
      </c>
      <c r="O229" s="78">
        <f t="shared" ca="1" si="139"/>
        <v>0</v>
      </c>
      <c r="P229" s="78">
        <f t="shared" ca="1" si="139"/>
        <v>0</v>
      </c>
      <c r="Q229" s="78">
        <f t="shared" ca="1" si="139"/>
        <v>0</v>
      </c>
      <c r="R229" s="78">
        <f t="shared" ca="1" si="139"/>
        <v>0</v>
      </c>
      <c r="S229" s="78">
        <f t="shared" ca="1" si="139"/>
        <v>0</v>
      </c>
      <c r="T229" s="78">
        <f t="shared" ca="1" si="139"/>
        <v>0</v>
      </c>
      <c r="U229" s="78">
        <f t="shared" ca="1" si="139"/>
        <v>0</v>
      </c>
      <c r="V229" s="78">
        <f t="shared" ca="1" si="139"/>
        <v>0</v>
      </c>
      <c r="W229" s="78">
        <f t="shared" ca="1" si="139"/>
        <v>0</v>
      </c>
      <c r="X229" s="78">
        <f t="shared" ca="1" si="139"/>
        <v>0</v>
      </c>
    </row>
    <row r="230" spans="4:24" x14ac:dyDescent="0.3">
      <c r="D230" s="70" t="str">
        <f t="shared" si="123"/>
        <v>dLevel_T2_17</v>
      </c>
      <c r="E230" s="78">
        <f t="shared" ref="E230:X230" ca="1" si="140">IFERROR(SQRT(E191/E$210)*100,0)</f>
        <v>50.131105332395478</v>
      </c>
      <c r="F230" s="78">
        <f t="shared" ca="1" si="140"/>
        <v>71.561331058295778</v>
      </c>
      <c r="G230" s="78">
        <f t="shared" ca="1" si="140"/>
        <v>50.131105332395478</v>
      </c>
      <c r="H230" s="78">
        <f t="shared" ca="1" si="140"/>
        <v>71.561331058295778</v>
      </c>
      <c r="I230" s="78">
        <f t="shared" ca="1" si="140"/>
        <v>98.089133837524429</v>
      </c>
      <c r="J230" s="78">
        <f t="shared" ca="1" si="140"/>
        <v>0</v>
      </c>
      <c r="K230" s="78">
        <f t="shared" ca="1" si="140"/>
        <v>0</v>
      </c>
      <c r="L230" s="78">
        <f t="shared" ca="1" si="140"/>
        <v>0</v>
      </c>
      <c r="M230" s="78">
        <f t="shared" ca="1" si="140"/>
        <v>0</v>
      </c>
      <c r="N230" s="78">
        <f t="shared" ca="1" si="140"/>
        <v>0</v>
      </c>
      <c r="O230" s="78">
        <f t="shared" ca="1" si="140"/>
        <v>0</v>
      </c>
      <c r="P230" s="78">
        <f t="shared" ca="1" si="140"/>
        <v>0</v>
      </c>
      <c r="Q230" s="78">
        <f t="shared" ca="1" si="140"/>
        <v>0</v>
      </c>
      <c r="R230" s="78">
        <f t="shared" ca="1" si="140"/>
        <v>0</v>
      </c>
      <c r="S230" s="78">
        <f t="shared" ca="1" si="140"/>
        <v>0</v>
      </c>
      <c r="T230" s="78">
        <f t="shared" ca="1" si="140"/>
        <v>0</v>
      </c>
      <c r="U230" s="78">
        <f t="shared" ca="1" si="140"/>
        <v>0</v>
      </c>
      <c r="V230" s="78">
        <f t="shared" ca="1" si="140"/>
        <v>0</v>
      </c>
      <c r="W230" s="78">
        <f t="shared" ca="1" si="140"/>
        <v>0</v>
      </c>
      <c r="X230" s="78">
        <f t="shared" ca="1" si="140"/>
        <v>0</v>
      </c>
    </row>
    <row r="231" spans="4:24" x14ac:dyDescent="0.3">
      <c r="D231" s="70" t="str">
        <f t="shared" si="123"/>
        <v>dLevel_T2_18</v>
      </c>
      <c r="E231" s="78">
        <f t="shared" ref="E231:X231" ca="1" si="141">IFERROR(SQRT(E192/E$210)*100,0)</f>
        <v>56.094504955504242</v>
      </c>
      <c r="F231" s="78">
        <f t="shared" ca="1" si="141"/>
        <v>125.69657268544994</v>
      </c>
      <c r="G231" s="78">
        <f t="shared" ca="1" si="141"/>
        <v>56.094504955504242</v>
      </c>
      <c r="H231" s="78">
        <f t="shared" ca="1" si="141"/>
        <v>125.69657268544994</v>
      </c>
      <c r="I231" s="78">
        <f t="shared" ca="1" si="141"/>
        <v>118.35373583347393</v>
      </c>
      <c r="J231" s="78">
        <f t="shared" ca="1" si="141"/>
        <v>0</v>
      </c>
      <c r="K231" s="78">
        <f t="shared" ca="1" si="141"/>
        <v>0</v>
      </c>
      <c r="L231" s="78">
        <f t="shared" ca="1" si="141"/>
        <v>0</v>
      </c>
      <c r="M231" s="78">
        <f t="shared" ca="1" si="141"/>
        <v>0</v>
      </c>
      <c r="N231" s="78">
        <f t="shared" ca="1" si="141"/>
        <v>0</v>
      </c>
      <c r="O231" s="78">
        <f t="shared" ca="1" si="141"/>
        <v>0</v>
      </c>
      <c r="P231" s="78">
        <f t="shared" ca="1" si="141"/>
        <v>0</v>
      </c>
      <c r="Q231" s="78">
        <f t="shared" ca="1" si="141"/>
        <v>0</v>
      </c>
      <c r="R231" s="78">
        <f t="shared" ca="1" si="141"/>
        <v>0</v>
      </c>
      <c r="S231" s="78">
        <f t="shared" ca="1" si="141"/>
        <v>0</v>
      </c>
      <c r="T231" s="78">
        <f t="shared" ca="1" si="141"/>
        <v>0</v>
      </c>
      <c r="U231" s="78">
        <f t="shared" ca="1" si="141"/>
        <v>0</v>
      </c>
      <c r="V231" s="78">
        <f t="shared" ca="1" si="141"/>
        <v>0</v>
      </c>
      <c r="W231" s="78">
        <f t="shared" ca="1" si="141"/>
        <v>0</v>
      </c>
      <c r="X231" s="78">
        <f t="shared" ca="1" si="141"/>
        <v>0</v>
      </c>
    </row>
    <row r="232" spans="4:24" x14ac:dyDescent="0.3">
      <c r="D232" s="70" t="str">
        <f t="shared" si="123"/>
        <v>dLevel_T2_19</v>
      </c>
      <c r="E232" s="78">
        <f t="shared" ref="E232:X232" ca="1" si="142">IFERROR(SQRT(E193/E$210)*100,0)</f>
        <v>70.712910309110399</v>
      </c>
      <c r="F232" s="78">
        <f t="shared" ca="1" si="142"/>
        <v>58.774409628984777</v>
      </c>
      <c r="G232" s="78">
        <f t="shared" ca="1" si="142"/>
        <v>70.712910309110399</v>
      </c>
      <c r="H232" s="78">
        <f t="shared" ca="1" si="142"/>
        <v>58.774409628984777</v>
      </c>
      <c r="I232" s="78">
        <f t="shared" ca="1" si="142"/>
        <v>72.311303582848623</v>
      </c>
      <c r="J232" s="78">
        <f t="shared" ca="1" si="142"/>
        <v>0</v>
      </c>
      <c r="K232" s="78">
        <f t="shared" ca="1" si="142"/>
        <v>0</v>
      </c>
      <c r="L232" s="78">
        <f t="shared" ca="1" si="142"/>
        <v>0</v>
      </c>
      <c r="M232" s="78">
        <f t="shared" ca="1" si="142"/>
        <v>0</v>
      </c>
      <c r="N232" s="78">
        <f t="shared" ca="1" si="142"/>
        <v>0</v>
      </c>
      <c r="O232" s="78">
        <f t="shared" ca="1" si="142"/>
        <v>0</v>
      </c>
      <c r="P232" s="78">
        <f t="shared" ca="1" si="142"/>
        <v>0</v>
      </c>
      <c r="Q232" s="78">
        <f t="shared" ca="1" si="142"/>
        <v>0</v>
      </c>
      <c r="R232" s="78">
        <f t="shared" ca="1" si="142"/>
        <v>0</v>
      </c>
      <c r="S232" s="78">
        <f t="shared" ca="1" si="142"/>
        <v>0</v>
      </c>
      <c r="T232" s="78">
        <f t="shared" ca="1" si="142"/>
        <v>0</v>
      </c>
      <c r="U232" s="78">
        <f t="shared" ca="1" si="142"/>
        <v>0</v>
      </c>
      <c r="V232" s="78">
        <f t="shared" ca="1" si="142"/>
        <v>0</v>
      </c>
      <c r="W232" s="78">
        <f t="shared" ca="1" si="142"/>
        <v>0</v>
      </c>
      <c r="X232" s="78">
        <f t="shared" ca="1" si="142"/>
        <v>0</v>
      </c>
    </row>
    <row r="233" spans="4:24" x14ac:dyDescent="0.3">
      <c r="D233" s="70" t="str">
        <f t="shared" si="123"/>
        <v>dLevel_T2_21</v>
      </c>
      <c r="E233" s="78">
        <f t="shared" ref="E233:X233" ca="1" si="143">IFERROR(SQRT(E194/E$210)*100,0)</f>
        <v>77.698603818900907</v>
      </c>
      <c r="F233" s="78">
        <f t="shared" ca="1" si="143"/>
        <v>93.596836878806499</v>
      </c>
      <c r="G233" s="78">
        <f t="shared" ca="1" si="143"/>
        <v>77.698603818900907</v>
      </c>
      <c r="H233" s="78">
        <f t="shared" ca="1" si="143"/>
        <v>93.596836878806499</v>
      </c>
      <c r="I233" s="78">
        <f t="shared" ca="1" si="143"/>
        <v>93.589732128568372</v>
      </c>
      <c r="J233" s="78">
        <f t="shared" ca="1" si="143"/>
        <v>0</v>
      </c>
      <c r="K233" s="78">
        <f t="shared" ca="1" si="143"/>
        <v>0</v>
      </c>
      <c r="L233" s="78">
        <f t="shared" ca="1" si="143"/>
        <v>0</v>
      </c>
      <c r="M233" s="78">
        <f t="shared" ca="1" si="143"/>
        <v>0</v>
      </c>
      <c r="N233" s="78">
        <f t="shared" ca="1" si="143"/>
        <v>0</v>
      </c>
      <c r="O233" s="78">
        <f t="shared" ca="1" si="143"/>
        <v>0</v>
      </c>
      <c r="P233" s="78">
        <f t="shared" ca="1" si="143"/>
        <v>0</v>
      </c>
      <c r="Q233" s="78">
        <f t="shared" ca="1" si="143"/>
        <v>0</v>
      </c>
      <c r="R233" s="78">
        <f t="shared" ca="1" si="143"/>
        <v>0</v>
      </c>
      <c r="S233" s="78">
        <f t="shared" ca="1" si="143"/>
        <v>0</v>
      </c>
      <c r="T233" s="78">
        <f t="shared" ca="1" si="143"/>
        <v>0</v>
      </c>
      <c r="U233" s="78">
        <f t="shared" ca="1" si="143"/>
        <v>0</v>
      </c>
      <c r="V233" s="78">
        <f t="shared" ca="1" si="143"/>
        <v>0</v>
      </c>
      <c r="W233" s="78">
        <f t="shared" ca="1" si="143"/>
        <v>0</v>
      </c>
      <c r="X233" s="78">
        <f t="shared" ca="1" si="143"/>
        <v>0</v>
      </c>
    </row>
    <row r="234" spans="4:24" x14ac:dyDescent="0.3">
      <c r="D234" s="70" t="str">
        <f t="shared" si="123"/>
        <v>dLevel_T2_22</v>
      </c>
      <c r="E234" s="78">
        <f t="shared" ref="E234:X234" ca="1" si="144">IFERROR(SQRT(E195/E$210)*100,0)</f>
        <v>235.54365307317687</v>
      </c>
      <c r="F234" s="78">
        <f t="shared" ca="1" si="144"/>
        <v>212.39439792390641</v>
      </c>
      <c r="G234" s="78">
        <f t="shared" ca="1" si="144"/>
        <v>235.54365307317687</v>
      </c>
      <c r="H234" s="78">
        <f t="shared" ca="1" si="144"/>
        <v>212.39439792390641</v>
      </c>
      <c r="I234" s="78">
        <f t="shared" ca="1" si="144"/>
        <v>164.85006930614983</v>
      </c>
      <c r="J234" s="78">
        <f t="shared" ca="1" si="144"/>
        <v>0</v>
      </c>
      <c r="K234" s="78">
        <f t="shared" ca="1" si="144"/>
        <v>0</v>
      </c>
      <c r="L234" s="78">
        <f t="shared" ca="1" si="144"/>
        <v>0</v>
      </c>
      <c r="M234" s="78">
        <f t="shared" ca="1" si="144"/>
        <v>0</v>
      </c>
      <c r="N234" s="78">
        <f t="shared" ca="1" si="144"/>
        <v>0</v>
      </c>
      <c r="O234" s="78">
        <f t="shared" ca="1" si="144"/>
        <v>0</v>
      </c>
      <c r="P234" s="78">
        <f t="shared" ca="1" si="144"/>
        <v>0</v>
      </c>
      <c r="Q234" s="78">
        <f t="shared" ca="1" si="144"/>
        <v>0</v>
      </c>
      <c r="R234" s="78">
        <f t="shared" ca="1" si="144"/>
        <v>0</v>
      </c>
      <c r="S234" s="78">
        <f t="shared" ca="1" si="144"/>
        <v>0</v>
      </c>
      <c r="T234" s="78">
        <f t="shared" ca="1" si="144"/>
        <v>0</v>
      </c>
      <c r="U234" s="78">
        <f t="shared" ca="1" si="144"/>
        <v>0</v>
      </c>
      <c r="V234" s="78">
        <f t="shared" ca="1" si="144"/>
        <v>0</v>
      </c>
      <c r="W234" s="78">
        <f t="shared" ca="1" si="144"/>
        <v>0</v>
      </c>
      <c r="X234" s="78">
        <f t="shared" ca="1" si="144"/>
        <v>0</v>
      </c>
    </row>
    <row r="235" spans="4:24" x14ac:dyDescent="0.3">
      <c r="D235" s="70" t="str">
        <f t="shared" si="123"/>
        <v>dLevel_T2_23</v>
      </c>
      <c r="E235" s="78">
        <f t="shared" ref="E235:X235" ca="1" si="145">IFERROR(SQRT(E196/E$210)*100,0)</f>
        <v>72.895157132789038</v>
      </c>
      <c r="F235" s="78">
        <f t="shared" ca="1" si="145"/>
        <v>23.200481655787232</v>
      </c>
      <c r="G235" s="78">
        <f t="shared" ca="1" si="145"/>
        <v>72.895157132789038</v>
      </c>
      <c r="H235" s="78">
        <f t="shared" ca="1" si="145"/>
        <v>23.200481655787232</v>
      </c>
      <c r="I235" s="78">
        <f t="shared" ca="1" si="145"/>
        <v>82.401232541066463</v>
      </c>
      <c r="J235" s="78">
        <f t="shared" ca="1" si="145"/>
        <v>0</v>
      </c>
      <c r="K235" s="78">
        <f t="shared" ca="1" si="145"/>
        <v>0</v>
      </c>
      <c r="L235" s="78">
        <f t="shared" ca="1" si="145"/>
        <v>0</v>
      </c>
      <c r="M235" s="78">
        <f t="shared" ca="1" si="145"/>
        <v>0</v>
      </c>
      <c r="N235" s="78">
        <f t="shared" ca="1" si="145"/>
        <v>0</v>
      </c>
      <c r="O235" s="78">
        <f t="shared" ca="1" si="145"/>
        <v>0</v>
      </c>
      <c r="P235" s="78">
        <f t="shared" ca="1" si="145"/>
        <v>0</v>
      </c>
      <c r="Q235" s="78">
        <f t="shared" ca="1" si="145"/>
        <v>0</v>
      </c>
      <c r="R235" s="78">
        <f t="shared" ca="1" si="145"/>
        <v>0</v>
      </c>
      <c r="S235" s="78">
        <f t="shared" ca="1" si="145"/>
        <v>0</v>
      </c>
      <c r="T235" s="78">
        <f t="shared" ca="1" si="145"/>
        <v>0</v>
      </c>
      <c r="U235" s="78">
        <f t="shared" ca="1" si="145"/>
        <v>0</v>
      </c>
      <c r="V235" s="78">
        <f t="shared" ca="1" si="145"/>
        <v>0</v>
      </c>
      <c r="W235" s="78">
        <f t="shared" ca="1" si="145"/>
        <v>0</v>
      </c>
      <c r="X235" s="78">
        <f t="shared" ca="1" si="145"/>
        <v>0</v>
      </c>
    </row>
    <row r="236" spans="4:24" x14ac:dyDescent="0.3">
      <c r="D236" s="70" t="str">
        <f t="shared" si="123"/>
        <v>dLevel_T2_24</v>
      </c>
      <c r="E236" s="78">
        <f t="shared" ref="E236:X236" ca="1" si="146">IFERROR(SQRT(E197/E$210)*100,0)</f>
        <v>78.70609506904988</v>
      </c>
      <c r="F236" s="78">
        <f t="shared" ca="1" si="146"/>
        <v>114.39047883514857</v>
      </c>
      <c r="G236" s="78">
        <f t="shared" ca="1" si="146"/>
        <v>78.70609506904988</v>
      </c>
      <c r="H236" s="78">
        <f t="shared" ca="1" si="146"/>
        <v>114.39047883514857</v>
      </c>
      <c r="I236" s="78">
        <f t="shared" ca="1" si="146"/>
        <v>124.90245710020098</v>
      </c>
      <c r="J236" s="78">
        <f t="shared" ca="1" si="146"/>
        <v>0</v>
      </c>
      <c r="K236" s="78">
        <f t="shared" ca="1" si="146"/>
        <v>0</v>
      </c>
      <c r="L236" s="78">
        <f t="shared" ca="1" si="146"/>
        <v>0</v>
      </c>
      <c r="M236" s="78">
        <f t="shared" ca="1" si="146"/>
        <v>0</v>
      </c>
      <c r="N236" s="78">
        <f t="shared" ca="1" si="146"/>
        <v>0</v>
      </c>
      <c r="O236" s="78">
        <f t="shared" ca="1" si="146"/>
        <v>0</v>
      </c>
      <c r="P236" s="78">
        <f t="shared" ca="1" si="146"/>
        <v>0</v>
      </c>
      <c r="Q236" s="78">
        <f t="shared" ca="1" si="146"/>
        <v>0</v>
      </c>
      <c r="R236" s="78">
        <f t="shared" ca="1" si="146"/>
        <v>0</v>
      </c>
      <c r="S236" s="78">
        <f t="shared" ca="1" si="146"/>
        <v>0</v>
      </c>
      <c r="T236" s="78">
        <f t="shared" ca="1" si="146"/>
        <v>0</v>
      </c>
      <c r="U236" s="78">
        <f t="shared" ca="1" si="146"/>
        <v>0</v>
      </c>
      <c r="V236" s="78">
        <f t="shared" ca="1" si="146"/>
        <v>0</v>
      </c>
      <c r="W236" s="78">
        <f t="shared" ca="1" si="146"/>
        <v>0</v>
      </c>
      <c r="X236" s="78">
        <f t="shared" ca="1" si="146"/>
        <v>0</v>
      </c>
    </row>
    <row r="237" spans="4:24" x14ac:dyDescent="0.3">
      <c r="D237" s="70" t="str">
        <f t="shared" si="123"/>
        <v>dLevel_T2_25</v>
      </c>
      <c r="E237" s="78">
        <f t="shared" ref="E237:X237" ca="1" si="147">IFERROR(SQRT(E198/E$210)*100,0)</f>
        <v>75.922041335207467</v>
      </c>
      <c r="F237" s="78">
        <f t="shared" ca="1" si="147"/>
        <v>42.293004372489001</v>
      </c>
      <c r="G237" s="78">
        <f t="shared" ca="1" si="147"/>
        <v>75.922041335207467</v>
      </c>
      <c r="H237" s="78">
        <f t="shared" ca="1" si="147"/>
        <v>42.293004372489001</v>
      </c>
      <c r="I237" s="78">
        <f t="shared" ca="1" si="147"/>
        <v>85.149509969415476</v>
      </c>
      <c r="J237" s="78">
        <f t="shared" ca="1" si="147"/>
        <v>0</v>
      </c>
      <c r="K237" s="78">
        <f t="shared" ca="1" si="147"/>
        <v>0</v>
      </c>
      <c r="L237" s="78">
        <f t="shared" ca="1" si="147"/>
        <v>0</v>
      </c>
      <c r="M237" s="78">
        <f t="shared" ca="1" si="147"/>
        <v>0</v>
      </c>
      <c r="N237" s="78">
        <f t="shared" ca="1" si="147"/>
        <v>0</v>
      </c>
      <c r="O237" s="78">
        <f t="shared" ca="1" si="147"/>
        <v>0</v>
      </c>
      <c r="P237" s="78">
        <f t="shared" ca="1" si="147"/>
        <v>0</v>
      </c>
      <c r="Q237" s="78">
        <f t="shared" ca="1" si="147"/>
        <v>0</v>
      </c>
      <c r="R237" s="78">
        <f t="shared" ca="1" si="147"/>
        <v>0</v>
      </c>
      <c r="S237" s="78">
        <f t="shared" ca="1" si="147"/>
        <v>0</v>
      </c>
      <c r="T237" s="78">
        <f t="shared" ca="1" si="147"/>
        <v>0</v>
      </c>
      <c r="U237" s="78">
        <f t="shared" ca="1" si="147"/>
        <v>0</v>
      </c>
      <c r="V237" s="78">
        <f t="shared" ca="1" si="147"/>
        <v>0</v>
      </c>
      <c r="W237" s="78">
        <f t="shared" ca="1" si="147"/>
        <v>0</v>
      </c>
      <c r="X237" s="78">
        <f t="shared" ca="1" si="147"/>
        <v>0</v>
      </c>
    </row>
    <row r="238" spans="4:24" x14ac:dyDescent="0.3">
      <c r="D238" s="70" t="str">
        <f t="shared" si="123"/>
        <v>dLevel_T2_26</v>
      </c>
      <c r="E238" s="78">
        <f t="shared" ref="E238:X238" ca="1" si="148">IFERROR(SQRT(E199/E$210)*100,0)</f>
        <v>99.915711902758957</v>
      </c>
      <c r="F238" s="78">
        <f t="shared" ca="1" si="148"/>
        <v>45.975906762115621</v>
      </c>
      <c r="G238" s="78">
        <f t="shared" ca="1" si="148"/>
        <v>99.915711902758957</v>
      </c>
      <c r="H238" s="78">
        <f t="shared" ca="1" si="148"/>
        <v>45.975906762115621</v>
      </c>
      <c r="I238" s="78">
        <f t="shared" ca="1" si="148"/>
        <v>70.400787819502597</v>
      </c>
      <c r="J238" s="78">
        <f t="shared" ca="1" si="148"/>
        <v>0</v>
      </c>
      <c r="K238" s="78">
        <f t="shared" ca="1" si="148"/>
        <v>0</v>
      </c>
      <c r="L238" s="78">
        <f t="shared" ca="1" si="148"/>
        <v>0</v>
      </c>
      <c r="M238" s="78">
        <f t="shared" ca="1" si="148"/>
        <v>0</v>
      </c>
      <c r="N238" s="78">
        <f t="shared" ca="1" si="148"/>
        <v>0</v>
      </c>
      <c r="O238" s="78">
        <f t="shared" ca="1" si="148"/>
        <v>0</v>
      </c>
      <c r="P238" s="78">
        <f t="shared" ca="1" si="148"/>
        <v>0</v>
      </c>
      <c r="Q238" s="78">
        <f t="shared" ca="1" si="148"/>
        <v>0</v>
      </c>
      <c r="R238" s="78">
        <f t="shared" ca="1" si="148"/>
        <v>0</v>
      </c>
      <c r="S238" s="78">
        <f t="shared" ca="1" si="148"/>
        <v>0</v>
      </c>
      <c r="T238" s="78">
        <f t="shared" ca="1" si="148"/>
        <v>0</v>
      </c>
      <c r="U238" s="78">
        <f t="shared" ca="1" si="148"/>
        <v>0</v>
      </c>
      <c r="V238" s="78">
        <f t="shared" ca="1" si="148"/>
        <v>0</v>
      </c>
      <c r="W238" s="78">
        <f t="shared" ca="1" si="148"/>
        <v>0</v>
      </c>
      <c r="X238" s="78">
        <f t="shared" ca="1" si="148"/>
        <v>0</v>
      </c>
    </row>
    <row r="239" spans="4:24" x14ac:dyDescent="0.3">
      <c r="D239" s="70" t="str">
        <f t="shared" si="123"/>
        <v>dLevel_T2_27</v>
      </c>
      <c r="E239" s="78">
        <f t="shared" ref="E239:X239" ca="1" si="149">IFERROR(SQRT(E200/E$210)*100,0)</f>
        <v>68.603416632865716</v>
      </c>
      <c r="F239" s="78">
        <f t="shared" ca="1" si="149"/>
        <v>101.91020553890536</v>
      </c>
      <c r="G239" s="78">
        <f t="shared" ca="1" si="149"/>
        <v>68.603416632865716</v>
      </c>
      <c r="H239" s="78">
        <f t="shared" ca="1" si="149"/>
        <v>101.91020553890536</v>
      </c>
      <c r="I239" s="78">
        <f t="shared" ca="1" si="149"/>
        <v>93.088275050329912</v>
      </c>
      <c r="J239" s="78">
        <f t="shared" ca="1" si="149"/>
        <v>0</v>
      </c>
      <c r="K239" s="78">
        <f t="shared" ca="1" si="149"/>
        <v>0</v>
      </c>
      <c r="L239" s="78">
        <f t="shared" ca="1" si="149"/>
        <v>0</v>
      </c>
      <c r="M239" s="78">
        <f t="shared" ca="1" si="149"/>
        <v>0</v>
      </c>
      <c r="N239" s="78">
        <f t="shared" ca="1" si="149"/>
        <v>0</v>
      </c>
      <c r="O239" s="78">
        <f t="shared" ca="1" si="149"/>
        <v>0</v>
      </c>
      <c r="P239" s="78">
        <f t="shared" ca="1" si="149"/>
        <v>0</v>
      </c>
      <c r="Q239" s="78">
        <f t="shared" ca="1" si="149"/>
        <v>0</v>
      </c>
      <c r="R239" s="78">
        <f t="shared" ca="1" si="149"/>
        <v>0</v>
      </c>
      <c r="S239" s="78">
        <f t="shared" ca="1" si="149"/>
        <v>0</v>
      </c>
      <c r="T239" s="78">
        <f t="shared" ca="1" si="149"/>
        <v>0</v>
      </c>
      <c r="U239" s="78">
        <f t="shared" ca="1" si="149"/>
        <v>0</v>
      </c>
      <c r="V239" s="78">
        <f t="shared" ca="1" si="149"/>
        <v>0</v>
      </c>
      <c r="W239" s="78">
        <f t="shared" ca="1" si="149"/>
        <v>0</v>
      </c>
      <c r="X239" s="78">
        <f t="shared" ca="1" si="149"/>
        <v>0</v>
      </c>
    </row>
    <row r="240" spans="4:24" x14ac:dyDescent="0.3">
      <c r="D240" s="70" t="str">
        <f t="shared" si="123"/>
        <v>dLevel_T2_28</v>
      </c>
      <c r="E240" s="78">
        <f t="shared" ref="E240:X240" ca="1" si="150">IFERROR(SQRT(E201/E$210)*100,0)</f>
        <v>65.257737316421441</v>
      </c>
      <c r="F240" s="78">
        <f t="shared" ca="1" si="150"/>
        <v>79.471141241155465</v>
      </c>
      <c r="G240" s="78">
        <f t="shared" ca="1" si="150"/>
        <v>65.257737316421441</v>
      </c>
      <c r="H240" s="78">
        <f t="shared" ca="1" si="150"/>
        <v>79.471141241155465</v>
      </c>
      <c r="I240" s="78">
        <f t="shared" ca="1" si="150"/>
        <v>96.104941363595074</v>
      </c>
      <c r="J240" s="78">
        <f t="shared" ca="1" si="150"/>
        <v>0</v>
      </c>
      <c r="K240" s="78">
        <f t="shared" ca="1" si="150"/>
        <v>0</v>
      </c>
      <c r="L240" s="78">
        <f t="shared" ca="1" si="150"/>
        <v>0</v>
      </c>
      <c r="M240" s="78">
        <f t="shared" ca="1" si="150"/>
        <v>0</v>
      </c>
      <c r="N240" s="78">
        <f t="shared" ca="1" si="150"/>
        <v>0</v>
      </c>
      <c r="O240" s="78">
        <f t="shared" ca="1" si="150"/>
        <v>0</v>
      </c>
      <c r="P240" s="78">
        <f t="shared" ca="1" si="150"/>
        <v>0</v>
      </c>
      <c r="Q240" s="78">
        <f t="shared" ca="1" si="150"/>
        <v>0</v>
      </c>
      <c r="R240" s="78">
        <f t="shared" ca="1" si="150"/>
        <v>0</v>
      </c>
      <c r="S240" s="78">
        <f t="shared" ca="1" si="150"/>
        <v>0</v>
      </c>
      <c r="T240" s="78">
        <f t="shared" ca="1" si="150"/>
        <v>0</v>
      </c>
      <c r="U240" s="78">
        <f t="shared" ca="1" si="150"/>
        <v>0</v>
      </c>
      <c r="V240" s="78">
        <f t="shared" ca="1" si="150"/>
        <v>0</v>
      </c>
      <c r="W240" s="78">
        <f t="shared" ca="1" si="150"/>
        <v>0</v>
      </c>
      <c r="X240" s="78">
        <f t="shared" ca="1" si="150"/>
        <v>0</v>
      </c>
    </row>
    <row r="241" spans="4:24" x14ac:dyDescent="0.3">
      <c r="D241" s="70">
        <f t="shared" si="123"/>
        <v>0</v>
      </c>
      <c r="E241" s="78">
        <f t="shared" ref="E241:X241" ca="1" si="151">IFERROR(SQRT(E202/E$210)*100,0)</f>
        <v>0</v>
      </c>
      <c r="F241" s="78">
        <f t="shared" ca="1" si="151"/>
        <v>0</v>
      </c>
      <c r="G241" s="78">
        <f t="shared" ca="1" si="151"/>
        <v>0</v>
      </c>
      <c r="H241" s="78">
        <f t="shared" ca="1" si="151"/>
        <v>0</v>
      </c>
      <c r="I241" s="78">
        <f t="shared" ca="1" si="151"/>
        <v>0</v>
      </c>
      <c r="J241" s="78">
        <f t="shared" ca="1" si="151"/>
        <v>0</v>
      </c>
      <c r="K241" s="78">
        <f t="shared" ca="1" si="151"/>
        <v>0</v>
      </c>
      <c r="L241" s="78">
        <f t="shared" ca="1" si="151"/>
        <v>0</v>
      </c>
      <c r="M241" s="78">
        <f t="shared" ca="1" si="151"/>
        <v>0</v>
      </c>
      <c r="N241" s="78">
        <f t="shared" ca="1" si="151"/>
        <v>0</v>
      </c>
      <c r="O241" s="78">
        <f t="shared" ca="1" si="151"/>
        <v>0</v>
      </c>
      <c r="P241" s="78">
        <f t="shared" ca="1" si="151"/>
        <v>0</v>
      </c>
      <c r="Q241" s="78">
        <f t="shared" ca="1" si="151"/>
        <v>0</v>
      </c>
      <c r="R241" s="78">
        <f t="shared" ca="1" si="151"/>
        <v>0</v>
      </c>
      <c r="S241" s="78">
        <f t="shared" ca="1" si="151"/>
        <v>0</v>
      </c>
      <c r="T241" s="78">
        <f t="shared" ca="1" si="151"/>
        <v>0</v>
      </c>
      <c r="U241" s="78">
        <f t="shared" ca="1" si="151"/>
        <v>0</v>
      </c>
      <c r="V241" s="78">
        <f t="shared" ca="1" si="151"/>
        <v>0</v>
      </c>
      <c r="W241" s="78">
        <f t="shared" ca="1" si="151"/>
        <v>0</v>
      </c>
      <c r="X241" s="78">
        <f t="shared" ca="1" si="151"/>
        <v>0</v>
      </c>
    </row>
    <row r="242" spans="4:24" x14ac:dyDescent="0.3">
      <c r="D242" s="70">
        <f t="shared" si="123"/>
        <v>0</v>
      </c>
      <c r="E242" s="78">
        <f t="shared" ref="E242:X242" ca="1" si="152">IFERROR(SQRT(E203/E$210)*100,0)</f>
        <v>0</v>
      </c>
      <c r="F242" s="78">
        <f t="shared" ca="1" si="152"/>
        <v>0</v>
      </c>
      <c r="G242" s="78">
        <f t="shared" ca="1" si="152"/>
        <v>0</v>
      </c>
      <c r="H242" s="78">
        <f t="shared" ca="1" si="152"/>
        <v>0</v>
      </c>
      <c r="I242" s="78">
        <f t="shared" ca="1" si="152"/>
        <v>0</v>
      </c>
      <c r="J242" s="78">
        <f t="shared" ca="1" si="152"/>
        <v>0</v>
      </c>
      <c r="K242" s="78">
        <f t="shared" ca="1" si="152"/>
        <v>0</v>
      </c>
      <c r="L242" s="78">
        <f t="shared" ca="1" si="152"/>
        <v>0</v>
      </c>
      <c r="M242" s="78">
        <f t="shared" ca="1" si="152"/>
        <v>0</v>
      </c>
      <c r="N242" s="78">
        <f t="shared" ca="1" si="152"/>
        <v>0</v>
      </c>
      <c r="O242" s="78">
        <f t="shared" ca="1" si="152"/>
        <v>0</v>
      </c>
      <c r="P242" s="78">
        <f t="shared" ca="1" si="152"/>
        <v>0</v>
      </c>
      <c r="Q242" s="78">
        <f t="shared" ca="1" si="152"/>
        <v>0</v>
      </c>
      <c r="R242" s="78">
        <f t="shared" ca="1" si="152"/>
        <v>0</v>
      </c>
      <c r="S242" s="78">
        <f t="shared" ca="1" si="152"/>
        <v>0</v>
      </c>
      <c r="T242" s="78">
        <f t="shared" ca="1" si="152"/>
        <v>0</v>
      </c>
      <c r="U242" s="78">
        <f t="shared" ca="1" si="152"/>
        <v>0</v>
      </c>
      <c r="V242" s="78">
        <f t="shared" ca="1" si="152"/>
        <v>0</v>
      </c>
      <c r="W242" s="78">
        <f t="shared" ca="1" si="152"/>
        <v>0</v>
      </c>
      <c r="X242" s="78">
        <f t="shared" ca="1" si="152"/>
        <v>0</v>
      </c>
    </row>
    <row r="243" spans="4:24" x14ac:dyDescent="0.3">
      <c r="D243" s="70">
        <f t="shared" si="123"/>
        <v>0</v>
      </c>
      <c r="E243" s="78">
        <f t="shared" ref="E243:X243" ca="1" si="153">IFERROR(SQRT(E204/E$210)*100,0)</f>
        <v>0</v>
      </c>
      <c r="F243" s="78">
        <f t="shared" ca="1" si="153"/>
        <v>0</v>
      </c>
      <c r="G243" s="78">
        <f t="shared" ca="1" si="153"/>
        <v>0</v>
      </c>
      <c r="H243" s="78">
        <f t="shared" ca="1" si="153"/>
        <v>0</v>
      </c>
      <c r="I243" s="78">
        <f t="shared" ca="1" si="153"/>
        <v>0</v>
      </c>
      <c r="J243" s="78">
        <f t="shared" ca="1" si="153"/>
        <v>0</v>
      </c>
      <c r="K243" s="78">
        <f t="shared" ca="1" si="153"/>
        <v>0</v>
      </c>
      <c r="L243" s="78">
        <f t="shared" ca="1" si="153"/>
        <v>0</v>
      </c>
      <c r="M243" s="78">
        <f t="shared" ca="1" si="153"/>
        <v>0</v>
      </c>
      <c r="N243" s="78">
        <f t="shared" ca="1" si="153"/>
        <v>0</v>
      </c>
      <c r="O243" s="78">
        <f t="shared" ca="1" si="153"/>
        <v>0</v>
      </c>
      <c r="P243" s="78">
        <f t="shared" ca="1" si="153"/>
        <v>0</v>
      </c>
      <c r="Q243" s="78">
        <f t="shared" ca="1" si="153"/>
        <v>0</v>
      </c>
      <c r="R243" s="78">
        <f t="shared" ca="1" si="153"/>
        <v>0</v>
      </c>
      <c r="S243" s="78">
        <f t="shared" ca="1" si="153"/>
        <v>0</v>
      </c>
      <c r="T243" s="78">
        <f t="shared" ca="1" si="153"/>
        <v>0</v>
      </c>
      <c r="U243" s="78">
        <f t="shared" ca="1" si="153"/>
        <v>0</v>
      </c>
      <c r="V243" s="78">
        <f t="shared" ca="1" si="153"/>
        <v>0</v>
      </c>
      <c r="W243" s="78">
        <f t="shared" ca="1" si="153"/>
        <v>0</v>
      </c>
      <c r="X243" s="78">
        <f t="shared" ca="1" si="153"/>
        <v>0</v>
      </c>
    </row>
    <row r="244" spans="4:24" x14ac:dyDescent="0.3">
      <c r="D244" s="70">
        <f t="shared" si="123"/>
        <v>0</v>
      </c>
      <c r="E244" s="78">
        <f t="shared" ref="E244:X244" ca="1" si="154">IFERROR(SQRT(E205/E$210)*100,0)</f>
        <v>0</v>
      </c>
      <c r="F244" s="78">
        <f t="shared" ca="1" si="154"/>
        <v>0</v>
      </c>
      <c r="G244" s="78">
        <f t="shared" ca="1" si="154"/>
        <v>0</v>
      </c>
      <c r="H244" s="78">
        <f t="shared" ca="1" si="154"/>
        <v>0</v>
      </c>
      <c r="I244" s="78">
        <f t="shared" ca="1" si="154"/>
        <v>0</v>
      </c>
      <c r="J244" s="78">
        <f t="shared" ca="1" si="154"/>
        <v>0</v>
      </c>
      <c r="K244" s="78">
        <f t="shared" ca="1" si="154"/>
        <v>0</v>
      </c>
      <c r="L244" s="78">
        <f t="shared" ca="1" si="154"/>
        <v>0</v>
      </c>
      <c r="M244" s="78">
        <f t="shared" ca="1" si="154"/>
        <v>0</v>
      </c>
      <c r="N244" s="78">
        <f t="shared" ca="1" si="154"/>
        <v>0</v>
      </c>
      <c r="O244" s="78">
        <f t="shared" ca="1" si="154"/>
        <v>0</v>
      </c>
      <c r="P244" s="78">
        <f t="shared" ca="1" si="154"/>
        <v>0</v>
      </c>
      <c r="Q244" s="78">
        <f t="shared" ca="1" si="154"/>
        <v>0</v>
      </c>
      <c r="R244" s="78">
        <f t="shared" ca="1" si="154"/>
        <v>0</v>
      </c>
      <c r="S244" s="78">
        <f t="shared" ca="1" si="154"/>
        <v>0</v>
      </c>
      <c r="T244" s="78">
        <f t="shared" ca="1" si="154"/>
        <v>0</v>
      </c>
      <c r="U244" s="78">
        <f t="shared" ca="1" si="154"/>
        <v>0</v>
      </c>
      <c r="V244" s="78">
        <f t="shared" ca="1" si="154"/>
        <v>0</v>
      </c>
      <c r="W244" s="78">
        <f t="shared" ca="1" si="154"/>
        <v>0</v>
      </c>
      <c r="X244" s="78">
        <f t="shared" ca="1" si="154"/>
        <v>0</v>
      </c>
    </row>
    <row r="245" spans="4:24" x14ac:dyDescent="0.3">
      <c r="D245" s="70">
        <f t="shared" si="123"/>
        <v>0</v>
      </c>
      <c r="E245" s="78">
        <f t="shared" ref="E245:X245" ca="1" si="155">IFERROR(SQRT(E206/E$210)*100,0)</f>
        <v>0</v>
      </c>
      <c r="F245" s="78">
        <f t="shared" ca="1" si="155"/>
        <v>0</v>
      </c>
      <c r="G245" s="78">
        <f t="shared" ca="1" si="155"/>
        <v>0</v>
      </c>
      <c r="H245" s="78">
        <f t="shared" ca="1" si="155"/>
        <v>0</v>
      </c>
      <c r="I245" s="78">
        <f t="shared" ca="1" si="155"/>
        <v>0</v>
      </c>
      <c r="J245" s="78">
        <f t="shared" ca="1" si="155"/>
        <v>0</v>
      </c>
      <c r="K245" s="78">
        <f t="shared" ca="1" si="155"/>
        <v>0</v>
      </c>
      <c r="L245" s="78">
        <f t="shared" ca="1" si="155"/>
        <v>0</v>
      </c>
      <c r="M245" s="78">
        <f t="shared" ca="1" si="155"/>
        <v>0</v>
      </c>
      <c r="N245" s="78">
        <f t="shared" ca="1" si="155"/>
        <v>0</v>
      </c>
      <c r="O245" s="78">
        <f t="shared" ca="1" si="155"/>
        <v>0</v>
      </c>
      <c r="P245" s="78">
        <f t="shared" ca="1" si="155"/>
        <v>0</v>
      </c>
      <c r="Q245" s="78">
        <f t="shared" ca="1" si="155"/>
        <v>0</v>
      </c>
      <c r="R245" s="78">
        <f t="shared" ca="1" si="155"/>
        <v>0</v>
      </c>
      <c r="S245" s="78">
        <f t="shared" ca="1" si="155"/>
        <v>0</v>
      </c>
      <c r="T245" s="78">
        <f t="shared" ca="1" si="155"/>
        <v>0</v>
      </c>
      <c r="U245" s="78">
        <f t="shared" ca="1" si="155"/>
        <v>0</v>
      </c>
      <c r="V245" s="78">
        <f t="shared" ca="1" si="155"/>
        <v>0</v>
      </c>
      <c r="W245" s="78">
        <f t="shared" ca="1" si="155"/>
        <v>0</v>
      </c>
      <c r="X245" s="78">
        <f t="shared" ca="1" si="155"/>
        <v>0</v>
      </c>
    </row>
    <row r="246" spans="4:24" x14ac:dyDescent="0.3">
      <c r="D246" s="70">
        <f t="shared" si="123"/>
        <v>0</v>
      </c>
      <c r="E246" s="78">
        <f t="shared" ref="E246:X246" ca="1" si="156">IFERROR(SQRT(E207/E$210)*100,0)</f>
        <v>0</v>
      </c>
      <c r="F246" s="78">
        <f t="shared" ca="1" si="156"/>
        <v>0</v>
      </c>
      <c r="G246" s="78">
        <f t="shared" ca="1" si="156"/>
        <v>0</v>
      </c>
      <c r="H246" s="78">
        <f t="shared" ca="1" si="156"/>
        <v>0</v>
      </c>
      <c r="I246" s="78">
        <f t="shared" ca="1" si="156"/>
        <v>0</v>
      </c>
      <c r="J246" s="78">
        <f t="shared" ca="1" si="156"/>
        <v>0</v>
      </c>
      <c r="K246" s="78">
        <f t="shared" ca="1" si="156"/>
        <v>0</v>
      </c>
      <c r="L246" s="78">
        <f t="shared" ca="1" si="156"/>
        <v>0</v>
      </c>
      <c r="M246" s="78">
        <f t="shared" ca="1" si="156"/>
        <v>0</v>
      </c>
      <c r="N246" s="78">
        <f t="shared" ca="1" si="156"/>
        <v>0</v>
      </c>
      <c r="O246" s="78">
        <f t="shared" ca="1" si="156"/>
        <v>0</v>
      </c>
      <c r="P246" s="78">
        <f t="shared" ca="1" si="156"/>
        <v>0</v>
      </c>
      <c r="Q246" s="78">
        <f t="shared" ca="1" si="156"/>
        <v>0</v>
      </c>
      <c r="R246" s="78">
        <f t="shared" ca="1" si="156"/>
        <v>0</v>
      </c>
      <c r="S246" s="78">
        <f t="shared" ca="1" si="156"/>
        <v>0</v>
      </c>
      <c r="T246" s="78">
        <f t="shared" ca="1" si="156"/>
        <v>0</v>
      </c>
      <c r="U246" s="78">
        <f t="shared" ca="1" si="156"/>
        <v>0</v>
      </c>
      <c r="V246" s="78">
        <f t="shared" ca="1" si="156"/>
        <v>0</v>
      </c>
      <c r="W246" s="78">
        <f t="shared" ca="1" si="156"/>
        <v>0</v>
      </c>
      <c r="X246" s="78">
        <f t="shared" ca="1" si="156"/>
        <v>0</v>
      </c>
    </row>
    <row r="247" spans="4:24" x14ac:dyDescent="0.3">
      <c r="D247" s="70">
        <f t="shared" si="123"/>
        <v>0</v>
      </c>
      <c r="E247" s="78">
        <f t="shared" ref="E247:X247" ca="1" si="157">IFERROR(SQRT(E208/E$210)*100,0)</f>
        <v>0</v>
      </c>
      <c r="F247" s="78">
        <f t="shared" ca="1" si="157"/>
        <v>0</v>
      </c>
      <c r="G247" s="78">
        <f t="shared" ca="1" si="157"/>
        <v>0</v>
      </c>
      <c r="H247" s="78">
        <f t="shared" ca="1" si="157"/>
        <v>0</v>
      </c>
      <c r="I247" s="78">
        <f t="shared" ca="1" si="157"/>
        <v>0</v>
      </c>
      <c r="J247" s="78">
        <f t="shared" ca="1" si="157"/>
        <v>0</v>
      </c>
      <c r="K247" s="78">
        <f t="shared" ca="1" si="157"/>
        <v>0</v>
      </c>
      <c r="L247" s="78">
        <f t="shared" ca="1" si="157"/>
        <v>0</v>
      </c>
      <c r="M247" s="78">
        <f t="shared" ca="1" si="157"/>
        <v>0</v>
      </c>
      <c r="N247" s="78">
        <f t="shared" ca="1" si="157"/>
        <v>0</v>
      </c>
      <c r="O247" s="78">
        <f t="shared" ca="1" si="157"/>
        <v>0</v>
      </c>
      <c r="P247" s="78">
        <f t="shared" ca="1" si="157"/>
        <v>0</v>
      </c>
      <c r="Q247" s="78">
        <f t="shared" ca="1" si="157"/>
        <v>0</v>
      </c>
      <c r="R247" s="78">
        <f t="shared" ca="1" si="157"/>
        <v>0</v>
      </c>
      <c r="S247" s="78">
        <f t="shared" ca="1" si="157"/>
        <v>0</v>
      </c>
      <c r="T247" s="78">
        <f t="shared" ca="1" si="157"/>
        <v>0</v>
      </c>
      <c r="U247" s="78">
        <f t="shared" ca="1" si="157"/>
        <v>0</v>
      </c>
      <c r="V247" s="78">
        <f t="shared" ca="1" si="157"/>
        <v>0</v>
      </c>
      <c r="W247" s="78">
        <f t="shared" ca="1" si="157"/>
        <v>0</v>
      </c>
      <c r="X247" s="78">
        <f t="shared" ca="1" si="157"/>
        <v>0</v>
      </c>
    </row>
    <row r="248" spans="4:24" x14ac:dyDescent="0.3">
      <c r="D248" s="70">
        <f t="shared" si="123"/>
        <v>0</v>
      </c>
      <c r="E248" s="78">
        <f t="shared" ref="E248:X248" ca="1" si="158">IFERROR(SQRT(E209/E$210)*100,0)</f>
        <v>0</v>
      </c>
      <c r="F248" s="78">
        <f t="shared" ca="1" si="158"/>
        <v>0</v>
      </c>
      <c r="G248" s="78">
        <f t="shared" ca="1" si="158"/>
        <v>0</v>
      </c>
      <c r="H248" s="78">
        <f t="shared" ca="1" si="158"/>
        <v>0</v>
      </c>
      <c r="I248" s="78">
        <f t="shared" ca="1" si="158"/>
        <v>0</v>
      </c>
      <c r="J248" s="78">
        <f t="shared" ca="1" si="158"/>
        <v>0</v>
      </c>
      <c r="K248" s="78">
        <f t="shared" ca="1" si="158"/>
        <v>0</v>
      </c>
      <c r="L248" s="78">
        <f t="shared" ca="1" si="158"/>
        <v>0</v>
      </c>
      <c r="M248" s="78">
        <f t="shared" ca="1" si="158"/>
        <v>0</v>
      </c>
      <c r="N248" s="78">
        <f t="shared" ca="1" si="158"/>
        <v>0</v>
      </c>
      <c r="O248" s="78">
        <f t="shared" ca="1" si="158"/>
        <v>0</v>
      </c>
      <c r="P248" s="78">
        <f t="shared" ca="1" si="158"/>
        <v>0</v>
      </c>
      <c r="Q248" s="78">
        <f t="shared" ca="1" si="158"/>
        <v>0</v>
      </c>
      <c r="R248" s="78">
        <f t="shared" ca="1" si="158"/>
        <v>0</v>
      </c>
      <c r="S248" s="78">
        <f t="shared" ca="1" si="158"/>
        <v>0</v>
      </c>
      <c r="T248" s="78">
        <f t="shared" ca="1" si="158"/>
        <v>0</v>
      </c>
      <c r="U248" s="78">
        <f t="shared" ca="1" si="158"/>
        <v>0</v>
      </c>
      <c r="V248" s="78">
        <f t="shared" ca="1" si="158"/>
        <v>0</v>
      </c>
      <c r="W248" s="78">
        <f t="shared" ca="1" si="158"/>
        <v>0</v>
      </c>
      <c r="X248" s="78">
        <f t="shared" ca="1" si="158"/>
        <v>0</v>
      </c>
    </row>
    <row r="249" spans="4:24" x14ac:dyDescent="0.3">
      <c r="D249" s="70" t="s">
        <v>392</v>
      </c>
      <c r="E249" s="78">
        <f t="shared" ref="E249:X249" ca="1" si="159">IFERROR(SQRT(E210/E$210)*100,0)</f>
        <v>100</v>
      </c>
      <c r="F249" s="78">
        <f t="shared" ca="1" si="159"/>
        <v>100</v>
      </c>
      <c r="G249" s="78">
        <f t="shared" ca="1" si="159"/>
        <v>100</v>
      </c>
      <c r="H249" s="78">
        <f t="shared" ca="1" si="159"/>
        <v>100</v>
      </c>
      <c r="I249" s="78">
        <f t="shared" ca="1" si="159"/>
        <v>100</v>
      </c>
      <c r="J249" s="78">
        <f t="shared" ca="1" si="159"/>
        <v>0</v>
      </c>
      <c r="K249" s="78">
        <f t="shared" ca="1" si="159"/>
        <v>0</v>
      </c>
      <c r="L249" s="78">
        <f t="shared" ca="1" si="159"/>
        <v>0</v>
      </c>
      <c r="M249" s="78">
        <f t="shared" ca="1" si="159"/>
        <v>0</v>
      </c>
      <c r="N249" s="78">
        <f t="shared" ca="1" si="159"/>
        <v>0</v>
      </c>
      <c r="O249" s="78">
        <f t="shared" ca="1" si="159"/>
        <v>0</v>
      </c>
      <c r="P249" s="78">
        <f t="shared" ca="1" si="159"/>
        <v>0</v>
      </c>
      <c r="Q249" s="78">
        <f t="shared" ca="1" si="159"/>
        <v>0</v>
      </c>
      <c r="R249" s="78">
        <f t="shared" ca="1" si="159"/>
        <v>0</v>
      </c>
      <c r="S249" s="78">
        <f t="shared" ca="1" si="159"/>
        <v>0</v>
      </c>
      <c r="T249" s="78">
        <f t="shared" ca="1" si="159"/>
        <v>0</v>
      </c>
      <c r="U249" s="78">
        <f t="shared" ca="1" si="159"/>
        <v>0</v>
      </c>
      <c r="V249" s="78">
        <f t="shared" ca="1" si="159"/>
        <v>0</v>
      </c>
      <c r="W249" s="78">
        <f t="shared" ca="1" si="159"/>
        <v>0</v>
      </c>
      <c r="X249" s="78">
        <f t="shared" ca="1" si="159"/>
        <v>0</v>
      </c>
    </row>
  </sheetData>
  <mergeCells count="5">
    <mergeCell ref="A4:A7"/>
    <mergeCell ref="A96:B96"/>
    <mergeCell ref="A8:A11"/>
    <mergeCell ref="B8:B11"/>
    <mergeCell ref="B4:B7"/>
  </mergeCells>
  <phoneticPr fontId="52" type="noConversion"/>
  <conditionalFormatting sqref="C42:C44 D41 D44 E45:X45">
    <cfRule type="colorScale" priority="17">
      <colorScale>
        <cfvo type="min"/>
        <cfvo type="percentile" val="50"/>
        <cfvo type="max"/>
        <color rgb="FFF8696B"/>
        <color rgb="FFFFEB84"/>
        <color rgb="FF63BE7B"/>
      </colorScale>
    </cfRule>
  </conditionalFormatting>
  <conditionalFormatting sqref="D93:D94">
    <cfRule type="colorScale" priority="15">
      <colorScale>
        <cfvo type="min"/>
        <cfvo type="percentile" val="50"/>
        <cfvo type="max"/>
        <color rgb="FFF8696B"/>
        <color rgb="FFFFEB84"/>
        <color rgb="FF63BE7B"/>
      </colorScale>
    </cfRule>
  </conditionalFormatting>
  <conditionalFormatting sqref="D131:D134 D95">
    <cfRule type="colorScale" priority="18">
      <colorScale>
        <cfvo type="min"/>
        <cfvo type="percentile" val="50"/>
        <cfvo type="max"/>
        <color rgb="FFF8696B"/>
        <color rgb="FFFFEB84"/>
        <color rgb="FF63BE7B"/>
      </colorScale>
    </cfRule>
  </conditionalFormatting>
  <conditionalFormatting sqref="D170">
    <cfRule type="colorScale" priority="16">
      <colorScale>
        <cfvo type="min"/>
        <cfvo type="percentile" val="50"/>
        <cfvo type="max"/>
        <color rgb="FFF8696B"/>
        <color rgb="FFFFEB84"/>
        <color rgb="FF63BE7B"/>
      </colorScale>
    </cfRule>
  </conditionalFormatting>
  <conditionalFormatting sqref="D209">
    <cfRule type="colorScale" priority="4">
      <colorScale>
        <cfvo type="min"/>
        <cfvo type="percentile" val="50"/>
        <cfvo type="max"/>
        <color rgb="FFF8696B"/>
        <color rgb="FFFFEB84"/>
        <color rgb="FF63BE7B"/>
      </colorScale>
    </cfRule>
  </conditionalFormatting>
  <conditionalFormatting sqref="D248">
    <cfRule type="colorScale" priority="2">
      <colorScale>
        <cfvo type="min"/>
        <cfvo type="percentile" val="50"/>
        <cfvo type="max"/>
        <color rgb="FFF8696B"/>
        <color rgb="FFFFEB84"/>
        <color rgb="FF63BE7B"/>
      </colorScale>
    </cfRule>
  </conditionalFormatting>
  <conditionalFormatting sqref="E44">
    <cfRule type="cellIs" dxfId="13" priority="5" operator="equal">
      <formula>0</formula>
    </cfRule>
  </conditionalFormatting>
  <conditionalFormatting sqref="E3:X40">
    <cfRule type="cellIs" dxfId="12" priority="6" operator="equal">
      <formula>0</formula>
    </cfRule>
  </conditionalFormatting>
  <conditionalFormatting sqref="E42:X43">
    <cfRule type="cellIs" dxfId="11" priority="9" operator="equal">
      <formula>0</formula>
    </cfRule>
  </conditionalFormatting>
  <conditionalFormatting sqref="E46:X46">
    <cfRule type="cellIs" dxfId="10" priority="8" operator="equal">
      <formula>0</formula>
    </cfRule>
  </conditionalFormatting>
  <conditionalFormatting sqref="E175:X179 D180:X209 E210:X210">
    <cfRule type="cellIs" dxfId="9" priority="3" operator="equal">
      <formula>0</formula>
    </cfRule>
  </conditionalFormatting>
  <conditionalFormatting sqref="E214:X249 D219:D248">
    <cfRule type="cellIs" dxfId="8" priority="1" operator="equal">
      <formula>0</formula>
    </cfRule>
  </conditionalFormatting>
  <conditionalFormatting sqref="E58:Z92">
    <cfRule type="cellIs" dxfId="7" priority="10" operator="equal">
      <formula>0</formula>
    </cfRule>
  </conditionalFormatting>
  <conditionalFormatting sqref="H1:X2">
    <cfRule type="cellIs" dxfId="6" priority="7" operator="equal">
      <formula>0</formula>
    </cfRule>
  </conditionalFormatting>
  <conditionalFormatting sqref="H136:X170 D141:G170">
    <cfRule type="cellIs" dxfId="5" priority="11" operator="equal">
      <formula>0</formula>
    </cfRule>
  </conditionalFormatting>
  <conditionalFormatting sqref="L97:X106 H97:K108 D102:G131 L107:L108 M107:X131 H109:L131">
    <cfRule type="cellIs" dxfId="4" priority="12" operator="equal">
      <formula>0</formula>
    </cfRule>
  </conditionalFormatting>
  <conditionalFormatting sqref="N45">
    <cfRule type="colorScale" priority="14">
      <colorScale>
        <cfvo type="min"/>
        <cfvo type="percentile" val="50"/>
        <cfvo type="max"/>
        <color rgb="FFF8696B"/>
        <color rgb="FFFFEB84"/>
        <color rgb="FF63BE7B"/>
      </colorScale>
    </cfRule>
  </conditionalFormatting>
  <pageMargins left="0.7" right="0.7" top="0.75" bottom="0.75" header="0.3" footer="0.3"/>
  <pageSetup paperSize="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theme="1" tint="4.9989318521683403E-2"/>
  </sheetPr>
  <dimension ref="B1:V161"/>
  <sheetViews>
    <sheetView tabSelected="1" topLeftCell="A99" zoomScale="78" zoomScaleNormal="70" workbookViewId="0">
      <selection activeCell="Y107" sqref="Y107"/>
    </sheetView>
  </sheetViews>
  <sheetFormatPr defaultColWidth="9.1640625" defaultRowHeight="14" x14ac:dyDescent="0.3"/>
  <cols>
    <col min="1" max="1" width="9.1640625" style="56" customWidth="1"/>
    <col min="2" max="2" width="41.75" style="54" customWidth="1"/>
    <col min="3" max="7" width="9.4140625" style="54" customWidth="1"/>
    <col min="8" max="10" width="9.4140625" style="56" customWidth="1"/>
    <col min="11" max="11" width="9.1640625" style="56" customWidth="1"/>
    <col min="12" max="12" width="10.75" style="56" customWidth="1"/>
    <col min="13" max="18" width="9.1640625" style="56" customWidth="1"/>
    <col min="19" max="16384" width="9.1640625" style="56"/>
  </cols>
  <sheetData>
    <row r="1" spans="2:22" ht="66" customHeight="1" x14ac:dyDescent="0.3">
      <c r="B1" s="55" t="s">
        <v>296</v>
      </c>
      <c r="C1" s="55"/>
      <c r="D1" s="55"/>
      <c r="E1" s="55"/>
      <c r="F1" s="55"/>
      <c r="G1" s="55"/>
      <c r="H1" s="55"/>
      <c r="I1" s="55"/>
      <c r="J1" s="55"/>
      <c r="K1" s="55"/>
      <c r="L1" s="55"/>
    </row>
    <row r="2" spans="2:22" ht="33" customHeight="1" x14ac:dyDescent="0.35">
      <c r="B2" s="57"/>
      <c r="C2" s="58" t="str">
        <f t="array" ref="C2:V2">TRANSPOSE(IF('2D Mapping'!D3:D22="","",'2D Mapping'!D3:D22))</f>
        <v>ABA</v>
      </c>
      <c r="D2" s="58" t="str">
        <v>B6</v>
      </c>
      <c r="E2" s="58" t="str">
        <v>ABA1</v>
      </c>
      <c r="F2" s="58" t="str">
        <v>B61</v>
      </c>
      <c r="G2" s="58" t="str">
        <v>B7</v>
      </c>
      <c r="H2" s="58" t="str">
        <v/>
      </c>
      <c r="I2" s="58" t="str">
        <v/>
      </c>
      <c r="J2" s="58" t="str">
        <v/>
      </c>
      <c r="K2" s="58" t="str">
        <v/>
      </c>
      <c r="L2" s="58" t="str">
        <v/>
      </c>
      <c r="M2" s="56" t="str">
        <v/>
      </c>
      <c r="N2" s="56" t="str">
        <v/>
      </c>
      <c r="O2" s="56" t="str">
        <v/>
      </c>
      <c r="P2" s="56" t="str">
        <v/>
      </c>
      <c r="Q2" s="56" t="str">
        <v/>
      </c>
      <c r="R2" s="56" t="str">
        <v/>
      </c>
      <c r="S2" s="56" t="str">
        <v/>
      </c>
      <c r="T2" s="56" t="str">
        <v/>
      </c>
      <c r="U2" s="56" t="str">
        <v/>
      </c>
      <c r="V2" s="56" t="str">
        <v/>
      </c>
    </row>
    <row r="3" spans="2:22" x14ac:dyDescent="0.3">
      <c r="B3" s="59" t="s">
        <v>297</v>
      </c>
      <c r="C3" s="60">
        <f>'2E.ROE Scan'!E49</f>
        <v>8.1144592124561918E-2</v>
      </c>
      <c r="D3" s="60">
        <f>'2E.ROE Scan'!F49</f>
        <v>4.0791301848915038E-2</v>
      </c>
      <c r="E3" s="60">
        <f>'2E.ROE Scan'!G49</f>
        <v>8.1144592124561918E-2</v>
      </c>
      <c r="F3" s="60">
        <f>'2E.ROE Scan'!H49</f>
        <v>4.0791301848915038E-2</v>
      </c>
      <c r="G3" s="60">
        <f>'2E.ROE Scan'!I49</f>
        <v>7.5052008146849314E-2</v>
      </c>
      <c r="H3" s="60" t="str">
        <f>'2E.ROE Scan'!J49</f>
        <v/>
      </c>
      <c r="I3" s="60" t="str">
        <f>'2E.ROE Scan'!K49</f>
        <v/>
      </c>
      <c r="J3" s="60" t="str">
        <f>'2E.ROE Scan'!L49</f>
        <v/>
      </c>
      <c r="K3" s="60" t="str">
        <f>'2E.ROE Scan'!M49</f>
        <v/>
      </c>
      <c r="L3" s="60" t="str">
        <f>'2E.ROE Scan'!N49</f>
        <v/>
      </c>
    </row>
    <row r="4" spans="2:22" x14ac:dyDescent="0.3">
      <c r="B4" s="61" t="s">
        <v>298</v>
      </c>
      <c r="C4" s="60">
        <f>'2E.ROE Scan'!E50</f>
        <v>0.17900578381528764</v>
      </c>
      <c r="D4" s="60">
        <f>'2E.ROE Scan'!F50</f>
        <v>0.16184027709845339</v>
      </c>
      <c r="E4" s="60">
        <f>'2E.ROE Scan'!G50</f>
        <v>0.17900578381528764</v>
      </c>
      <c r="F4" s="60">
        <f>'2E.ROE Scan'!H50</f>
        <v>0.16184027709845339</v>
      </c>
      <c r="G4" s="60">
        <f>'2E.ROE Scan'!I50</f>
        <v>0.11442167606367698</v>
      </c>
      <c r="H4" s="60" t="str">
        <f>'2E.ROE Scan'!J50</f>
        <v/>
      </c>
      <c r="I4" s="60" t="str">
        <f>'2E.ROE Scan'!K50</f>
        <v/>
      </c>
      <c r="J4" s="60" t="str">
        <f>'2E.ROE Scan'!L50</f>
        <v/>
      </c>
      <c r="K4" s="60" t="str">
        <f>'2E.ROE Scan'!M50</f>
        <v/>
      </c>
      <c r="L4" s="60" t="str">
        <f>'2E.ROE Scan'!N50</f>
        <v/>
      </c>
    </row>
    <row r="5" spans="2:22" x14ac:dyDescent="0.35">
      <c r="B5" s="62" t="s">
        <v>299</v>
      </c>
      <c r="C5" s="63">
        <f>'2E.ROE Scan'!E48</f>
        <v>0.26015037593984958</v>
      </c>
      <c r="D5" s="63">
        <f>'2E.ROE Scan'!F48</f>
        <v>0.20263157894736841</v>
      </c>
      <c r="E5" s="63">
        <f>'2E.ROE Scan'!G48</f>
        <v>0.26015037593984958</v>
      </c>
      <c r="F5" s="63">
        <f>'2E.ROE Scan'!H48</f>
        <v>0.20263157894736841</v>
      </c>
      <c r="G5" s="63">
        <f>'2E.ROE Scan'!I48</f>
        <v>0.18947368421052629</v>
      </c>
      <c r="H5" s="63" t="str">
        <f>'2E.ROE Scan'!J48</f>
        <v/>
      </c>
      <c r="I5" s="63" t="str">
        <f>'2E.ROE Scan'!K48</f>
        <v/>
      </c>
      <c r="J5" s="63" t="str">
        <f>'2E.ROE Scan'!L48</f>
        <v/>
      </c>
      <c r="K5" s="63" t="str">
        <f>'2E.ROE Scan'!M48</f>
        <v/>
      </c>
      <c r="L5" s="63" t="str">
        <f>'2E.ROE Scan'!N48</f>
        <v/>
      </c>
    </row>
    <row r="6" spans="2:22" x14ac:dyDescent="0.3">
      <c r="C6" s="64"/>
      <c r="D6" s="64"/>
      <c r="E6" s="64"/>
      <c r="F6" s="64"/>
      <c r="G6" s="64"/>
      <c r="H6" s="64"/>
      <c r="I6" s="64"/>
      <c r="J6" s="64"/>
    </row>
    <row r="7" spans="2:22" x14ac:dyDescent="0.25">
      <c r="B7" s="65"/>
      <c r="C7" s="65"/>
      <c r="D7" s="65"/>
      <c r="E7" s="65"/>
      <c r="F7" s="65"/>
      <c r="G7" s="65"/>
      <c r="H7" s="65"/>
      <c r="I7" s="65"/>
      <c r="J7" s="65"/>
      <c r="K7" s="65"/>
      <c r="L7" s="65"/>
    </row>
    <row r="8" spans="2:22" ht="16.5" customHeight="1" x14ac:dyDescent="0.3">
      <c r="B8" s="66" t="s">
        <v>300</v>
      </c>
      <c r="C8" s="55"/>
      <c r="D8" s="55"/>
      <c r="E8" s="55"/>
      <c r="F8" s="55"/>
      <c r="G8" s="55"/>
      <c r="H8" s="55"/>
      <c r="I8" s="55"/>
      <c r="J8" s="55"/>
      <c r="K8" s="55"/>
      <c r="L8" s="55"/>
    </row>
    <row r="9" spans="2:22" ht="33.75" customHeight="1" x14ac:dyDescent="0.35">
      <c r="B9" s="67"/>
      <c r="C9" s="58" t="str">
        <f t="shared" ref="C9:L9" si="0">C2</f>
        <v>ABA</v>
      </c>
      <c r="D9" s="58" t="str">
        <f t="shared" si="0"/>
        <v>B6</v>
      </c>
      <c r="E9" s="58" t="str">
        <f t="shared" si="0"/>
        <v>ABA1</v>
      </c>
      <c r="F9" s="58" t="str">
        <f t="shared" si="0"/>
        <v>B61</v>
      </c>
      <c r="G9" s="58" t="str">
        <f t="shared" si="0"/>
        <v>B7</v>
      </c>
      <c r="H9" s="58" t="str">
        <f t="shared" si="0"/>
        <v/>
      </c>
      <c r="I9" s="58" t="str">
        <f t="shared" si="0"/>
        <v/>
      </c>
      <c r="J9" s="58" t="str">
        <f t="shared" si="0"/>
        <v/>
      </c>
      <c r="K9" s="58" t="str">
        <f t="shared" si="0"/>
        <v/>
      </c>
      <c r="L9" s="58" t="str">
        <f t="shared" si="0"/>
        <v/>
      </c>
    </row>
    <row r="10" spans="2:22" ht="16.5" customHeight="1" x14ac:dyDescent="0.3">
      <c r="B10" s="68" t="str">
        <f>'2E.ROE Scan'!D136</f>
        <v>dLevel_T2_1</v>
      </c>
      <c r="C10" s="71">
        <f ca="1">'2E.ROE Scan'!E136</f>
        <v>6.5971342719553058E-2</v>
      </c>
      <c r="D10" s="71">
        <f ca="1">'2E.ROE Scan'!F136</f>
        <v>5.7950023138094733E-2</v>
      </c>
      <c r="E10" s="71">
        <f ca="1">'2E.ROE Scan'!G136</f>
        <v>6.5971342719553058E-2</v>
      </c>
      <c r="F10" s="71">
        <f ca="1">'2E.ROE Scan'!H136</f>
        <v>5.7950023138094733E-2</v>
      </c>
      <c r="G10" s="71">
        <f ca="1">'2E.ROE Scan'!I136</f>
        <v>7.0041322408335382E-2</v>
      </c>
      <c r="H10" s="71">
        <f ca="1">'2E.ROE Scan'!J136</f>
        <v>0</v>
      </c>
      <c r="I10" s="71">
        <f ca="1">'2E.ROE Scan'!K136</f>
        <v>0</v>
      </c>
      <c r="J10" s="71">
        <f ca="1">'2E.ROE Scan'!L136</f>
        <v>0</v>
      </c>
      <c r="K10" s="71">
        <f ca="1">'2E.ROE Scan'!M136</f>
        <v>0</v>
      </c>
      <c r="L10" s="71">
        <f ca="1">'2E.ROE Scan'!N136</f>
        <v>0</v>
      </c>
    </row>
    <row r="11" spans="2:22" ht="16.5" customHeight="1" x14ac:dyDescent="0.3">
      <c r="B11" s="68" t="str">
        <f>'2E.ROE Scan'!D137</f>
        <v>dLevel_T2_2</v>
      </c>
      <c r="C11" s="71">
        <f ca="1">'2E.ROE Scan'!E137</f>
        <v>1.8993091292241721E-2</v>
      </c>
      <c r="D11" s="71">
        <f ca="1">'2E.ROE Scan'!F137</f>
        <v>6.7155228358905606E-3</v>
      </c>
      <c r="E11" s="71">
        <f ca="1">'2E.ROE Scan'!G137</f>
        <v>1.8993091292241721E-2</v>
      </c>
      <c r="F11" s="71">
        <f ca="1">'2E.ROE Scan'!H137</f>
        <v>6.7155228358905606E-3</v>
      </c>
      <c r="G11" s="71">
        <f ca="1">'2E.ROE Scan'!I137</f>
        <v>2.9101728843080481E-2</v>
      </c>
      <c r="H11" s="71">
        <f ca="1">'2E.ROE Scan'!J137</f>
        <v>0</v>
      </c>
      <c r="I11" s="71">
        <f ca="1">'2E.ROE Scan'!K137</f>
        <v>0</v>
      </c>
      <c r="J11" s="71">
        <f ca="1">'2E.ROE Scan'!L137</f>
        <v>0</v>
      </c>
      <c r="K11" s="71">
        <f ca="1">'2E.ROE Scan'!M137</f>
        <v>0</v>
      </c>
      <c r="L11" s="71">
        <f ca="1">'2E.ROE Scan'!N137</f>
        <v>0</v>
      </c>
    </row>
    <row r="12" spans="2:22" ht="16.5" customHeight="1" x14ac:dyDescent="0.3">
      <c r="B12" s="68" t="str">
        <f>'2E.ROE Scan'!D138</f>
        <v>dLevel_T2_3</v>
      </c>
      <c r="C12" s="71">
        <f ca="1">'2E.ROE Scan'!E138</f>
        <v>1.2507402944036784E-2</v>
      </c>
      <c r="D12" s="71">
        <f ca="1">'2E.ROE Scan'!F138</f>
        <v>5.3934038151143889E-3</v>
      </c>
      <c r="E12" s="71">
        <f ca="1">'2E.ROE Scan'!G138</f>
        <v>1.2507402944036784E-2</v>
      </c>
      <c r="F12" s="71">
        <f ca="1">'2E.ROE Scan'!H138</f>
        <v>5.3934038151143889E-3</v>
      </c>
      <c r="G12" s="71">
        <f ca="1">'2E.ROE Scan'!I138</f>
        <v>1.9798979625122927E-2</v>
      </c>
      <c r="H12" s="71">
        <f ca="1">'2E.ROE Scan'!J138</f>
        <v>0</v>
      </c>
      <c r="I12" s="71">
        <f ca="1">'2E.ROE Scan'!K138</f>
        <v>0</v>
      </c>
      <c r="J12" s="71">
        <f ca="1">'2E.ROE Scan'!L138</f>
        <v>0</v>
      </c>
      <c r="K12" s="71">
        <f ca="1">'2E.ROE Scan'!M138</f>
        <v>0</v>
      </c>
      <c r="L12" s="71">
        <f ca="1">'2E.ROE Scan'!N138</f>
        <v>0</v>
      </c>
    </row>
    <row r="13" spans="2:22" ht="16.5" customHeight="1" x14ac:dyDescent="0.3">
      <c r="B13" s="68" t="str">
        <f>'2E.ROE Scan'!D139</f>
        <v>dLevel_T2_4</v>
      </c>
      <c r="C13" s="71">
        <f ca="1">'2E.ROE Scan'!E139</f>
        <v>8.3110270169688513E-2</v>
      </c>
      <c r="D13" s="71">
        <f ca="1">'2E.ROE Scan'!F139</f>
        <v>8.3946080216781446E-2</v>
      </c>
      <c r="E13" s="71">
        <f ca="1">'2E.ROE Scan'!G139</f>
        <v>8.3110270169688513E-2</v>
      </c>
      <c r="F13" s="71">
        <f ca="1">'2E.ROE Scan'!H139</f>
        <v>8.3946080216781446E-2</v>
      </c>
      <c r="G13" s="71">
        <f ca="1">'2E.ROE Scan'!I139</f>
        <v>8.9294103163286939E-2</v>
      </c>
      <c r="H13" s="71">
        <f ca="1">'2E.ROE Scan'!J139</f>
        <v>0</v>
      </c>
      <c r="I13" s="71">
        <f ca="1">'2E.ROE Scan'!K139</f>
        <v>0</v>
      </c>
      <c r="J13" s="71">
        <f ca="1">'2E.ROE Scan'!L139</f>
        <v>0</v>
      </c>
      <c r="K13" s="71">
        <f ca="1">'2E.ROE Scan'!M139</f>
        <v>0</v>
      </c>
      <c r="L13" s="71">
        <f ca="1">'2E.ROE Scan'!N139</f>
        <v>0</v>
      </c>
    </row>
    <row r="14" spans="2:22" ht="16.5" customHeight="1" x14ac:dyDescent="0.3">
      <c r="B14" s="68" t="str">
        <f>'2E.ROE Scan'!D140</f>
        <v>dLevel_T2_5</v>
      </c>
      <c r="C14" s="71">
        <f ca="1">'2E.ROE Scan'!E140</f>
        <v>1.753760564144765E-2</v>
      </c>
      <c r="D14" s="71">
        <f ca="1">'2E.ROE Scan'!F140</f>
        <v>4.0969171175530401E-2</v>
      </c>
      <c r="E14" s="71">
        <f ca="1">'2E.ROE Scan'!G140</f>
        <v>1.753760564144765E-2</v>
      </c>
      <c r="F14" s="71">
        <f ca="1">'2E.ROE Scan'!H140</f>
        <v>4.0969171175530401E-2</v>
      </c>
      <c r="G14" s="71">
        <f ca="1">'2E.ROE Scan'!I140</f>
        <v>2.8984839226664186E-2</v>
      </c>
      <c r="H14" s="71">
        <f ca="1">'2E.ROE Scan'!J140</f>
        <v>0</v>
      </c>
      <c r="I14" s="71">
        <f ca="1">'2E.ROE Scan'!K140</f>
        <v>0</v>
      </c>
      <c r="J14" s="71">
        <f ca="1">'2E.ROE Scan'!L140</f>
        <v>0</v>
      </c>
      <c r="K14" s="71">
        <f ca="1">'2E.ROE Scan'!M140</f>
        <v>0</v>
      </c>
      <c r="L14" s="71">
        <f ca="1">'2E.ROE Scan'!N140</f>
        <v>0</v>
      </c>
    </row>
    <row r="15" spans="2:22" ht="16.5" customHeight="1" x14ac:dyDescent="0.3">
      <c r="B15" s="68" t="str">
        <f>'2E.ROE Scan'!D141</f>
        <v>dLevel_T2_6</v>
      </c>
      <c r="C15" s="71">
        <f ca="1">'2E.ROE Scan'!E141</f>
        <v>3.1713750553025458E-2</v>
      </c>
      <c r="D15" s="71">
        <f ca="1">'2E.ROE Scan'!F141</f>
        <v>2.7870821658999744E-2</v>
      </c>
      <c r="E15" s="71">
        <f ca="1">'2E.ROE Scan'!G141</f>
        <v>3.1713750553025458E-2</v>
      </c>
      <c r="F15" s="71">
        <f ca="1">'2E.ROE Scan'!H141</f>
        <v>2.7870821658999744E-2</v>
      </c>
      <c r="G15" s="71">
        <f ca="1">'2E.ROE Scan'!I141</f>
        <v>2.3880382638035991E-2</v>
      </c>
      <c r="H15" s="71">
        <f ca="1">'2E.ROE Scan'!J141</f>
        <v>0</v>
      </c>
      <c r="I15" s="71">
        <f ca="1">'2E.ROE Scan'!K141</f>
        <v>0</v>
      </c>
      <c r="J15" s="71">
        <f ca="1">'2E.ROE Scan'!L141</f>
        <v>0</v>
      </c>
      <c r="K15" s="71">
        <f ca="1">'2E.ROE Scan'!M141</f>
        <v>0</v>
      </c>
      <c r="L15" s="71">
        <f ca="1">'2E.ROE Scan'!N141</f>
        <v>0</v>
      </c>
    </row>
    <row r="16" spans="2:22" ht="16.5" customHeight="1" x14ac:dyDescent="0.3">
      <c r="B16" s="68" t="str">
        <f>'2E.ROE Scan'!D142</f>
        <v>dLevel_T2_7</v>
      </c>
      <c r="C16" s="71">
        <f ca="1">'2E.ROE Scan'!E142</f>
        <v>0.10582017740486382</v>
      </c>
      <c r="D16" s="71">
        <f ca="1">'2E.ROE Scan'!F142</f>
        <v>0.12125167010216173</v>
      </c>
      <c r="E16" s="71">
        <f ca="1">'2E.ROE Scan'!G142</f>
        <v>0.10582017740486382</v>
      </c>
      <c r="F16" s="71">
        <f ca="1">'2E.ROE Scan'!H142</f>
        <v>0.12125167010216173</v>
      </c>
      <c r="G16" s="71">
        <f ca="1">'2E.ROE Scan'!I142</f>
        <v>8.7004868998054319E-2</v>
      </c>
      <c r="H16" s="71">
        <f ca="1">'2E.ROE Scan'!J142</f>
        <v>0</v>
      </c>
      <c r="I16" s="71">
        <f ca="1">'2E.ROE Scan'!K142</f>
        <v>0</v>
      </c>
      <c r="J16" s="71">
        <f ca="1">'2E.ROE Scan'!L142</f>
        <v>0</v>
      </c>
      <c r="K16" s="71">
        <f ca="1">'2E.ROE Scan'!M142</f>
        <v>0</v>
      </c>
      <c r="L16" s="71">
        <f ca="1">'2E.ROE Scan'!N142</f>
        <v>0</v>
      </c>
    </row>
    <row r="17" spans="2:12" ht="16.5" customHeight="1" x14ac:dyDescent="0.3">
      <c r="B17" s="68" t="str">
        <f>'2E.ROE Scan'!D143</f>
        <v>dLevel_T2_8</v>
      </c>
      <c r="C17" s="71">
        <f ca="1">'2E.ROE Scan'!E143</f>
        <v>4.6982331961307237E-2</v>
      </c>
      <c r="D17" s="71">
        <f ca="1">'2E.ROE Scan'!F143</f>
        <v>8.2838803843928263E-2</v>
      </c>
      <c r="E17" s="71">
        <f ca="1">'2E.ROE Scan'!G143</f>
        <v>4.6982331961307237E-2</v>
      </c>
      <c r="F17" s="71">
        <f ca="1">'2E.ROE Scan'!H143</f>
        <v>8.2838803843928263E-2</v>
      </c>
      <c r="G17" s="71">
        <f ca="1">'2E.ROE Scan'!I143</f>
        <v>8.4905489462278383E-2</v>
      </c>
      <c r="H17" s="71">
        <f ca="1">'2E.ROE Scan'!J143</f>
        <v>0</v>
      </c>
      <c r="I17" s="71">
        <f ca="1">'2E.ROE Scan'!K143</f>
        <v>0</v>
      </c>
      <c r="J17" s="71">
        <f ca="1">'2E.ROE Scan'!L143</f>
        <v>0</v>
      </c>
      <c r="K17" s="71">
        <f ca="1">'2E.ROE Scan'!M143</f>
        <v>0</v>
      </c>
      <c r="L17" s="71">
        <f ca="1">'2E.ROE Scan'!N143</f>
        <v>0</v>
      </c>
    </row>
    <row r="18" spans="2:12" ht="16.5" customHeight="1" x14ac:dyDescent="0.3">
      <c r="B18" s="68" t="str">
        <f>'2E.ROE Scan'!D144</f>
        <v>dLevel_T2_9</v>
      </c>
      <c r="C18" s="71">
        <f ca="1">'2E.ROE Scan'!E144</f>
        <v>8.3364803382020881E-3</v>
      </c>
      <c r="D18" s="71">
        <f ca="1">'2E.ROE Scan'!F144</f>
        <v>1.6837220158924582E-2</v>
      </c>
      <c r="E18" s="71">
        <f ca="1">'2E.ROE Scan'!G144</f>
        <v>8.3364803382020881E-3</v>
      </c>
      <c r="F18" s="71">
        <f ca="1">'2E.ROE Scan'!H144</f>
        <v>1.6837220158924582E-2</v>
      </c>
      <c r="G18" s="71">
        <f ca="1">'2E.ROE Scan'!I144</f>
        <v>1.5994068911810773E-2</v>
      </c>
      <c r="H18" s="71">
        <f ca="1">'2E.ROE Scan'!J144</f>
        <v>0</v>
      </c>
      <c r="I18" s="71">
        <f ca="1">'2E.ROE Scan'!K144</f>
        <v>0</v>
      </c>
      <c r="J18" s="71">
        <f ca="1">'2E.ROE Scan'!L144</f>
        <v>0</v>
      </c>
      <c r="K18" s="71">
        <f ca="1">'2E.ROE Scan'!M144</f>
        <v>0</v>
      </c>
      <c r="L18" s="71">
        <f ca="1">'2E.ROE Scan'!N144</f>
        <v>0</v>
      </c>
    </row>
    <row r="19" spans="2:12" ht="16.5" customHeight="1" x14ac:dyDescent="0.3">
      <c r="B19" s="68" t="str">
        <f>'2E.ROE Scan'!D145</f>
        <v>dLevel_T2_10</v>
      </c>
      <c r="C19" s="71">
        <f ca="1">'2E.ROE Scan'!E145</f>
        <v>1.5582116547556538E-2</v>
      </c>
      <c r="D19" s="71">
        <f ca="1">'2E.ROE Scan'!F145</f>
        <v>1.3243881952658958E-2</v>
      </c>
      <c r="E19" s="71">
        <f ca="1">'2E.ROE Scan'!G145</f>
        <v>1.5582116547556538E-2</v>
      </c>
      <c r="F19" s="71">
        <f ca="1">'2E.ROE Scan'!H145</f>
        <v>1.3243881952658958E-2</v>
      </c>
      <c r="G19" s="71">
        <f ca="1">'2E.ROE Scan'!I145</f>
        <v>1.0399369853728703E-2</v>
      </c>
      <c r="H19" s="71">
        <f ca="1">'2E.ROE Scan'!J145</f>
        <v>0</v>
      </c>
      <c r="I19" s="71">
        <f ca="1">'2E.ROE Scan'!K145</f>
        <v>0</v>
      </c>
      <c r="J19" s="71">
        <f ca="1">'2E.ROE Scan'!L145</f>
        <v>0</v>
      </c>
      <c r="K19" s="71">
        <f ca="1">'2E.ROE Scan'!M145</f>
        <v>0</v>
      </c>
      <c r="L19" s="71">
        <f ca="1">'2E.ROE Scan'!N145</f>
        <v>0</v>
      </c>
    </row>
    <row r="20" spans="2:12" ht="16.5" customHeight="1" x14ac:dyDescent="0.3">
      <c r="B20" s="68" t="str">
        <f>'2E.ROE Scan'!D146</f>
        <v>dLevel_T2_11</v>
      </c>
      <c r="C20" s="71">
        <f ca="1">'2E.ROE Scan'!E146</f>
        <v>4.4321956357664109E-2</v>
      </c>
      <c r="D20" s="71">
        <f ca="1">'2E.ROE Scan'!F146</f>
        <v>4.1633550863937156E-2</v>
      </c>
      <c r="E20" s="71">
        <f ca="1">'2E.ROE Scan'!G146</f>
        <v>4.4321956357664109E-2</v>
      </c>
      <c r="F20" s="71">
        <f ca="1">'2E.ROE Scan'!H146</f>
        <v>4.1633550863937156E-2</v>
      </c>
      <c r="G20" s="71">
        <f ca="1">'2E.ROE Scan'!I146</f>
        <v>2.7954143145983993E-2</v>
      </c>
      <c r="H20" s="71">
        <f ca="1">'2E.ROE Scan'!J146</f>
        <v>0</v>
      </c>
      <c r="I20" s="71">
        <f ca="1">'2E.ROE Scan'!K146</f>
        <v>0</v>
      </c>
      <c r="J20" s="71">
        <f ca="1">'2E.ROE Scan'!L146</f>
        <v>0</v>
      </c>
      <c r="K20" s="71">
        <f ca="1">'2E.ROE Scan'!M146</f>
        <v>0</v>
      </c>
      <c r="L20" s="71">
        <f ca="1">'2E.ROE Scan'!N146</f>
        <v>0</v>
      </c>
    </row>
    <row r="21" spans="2:12" ht="16.5" customHeight="1" x14ac:dyDescent="0.3">
      <c r="B21" s="68" t="str">
        <f>'2E.ROE Scan'!D147</f>
        <v>dLevel_T2_12</v>
      </c>
      <c r="C21" s="71">
        <f ca="1">'2E.ROE Scan'!E147</f>
        <v>2.4096944955977508E-2</v>
      </c>
      <c r="D21" s="71">
        <f ca="1">'2E.ROE Scan'!F147</f>
        <v>8.3988918859891609E-3</v>
      </c>
      <c r="E21" s="71">
        <f ca="1">'2E.ROE Scan'!G147</f>
        <v>2.4096944955977508E-2</v>
      </c>
      <c r="F21" s="71">
        <f ca="1">'2E.ROE Scan'!H147</f>
        <v>8.3988918859891609E-3</v>
      </c>
      <c r="G21" s="71">
        <f ca="1">'2E.ROE Scan'!I147</f>
        <v>5.7308442145018951E-3</v>
      </c>
      <c r="H21" s="71">
        <f ca="1">'2E.ROE Scan'!J147</f>
        <v>0</v>
      </c>
      <c r="I21" s="71">
        <f ca="1">'2E.ROE Scan'!K147</f>
        <v>0</v>
      </c>
      <c r="J21" s="71">
        <f ca="1">'2E.ROE Scan'!L147</f>
        <v>0</v>
      </c>
      <c r="K21" s="71">
        <f ca="1">'2E.ROE Scan'!M147</f>
        <v>0</v>
      </c>
      <c r="L21" s="71">
        <f ca="1">'2E.ROE Scan'!N147</f>
        <v>0</v>
      </c>
    </row>
    <row r="22" spans="2:12" ht="16.5" customHeight="1" x14ac:dyDescent="0.3">
      <c r="B22" s="68" t="str">
        <f>'2E.ROE Scan'!D148</f>
        <v>dLevel_T2_13</v>
      </c>
      <c r="C22" s="71">
        <f ca="1">'2E.ROE Scan'!E148</f>
        <v>8.884644323407109E-3</v>
      </c>
      <c r="D22" s="71">
        <f ca="1">'2E.ROE Scan'!F148</f>
        <v>1.5725623084150185E-4</v>
      </c>
      <c r="E22" s="71">
        <f ca="1">'2E.ROE Scan'!G148</f>
        <v>8.884644323407109E-3</v>
      </c>
      <c r="F22" s="71">
        <f ca="1">'2E.ROE Scan'!H148</f>
        <v>1.5725623084150185E-4</v>
      </c>
      <c r="G22" s="71">
        <f ca="1">'2E.ROE Scan'!I148</f>
        <v>5.3189861154019922E-3</v>
      </c>
      <c r="H22" s="71">
        <f ca="1">'2E.ROE Scan'!J148</f>
        <v>0</v>
      </c>
      <c r="I22" s="71">
        <f ca="1">'2E.ROE Scan'!K148</f>
        <v>0</v>
      </c>
      <c r="J22" s="71">
        <f ca="1">'2E.ROE Scan'!L148</f>
        <v>0</v>
      </c>
      <c r="K22" s="71">
        <f ca="1">'2E.ROE Scan'!M148</f>
        <v>0</v>
      </c>
      <c r="L22" s="71">
        <f ca="1">'2E.ROE Scan'!N148</f>
        <v>0</v>
      </c>
    </row>
    <row r="23" spans="2:12" ht="16.5" customHeight="1" x14ac:dyDescent="0.3">
      <c r="B23" s="68" t="str">
        <f>'2E.ROE Scan'!D149</f>
        <v>dLevel_T2_14</v>
      </c>
      <c r="C23" s="71">
        <f ca="1">'2E.ROE Scan'!E149</f>
        <v>1.8013312290201325E-2</v>
      </c>
      <c r="D23" s="71">
        <f ca="1">'2E.ROE Scan'!F149</f>
        <v>1.9243760789149637E-2</v>
      </c>
      <c r="E23" s="71">
        <f ca="1">'2E.ROE Scan'!G149</f>
        <v>1.8013312290201325E-2</v>
      </c>
      <c r="F23" s="71">
        <f ca="1">'2E.ROE Scan'!H149</f>
        <v>1.9243760789149637E-2</v>
      </c>
      <c r="G23" s="71">
        <f ca="1">'2E.ROE Scan'!I149</f>
        <v>1.7896170944854708E-2</v>
      </c>
      <c r="H23" s="71">
        <f ca="1">'2E.ROE Scan'!J149</f>
        <v>0</v>
      </c>
      <c r="I23" s="71">
        <f ca="1">'2E.ROE Scan'!K149</f>
        <v>0</v>
      </c>
      <c r="J23" s="71">
        <f ca="1">'2E.ROE Scan'!L149</f>
        <v>0</v>
      </c>
      <c r="K23" s="71">
        <f ca="1">'2E.ROE Scan'!M149</f>
        <v>0</v>
      </c>
      <c r="L23" s="71">
        <f ca="1">'2E.ROE Scan'!N149</f>
        <v>0</v>
      </c>
    </row>
    <row r="24" spans="2:12" ht="16.5" customHeight="1" x14ac:dyDescent="0.3">
      <c r="B24" s="68" t="str">
        <f>'2E.ROE Scan'!D150</f>
        <v>dLevel_T2_15</v>
      </c>
      <c r="C24" s="71">
        <f ca="1">'2E.ROE Scan'!E150</f>
        <v>1.2211569063647915E-2</v>
      </c>
      <c r="D24" s="71">
        <f ca="1">'2E.ROE Scan'!F150</f>
        <v>2.3081156462220452E-4</v>
      </c>
      <c r="E24" s="71">
        <f ca="1">'2E.ROE Scan'!G150</f>
        <v>1.2211569063647915E-2</v>
      </c>
      <c r="F24" s="71">
        <f ca="1">'2E.ROE Scan'!H150</f>
        <v>2.3081156462220452E-4</v>
      </c>
      <c r="G24" s="71">
        <f ca="1">'2E.ROE Scan'!I150</f>
        <v>1.174050161987155E-2</v>
      </c>
      <c r="H24" s="71">
        <f ca="1">'2E.ROE Scan'!J150</f>
        <v>0</v>
      </c>
      <c r="I24" s="71">
        <f ca="1">'2E.ROE Scan'!K150</f>
        <v>0</v>
      </c>
      <c r="J24" s="71">
        <f ca="1">'2E.ROE Scan'!L150</f>
        <v>0</v>
      </c>
      <c r="K24" s="71">
        <f ca="1">'2E.ROE Scan'!M150</f>
        <v>0</v>
      </c>
      <c r="L24" s="71">
        <f ca="1">'2E.ROE Scan'!N150</f>
        <v>0</v>
      </c>
    </row>
    <row r="25" spans="2:12" ht="16.5" customHeight="1" x14ac:dyDescent="0.3">
      <c r="B25" s="68" t="str">
        <f>'2E.ROE Scan'!D151</f>
        <v>dLevel_T2_16</v>
      </c>
      <c r="C25" s="71">
        <f ca="1">'2E.ROE Scan'!E151</f>
        <v>1.1506041509069564E-2</v>
      </c>
      <c r="D25" s="71">
        <f ca="1">'2E.ROE Scan'!F151</f>
        <v>8.2194068981594533E-3</v>
      </c>
      <c r="E25" s="71">
        <f ca="1">'2E.ROE Scan'!G151</f>
        <v>1.1506041509069564E-2</v>
      </c>
      <c r="F25" s="71">
        <f ca="1">'2E.ROE Scan'!H151</f>
        <v>8.2194068981594533E-3</v>
      </c>
      <c r="G25" s="71">
        <f ca="1">'2E.ROE Scan'!I151</f>
        <v>1.4245297493537052E-2</v>
      </c>
      <c r="H25" s="71">
        <f ca="1">'2E.ROE Scan'!J151</f>
        <v>0</v>
      </c>
      <c r="I25" s="71">
        <f ca="1">'2E.ROE Scan'!K151</f>
        <v>0</v>
      </c>
      <c r="J25" s="71">
        <f ca="1">'2E.ROE Scan'!L151</f>
        <v>0</v>
      </c>
      <c r="K25" s="71">
        <f ca="1">'2E.ROE Scan'!M151</f>
        <v>0</v>
      </c>
      <c r="L25" s="71">
        <f ca="1">'2E.ROE Scan'!N151</f>
        <v>0</v>
      </c>
    </row>
    <row r="26" spans="2:12" ht="16.5" customHeight="1" x14ac:dyDescent="0.3">
      <c r="B26" s="68" t="str">
        <f>'2E.ROE Scan'!D152</f>
        <v>dLevel_T2_17</v>
      </c>
      <c r="C26" s="71">
        <f ca="1">'2E.ROE Scan'!E152</f>
        <v>5.2472381798137268E-3</v>
      </c>
      <c r="D26" s="71">
        <f ca="1">'2E.ROE Scan'!F152</f>
        <v>9.5559567640293216E-3</v>
      </c>
      <c r="E26" s="71">
        <f ca="1">'2E.ROE Scan'!G152</f>
        <v>5.2472381798137268E-3</v>
      </c>
      <c r="F26" s="71">
        <f ca="1">'2E.ROE Scan'!H152</f>
        <v>9.5559567640293216E-3</v>
      </c>
      <c r="G26" s="71">
        <f ca="1">'2E.ROE Scan'!I152</f>
        <v>2.0535763913493078E-2</v>
      </c>
      <c r="H26" s="71">
        <f ca="1">'2E.ROE Scan'!J152</f>
        <v>0</v>
      </c>
      <c r="I26" s="71">
        <f ca="1">'2E.ROE Scan'!K152</f>
        <v>0</v>
      </c>
      <c r="J26" s="71">
        <f ca="1">'2E.ROE Scan'!L152</f>
        <v>0</v>
      </c>
      <c r="K26" s="71">
        <f ca="1">'2E.ROE Scan'!M152</f>
        <v>0</v>
      </c>
      <c r="L26" s="71">
        <f ca="1">'2E.ROE Scan'!N152</f>
        <v>0</v>
      </c>
    </row>
    <row r="27" spans="2:12" ht="16.5" customHeight="1" x14ac:dyDescent="0.3">
      <c r="B27" s="68" t="str">
        <f>'2E.ROE Scan'!D153</f>
        <v>dLevel_T2_18</v>
      </c>
      <c r="C27" s="71">
        <f ca="1">'2E.ROE Scan'!E153</f>
        <v>1.7370341316103106E-2</v>
      </c>
      <c r="D27" s="71">
        <f ca="1">'2E.ROE Scan'!F153</f>
        <v>7.7949929046645203E-2</v>
      </c>
      <c r="E27" s="71">
        <f ca="1">'2E.ROE Scan'!G153</f>
        <v>1.7370341316103106E-2</v>
      </c>
      <c r="F27" s="71">
        <f ca="1">'2E.ROE Scan'!H153</f>
        <v>7.7949929046645203E-2</v>
      </c>
      <c r="G27" s="71">
        <f ca="1">'2E.ROE Scan'!I153</f>
        <v>7.9046837874153397E-2</v>
      </c>
      <c r="H27" s="71">
        <f ca="1">'2E.ROE Scan'!J153</f>
        <v>0</v>
      </c>
      <c r="I27" s="71">
        <f ca="1">'2E.ROE Scan'!K153</f>
        <v>0</v>
      </c>
      <c r="J27" s="71">
        <f ca="1">'2E.ROE Scan'!L153</f>
        <v>0</v>
      </c>
      <c r="K27" s="71">
        <f ca="1">'2E.ROE Scan'!M153</f>
        <v>0</v>
      </c>
      <c r="L27" s="71">
        <f ca="1">'2E.ROE Scan'!N153</f>
        <v>0</v>
      </c>
    </row>
    <row r="28" spans="2:12" ht="16.5" customHeight="1" x14ac:dyDescent="0.3">
      <c r="B28" s="68" t="str">
        <f>'2E.ROE Scan'!D154</f>
        <v>dLevel_T2_19</v>
      </c>
      <c r="C28" s="71">
        <f ca="1">'2E.ROE Scan'!E154</f>
        <v>6.722930707808732E-3</v>
      </c>
      <c r="D28" s="71">
        <f ca="1">'2E.ROE Scan'!F154</f>
        <v>4.1508677979370037E-3</v>
      </c>
      <c r="E28" s="71">
        <f ca="1">'2E.ROE Scan'!G154</f>
        <v>6.722930707808732E-3</v>
      </c>
      <c r="F28" s="71">
        <f ca="1">'2E.ROE Scan'!H154</f>
        <v>4.1508677979370037E-3</v>
      </c>
      <c r="G28" s="71">
        <f ca="1">'2E.ROE Scan'!I154</f>
        <v>7.186649093450472E-3</v>
      </c>
      <c r="H28" s="71">
        <f ca="1">'2E.ROE Scan'!J154</f>
        <v>0</v>
      </c>
      <c r="I28" s="71">
        <f ca="1">'2E.ROE Scan'!K154</f>
        <v>0</v>
      </c>
      <c r="J28" s="71">
        <f ca="1">'2E.ROE Scan'!L154</f>
        <v>0</v>
      </c>
      <c r="K28" s="71">
        <f ca="1">'2E.ROE Scan'!M154</f>
        <v>0</v>
      </c>
      <c r="L28" s="71">
        <f ca="1">'2E.ROE Scan'!N154</f>
        <v>0</v>
      </c>
    </row>
    <row r="29" spans="2:12" ht="16.5" customHeight="1" x14ac:dyDescent="0.3">
      <c r="B29" s="68" t="str">
        <f>'2E.ROE Scan'!D155</f>
        <v>dLevel_T2_21</v>
      </c>
      <c r="C29" s="71">
        <f ca="1">'2E.ROE Scan'!E155</f>
        <v>1.8525521643088579E-2</v>
      </c>
      <c r="D29" s="71">
        <f ca="1">'2E.ROE Scan'!F155</f>
        <v>2.4025226946938368E-2</v>
      </c>
      <c r="E29" s="71">
        <f ca="1">'2E.ROE Scan'!G155</f>
        <v>1.8525521643088579E-2</v>
      </c>
      <c r="F29" s="71">
        <f ca="1">'2E.ROE Scan'!H155</f>
        <v>2.4025226946938368E-2</v>
      </c>
      <c r="G29" s="71">
        <f ca="1">'2E.ROE Scan'!I155</f>
        <v>2.7475985021833023E-2</v>
      </c>
      <c r="H29" s="71">
        <f ca="1">'2E.ROE Scan'!J155</f>
        <v>0</v>
      </c>
      <c r="I29" s="71">
        <f ca="1">'2E.ROE Scan'!K155</f>
        <v>0</v>
      </c>
      <c r="J29" s="71">
        <f ca="1">'2E.ROE Scan'!L155</f>
        <v>0</v>
      </c>
      <c r="K29" s="71">
        <f ca="1">'2E.ROE Scan'!M155</f>
        <v>0</v>
      </c>
      <c r="L29" s="71">
        <f ca="1">'2E.ROE Scan'!N155</f>
        <v>0</v>
      </c>
    </row>
    <row r="30" spans="2:12" ht="16.5" customHeight="1" x14ac:dyDescent="0.3">
      <c r="B30" s="68" t="str">
        <f>'2E.ROE Scan'!D156</f>
        <v>dLevel_T2_22</v>
      </c>
      <c r="C30" s="71">
        <f ca="1">'2E.ROE Scan'!E156</f>
        <v>0.34313250111083393</v>
      </c>
      <c r="D30" s="71">
        <f ca="1">'2E.ROE Scan'!F156</f>
        <v>0.24934823462148153</v>
      </c>
      <c r="E30" s="71">
        <f ca="1">'2E.ROE Scan'!G156</f>
        <v>0.34313250111083393</v>
      </c>
      <c r="F30" s="71">
        <f ca="1">'2E.ROE Scan'!H156</f>
        <v>0.24934823462148153</v>
      </c>
      <c r="G30" s="71">
        <f ca="1">'2E.ROE Scan'!I156</f>
        <v>0.1718106805351739</v>
      </c>
      <c r="H30" s="71">
        <f ca="1">'2E.ROE Scan'!J156</f>
        <v>0</v>
      </c>
      <c r="I30" s="71">
        <f ca="1">'2E.ROE Scan'!K156</f>
        <v>0</v>
      </c>
      <c r="J30" s="71">
        <f ca="1">'2E.ROE Scan'!L156</f>
        <v>0</v>
      </c>
      <c r="K30" s="71">
        <f ca="1">'2E.ROE Scan'!M156</f>
        <v>0</v>
      </c>
      <c r="L30" s="71">
        <f ca="1">'2E.ROE Scan'!N156</f>
        <v>0</v>
      </c>
    </row>
    <row r="31" spans="2:12" ht="16.5" customHeight="1" x14ac:dyDescent="0.3">
      <c r="B31" s="68" t="str">
        <f>'2E.ROE Scan'!D157</f>
        <v>dLevel_T2_23</v>
      </c>
      <c r="C31" s="71">
        <f ca="1">'2E.ROE Scan'!E157</f>
        <v>7.060231229819326E-3</v>
      </c>
      <c r="D31" s="71">
        <f ca="1">'2E.ROE Scan'!F157</f>
        <v>6.3917048664610481E-4</v>
      </c>
      <c r="E31" s="71">
        <f ca="1">'2E.ROE Scan'!G157</f>
        <v>7.060231229819326E-3</v>
      </c>
      <c r="F31" s="71">
        <f ca="1">'2E.ROE Scan'!H157</f>
        <v>6.3917048664610481E-4</v>
      </c>
      <c r="G31" s="71">
        <f ca="1">'2E.ROE Scan'!I157</f>
        <v>9.2223549698465523E-3</v>
      </c>
      <c r="H31" s="71">
        <f ca="1">'2E.ROE Scan'!J157</f>
        <v>0</v>
      </c>
      <c r="I31" s="71">
        <f ca="1">'2E.ROE Scan'!K157</f>
        <v>0</v>
      </c>
      <c r="J31" s="71">
        <f ca="1">'2E.ROE Scan'!L157</f>
        <v>0</v>
      </c>
      <c r="K31" s="71">
        <f ca="1">'2E.ROE Scan'!M157</f>
        <v>0</v>
      </c>
      <c r="L31" s="71">
        <f ca="1">'2E.ROE Scan'!N157</f>
        <v>0</v>
      </c>
    </row>
    <row r="32" spans="2:12" ht="16.5" customHeight="1" x14ac:dyDescent="0.3">
      <c r="B32" s="68" t="str">
        <f>'2E.ROE Scan'!D158</f>
        <v>dLevel_T2_24</v>
      </c>
      <c r="C32" s="71">
        <f ca="1">'2E.ROE Scan'!E158</f>
        <v>3.1355158164554926E-2</v>
      </c>
      <c r="D32" s="71">
        <f ca="1">'2E.ROE Scan'!F158</f>
        <v>5.9193382709866058E-2</v>
      </c>
      <c r="E32" s="71">
        <f ca="1">'2E.ROE Scan'!G158</f>
        <v>3.1355158164554926E-2</v>
      </c>
      <c r="F32" s="71">
        <f ca="1">'2E.ROE Scan'!H158</f>
        <v>5.9193382709866058E-2</v>
      </c>
      <c r="G32" s="71">
        <f ca="1">'2E.ROE Scan'!I158</f>
        <v>8.0721100615462671E-2</v>
      </c>
      <c r="H32" s="71">
        <f ca="1">'2E.ROE Scan'!J158</f>
        <v>0</v>
      </c>
      <c r="I32" s="71">
        <f ca="1">'2E.ROE Scan'!K158</f>
        <v>0</v>
      </c>
      <c r="J32" s="71">
        <f ca="1">'2E.ROE Scan'!L158</f>
        <v>0</v>
      </c>
      <c r="K32" s="71">
        <f ca="1">'2E.ROE Scan'!M158</f>
        <v>0</v>
      </c>
      <c r="L32" s="71">
        <f ca="1">'2E.ROE Scan'!N158</f>
        <v>0</v>
      </c>
    </row>
    <row r="33" spans="2:12" ht="16.5" customHeight="1" x14ac:dyDescent="0.3">
      <c r="B33" s="68" t="str">
        <f>'2E.ROE Scan'!D159</f>
        <v>dLevel_T2_25</v>
      </c>
      <c r="C33" s="71">
        <f ca="1">'2E.ROE Scan'!E159</f>
        <v>8.7528456899827467E-3</v>
      </c>
      <c r="D33" s="71">
        <f ca="1">'2E.ROE Scan'!F159</f>
        <v>2.42745804532303E-3</v>
      </c>
      <c r="E33" s="71">
        <f ca="1">'2E.ROE Scan'!G159</f>
        <v>8.7528456899827467E-3</v>
      </c>
      <c r="F33" s="71">
        <f ca="1">'2E.ROE Scan'!H159</f>
        <v>2.42745804532303E-3</v>
      </c>
      <c r="G33" s="71">
        <f ca="1">'2E.ROE Scan'!I159</f>
        <v>1.1254615734469474E-2</v>
      </c>
      <c r="H33" s="71">
        <f ca="1">'2E.ROE Scan'!J159</f>
        <v>0</v>
      </c>
      <c r="I33" s="71">
        <f ca="1">'2E.ROE Scan'!K159</f>
        <v>0</v>
      </c>
      <c r="J33" s="71">
        <f ca="1">'2E.ROE Scan'!L159</f>
        <v>0</v>
      </c>
      <c r="K33" s="71">
        <f ca="1">'2E.ROE Scan'!M159</f>
        <v>0</v>
      </c>
      <c r="L33" s="71">
        <f ca="1">'2E.ROE Scan'!N159</f>
        <v>0</v>
      </c>
    </row>
    <row r="34" spans="2:12" ht="16.5" customHeight="1" x14ac:dyDescent="0.3">
      <c r="B34" s="68" t="str">
        <f>'2E.ROE Scan'!D160</f>
        <v>dLevel_T2_26</v>
      </c>
      <c r="C34" s="71">
        <f ca="1">'2E.ROE Scan'!E160</f>
        <v>1.5317277989395176E-2</v>
      </c>
      <c r="D34" s="71">
        <f ca="1">'2E.ROE Scan'!F160</f>
        <v>2.8985164271240729E-3</v>
      </c>
      <c r="E34" s="71">
        <f ca="1">'2E.ROE Scan'!G160</f>
        <v>1.5317277989395176E-2</v>
      </c>
      <c r="F34" s="71">
        <f ca="1">'2E.ROE Scan'!H160</f>
        <v>2.8985164271240729E-3</v>
      </c>
      <c r="G34" s="71">
        <f ca="1">'2E.ROE Scan'!I160</f>
        <v>7.7735949050341084E-3</v>
      </c>
      <c r="H34" s="71">
        <f ca="1">'2E.ROE Scan'!J160</f>
        <v>0</v>
      </c>
      <c r="I34" s="71">
        <f ca="1">'2E.ROE Scan'!K160</f>
        <v>0</v>
      </c>
      <c r="J34" s="71">
        <f ca="1">'2E.ROE Scan'!L160</f>
        <v>0</v>
      </c>
      <c r="K34" s="71">
        <f ca="1">'2E.ROE Scan'!M160</f>
        <v>0</v>
      </c>
      <c r="L34" s="71">
        <f ca="1">'2E.ROE Scan'!N160</f>
        <v>0</v>
      </c>
    </row>
    <row r="35" spans="2:12" ht="16.5" customHeight="1" x14ac:dyDescent="0.3">
      <c r="B35" s="68" t="str">
        <f>'2E.ROE Scan'!D161</f>
        <v>dLevel_T2_27</v>
      </c>
      <c r="C35" s="71">
        <f ca="1">'2E.ROE Scan'!E161</f>
        <v>1.1092260103455263E-2</v>
      </c>
      <c r="D35" s="71">
        <f ca="1">'2E.ROE Scan'!F161</f>
        <v>2.187585562188412E-2</v>
      </c>
      <c r="E35" s="71">
        <f ca="1">'2E.ROE Scan'!G161</f>
        <v>1.1092260103455263E-2</v>
      </c>
      <c r="F35" s="71">
        <f ca="1">'2E.ROE Scan'!H161</f>
        <v>2.187585562188412E-2</v>
      </c>
      <c r="G35" s="71">
        <f ca="1">'2E.ROE Scan'!I161</f>
        <v>2.0877157448296234E-2</v>
      </c>
      <c r="H35" s="71">
        <f ca="1">'2E.ROE Scan'!J161</f>
        <v>0</v>
      </c>
      <c r="I35" s="71">
        <f ca="1">'2E.ROE Scan'!K161</f>
        <v>0</v>
      </c>
      <c r="J35" s="71">
        <f ca="1">'2E.ROE Scan'!L161</f>
        <v>0</v>
      </c>
      <c r="K35" s="71">
        <f ca="1">'2E.ROE Scan'!M161</f>
        <v>0</v>
      </c>
      <c r="L35" s="71">
        <f ca="1">'2E.ROE Scan'!N161</f>
        <v>0</v>
      </c>
    </row>
    <row r="36" spans="2:12" ht="16.5" customHeight="1" x14ac:dyDescent="0.3">
      <c r="B36" s="68" t="str">
        <f>'2E.ROE Scan'!D162</f>
        <v>dLevel_T2_28</v>
      </c>
      <c r="C36" s="71">
        <f ca="1">'2E.ROE Scan'!E162</f>
        <v>9.8346557932542829E-3</v>
      </c>
      <c r="D36" s="71">
        <f ca="1">'2E.ROE Scan'!F162</f>
        <v>1.303512440134136E-2</v>
      </c>
      <c r="E36" s="71">
        <f ca="1">'2E.ROE Scan'!G162</f>
        <v>9.8346557932542829E-3</v>
      </c>
      <c r="F36" s="71">
        <f ca="1">'2E.ROE Scan'!H162</f>
        <v>1.303512440134136E-2</v>
      </c>
      <c r="G36" s="71">
        <f ca="1">'2E.ROE Scan'!I162</f>
        <v>2.1804163224237914E-2</v>
      </c>
      <c r="H36" s="71">
        <f ca="1">'2E.ROE Scan'!J162</f>
        <v>0</v>
      </c>
      <c r="I36" s="71">
        <f ca="1">'2E.ROE Scan'!K162</f>
        <v>0</v>
      </c>
      <c r="J36" s="71">
        <f ca="1">'2E.ROE Scan'!L162</f>
        <v>0</v>
      </c>
      <c r="K36" s="71">
        <f ca="1">'2E.ROE Scan'!M162</f>
        <v>0</v>
      </c>
      <c r="L36" s="71">
        <f ca="1">'2E.ROE Scan'!N162</f>
        <v>0</v>
      </c>
    </row>
    <row r="37" spans="2:12" ht="16.5" customHeight="1" x14ac:dyDescent="0.3">
      <c r="B37" s="68">
        <f>'2E.ROE Scan'!D163</f>
        <v>0</v>
      </c>
      <c r="C37" s="71">
        <f ca="1">'2E.ROE Scan'!E163</f>
        <v>0</v>
      </c>
      <c r="D37" s="71">
        <f ca="1">'2E.ROE Scan'!F163</f>
        <v>0</v>
      </c>
      <c r="E37" s="71">
        <f ca="1">'2E.ROE Scan'!G163</f>
        <v>0</v>
      </c>
      <c r="F37" s="71">
        <f ca="1">'2E.ROE Scan'!H163</f>
        <v>0</v>
      </c>
      <c r="G37" s="71">
        <f ca="1">'2E.ROE Scan'!I163</f>
        <v>0</v>
      </c>
      <c r="H37" s="71">
        <f ca="1">'2E.ROE Scan'!J163</f>
        <v>0</v>
      </c>
      <c r="I37" s="71">
        <f ca="1">'2E.ROE Scan'!K163</f>
        <v>0</v>
      </c>
      <c r="J37" s="71">
        <f ca="1">'2E.ROE Scan'!L163</f>
        <v>0</v>
      </c>
      <c r="K37" s="71">
        <f ca="1">'2E.ROE Scan'!M163</f>
        <v>0</v>
      </c>
      <c r="L37" s="71">
        <f ca="1">'2E.ROE Scan'!N163</f>
        <v>0</v>
      </c>
    </row>
    <row r="38" spans="2:12" ht="16.5" customHeight="1" x14ac:dyDescent="0.3">
      <c r="B38" s="68">
        <f>'2E.ROE Scan'!D164</f>
        <v>0</v>
      </c>
      <c r="C38" s="71">
        <f ca="1">'2E.ROE Scan'!E164</f>
        <v>0</v>
      </c>
      <c r="D38" s="71">
        <f ca="1">'2E.ROE Scan'!F164</f>
        <v>0</v>
      </c>
      <c r="E38" s="71">
        <f ca="1">'2E.ROE Scan'!G164</f>
        <v>0</v>
      </c>
      <c r="F38" s="71">
        <f ca="1">'2E.ROE Scan'!H164</f>
        <v>0</v>
      </c>
      <c r="G38" s="71">
        <f ca="1">'2E.ROE Scan'!I164</f>
        <v>0</v>
      </c>
      <c r="H38" s="71">
        <f ca="1">'2E.ROE Scan'!J164</f>
        <v>0</v>
      </c>
      <c r="I38" s="71">
        <f ca="1">'2E.ROE Scan'!K164</f>
        <v>0</v>
      </c>
      <c r="J38" s="71">
        <f ca="1">'2E.ROE Scan'!L164</f>
        <v>0</v>
      </c>
      <c r="K38" s="71">
        <f ca="1">'2E.ROE Scan'!M164</f>
        <v>0</v>
      </c>
      <c r="L38" s="71">
        <f ca="1">'2E.ROE Scan'!N164</f>
        <v>0</v>
      </c>
    </row>
    <row r="39" spans="2:12" ht="16.5" customHeight="1" x14ac:dyDescent="0.3">
      <c r="B39" s="68">
        <f>'2E.ROE Scan'!D165</f>
        <v>0</v>
      </c>
      <c r="C39" s="71">
        <f ca="1">'2E.ROE Scan'!E165</f>
        <v>0</v>
      </c>
      <c r="D39" s="71">
        <f ca="1">'2E.ROE Scan'!F165</f>
        <v>0</v>
      </c>
      <c r="E39" s="71">
        <f ca="1">'2E.ROE Scan'!G165</f>
        <v>0</v>
      </c>
      <c r="F39" s="71">
        <f ca="1">'2E.ROE Scan'!H165</f>
        <v>0</v>
      </c>
      <c r="G39" s="71">
        <f ca="1">'2E.ROE Scan'!I165</f>
        <v>0</v>
      </c>
      <c r="H39" s="71">
        <f ca="1">'2E.ROE Scan'!J165</f>
        <v>0</v>
      </c>
      <c r="I39" s="71">
        <f ca="1">'2E.ROE Scan'!K165</f>
        <v>0</v>
      </c>
      <c r="J39" s="71">
        <f ca="1">'2E.ROE Scan'!L165</f>
        <v>0</v>
      </c>
      <c r="K39" s="71">
        <f ca="1">'2E.ROE Scan'!M165</f>
        <v>0</v>
      </c>
      <c r="L39" s="71">
        <f ca="1">'2E.ROE Scan'!N165</f>
        <v>0</v>
      </c>
    </row>
    <row r="40" spans="2:12" ht="16.5" customHeight="1" x14ac:dyDescent="0.3">
      <c r="B40" s="68">
        <f>'2E.ROE Scan'!D166</f>
        <v>0</v>
      </c>
      <c r="C40" s="71">
        <f ca="1">'2E.ROE Scan'!E166</f>
        <v>0</v>
      </c>
      <c r="D40" s="71">
        <f ca="1">'2E.ROE Scan'!F166</f>
        <v>0</v>
      </c>
      <c r="E40" s="71">
        <f ca="1">'2E.ROE Scan'!G166</f>
        <v>0</v>
      </c>
      <c r="F40" s="71">
        <f ca="1">'2E.ROE Scan'!H166</f>
        <v>0</v>
      </c>
      <c r="G40" s="71">
        <f ca="1">'2E.ROE Scan'!I166</f>
        <v>0</v>
      </c>
      <c r="H40" s="71">
        <f ca="1">'2E.ROE Scan'!J166</f>
        <v>0</v>
      </c>
      <c r="I40" s="71">
        <f ca="1">'2E.ROE Scan'!K166</f>
        <v>0</v>
      </c>
      <c r="J40" s="71">
        <f ca="1">'2E.ROE Scan'!L166</f>
        <v>0</v>
      </c>
      <c r="K40" s="71">
        <f ca="1">'2E.ROE Scan'!M166</f>
        <v>0</v>
      </c>
      <c r="L40" s="71">
        <f ca="1">'2E.ROE Scan'!N166</f>
        <v>0</v>
      </c>
    </row>
    <row r="41" spans="2:12" ht="16.5" customHeight="1" x14ac:dyDescent="0.3">
      <c r="B41" s="68">
        <f>'2E.ROE Scan'!D167</f>
        <v>0</v>
      </c>
      <c r="C41" s="71">
        <f ca="1">'2E.ROE Scan'!E167</f>
        <v>0</v>
      </c>
      <c r="D41" s="71">
        <f ca="1">'2E.ROE Scan'!F167</f>
        <v>0</v>
      </c>
      <c r="E41" s="71">
        <f ca="1">'2E.ROE Scan'!G167</f>
        <v>0</v>
      </c>
      <c r="F41" s="71">
        <f ca="1">'2E.ROE Scan'!H167</f>
        <v>0</v>
      </c>
      <c r="G41" s="71">
        <f ca="1">'2E.ROE Scan'!I167</f>
        <v>0</v>
      </c>
      <c r="H41" s="71">
        <f ca="1">'2E.ROE Scan'!J167</f>
        <v>0</v>
      </c>
      <c r="I41" s="71">
        <f ca="1">'2E.ROE Scan'!K167</f>
        <v>0</v>
      </c>
      <c r="J41" s="71">
        <f ca="1">'2E.ROE Scan'!L167</f>
        <v>0</v>
      </c>
      <c r="K41" s="71">
        <f ca="1">'2E.ROE Scan'!M167</f>
        <v>0</v>
      </c>
      <c r="L41" s="71">
        <f ca="1">'2E.ROE Scan'!N167</f>
        <v>0</v>
      </c>
    </row>
    <row r="42" spans="2:12" ht="16.5" customHeight="1" x14ac:dyDescent="0.3">
      <c r="B42" s="68">
        <f>'2E.ROE Scan'!D168</f>
        <v>0</v>
      </c>
      <c r="C42" s="71">
        <f ca="1">'2E.ROE Scan'!E168</f>
        <v>0</v>
      </c>
      <c r="D42" s="71">
        <f ca="1">'2E.ROE Scan'!F168</f>
        <v>0</v>
      </c>
      <c r="E42" s="71">
        <f ca="1">'2E.ROE Scan'!G168</f>
        <v>0</v>
      </c>
      <c r="F42" s="71">
        <f ca="1">'2E.ROE Scan'!H168</f>
        <v>0</v>
      </c>
      <c r="G42" s="71">
        <f ca="1">'2E.ROE Scan'!I168</f>
        <v>0</v>
      </c>
      <c r="H42" s="71">
        <f ca="1">'2E.ROE Scan'!J168</f>
        <v>0</v>
      </c>
      <c r="I42" s="71">
        <f ca="1">'2E.ROE Scan'!K168</f>
        <v>0</v>
      </c>
      <c r="J42" s="71">
        <f ca="1">'2E.ROE Scan'!L168</f>
        <v>0</v>
      </c>
      <c r="K42" s="71">
        <f ca="1">'2E.ROE Scan'!M168</f>
        <v>0</v>
      </c>
      <c r="L42" s="71">
        <f ca="1">'2E.ROE Scan'!N168</f>
        <v>0</v>
      </c>
    </row>
    <row r="43" spans="2:12" ht="16.5" customHeight="1" x14ac:dyDescent="0.3">
      <c r="B43" s="68">
        <f>'2E.ROE Scan'!D169</f>
        <v>0</v>
      </c>
      <c r="C43" s="71">
        <f ca="1">'2E.ROE Scan'!E169</f>
        <v>0</v>
      </c>
      <c r="D43" s="71">
        <f ca="1">'2E.ROE Scan'!F169</f>
        <v>0</v>
      </c>
      <c r="E43" s="71">
        <f ca="1">'2E.ROE Scan'!G169</f>
        <v>0</v>
      </c>
      <c r="F43" s="71">
        <f ca="1">'2E.ROE Scan'!H169</f>
        <v>0</v>
      </c>
      <c r="G43" s="71">
        <f ca="1">'2E.ROE Scan'!I169</f>
        <v>0</v>
      </c>
      <c r="H43" s="71">
        <f ca="1">'2E.ROE Scan'!J169</f>
        <v>0</v>
      </c>
      <c r="I43" s="71">
        <f ca="1">'2E.ROE Scan'!K169</f>
        <v>0</v>
      </c>
      <c r="J43" s="71">
        <f ca="1">'2E.ROE Scan'!L169</f>
        <v>0</v>
      </c>
      <c r="K43" s="71">
        <f ca="1">'2E.ROE Scan'!M169</f>
        <v>0</v>
      </c>
      <c r="L43" s="71">
        <f ca="1">'2E.ROE Scan'!N169</f>
        <v>0</v>
      </c>
    </row>
    <row r="44" spans="2:12" ht="16.5" customHeight="1" x14ac:dyDescent="0.3">
      <c r="B44" s="68">
        <f>'2E.ROE Scan'!D170</f>
        <v>0</v>
      </c>
      <c r="C44" s="71">
        <f ca="1">'2E.ROE Scan'!E170</f>
        <v>0</v>
      </c>
      <c r="D44" s="71">
        <f ca="1">'2E.ROE Scan'!F170</f>
        <v>0</v>
      </c>
      <c r="E44" s="71">
        <f ca="1">'2E.ROE Scan'!G170</f>
        <v>0</v>
      </c>
      <c r="F44" s="71">
        <f ca="1">'2E.ROE Scan'!H170</f>
        <v>0</v>
      </c>
      <c r="G44" s="71">
        <f ca="1">'2E.ROE Scan'!I170</f>
        <v>0</v>
      </c>
      <c r="H44" s="71">
        <f ca="1">'2E.ROE Scan'!J170</f>
        <v>0</v>
      </c>
      <c r="I44" s="71">
        <f ca="1">'2E.ROE Scan'!K170</f>
        <v>0</v>
      </c>
      <c r="J44" s="71">
        <f ca="1">'2E.ROE Scan'!L170</f>
        <v>0</v>
      </c>
      <c r="K44" s="71">
        <f ca="1">'2E.ROE Scan'!M170</f>
        <v>0</v>
      </c>
      <c r="L44" s="71">
        <f ca="1">'2E.ROE Scan'!N170</f>
        <v>0</v>
      </c>
    </row>
    <row r="47" spans="2:12" ht="14.5" customHeight="1" x14ac:dyDescent="0.3">
      <c r="B47" s="66" t="s">
        <v>394</v>
      </c>
      <c r="C47" s="55"/>
      <c r="D47" s="55"/>
      <c r="E47" s="55"/>
      <c r="F47" s="55"/>
      <c r="G47" s="55"/>
      <c r="H47" s="55"/>
      <c r="I47" s="55"/>
      <c r="J47" s="55"/>
      <c r="K47" s="55"/>
      <c r="L47" s="55"/>
    </row>
    <row r="48" spans="2:12" ht="14.5" customHeight="1" x14ac:dyDescent="0.35">
      <c r="B48" s="67"/>
      <c r="C48" s="58" t="str">
        <f t="shared" ref="C48:L48" si="1">C2</f>
        <v>ABA</v>
      </c>
      <c r="D48" s="58" t="str">
        <f t="shared" si="1"/>
        <v>B6</v>
      </c>
      <c r="E48" s="58" t="str">
        <f t="shared" si="1"/>
        <v>ABA1</v>
      </c>
      <c r="F48" s="58" t="str">
        <f t="shared" si="1"/>
        <v>B61</v>
      </c>
      <c r="G48" s="58" t="str">
        <f t="shared" si="1"/>
        <v>B7</v>
      </c>
      <c r="H48" s="58" t="str">
        <f t="shared" si="1"/>
        <v/>
      </c>
      <c r="I48" s="58" t="str">
        <f t="shared" si="1"/>
        <v/>
      </c>
      <c r="J48" s="58" t="str">
        <f t="shared" si="1"/>
        <v/>
      </c>
      <c r="K48" s="58" t="str">
        <f t="shared" si="1"/>
        <v/>
      </c>
      <c r="L48" s="58" t="str">
        <f t="shared" si="1"/>
        <v/>
      </c>
    </row>
    <row r="49" spans="2:12" ht="14.5" customHeight="1" x14ac:dyDescent="0.3">
      <c r="B49" s="68" t="str">
        <f>'2E.ROE Scan'!D175</f>
        <v>dLevel_T2_1</v>
      </c>
      <c r="C49" s="71">
        <f t="shared" ref="C49:L49" ca="1" si="2">IFERROR(C10*C$4,"")</f>
        <v>1.1809251912860565E-2</v>
      </c>
      <c r="D49" s="71">
        <f t="shared" ca="1" si="2"/>
        <v>9.3786478025310368E-3</v>
      </c>
      <c r="E49" s="71">
        <f t="shared" ca="1" si="2"/>
        <v>1.1809251912860565E-2</v>
      </c>
      <c r="F49" s="71">
        <f t="shared" ca="1" si="2"/>
        <v>9.3786478025310368E-3</v>
      </c>
      <c r="G49" s="71">
        <f t="shared" ca="1" si="2"/>
        <v>8.0142455036781111E-3</v>
      </c>
      <c r="H49" s="71" t="str">
        <f t="shared" ca="1" si="2"/>
        <v/>
      </c>
      <c r="I49" s="71" t="str">
        <f t="shared" ca="1" si="2"/>
        <v/>
      </c>
      <c r="J49" s="71" t="str">
        <f t="shared" ca="1" si="2"/>
        <v/>
      </c>
      <c r="K49" s="71" t="str">
        <f t="shared" ca="1" si="2"/>
        <v/>
      </c>
      <c r="L49" s="71" t="str">
        <f t="shared" ca="1" si="2"/>
        <v/>
      </c>
    </row>
    <row r="50" spans="2:12" ht="14.5" customHeight="1" x14ac:dyDescent="0.3">
      <c r="B50" s="68" t="str">
        <f>'2E.ROE Scan'!D176</f>
        <v>dLevel_T2_2</v>
      </c>
      <c r="C50" s="71">
        <f t="shared" ref="C50:L50" ca="1" si="3">IFERROR(C11*C$4,"")</f>
        <v>3.3998731938430435E-3</v>
      </c>
      <c r="D50" s="71">
        <f t="shared" ca="1" si="3"/>
        <v>1.0868420766215199E-3</v>
      </c>
      <c r="E50" s="71">
        <f t="shared" ca="1" si="3"/>
        <v>3.3998731938430435E-3</v>
      </c>
      <c r="F50" s="71">
        <f t="shared" ca="1" si="3"/>
        <v>1.0868420766215199E-3</v>
      </c>
      <c r="G50" s="71">
        <f t="shared" ca="1" si="3"/>
        <v>3.3298685905759199E-3</v>
      </c>
      <c r="H50" s="71" t="str">
        <f t="shared" ca="1" si="3"/>
        <v/>
      </c>
      <c r="I50" s="71" t="str">
        <f t="shared" ca="1" si="3"/>
        <v/>
      </c>
      <c r="J50" s="71" t="str">
        <f t="shared" ca="1" si="3"/>
        <v/>
      </c>
      <c r="K50" s="71" t="str">
        <f t="shared" ca="1" si="3"/>
        <v/>
      </c>
      <c r="L50" s="71" t="str">
        <f t="shared" ca="1" si="3"/>
        <v/>
      </c>
    </row>
    <row r="51" spans="2:12" ht="14.5" customHeight="1" x14ac:dyDescent="0.3">
      <c r="B51" s="68" t="str">
        <f>'2E.ROE Scan'!D177</f>
        <v>dLevel_T2_3</v>
      </c>
      <c r="C51" s="71">
        <f t="shared" ref="C51:L51" ca="1" si="4">IFERROR(C12*C$4,"")</f>
        <v>2.2388974674909406E-3</v>
      </c>
      <c r="D51" s="71">
        <f t="shared" ca="1" si="4"/>
        <v>8.7286996794196841E-4</v>
      </c>
      <c r="E51" s="71">
        <f t="shared" ca="1" si="4"/>
        <v>2.2388974674909406E-3</v>
      </c>
      <c r="F51" s="71">
        <f t="shared" ca="1" si="4"/>
        <v>8.7286996794196841E-4</v>
      </c>
      <c r="G51" s="71">
        <f t="shared" ca="1" si="4"/>
        <v>2.2654324330571561E-3</v>
      </c>
      <c r="H51" s="71" t="str">
        <f t="shared" ca="1" si="4"/>
        <v/>
      </c>
      <c r="I51" s="71" t="str">
        <f t="shared" ca="1" si="4"/>
        <v/>
      </c>
      <c r="J51" s="71" t="str">
        <f t="shared" ca="1" si="4"/>
        <v/>
      </c>
      <c r="K51" s="71" t="str">
        <f t="shared" ca="1" si="4"/>
        <v/>
      </c>
      <c r="L51" s="71" t="str">
        <f t="shared" ca="1" si="4"/>
        <v/>
      </c>
    </row>
    <row r="52" spans="2:12" ht="14.5" customHeight="1" x14ac:dyDescent="0.3">
      <c r="B52" s="68" t="str">
        <f>'2E.ROE Scan'!D178</f>
        <v>dLevel_T2_4</v>
      </c>
      <c r="C52" s="71">
        <f t="shared" ref="C52:L52" ca="1" si="5">IFERROR(C13*C$4,"")</f>
        <v>1.4877219054825412E-2</v>
      </c>
      <c r="D52" s="71">
        <f t="shared" ca="1" si="5"/>
        <v>1.3585856883612905E-2</v>
      </c>
      <c r="E52" s="71">
        <f t="shared" ca="1" si="5"/>
        <v>1.4877219054825412E-2</v>
      </c>
      <c r="F52" s="71">
        <f t="shared" ca="1" si="5"/>
        <v>1.3585856883612905E-2</v>
      </c>
      <c r="G52" s="71">
        <f t="shared" ca="1" si="5"/>
        <v>1.0217180946546172E-2</v>
      </c>
      <c r="H52" s="71" t="str">
        <f t="shared" ca="1" si="5"/>
        <v/>
      </c>
      <c r="I52" s="71" t="str">
        <f t="shared" ca="1" si="5"/>
        <v/>
      </c>
      <c r="J52" s="71" t="str">
        <f t="shared" ca="1" si="5"/>
        <v/>
      </c>
      <c r="K52" s="71" t="str">
        <f t="shared" ca="1" si="5"/>
        <v/>
      </c>
      <c r="L52" s="71" t="str">
        <f t="shared" ca="1" si="5"/>
        <v/>
      </c>
    </row>
    <row r="53" spans="2:12" ht="14.5" customHeight="1" x14ac:dyDescent="0.3">
      <c r="B53" s="68" t="str">
        <f>'2E.ROE Scan'!D179</f>
        <v>dLevel_T2_5</v>
      </c>
      <c r="C53" s="71">
        <f t="shared" ref="C53:L53" ca="1" si="6">IFERROR(C14*C$4,"")</f>
        <v>3.1393328440907468E-3</v>
      </c>
      <c r="D53" s="71">
        <f t="shared" ca="1" si="6"/>
        <v>6.6304620155418093E-3</v>
      </c>
      <c r="E53" s="71">
        <f t="shared" ca="1" si="6"/>
        <v>3.1393328440907468E-3</v>
      </c>
      <c r="F53" s="71">
        <f t="shared" ca="1" si="6"/>
        <v>6.6304620155418093E-3</v>
      </c>
      <c r="G53" s="71">
        <f t="shared" ca="1" si="6"/>
        <v>3.3164938847511272E-3</v>
      </c>
      <c r="H53" s="71" t="str">
        <f t="shared" ca="1" si="6"/>
        <v/>
      </c>
      <c r="I53" s="71" t="str">
        <f t="shared" ca="1" si="6"/>
        <v/>
      </c>
      <c r="J53" s="71" t="str">
        <f t="shared" ca="1" si="6"/>
        <v/>
      </c>
      <c r="K53" s="71" t="str">
        <f t="shared" ca="1" si="6"/>
        <v/>
      </c>
      <c r="L53" s="71" t="str">
        <f t="shared" ca="1" si="6"/>
        <v/>
      </c>
    </row>
    <row r="54" spans="2:12" ht="14.5" customHeight="1" x14ac:dyDescent="0.3">
      <c r="B54" s="68" t="str">
        <f>'2E.ROE Scan'!D180</f>
        <v>dLevel_T2_6</v>
      </c>
      <c r="C54" s="71">
        <f t="shared" ref="C54:L54" ca="1" si="7">IFERROR(C15*C$4,"")</f>
        <v>5.6769447754668337E-3</v>
      </c>
      <c r="D54" s="71">
        <f t="shared" ca="1" si="7"/>
        <v>4.5106215002540953E-3</v>
      </c>
      <c r="E54" s="71">
        <f t="shared" ca="1" si="7"/>
        <v>5.6769447754668337E-3</v>
      </c>
      <c r="F54" s="71">
        <f t="shared" ca="1" si="7"/>
        <v>4.5106215002540953E-3</v>
      </c>
      <c r="G54" s="71">
        <f t="shared" ca="1" si="7"/>
        <v>2.73243340648601E-3</v>
      </c>
      <c r="H54" s="71" t="str">
        <f t="shared" ca="1" si="7"/>
        <v/>
      </c>
      <c r="I54" s="71" t="str">
        <f t="shared" ca="1" si="7"/>
        <v/>
      </c>
      <c r="J54" s="71" t="str">
        <f t="shared" ca="1" si="7"/>
        <v/>
      </c>
      <c r="K54" s="71" t="str">
        <f t="shared" ca="1" si="7"/>
        <v/>
      </c>
      <c r="L54" s="71" t="str">
        <f t="shared" ca="1" si="7"/>
        <v/>
      </c>
    </row>
    <row r="55" spans="2:12" ht="14.5" customHeight="1" x14ac:dyDescent="0.3">
      <c r="B55" s="68" t="str">
        <f>'2E.ROE Scan'!D181</f>
        <v>dLevel_T2_7</v>
      </c>
      <c r="C55" s="71">
        <f t="shared" ref="C55:L55" ca="1" si="8">IFERROR(C16*C$4,"")</f>
        <v>1.8942423799830441E-2</v>
      </c>
      <c r="D55" s="71">
        <f t="shared" ca="1" si="8"/>
        <v>1.9623403887984111E-2</v>
      </c>
      <c r="E55" s="71">
        <f t="shared" ca="1" si="8"/>
        <v>1.8942423799830441E-2</v>
      </c>
      <c r="F55" s="71">
        <f t="shared" ca="1" si="8"/>
        <v>1.9623403887984111E-2</v>
      </c>
      <c r="G55" s="71">
        <f t="shared" ca="1" si="8"/>
        <v>9.9552429364580235E-3</v>
      </c>
      <c r="H55" s="71" t="str">
        <f t="shared" ca="1" si="8"/>
        <v/>
      </c>
      <c r="I55" s="71" t="str">
        <f t="shared" ca="1" si="8"/>
        <v/>
      </c>
      <c r="J55" s="71" t="str">
        <f t="shared" ca="1" si="8"/>
        <v/>
      </c>
      <c r="K55" s="71" t="str">
        <f t="shared" ca="1" si="8"/>
        <v/>
      </c>
      <c r="L55" s="71" t="str">
        <f t="shared" ca="1" si="8"/>
        <v/>
      </c>
    </row>
    <row r="56" spans="2:12" ht="14.5" customHeight="1" x14ac:dyDescent="0.3">
      <c r="B56" s="68" t="str">
        <f>'2E.ROE Scan'!D182</f>
        <v>dLevel_T2_8</v>
      </c>
      <c r="C56" s="71">
        <f t="shared" ref="C56:L56" ca="1" si="9">IFERROR(C17*C$4,"")</f>
        <v>8.4101091582038431E-3</v>
      </c>
      <c r="D56" s="71">
        <f t="shared" ca="1" si="9"/>
        <v>1.3406654968605776E-2</v>
      </c>
      <c r="E56" s="71">
        <f t="shared" ca="1" si="9"/>
        <v>8.4101091582038431E-3</v>
      </c>
      <c r="F56" s="71">
        <f t="shared" ca="1" si="9"/>
        <v>1.3406654968605776E-2</v>
      </c>
      <c r="G56" s="71">
        <f t="shared" ca="1" si="9"/>
        <v>9.7150284112807565E-3</v>
      </c>
      <c r="H56" s="71" t="str">
        <f t="shared" ca="1" si="9"/>
        <v/>
      </c>
      <c r="I56" s="71" t="str">
        <f t="shared" ca="1" si="9"/>
        <v/>
      </c>
      <c r="J56" s="71" t="str">
        <f t="shared" ca="1" si="9"/>
        <v/>
      </c>
      <c r="K56" s="71" t="str">
        <f t="shared" ca="1" si="9"/>
        <v/>
      </c>
      <c r="L56" s="71" t="str">
        <f t="shared" ca="1" si="9"/>
        <v/>
      </c>
    </row>
    <row r="57" spans="2:12" ht="14.5" customHeight="1" x14ac:dyDescent="0.3">
      <c r="B57" s="68" t="str">
        <f>'2E.ROE Scan'!D183</f>
        <v>dLevel_T2_9</v>
      </c>
      <c r="C57" s="71">
        <f t="shared" ref="C57:L57" ca="1" si="10">IFERROR(C18*C$4,"")</f>
        <v>1.492278197200599E-3</v>
      </c>
      <c r="D57" s="71">
        <f t="shared" ca="1" si="10"/>
        <v>2.7249403760880196E-3</v>
      </c>
      <c r="E57" s="71">
        <f t="shared" ca="1" si="10"/>
        <v>1.492278197200599E-3</v>
      </c>
      <c r="F57" s="71">
        <f t="shared" ca="1" si="10"/>
        <v>2.7249403760880196E-3</v>
      </c>
      <c r="G57" s="71">
        <f t="shared" ca="1" si="10"/>
        <v>1.8300681719673388E-3</v>
      </c>
      <c r="H57" s="71" t="str">
        <f t="shared" ca="1" si="10"/>
        <v/>
      </c>
      <c r="I57" s="71" t="str">
        <f t="shared" ca="1" si="10"/>
        <v/>
      </c>
      <c r="J57" s="71" t="str">
        <f t="shared" ca="1" si="10"/>
        <v/>
      </c>
      <c r="K57" s="71" t="str">
        <f t="shared" ca="1" si="10"/>
        <v/>
      </c>
      <c r="L57" s="71" t="str">
        <f t="shared" ca="1" si="10"/>
        <v/>
      </c>
    </row>
    <row r="58" spans="2:12" ht="14.5" customHeight="1" x14ac:dyDescent="0.3">
      <c r="B58" s="68" t="str">
        <f>'2E.ROE Scan'!D184</f>
        <v>dLevel_T2_10</v>
      </c>
      <c r="C58" s="71">
        <f t="shared" ref="C58:L58" ca="1" si="11">IFERROR(C19*C$4,"")</f>
        <v>2.7892889860965222E-3</v>
      </c>
      <c r="D58" s="71">
        <f t="shared" ca="1" si="11"/>
        <v>2.1433935250775317E-3</v>
      </c>
      <c r="E58" s="71">
        <f t="shared" ca="1" si="11"/>
        <v>2.7892889860965222E-3</v>
      </c>
      <c r="F58" s="71">
        <f t="shared" ca="1" si="11"/>
        <v>2.1433935250775317E-3</v>
      </c>
      <c r="G58" s="71">
        <f t="shared" ca="1" si="11"/>
        <v>1.1899133286697135E-3</v>
      </c>
      <c r="H58" s="71" t="str">
        <f t="shared" ca="1" si="11"/>
        <v/>
      </c>
      <c r="I58" s="71" t="str">
        <f t="shared" ca="1" si="11"/>
        <v/>
      </c>
      <c r="J58" s="71" t="str">
        <f t="shared" ca="1" si="11"/>
        <v/>
      </c>
      <c r="K58" s="71" t="str">
        <f t="shared" ca="1" si="11"/>
        <v/>
      </c>
      <c r="L58" s="71" t="str">
        <f t="shared" ca="1" si="11"/>
        <v/>
      </c>
    </row>
    <row r="59" spans="2:12" ht="14.5" customHeight="1" x14ac:dyDescent="0.3">
      <c r="B59" s="68" t="str">
        <f>'2E.ROE Scan'!D185</f>
        <v>dLevel_T2_11</v>
      </c>
      <c r="C59" s="71">
        <f t="shared" ref="C59:L59" ca="1" si="12">IFERROR(C20*C$4,"")</f>
        <v>7.933886538030635E-3</v>
      </c>
      <c r="D59" s="71">
        <f t="shared" ca="1" si="12"/>
        <v>6.7379854084121428E-3</v>
      </c>
      <c r="E59" s="71">
        <f t="shared" ca="1" si="12"/>
        <v>7.933886538030635E-3</v>
      </c>
      <c r="F59" s="71">
        <f t="shared" ca="1" si="12"/>
        <v>6.7379854084121428E-3</v>
      </c>
      <c r="G59" s="71">
        <f t="shared" ca="1" si="12"/>
        <v>3.1985599116874366E-3</v>
      </c>
      <c r="H59" s="71" t="str">
        <f t="shared" ca="1" si="12"/>
        <v/>
      </c>
      <c r="I59" s="71" t="str">
        <f t="shared" ca="1" si="12"/>
        <v/>
      </c>
      <c r="J59" s="71" t="str">
        <f t="shared" ca="1" si="12"/>
        <v/>
      </c>
      <c r="K59" s="71" t="str">
        <f t="shared" ca="1" si="12"/>
        <v/>
      </c>
      <c r="L59" s="71" t="str">
        <f t="shared" ca="1" si="12"/>
        <v/>
      </c>
    </row>
    <row r="60" spans="2:12" ht="14.5" customHeight="1" x14ac:dyDescent="0.3">
      <c r="B60" s="68" t="str">
        <f>'2E.ROE Scan'!D186</f>
        <v>dLevel_T2_12</v>
      </c>
      <c r="C60" s="71">
        <f t="shared" ref="C60:L60" ca="1" si="13">IFERROR(C21*C$4,"")</f>
        <v>4.3134925193985957E-3</v>
      </c>
      <c r="D60" s="71">
        <f t="shared" ca="1" si="13"/>
        <v>1.3592789901484376E-3</v>
      </c>
      <c r="E60" s="71">
        <f t="shared" ca="1" si="13"/>
        <v>4.3134925193985957E-3</v>
      </c>
      <c r="F60" s="71">
        <f t="shared" ca="1" si="13"/>
        <v>1.3592789901484376E-3</v>
      </c>
      <c r="G60" s="71">
        <f t="shared" ca="1" si="13"/>
        <v>6.5573280028313318E-4</v>
      </c>
      <c r="H60" s="71" t="str">
        <f t="shared" ca="1" si="13"/>
        <v/>
      </c>
      <c r="I60" s="71" t="str">
        <f t="shared" ca="1" si="13"/>
        <v/>
      </c>
      <c r="J60" s="71" t="str">
        <f t="shared" ca="1" si="13"/>
        <v/>
      </c>
      <c r="K60" s="71" t="str">
        <f t="shared" ca="1" si="13"/>
        <v/>
      </c>
      <c r="L60" s="71" t="str">
        <f t="shared" ca="1" si="13"/>
        <v/>
      </c>
    </row>
    <row r="61" spans="2:12" ht="14.5" customHeight="1" x14ac:dyDescent="0.3">
      <c r="B61" s="68" t="str">
        <f>'2E.ROE Scan'!D187</f>
        <v>dLevel_T2_13</v>
      </c>
      <c r="C61" s="71">
        <f t="shared" ref="C61:L61" ca="1" si="14">IFERROR(C22*C$4,"")</f>
        <v>1.5904027210315356E-3</v>
      </c>
      <c r="D61" s="71">
        <f t="shared" ca="1" si="14"/>
        <v>2.5450391974847012E-5</v>
      </c>
      <c r="E61" s="71">
        <f t="shared" ca="1" si="14"/>
        <v>1.5904027210315356E-3</v>
      </c>
      <c r="F61" s="71">
        <f t="shared" ca="1" si="14"/>
        <v>2.5450391974847012E-5</v>
      </c>
      <c r="G61" s="71">
        <f t="shared" ca="1" si="14"/>
        <v>6.0860730628372228E-4</v>
      </c>
      <c r="H61" s="71" t="str">
        <f t="shared" ca="1" si="14"/>
        <v/>
      </c>
      <c r="I61" s="71" t="str">
        <f t="shared" ca="1" si="14"/>
        <v/>
      </c>
      <c r="J61" s="71" t="str">
        <f t="shared" ca="1" si="14"/>
        <v/>
      </c>
      <c r="K61" s="71" t="str">
        <f t="shared" ca="1" si="14"/>
        <v/>
      </c>
      <c r="L61" s="71" t="str">
        <f t="shared" ca="1" si="14"/>
        <v/>
      </c>
    </row>
    <row r="62" spans="2:12" ht="14.5" customHeight="1" x14ac:dyDescent="0.3">
      <c r="B62" s="68" t="str">
        <f>'2E.ROE Scan'!D188</f>
        <v>dLevel_T2_14</v>
      </c>
      <c r="C62" s="71">
        <f t="shared" ref="C62:L62" ca="1" si="15">IFERROR(C23*C$4,"")</f>
        <v>3.2244870856170424E-3</v>
      </c>
      <c r="D62" s="71">
        <f t="shared" ca="1" si="15"/>
        <v>3.1144155785323294E-3</v>
      </c>
      <c r="E62" s="71">
        <f t="shared" ca="1" si="15"/>
        <v>3.2244870856170424E-3</v>
      </c>
      <c r="F62" s="71">
        <f t="shared" ca="1" si="15"/>
        <v>3.1144155785323294E-3</v>
      </c>
      <c r="G62" s="71">
        <f t="shared" ca="1" si="15"/>
        <v>2.0477098746323535E-3</v>
      </c>
      <c r="H62" s="71" t="str">
        <f t="shared" ca="1" si="15"/>
        <v/>
      </c>
      <c r="I62" s="71" t="str">
        <f t="shared" ca="1" si="15"/>
        <v/>
      </c>
      <c r="J62" s="71" t="str">
        <f t="shared" ca="1" si="15"/>
        <v/>
      </c>
      <c r="K62" s="71" t="str">
        <f t="shared" ca="1" si="15"/>
        <v/>
      </c>
      <c r="L62" s="71" t="str">
        <f t="shared" ca="1" si="15"/>
        <v/>
      </c>
    </row>
    <row r="63" spans="2:12" ht="14.5" customHeight="1" x14ac:dyDescent="0.3">
      <c r="B63" s="68" t="str">
        <f>'2E.ROE Scan'!D189</f>
        <v>dLevel_T2_15</v>
      </c>
      <c r="C63" s="71">
        <f t="shared" ref="C63:L63" ca="1" si="16">IFERROR(C24*C$4,"")</f>
        <v>2.1859414918528131E-3</v>
      </c>
      <c r="D63" s="71">
        <f t="shared" ca="1" si="16"/>
        <v>3.7354607575985164E-5</v>
      </c>
      <c r="E63" s="71">
        <f t="shared" ca="1" si="16"/>
        <v>2.1859414918528131E-3</v>
      </c>
      <c r="F63" s="71">
        <f t="shared" ca="1" si="16"/>
        <v>3.7354607575985164E-5</v>
      </c>
      <c r="G63" s="71">
        <f t="shared" ca="1" si="16"/>
        <v>1.3433678731740173E-3</v>
      </c>
      <c r="H63" s="71" t="str">
        <f t="shared" ca="1" si="16"/>
        <v/>
      </c>
      <c r="I63" s="71" t="str">
        <f t="shared" ca="1" si="16"/>
        <v/>
      </c>
      <c r="J63" s="71" t="str">
        <f t="shared" ca="1" si="16"/>
        <v/>
      </c>
      <c r="K63" s="71" t="str">
        <f t="shared" ca="1" si="16"/>
        <v/>
      </c>
      <c r="L63" s="71" t="str">
        <f t="shared" ca="1" si="16"/>
        <v/>
      </c>
    </row>
    <row r="64" spans="2:12" ht="14.5" customHeight="1" x14ac:dyDescent="0.3">
      <c r="B64" s="68" t="str">
        <f>'2E.ROE Scan'!D190</f>
        <v>dLevel_T2_16</v>
      </c>
      <c r="C64" s="71">
        <f t="shared" ref="C64:L64" ca="1" si="17">IFERROR(C25*C$4,"")</f>
        <v>2.0596479789422324E-3</v>
      </c>
      <c r="D64" s="71">
        <f t="shared" ca="1" si="17"/>
        <v>1.3302310899830651E-3</v>
      </c>
      <c r="E64" s="71">
        <f t="shared" ca="1" si="17"/>
        <v>2.0596479789422324E-3</v>
      </c>
      <c r="F64" s="71">
        <f t="shared" ca="1" si="17"/>
        <v>1.3302310899830651E-3</v>
      </c>
      <c r="G64" s="71">
        <f t="shared" ca="1" si="17"/>
        <v>1.6299708152362061E-3</v>
      </c>
      <c r="H64" s="71" t="str">
        <f t="shared" ca="1" si="17"/>
        <v/>
      </c>
      <c r="I64" s="71" t="str">
        <f t="shared" ca="1" si="17"/>
        <v/>
      </c>
      <c r="J64" s="71" t="str">
        <f t="shared" ca="1" si="17"/>
        <v/>
      </c>
      <c r="K64" s="71" t="str">
        <f t="shared" ca="1" si="17"/>
        <v/>
      </c>
      <c r="L64" s="71" t="str">
        <f t="shared" ca="1" si="17"/>
        <v/>
      </c>
    </row>
    <row r="65" spans="2:12" ht="14.5" customHeight="1" x14ac:dyDescent="0.3">
      <c r="B65" s="68" t="str">
        <f>'2E.ROE Scan'!D191</f>
        <v>dLevel_T2_17</v>
      </c>
      <c r="C65" s="71">
        <f t="shared" ref="C65:L65" ca="1" si="18">IFERROR(C26*C$4,"")</f>
        <v>9.3928598324305944E-4</v>
      </c>
      <c r="D65" s="71">
        <f t="shared" ca="1" si="18"/>
        <v>1.5465386906313454E-3</v>
      </c>
      <c r="E65" s="71">
        <f t="shared" ca="1" si="18"/>
        <v>9.3928598324305944E-4</v>
      </c>
      <c r="F65" s="71">
        <f t="shared" ca="1" si="18"/>
        <v>1.5465386906313454E-3</v>
      </c>
      <c r="G65" s="71">
        <f t="shared" ca="1" si="18"/>
        <v>2.3497365262298525E-3</v>
      </c>
      <c r="H65" s="71" t="str">
        <f t="shared" ca="1" si="18"/>
        <v/>
      </c>
      <c r="I65" s="71" t="str">
        <f t="shared" ca="1" si="18"/>
        <v/>
      </c>
      <c r="J65" s="71" t="str">
        <f t="shared" ca="1" si="18"/>
        <v/>
      </c>
      <c r="K65" s="71" t="str">
        <f t="shared" ca="1" si="18"/>
        <v/>
      </c>
      <c r="L65" s="71" t="str">
        <f t="shared" ca="1" si="18"/>
        <v/>
      </c>
    </row>
    <row r="66" spans="2:12" ht="14.5" customHeight="1" x14ac:dyDescent="0.3">
      <c r="B66" s="68" t="str">
        <f>'2E.ROE Scan'!D192</f>
        <v>dLevel_T2_18</v>
      </c>
      <c r="C66" s="71">
        <f t="shared" ref="C66:L66" ca="1" si="19">IFERROR(C27*C$4,"")</f>
        <v>3.1093915624281119E-3</v>
      </c>
      <c r="D66" s="71">
        <f t="shared" ca="1" si="19"/>
        <v>1.261543811671384E-2</v>
      </c>
      <c r="E66" s="71">
        <f t="shared" ca="1" si="19"/>
        <v>3.1093915624281119E-3</v>
      </c>
      <c r="F66" s="71">
        <f t="shared" ca="1" si="19"/>
        <v>1.261543811671384E-2</v>
      </c>
      <c r="G66" s="71">
        <f t="shared" ca="1" si="19"/>
        <v>9.0446716770943725E-3</v>
      </c>
      <c r="H66" s="71" t="str">
        <f t="shared" ca="1" si="19"/>
        <v/>
      </c>
      <c r="I66" s="71" t="str">
        <f t="shared" ca="1" si="19"/>
        <v/>
      </c>
      <c r="J66" s="71" t="str">
        <f t="shared" ca="1" si="19"/>
        <v/>
      </c>
      <c r="K66" s="71" t="str">
        <f t="shared" ca="1" si="19"/>
        <v/>
      </c>
      <c r="L66" s="71" t="str">
        <f t="shared" ca="1" si="19"/>
        <v/>
      </c>
    </row>
    <row r="67" spans="2:12" ht="14.5" customHeight="1" x14ac:dyDescent="0.3">
      <c r="B67" s="68" t="str">
        <f>'2E.ROE Scan'!D193</f>
        <v>dLevel_T2_19</v>
      </c>
      <c r="C67" s="71">
        <f t="shared" ref="C67:L67" ca="1" si="20">IFERROR(C28*C$4,"")</f>
        <v>1.2034434808871686E-3</v>
      </c>
      <c r="D67" s="71">
        <f t="shared" ca="1" si="20"/>
        <v>6.7177759461717172E-4</v>
      </c>
      <c r="E67" s="71">
        <f t="shared" ca="1" si="20"/>
        <v>1.2034434808871686E-3</v>
      </c>
      <c r="F67" s="71">
        <f t="shared" ca="1" si="20"/>
        <v>6.7177759461717172E-4</v>
      </c>
      <c r="G67" s="71">
        <f t="shared" ca="1" si="20"/>
        <v>8.2230843455410776E-4</v>
      </c>
      <c r="H67" s="71" t="str">
        <f t="shared" ca="1" si="20"/>
        <v/>
      </c>
      <c r="I67" s="71" t="str">
        <f t="shared" ca="1" si="20"/>
        <v/>
      </c>
      <c r="J67" s="71" t="str">
        <f t="shared" ca="1" si="20"/>
        <v/>
      </c>
      <c r="K67" s="71" t="str">
        <f t="shared" ca="1" si="20"/>
        <v/>
      </c>
      <c r="L67" s="71" t="str">
        <f t="shared" ca="1" si="20"/>
        <v/>
      </c>
    </row>
    <row r="68" spans="2:12" ht="14.5" customHeight="1" x14ac:dyDescent="0.3">
      <c r="B68" s="68" t="str">
        <f>'2E.ROE Scan'!D194</f>
        <v>dLevel_T2_21</v>
      </c>
      <c r="C68" s="71">
        <f t="shared" ref="C68:L68" ca="1" si="21">IFERROR(C29*C$4,"")</f>
        <v>3.3161755223081466E-3</v>
      </c>
      <c r="D68" s="71">
        <f t="shared" ca="1" si="21"/>
        <v>3.8882493864457347E-3</v>
      </c>
      <c r="E68" s="71">
        <f t="shared" ca="1" si="21"/>
        <v>3.3161755223081466E-3</v>
      </c>
      <c r="F68" s="71">
        <f t="shared" ca="1" si="21"/>
        <v>3.8882493864457347E-3</v>
      </c>
      <c r="G68" s="71">
        <f t="shared" ca="1" si="21"/>
        <v>3.1438482576986188E-3</v>
      </c>
      <c r="H68" s="71" t="str">
        <f t="shared" ca="1" si="21"/>
        <v/>
      </c>
      <c r="I68" s="71" t="str">
        <f t="shared" ca="1" si="21"/>
        <v/>
      </c>
      <c r="J68" s="71" t="str">
        <f t="shared" ca="1" si="21"/>
        <v/>
      </c>
      <c r="K68" s="71" t="str">
        <f t="shared" ca="1" si="21"/>
        <v/>
      </c>
      <c r="L68" s="71" t="str">
        <f t="shared" ca="1" si="21"/>
        <v/>
      </c>
    </row>
    <row r="69" spans="2:12" ht="14.5" customHeight="1" x14ac:dyDescent="0.3">
      <c r="B69" s="68" t="str">
        <f>'2E.ROE Scan'!D195</f>
        <v>dLevel_T2_22</v>
      </c>
      <c r="C69" s="71">
        <f t="shared" ref="C69:L69" ca="1" si="22">IFERROR(C30*C$4,"")</f>
        <v>6.1422702313844883E-2</v>
      </c>
      <c r="D69" s="71">
        <f t="shared" ca="1" si="22"/>
        <v>4.0354587385150742E-2</v>
      </c>
      <c r="E69" s="71">
        <f t="shared" ca="1" si="22"/>
        <v>6.1422702313844883E-2</v>
      </c>
      <c r="F69" s="71">
        <f t="shared" ca="1" si="22"/>
        <v>4.0354587385150742E-2</v>
      </c>
      <c r="G69" s="71">
        <f t="shared" ca="1" si="22"/>
        <v>1.9658866032475561E-2</v>
      </c>
      <c r="H69" s="71" t="str">
        <f t="shared" ca="1" si="22"/>
        <v/>
      </c>
      <c r="I69" s="71" t="str">
        <f t="shared" ca="1" si="22"/>
        <v/>
      </c>
      <c r="J69" s="71" t="str">
        <f t="shared" ca="1" si="22"/>
        <v/>
      </c>
      <c r="K69" s="71" t="str">
        <f t="shared" ca="1" si="22"/>
        <v/>
      </c>
      <c r="L69" s="71" t="str">
        <f t="shared" ca="1" si="22"/>
        <v/>
      </c>
    </row>
    <row r="70" spans="2:12" ht="14.5" customHeight="1" x14ac:dyDescent="0.3">
      <c r="B70" s="68" t="str">
        <f>'2E.ROE Scan'!D196</f>
        <v>dLevel_T2_23</v>
      </c>
      <c r="C70" s="71">
        <f t="shared" ref="C70:L70" ca="1" si="23">IFERROR(C31*C$4,"")</f>
        <v>1.2638222252109807E-3</v>
      </c>
      <c r="D70" s="71">
        <f t="shared" ca="1" si="23"/>
        <v>1.034435286719589E-4</v>
      </c>
      <c r="E70" s="71">
        <f t="shared" ca="1" si="23"/>
        <v>1.2638222252109807E-3</v>
      </c>
      <c r="F70" s="71">
        <f t="shared" ca="1" si="23"/>
        <v>1.034435286719589E-4</v>
      </c>
      <c r="G70" s="71">
        <f t="shared" ca="1" si="23"/>
        <v>1.0552373129040238E-3</v>
      </c>
      <c r="H70" s="71" t="str">
        <f t="shared" ca="1" si="23"/>
        <v/>
      </c>
      <c r="I70" s="71" t="str">
        <f t="shared" ca="1" si="23"/>
        <v/>
      </c>
      <c r="J70" s="71" t="str">
        <f t="shared" ca="1" si="23"/>
        <v/>
      </c>
      <c r="K70" s="71" t="str">
        <f t="shared" ca="1" si="23"/>
        <v/>
      </c>
      <c r="L70" s="71" t="str">
        <f t="shared" ca="1" si="23"/>
        <v/>
      </c>
    </row>
    <row r="71" spans="2:12" ht="14.5" customHeight="1" x14ac:dyDescent="0.3">
      <c r="B71" s="68" t="str">
        <f>'2E.ROE Scan'!D197</f>
        <v>dLevel_T2_24</v>
      </c>
      <c r="C71" s="71">
        <f t="shared" ref="C71:L71" ca="1" si="24">IFERROR(C32*C$4,"")</f>
        <v>5.6127546638984702E-3</v>
      </c>
      <c r="D71" s="71">
        <f t="shared" ca="1" si="24"/>
        <v>9.5798734601595225E-3</v>
      </c>
      <c r="E71" s="71">
        <f t="shared" ca="1" si="24"/>
        <v>5.6127546638984702E-3</v>
      </c>
      <c r="F71" s="71">
        <f t="shared" ca="1" si="24"/>
        <v>9.5798734601595225E-3</v>
      </c>
      <c r="G71" s="71">
        <f t="shared" ca="1" si="24"/>
        <v>9.2362436261259461E-3</v>
      </c>
      <c r="H71" s="71" t="str">
        <f t="shared" ca="1" si="24"/>
        <v/>
      </c>
      <c r="I71" s="71" t="str">
        <f t="shared" ca="1" si="24"/>
        <v/>
      </c>
      <c r="J71" s="71" t="str">
        <f t="shared" ca="1" si="24"/>
        <v/>
      </c>
      <c r="K71" s="71" t="str">
        <f t="shared" ca="1" si="24"/>
        <v/>
      </c>
      <c r="L71" s="71" t="str">
        <f t="shared" ca="1" si="24"/>
        <v/>
      </c>
    </row>
    <row r="72" spans="2:12" ht="14.5" customHeight="1" x14ac:dyDescent="0.3">
      <c r="B72" s="68" t="str">
        <f>'2E.ROE Scan'!D198</f>
        <v>dLevel_T2_25</v>
      </c>
      <c r="C72" s="71">
        <f t="shared" ref="C72:L72" ca="1" si="25">IFERROR(C33*C$4,"")</f>
        <v>1.5668100033496238E-3</v>
      </c>
      <c r="D72" s="71">
        <f t="shared" ca="1" si="25"/>
        <v>3.9286048269994921E-4</v>
      </c>
      <c r="E72" s="71">
        <f t="shared" ca="1" si="25"/>
        <v>1.5668100033496238E-3</v>
      </c>
      <c r="F72" s="71">
        <f t="shared" ca="1" si="25"/>
        <v>3.9286048269994921E-4</v>
      </c>
      <c r="G72" s="71">
        <f t="shared" ca="1" si="25"/>
        <v>1.2877719957906282E-3</v>
      </c>
      <c r="H72" s="71" t="str">
        <f t="shared" ca="1" si="25"/>
        <v/>
      </c>
      <c r="I72" s="71" t="str">
        <f t="shared" ca="1" si="25"/>
        <v/>
      </c>
      <c r="J72" s="71" t="str">
        <f t="shared" ca="1" si="25"/>
        <v/>
      </c>
      <c r="K72" s="71" t="str">
        <f t="shared" ca="1" si="25"/>
        <v/>
      </c>
      <c r="L72" s="71" t="str">
        <f t="shared" ca="1" si="25"/>
        <v/>
      </c>
    </row>
    <row r="73" spans="2:12" ht="14.5" customHeight="1" x14ac:dyDescent="0.3">
      <c r="B73" s="68" t="str">
        <f>'2E.ROE Scan'!D199</f>
        <v>dLevel_T2_26</v>
      </c>
      <c r="C73" s="71">
        <f t="shared" ref="C73:L73" ca="1" si="26">IFERROR(C34*C$4,"")</f>
        <v>2.7418813524083367E-3</v>
      </c>
      <c r="D73" s="71">
        <f t="shared" ca="1" si="26"/>
        <v>4.6909670174017905E-4</v>
      </c>
      <c r="E73" s="71">
        <f t="shared" ca="1" si="26"/>
        <v>2.7418813524083367E-3</v>
      </c>
      <c r="F73" s="71">
        <f t="shared" ca="1" si="26"/>
        <v>4.6909670174017905E-4</v>
      </c>
      <c r="G73" s="71">
        <f t="shared" ca="1" si="26"/>
        <v>8.8946775807406252E-4</v>
      </c>
      <c r="H73" s="71" t="str">
        <f t="shared" ca="1" si="26"/>
        <v/>
      </c>
      <c r="I73" s="71" t="str">
        <f t="shared" ca="1" si="26"/>
        <v/>
      </c>
      <c r="J73" s="71" t="str">
        <f t="shared" ca="1" si="26"/>
        <v/>
      </c>
      <c r="K73" s="71" t="str">
        <f t="shared" ca="1" si="26"/>
        <v/>
      </c>
      <c r="L73" s="71" t="str">
        <f t="shared" ca="1" si="26"/>
        <v/>
      </c>
    </row>
    <row r="74" spans="2:12" ht="14.5" customHeight="1" x14ac:dyDescent="0.3">
      <c r="B74" s="68" t="str">
        <f>'2E.ROE Scan'!D200</f>
        <v>dLevel_T2_27</v>
      </c>
      <c r="C74" s="71">
        <f t="shared" ref="C74:L74" ca="1" si="27">IFERROR(C35*C$4,"")</f>
        <v>1.9855787141020531E-3</v>
      </c>
      <c r="D74" s="71">
        <f t="shared" ca="1" si="27"/>
        <v>3.5403945356114854E-3</v>
      </c>
      <c r="E74" s="71">
        <f t="shared" ca="1" si="27"/>
        <v>1.9855787141020531E-3</v>
      </c>
      <c r="F74" s="71">
        <f t="shared" ca="1" si="27"/>
        <v>3.5403945356114854E-3</v>
      </c>
      <c r="G74" s="71">
        <f t="shared" ca="1" si="27"/>
        <v>2.3887993466793329E-3</v>
      </c>
      <c r="H74" s="71" t="str">
        <f t="shared" ca="1" si="27"/>
        <v/>
      </c>
      <c r="I74" s="71" t="str">
        <f t="shared" ca="1" si="27"/>
        <v/>
      </c>
      <c r="J74" s="71" t="str">
        <f t="shared" ca="1" si="27"/>
        <v/>
      </c>
      <c r="K74" s="71" t="str">
        <f t="shared" ca="1" si="27"/>
        <v/>
      </c>
      <c r="L74" s="71" t="str">
        <f t="shared" ca="1" si="27"/>
        <v/>
      </c>
    </row>
    <row r="75" spans="2:12" ht="14.5" customHeight="1" x14ac:dyDescent="0.3">
      <c r="B75" s="68" t="str">
        <f>'2E.ROE Scan'!D201</f>
        <v>dLevel_T2_28</v>
      </c>
      <c r="C75" s="71">
        <f t="shared" ref="C75:L75" ca="1" si="28">IFERROR(C36*C$4,"")</f>
        <v>1.7604602688250425E-3</v>
      </c>
      <c r="D75" s="71">
        <f t="shared" ca="1" si="28"/>
        <v>2.1096081451258972E-3</v>
      </c>
      <c r="E75" s="71">
        <f t="shared" ca="1" si="28"/>
        <v>1.7604602688250425E-3</v>
      </c>
      <c r="F75" s="71">
        <f t="shared" ca="1" si="28"/>
        <v>2.1096081451258972E-3</v>
      </c>
      <c r="G75" s="71">
        <f t="shared" ca="1" si="28"/>
        <v>2.4948689012832892E-3</v>
      </c>
      <c r="H75" s="71" t="str">
        <f t="shared" ca="1" si="28"/>
        <v/>
      </c>
      <c r="I75" s="71" t="str">
        <f t="shared" ca="1" si="28"/>
        <v/>
      </c>
      <c r="J75" s="71" t="str">
        <f t="shared" ca="1" si="28"/>
        <v/>
      </c>
      <c r="K75" s="71" t="str">
        <f t="shared" ca="1" si="28"/>
        <v/>
      </c>
      <c r="L75" s="71" t="str">
        <f t="shared" ca="1" si="28"/>
        <v/>
      </c>
    </row>
    <row r="76" spans="2:12" ht="14.5" customHeight="1" x14ac:dyDescent="0.3">
      <c r="B76" s="68">
        <f>'2E.ROE Scan'!D202</f>
        <v>0</v>
      </c>
      <c r="C76" s="71">
        <f t="shared" ref="C76:L76" ca="1" si="29">IFERROR(C37*C$4,"")</f>
        <v>0</v>
      </c>
      <c r="D76" s="71">
        <f t="shared" ca="1" si="29"/>
        <v>0</v>
      </c>
      <c r="E76" s="71">
        <f t="shared" ca="1" si="29"/>
        <v>0</v>
      </c>
      <c r="F76" s="71">
        <f t="shared" ca="1" si="29"/>
        <v>0</v>
      </c>
      <c r="G76" s="71">
        <f t="shared" ca="1" si="29"/>
        <v>0</v>
      </c>
      <c r="H76" s="71" t="str">
        <f t="shared" ca="1" si="29"/>
        <v/>
      </c>
      <c r="I76" s="71" t="str">
        <f t="shared" ca="1" si="29"/>
        <v/>
      </c>
      <c r="J76" s="71" t="str">
        <f t="shared" ca="1" si="29"/>
        <v/>
      </c>
      <c r="K76" s="71" t="str">
        <f t="shared" ca="1" si="29"/>
        <v/>
      </c>
      <c r="L76" s="71" t="str">
        <f t="shared" ca="1" si="29"/>
        <v/>
      </c>
    </row>
    <row r="77" spans="2:12" ht="14.5" customHeight="1" x14ac:dyDescent="0.3">
      <c r="B77" s="68">
        <f>'2E.ROE Scan'!D203</f>
        <v>0</v>
      </c>
      <c r="C77" s="71">
        <f t="shared" ref="C77:L77" ca="1" si="30">IFERROR(C38*C$4,"")</f>
        <v>0</v>
      </c>
      <c r="D77" s="71">
        <f t="shared" ca="1" si="30"/>
        <v>0</v>
      </c>
      <c r="E77" s="71">
        <f t="shared" ca="1" si="30"/>
        <v>0</v>
      </c>
      <c r="F77" s="71">
        <f t="shared" ca="1" si="30"/>
        <v>0</v>
      </c>
      <c r="G77" s="71">
        <f t="shared" ca="1" si="30"/>
        <v>0</v>
      </c>
      <c r="H77" s="71" t="str">
        <f t="shared" ca="1" si="30"/>
        <v/>
      </c>
      <c r="I77" s="71" t="str">
        <f t="shared" ca="1" si="30"/>
        <v/>
      </c>
      <c r="J77" s="71" t="str">
        <f t="shared" ca="1" si="30"/>
        <v/>
      </c>
      <c r="K77" s="71" t="str">
        <f t="shared" ca="1" si="30"/>
        <v/>
      </c>
      <c r="L77" s="71" t="str">
        <f t="shared" ca="1" si="30"/>
        <v/>
      </c>
    </row>
    <row r="78" spans="2:12" ht="14.5" customHeight="1" x14ac:dyDescent="0.3">
      <c r="B78" s="68">
        <f>'2E.ROE Scan'!D204</f>
        <v>0</v>
      </c>
      <c r="C78" s="71">
        <f t="shared" ref="C78:L78" ca="1" si="31">IFERROR(C39*C$4,"")</f>
        <v>0</v>
      </c>
      <c r="D78" s="71">
        <f t="shared" ca="1" si="31"/>
        <v>0</v>
      </c>
      <c r="E78" s="71">
        <f t="shared" ca="1" si="31"/>
        <v>0</v>
      </c>
      <c r="F78" s="71">
        <f t="shared" ca="1" si="31"/>
        <v>0</v>
      </c>
      <c r="G78" s="71">
        <f t="shared" ca="1" si="31"/>
        <v>0</v>
      </c>
      <c r="H78" s="71" t="str">
        <f t="shared" ca="1" si="31"/>
        <v/>
      </c>
      <c r="I78" s="71" t="str">
        <f t="shared" ca="1" si="31"/>
        <v/>
      </c>
      <c r="J78" s="71" t="str">
        <f t="shared" ca="1" si="31"/>
        <v/>
      </c>
      <c r="K78" s="71" t="str">
        <f t="shared" ca="1" si="31"/>
        <v/>
      </c>
      <c r="L78" s="71" t="str">
        <f t="shared" ca="1" si="31"/>
        <v/>
      </c>
    </row>
    <row r="79" spans="2:12" ht="14.5" customHeight="1" x14ac:dyDescent="0.3">
      <c r="B79" s="68">
        <f>'2E.ROE Scan'!D205</f>
        <v>0</v>
      </c>
      <c r="C79" s="71">
        <f t="shared" ref="C79:L79" ca="1" si="32">IFERROR(C40*C$4,"")</f>
        <v>0</v>
      </c>
      <c r="D79" s="71">
        <f t="shared" ca="1" si="32"/>
        <v>0</v>
      </c>
      <c r="E79" s="71">
        <f t="shared" ca="1" si="32"/>
        <v>0</v>
      </c>
      <c r="F79" s="71">
        <f t="shared" ca="1" si="32"/>
        <v>0</v>
      </c>
      <c r="G79" s="71">
        <f t="shared" ca="1" si="32"/>
        <v>0</v>
      </c>
      <c r="H79" s="71" t="str">
        <f t="shared" ca="1" si="32"/>
        <v/>
      </c>
      <c r="I79" s="71" t="str">
        <f t="shared" ca="1" si="32"/>
        <v/>
      </c>
      <c r="J79" s="71" t="str">
        <f t="shared" ca="1" si="32"/>
        <v/>
      </c>
      <c r="K79" s="71" t="str">
        <f t="shared" ca="1" si="32"/>
        <v/>
      </c>
      <c r="L79" s="71" t="str">
        <f t="shared" ca="1" si="32"/>
        <v/>
      </c>
    </row>
    <row r="80" spans="2:12" ht="14.5" customHeight="1" x14ac:dyDescent="0.3">
      <c r="B80" s="68">
        <f>'2E.ROE Scan'!D206</f>
        <v>0</v>
      </c>
      <c r="C80" s="71">
        <f t="shared" ref="C80:L80" ca="1" si="33">IFERROR(C41*C$4,"")</f>
        <v>0</v>
      </c>
      <c r="D80" s="71">
        <f t="shared" ca="1" si="33"/>
        <v>0</v>
      </c>
      <c r="E80" s="71">
        <f t="shared" ca="1" si="33"/>
        <v>0</v>
      </c>
      <c r="F80" s="71">
        <f t="shared" ca="1" si="33"/>
        <v>0</v>
      </c>
      <c r="G80" s="71">
        <f t="shared" ca="1" si="33"/>
        <v>0</v>
      </c>
      <c r="H80" s="71" t="str">
        <f t="shared" ca="1" si="33"/>
        <v/>
      </c>
      <c r="I80" s="71" t="str">
        <f t="shared" ca="1" si="33"/>
        <v/>
      </c>
      <c r="J80" s="71" t="str">
        <f t="shared" ca="1" si="33"/>
        <v/>
      </c>
      <c r="K80" s="71" t="str">
        <f t="shared" ca="1" si="33"/>
        <v/>
      </c>
      <c r="L80" s="71" t="str">
        <f t="shared" ca="1" si="33"/>
        <v/>
      </c>
    </row>
    <row r="81" spans="2:12" ht="14.5" customHeight="1" x14ac:dyDescent="0.3">
      <c r="B81" s="68">
        <f>'2E.ROE Scan'!D207</f>
        <v>0</v>
      </c>
      <c r="C81" s="71">
        <f t="shared" ref="C81:L81" ca="1" si="34">IFERROR(C42*C$4,"")</f>
        <v>0</v>
      </c>
      <c r="D81" s="71">
        <f t="shared" ca="1" si="34"/>
        <v>0</v>
      </c>
      <c r="E81" s="71">
        <f t="shared" ca="1" si="34"/>
        <v>0</v>
      </c>
      <c r="F81" s="71">
        <f t="shared" ca="1" si="34"/>
        <v>0</v>
      </c>
      <c r="G81" s="71">
        <f t="shared" ca="1" si="34"/>
        <v>0</v>
      </c>
      <c r="H81" s="71" t="str">
        <f t="shared" ca="1" si="34"/>
        <v/>
      </c>
      <c r="I81" s="71" t="str">
        <f t="shared" ca="1" si="34"/>
        <v/>
      </c>
      <c r="J81" s="71" t="str">
        <f t="shared" ca="1" si="34"/>
        <v/>
      </c>
      <c r="K81" s="71" t="str">
        <f t="shared" ca="1" si="34"/>
        <v/>
      </c>
      <c r="L81" s="71" t="str">
        <f t="shared" ca="1" si="34"/>
        <v/>
      </c>
    </row>
    <row r="82" spans="2:12" ht="14.5" customHeight="1" x14ac:dyDescent="0.3">
      <c r="B82" s="68">
        <f>'2E.ROE Scan'!D208</f>
        <v>0</v>
      </c>
      <c r="C82" s="71">
        <f t="shared" ref="C82:L82" ca="1" si="35">IFERROR(C43*C$4,"")</f>
        <v>0</v>
      </c>
      <c r="D82" s="71">
        <f t="shared" ca="1" si="35"/>
        <v>0</v>
      </c>
      <c r="E82" s="71">
        <f t="shared" ca="1" si="35"/>
        <v>0</v>
      </c>
      <c r="F82" s="71">
        <f t="shared" ca="1" si="35"/>
        <v>0</v>
      </c>
      <c r="G82" s="71">
        <f t="shared" ca="1" si="35"/>
        <v>0</v>
      </c>
      <c r="H82" s="71" t="str">
        <f t="shared" ca="1" si="35"/>
        <v/>
      </c>
      <c r="I82" s="71" t="str">
        <f t="shared" ca="1" si="35"/>
        <v/>
      </c>
      <c r="J82" s="71" t="str">
        <f t="shared" ca="1" si="35"/>
        <v/>
      </c>
      <c r="K82" s="71" t="str">
        <f t="shared" ca="1" si="35"/>
        <v/>
      </c>
      <c r="L82" s="71" t="str">
        <f t="shared" ca="1" si="35"/>
        <v/>
      </c>
    </row>
    <row r="83" spans="2:12" ht="14.5" customHeight="1" x14ac:dyDescent="0.3">
      <c r="B83" s="68">
        <f>'2E.ROE Scan'!D209</f>
        <v>0</v>
      </c>
      <c r="C83" s="71">
        <f t="shared" ref="C83:L83" ca="1" si="36">IFERROR(C44*C$4,"")</f>
        <v>0</v>
      </c>
      <c r="D83" s="71">
        <f t="shared" ca="1" si="36"/>
        <v>0</v>
      </c>
      <c r="E83" s="71">
        <f t="shared" ca="1" si="36"/>
        <v>0</v>
      </c>
      <c r="F83" s="71">
        <f t="shared" ca="1" si="36"/>
        <v>0</v>
      </c>
      <c r="G83" s="71">
        <f t="shared" ca="1" si="36"/>
        <v>0</v>
      </c>
      <c r="H83" s="71" t="str">
        <f t="shared" ca="1" si="36"/>
        <v/>
      </c>
      <c r="I83" s="71" t="str">
        <f t="shared" ca="1" si="36"/>
        <v/>
      </c>
      <c r="J83" s="71" t="str">
        <f t="shared" ca="1" si="36"/>
        <v/>
      </c>
      <c r="K83" s="71" t="str">
        <f t="shared" ca="1" si="36"/>
        <v/>
      </c>
      <c r="L83" s="71" t="str">
        <f t="shared" ca="1" si="36"/>
        <v/>
      </c>
    </row>
    <row r="84" spans="2:12" ht="14.5" customHeight="1" x14ac:dyDescent="0.3">
      <c r="B84" s="152"/>
      <c r="C84" s="153"/>
      <c r="D84" s="153"/>
      <c r="E84" s="153"/>
      <c r="F84" s="153"/>
      <c r="G84" s="153"/>
      <c r="H84" s="153"/>
      <c r="I84" s="153"/>
      <c r="J84" s="153"/>
      <c r="K84" s="153"/>
      <c r="L84" s="153"/>
    </row>
    <row r="85" spans="2:12" ht="14.5" customHeight="1" x14ac:dyDescent="0.3">
      <c r="B85" s="152"/>
      <c r="C85" s="153"/>
      <c r="D85" s="153"/>
      <c r="E85" s="153"/>
      <c r="F85" s="153"/>
      <c r="G85" s="153"/>
      <c r="H85" s="153"/>
      <c r="I85" s="153"/>
      <c r="J85" s="153"/>
      <c r="K85" s="153"/>
      <c r="L85" s="153"/>
    </row>
    <row r="86" spans="2:12" ht="16.5" customHeight="1" x14ac:dyDescent="0.3">
      <c r="B86" s="66" t="s">
        <v>395</v>
      </c>
      <c r="C86" s="55"/>
      <c r="D86" s="55"/>
      <c r="E86" s="55"/>
      <c r="F86" s="55"/>
      <c r="G86" s="55"/>
      <c r="H86" s="55"/>
      <c r="I86" s="55"/>
      <c r="J86" s="55"/>
      <c r="K86" s="55"/>
      <c r="L86" s="55"/>
    </row>
    <row r="87" spans="2:12" ht="33.75" customHeight="1" x14ac:dyDescent="0.35">
      <c r="B87" s="67"/>
      <c r="C87" s="58" t="str">
        <f t="shared" ref="C87:L87" si="37">C2</f>
        <v>ABA</v>
      </c>
      <c r="D87" s="58" t="str">
        <f t="shared" si="37"/>
        <v>B6</v>
      </c>
      <c r="E87" s="58" t="str">
        <f t="shared" si="37"/>
        <v>ABA1</v>
      </c>
      <c r="F87" s="58" t="str">
        <f t="shared" si="37"/>
        <v>B61</v>
      </c>
      <c r="G87" s="58" t="str">
        <f t="shared" si="37"/>
        <v>B7</v>
      </c>
      <c r="H87" s="58" t="str">
        <f t="shared" si="37"/>
        <v/>
      </c>
      <c r="I87" s="58" t="str">
        <f t="shared" si="37"/>
        <v/>
      </c>
      <c r="J87" s="58" t="str">
        <f t="shared" si="37"/>
        <v/>
      </c>
      <c r="K87" s="58" t="str">
        <f t="shared" si="37"/>
        <v/>
      </c>
      <c r="L87" s="58" t="str">
        <f t="shared" si="37"/>
        <v/>
      </c>
    </row>
    <row r="88" spans="2:12" ht="16.5" customHeight="1" x14ac:dyDescent="0.3">
      <c r="B88" s="68" t="str">
        <f t="shared" ref="B88:B122" si="38">B10</f>
        <v>dLevel_T2_1</v>
      </c>
      <c r="C88" s="71">
        <f>'2E.ROE Scan'!Y58</f>
        <v>6.2406015037593993E-2</v>
      </c>
      <c r="D88" s="71">
        <f t="shared" ref="D88:L97" si="39">IF(D$87=0,"",$C88)</f>
        <v>6.2406015037593993E-2</v>
      </c>
      <c r="E88" s="71">
        <f t="shared" si="39"/>
        <v>6.2406015037593993E-2</v>
      </c>
      <c r="F88" s="71">
        <f t="shared" si="39"/>
        <v>6.2406015037593993E-2</v>
      </c>
      <c r="G88" s="71">
        <f t="shared" si="39"/>
        <v>6.2406015037593993E-2</v>
      </c>
      <c r="H88" s="71">
        <f t="shared" si="39"/>
        <v>6.2406015037593993E-2</v>
      </c>
      <c r="I88" s="71">
        <f t="shared" si="39"/>
        <v>6.2406015037593993E-2</v>
      </c>
      <c r="J88" s="71">
        <f t="shared" si="39"/>
        <v>6.2406015037593993E-2</v>
      </c>
      <c r="K88" s="71">
        <f t="shared" si="39"/>
        <v>6.2406015037593993E-2</v>
      </c>
      <c r="L88" s="71">
        <f t="shared" si="39"/>
        <v>6.2406015037593993E-2</v>
      </c>
    </row>
    <row r="89" spans="2:12" ht="16.5" customHeight="1" x14ac:dyDescent="0.3">
      <c r="B89" s="68" t="str">
        <f t="shared" si="38"/>
        <v>dLevel_T2_2</v>
      </c>
      <c r="C89" s="71">
        <f>'2E.ROE Scan'!Y59</f>
        <v>3.1954887218045111E-2</v>
      </c>
      <c r="D89" s="71">
        <f t="shared" si="39"/>
        <v>3.1954887218045111E-2</v>
      </c>
      <c r="E89" s="71">
        <f t="shared" si="39"/>
        <v>3.1954887218045111E-2</v>
      </c>
      <c r="F89" s="71">
        <f t="shared" si="39"/>
        <v>3.1954887218045111E-2</v>
      </c>
      <c r="G89" s="71">
        <f t="shared" si="39"/>
        <v>3.1954887218045111E-2</v>
      </c>
      <c r="H89" s="71">
        <f t="shared" si="39"/>
        <v>3.1954887218045111E-2</v>
      </c>
      <c r="I89" s="71">
        <f t="shared" si="39"/>
        <v>3.1954887218045111E-2</v>
      </c>
      <c r="J89" s="71">
        <f t="shared" si="39"/>
        <v>3.1954887218045111E-2</v>
      </c>
      <c r="K89" s="71">
        <f t="shared" si="39"/>
        <v>3.1954887218045111E-2</v>
      </c>
      <c r="L89" s="71">
        <f t="shared" si="39"/>
        <v>3.1954887218045111E-2</v>
      </c>
    </row>
    <row r="90" spans="2:12" ht="16.5" customHeight="1" x14ac:dyDescent="0.3">
      <c r="B90" s="68" t="str">
        <f t="shared" si="38"/>
        <v>dLevel_T2_3</v>
      </c>
      <c r="C90" s="71">
        <f>'2E.ROE Scan'!Y60</f>
        <v>2.4436090225563908E-2</v>
      </c>
      <c r="D90" s="71">
        <f t="shared" si="39"/>
        <v>2.4436090225563908E-2</v>
      </c>
      <c r="E90" s="71">
        <f t="shared" si="39"/>
        <v>2.4436090225563908E-2</v>
      </c>
      <c r="F90" s="71">
        <f t="shared" si="39"/>
        <v>2.4436090225563908E-2</v>
      </c>
      <c r="G90" s="71">
        <f t="shared" si="39"/>
        <v>2.4436090225563908E-2</v>
      </c>
      <c r="H90" s="71">
        <f t="shared" si="39"/>
        <v>2.4436090225563908E-2</v>
      </c>
      <c r="I90" s="71">
        <f t="shared" si="39"/>
        <v>2.4436090225563908E-2</v>
      </c>
      <c r="J90" s="71">
        <f t="shared" si="39"/>
        <v>2.4436090225563908E-2</v>
      </c>
      <c r="K90" s="71">
        <f t="shared" si="39"/>
        <v>2.4436090225563908E-2</v>
      </c>
      <c r="L90" s="71">
        <f t="shared" si="39"/>
        <v>2.4436090225563908E-2</v>
      </c>
    </row>
    <row r="91" spans="2:12" ht="16.5" customHeight="1" x14ac:dyDescent="0.3">
      <c r="B91" s="68" t="str">
        <f t="shared" si="38"/>
        <v>dLevel_T2_4</v>
      </c>
      <c r="C91" s="71">
        <f>'2E.ROE Scan'!Y61</f>
        <v>7.5375939849624055E-2</v>
      </c>
      <c r="D91" s="71">
        <f t="shared" si="39"/>
        <v>7.5375939849624055E-2</v>
      </c>
      <c r="E91" s="71">
        <f t="shared" si="39"/>
        <v>7.5375939849624055E-2</v>
      </c>
      <c r="F91" s="71">
        <f t="shared" si="39"/>
        <v>7.5375939849624055E-2</v>
      </c>
      <c r="G91" s="71">
        <f t="shared" si="39"/>
        <v>7.5375939849624055E-2</v>
      </c>
      <c r="H91" s="71">
        <f t="shared" si="39"/>
        <v>7.5375939849624055E-2</v>
      </c>
      <c r="I91" s="71">
        <f t="shared" si="39"/>
        <v>7.5375939849624055E-2</v>
      </c>
      <c r="J91" s="71">
        <f t="shared" si="39"/>
        <v>7.5375939849624055E-2</v>
      </c>
      <c r="K91" s="71">
        <f t="shared" si="39"/>
        <v>7.5375939849624055E-2</v>
      </c>
      <c r="L91" s="71">
        <f t="shared" si="39"/>
        <v>7.5375939849624055E-2</v>
      </c>
    </row>
    <row r="92" spans="2:12" ht="16.5" customHeight="1" x14ac:dyDescent="0.3">
      <c r="B92" s="68" t="str">
        <f t="shared" si="38"/>
        <v>dLevel_T2_5</v>
      </c>
      <c r="C92" s="71">
        <f>'2E.ROE Scan'!Y62</f>
        <v>3.4210526315789483E-2</v>
      </c>
      <c r="D92" s="71">
        <f t="shared" si="39"/>
        <v>3.4210526315789483E-2</v>
      </c>
      <c r="E92" s="71">
        <f t="shared" si="39"/>
        <v>3.4210526315789483E-2</v>
      </c>
      <c r="F92" s="71">
        <f t="shared" si="39"/>
        <v>3.4210526315789483E-2</v>
      </c>
      <c r="G92" s="71">
        <f t="shared" si="39"/>
        <v>3.4210526315789483E-2</v>
      </c>
      <c r="H92" s="71">
        <f t="shared" si="39"/>
        <v>3.4210526315789483E-2</v>
      </c>
      <c r="I92" s="71">
        <f t="shared" si="39"/>
        <v>3.4210526315789483E-2</v>
      </c>
      <c r="J92" s="71">
        <f t="shared" si="39"/>
        <v>3.4210526315789483E-2</v>
      </c>
      <c r="K92" s="71">
        <f t="shared" si="39"/>
        <v>3.4210526315789483E-2</v>
      </c>
      <c r="L92" s="71">
        <f t="shared" si="39"/>
        <v>3.4210526315789483E-2</v>
      </c>
    </row>
    <row r="93" spans="2:12" ht="16.5" customHeight="1" x14ac:dyDescent="0.3">
      <c r="B93" s="68" t="str">
        <f t="shared" si="38"/>
        <v>dLevel_T2_6</v>
      </c>
      <c r="C93" s="71">
        <f>'2E.ROE Scan'!Y63</f>
        <v>3.1954887218045111E-2</v>
      </c>
      <c r="D93" s="71">
        <f t="shared" si="39"/>
        <v>3.1954887218045111E-2</v>
      </c>
      <c r="E93" s="71">
        <f t="shared" si="39"/>
        <v>3.1954887218045111E-2</v>
      </c>
      <c r="F93" s="71">
        <f t="shared" si="39"/>
        <v>3.1954887218045111E-2</v>
      </c>
      <c r="G93" s="71">
        <f t="shared" si="39"/>
        <v>3.1954887218045111E-2</v>
      </c>
      <c r="H93" s="71">
        <f t="shared" si="39"/>
        <v>3.1954887218045111E-2</v>
      </c>
      <c r="I93" s="71">
        <f t="shared" si="39"/>
        <v>3.1954887218045111E-2</v>
      </c>
      <c r="J93" s="71">
        <f t="shared" si="39"/>
        <v>3.1954887218045111E-2</v>
      </c>
      <c r="K93" s="71">
        <f t="shared" si="39"/>
        <v>3.1954887218045111E-2</v>
      </c>
      <c r="L93" s="71">
        <f t="shared" si="39"/>
        <v>3.1954887218045111E-2</v>
      </c>
    </row>
    <row r="94" spans="2:12" ht="16.5" customHeight="1" x14ac:dyDescent="0.3">
      <c r="B94" s="68" t="str">
        <f t="shared" si="38"/>
        <v>dLevel_T2_7</v>
      </c>
      <c r="C94" s="71">
        <f>'2E.ROE Scan'!Y64</f>
        <v>7.1616541353383453E-2</v>
      </c>
      <c r="D94" s="71">
        <f t="shared" si="39"/>
        <v>7.1616541353383453E-2</v>
      </c>
      <c r="E94" s="71">
        <f t="shared" si="39"/>
        <v>7.1616541353383453E-2</v>
      </c>
      <c r="F94" s="71">
        <f t="shared" si="39"/>
        <v>7.1616541353383453E-2</v>
      </c>
      <c r="G94" s="71">
        <f t="shared" si="39"/>
        <v>7.1616541353383453E-2</v>
      </c>
      <c r="H94" s="71">
        <f t="shared" si="39"/>
        <v>7.1616541353383453E-2</v>
      </c>
      <c r="I94" s="71">
        <f t="shared" si="39"/>
        <v>7.1616541353383453E-2</v>
      </c>
      <c r="J94" s="71">
        <f t="shared" si="39"/>
        <v>7.1616541353383453E-2</v>
      </c>
      <c r="K94" s="71">
        <f t="shared" si="39"/>
        <v>7.1616541353383453E-2</v>
      </c>
      <c r="L94" s="71">
        <f t="shared" si="39"/>
        <v>7.1616541353383453E-2</v>
      </c>
    </row>
    <row r="95" spans="2:12" ht="16.5" customHeight="1" x14ac:dyDescent="0.3">
      <c r="B95" s="68" t="str">
        <f t="shared" si="38"/>
        <v>dLevel_T2_8</v>
      </c>
      <c r="C95" s="71">
        <f>'2E.ROE Scan'!Y65</f>
        <v>6.7481203007518795E-2</v>
      </c>
      <c r="D95" s="71">
        <f t="shared" si="39"/>
        <v>6.7481203007518795E-2</v>
      </c>
      <c r="E95" s="71">
        <f t="shared" si="39"/>
        <v>6.7481203007518795E-2</v>
      </c>
      <c r="F95" s="71">
        <f t="shared" si="39"/>
        <v>6.7481203007518795E-2</v>
      </c>
      <c r="G95" s="71">
        <f t="shared" si="39"/>
        <v>6.7481203007518795E-2</v>
      </c>
      <c r="H95" s="71">
        <f t="shared" si="39"/>
        <v>6.7481203007518795E-2</v>
      </c>
      <c r="I95" s="71">
        <f t="shared" si="39"/>
        <v>6.7481203007518795E-2</v>
      </c>
      <c r="J95" s="71">
        <f t="shared" si="39"/>
        <v>6.7481203007518795E-2</v>
      </c>
      <c r="K95" s="71">
        <f t="shared" si="39"/>
        <v>6.7481203007518795E-2</v>
      </c>
      <c r="L95" s="71">
        <f t="shared" si="39"/>
        <v>6.7481203007518795E-2</v>
      </c>
    </row>
    <row r="96" spans="2:12" ht="16.5" customHeight="1" x14ac:dyDescent="0.3">
      <c r="B96" s="68" t="str">
        <f t="shared" si="38"/>
        <v>dLevel_T2_9</v>
      </c>
      <c r="C96" s="71">
        <f>'2E.ROE Scan'!Y66</f>
        <v>1.9360902255639099E-2</v>
      </c>
      <c r="D96" s="71">
        <f t="shared" si="39"/>
        <v>1.9360902255639099E-2</v>
      </c>
      <c r="E96" s="71">
        <f t="shared" si="39"/>
        <v>1.9360902255639099E-2</v>
      </c>
      <c r="F96" s="71">
        <f t="shared" si="39"/>
        <v>1.9360902255639099E-2</v>
      </c>
      <c r="G96" s="71">
        <f t="shared" si="39"/>
        <v>1.9360902255639099E-2</v>
      </c>
      <c r="H96" s="71">
        <f t="shared" si="39"/>
        <v>1.9360902255639099E-2</v>
      </c>
      <c r="I96" s="71">
        <f t="shared" si="39"/>
        <v>1.9360902255639099E-2</v>
      </c>
      <c r="J96" s="71">
        <f t="shared" si="39"/>
        <v>1.9360902255639099E-2</v>
      </c>
      <c r="K96" s="71">
        <f t="shared" si="39"/>
        <v>1.9360902255639099E-2</v>
      </c>
      <c r="L96" s="71">
        <f t="shared" si="39"/>
        <v>1.9360902255639099E-2</v>
      </c>
    </row>
    <row r="97" spans="2:12" ht="16.5" customHeight="1" x14ac:dyDescent="0.3">
      <c r="B97" s="68" t="str">
        <f t="shared" si="38"/>
        <v>dLevel_T2_10</v>
      </c>
      <c r="C97" s="71">
        <f>'2E.ROE Scan'!Y67</f>
        <v>2.180451127819549E-2</v>
      </c>
      <c r="D97" s="71">
        <f t="shared" si="39"/>
        <v>2.180451127819549E-2</v>
      </c>
      <c r="E97" s="71">
        <f t="shared" si="39"/>
        <v>2.180451127819549E-2</v>
      </c>
      <c r="F97" s="71">
        <f t="shared" si="39"/>
        <v>2.180451127819549E-2</v>
      </c>
      <c r="G97" s="71">
        <f t="shared" si="39"/>
        <v>2.180451127819549E-2</v>
      </c>
      <c r="H97" s="71">
        <f t="shared" si="39"/>
        <v>2.180451127819549E-2</v>
      </c>
      <c r="I97" s="71">
        <f t="shared" si="39"/>
        <v>2.180451127819549E-2</v>
      </c>
      <c r="J97" s="71">
        <f t="shared" si="39"/>
        <v>2.180451127819549E-2</v>
      </c>
      <c r="K97" s="71">
        <f t="shared" si="39"/>
        <v>2.180451127819549E-2</v>
      </c>
      <c r="L97" s="71">
        <f t="shared" si="39"/>
        <v>2.180451127819549E-2</v>
      </c>
    </row>
    <row r="98" spans="2:12" ht="16.5" customHeight="1" x14ac:dyDescent="0.3">
      <c r="B98" s="68" t="str">
        <f t="shared" si="38"/>
        <v>dLevel_T2_11</v>
      </c>
      <c r="C98" s="71">
        <f>'2E.ROE Scan'!Y68</f>
        <v>3.6278195488721812E-2</v>
      </c>
      <c r="D98" s="71">
        <f t="shared" ref="D98:L107" si="40">IF(D$87=0,"",$C98)</f>
        <v>3.6278195488721812E-2</v>
      </c>
      <c r="E98" s="71">
        <f t="shared" si="40"/>
        <v>3.6278195488721812E-2</v>
      </c>
      <c r="F98" s="71">
        <f t="shared" si="40"/>
        <v>3.6278195488721812E-2</v>
      </c>
      <c r="G98" s="71">
        <f t="shared" si="40"/>
        <v>3.6278195488721812E-2</v>
      </c>
      <c r="H98" s="71">
        <f t="shared" si="40"/>
        <v>3.6278195488721812E-2</v>
      </c>
      <c r="I98" s="71">
        <f t="shared" si="40"/>
        <v>3.6278195488721812E-2</v>
      </c>
      <c r="J98" s="71">
        <f t="shared" si="40"/>
        <v>3.6278195488721812E-2</v>
      </c>
      <c r="K98" s="71">
        <f t="shared" si="40"/>
        <v>3.6278195488721812E-2</v>
      </c>
      <c r="L98" s="71">
        <f t="shared" si="40"/>
        <v>3.6278195488721812E-2</v>
      </c>
    </row>
    <row r="99" spans="2:12" ht="16.5" customHeight="1" x14ac:dyDescent="0.3">
      <c r="B99" s="68" t="str">
        <f t="shared" si="38"/>
        <v>dLevel_T2_12</v>
      </c>
      <c r="C99" s="71">
        <f>'2E.ROE Scan'!Y69</f>
        <v>1.635338345864662E-2</v>
      </c>
      <c r="D99" s="71">
        <f t="shared" si="40"/>
        <v>1.635338345864662E-2</v>
      </c>
      <c r="E99" s="71">
        <f t="shared" si="40"/>
        <v>1.635338345864662E-2</v>
      </c>
      <c r="F99" s="71">
        <f t="shared" si="40"/>
        <v>1.635338345864662E-2</v>
      </c>
      <c r="G99" s="71">
        <f t="shared" si="40"/>
        <v>1.635338345864662E-2</v>
      </c>
      <c r="H99" s="71">
        <f t="shared" si="40"/>
        <v>1.635338345864662E-2</v>
      </c>
      <c r="I99" s="71">
        <f t="shared" si="40"/>
        <v>1.635338345864662E-2</v>
      </c>
      <c r="J99" s="71">
        <f t="shared" si="40"/>
        <v>1.635338345864662E-2</v>
      </c>
      <c r="K99" s="71">
        <f t="shared" si="40"/>
        <v>1.635338345864662E-2</v>
      </c>
      <c r="L99" s="71">
        <f t="shared" si="40"/>
        <v>1.635338345864662E-2</v>
      </c>
    </row>
    <row r="100" spans="2:12" ht="16.5" customHeight="1" x14ac:dyDescent="0.3">
      <c r="B100" s="68" t="str">
        <f t="shared" si="38"/>
        <v>dLevel_T2_13</v>
      </c>
      <c r="C100" s="71">
        <f>'2E.ROE Scan'!Y70</f>
        <v>1.165413533834586E-2</v>
      </c>
      <c r="D100" s="71">
        <f t="shared" si="40"/>
        <v>1.165413533834586E-2</v>
      </c>
      <c r="E100" s="71">
        <f t="shared" si="40"/>
        <v>1.165413533834586E-2</v>
      </c>
      <c r="F100" s="71">
        <f t="shared" si="40"/>
        <v>1.165413533834586E-2</v>
      </c>
      <c r="G100" s="71">
        <f t="shared" si="40"/>
        <v>1.165413533834586E-2</v>
      </c>
      <c r="H100" s="71">
        <f t="shared" si="40"/>
        <v>1.165413533834586E-2</v>
      </c>
      <c r="I100" s="71">
        <f t="shared" si="40"/>
        <v>1.165413533834586E-2</v>
      </c>
      <c r="J100" s="71">
        <f t="shared" si="40"/>
        <v>1.165413533834586E-2</v>
      </c>
      <c r="K100" s="71">
        <f t="shared" si="40"/>
        <v>1.165413533834586E-2</v>
      </c>
      <c r="L100" s="71">
        <f t="shared" si="40"/>
        <v>1.165413533834586E-2</v>
      </c>
    </row>
    <row r="101" spans="2:12" ht="16.5" customHeight="1" x14ac:dyDescent="0.3">
      <c r="B101" s="68" t="str">
        <f t="shared" si="38"/>
        <v>dLevel_T2_14</v>
      </c>
      <c r="C101" s="71">
        <f>'2E.ROE Scan'!Y71</f>
        <v>2.424812030075188E-2</v>
      </c>
      <c r="D101" s="71">
        <f t="shared" si="40"/>
        <v>2.424812030075188E-2</v>
      </c>
      <c r="E101" s="71">
        <f t="shared" si="40"/>
        <v>2.424812030075188E-2</v>
      </c>
      <c r="F101" s="71">
        <f t="shared" si="40"/>
        <v>2.424812030075188E-2</v>
      </c>
      <c r="G101" s="71">
        <f t="shared" si="40"/>
        <v>2.424812030075188E-2</v>
      </c>
      <c r="H101" s="71">
        <f t="shared" si="40"/>
        <v>2.424812030075188E-2</v>
      </c>
      <c r="I101" s="71">
        <f t="shared" si="40"/>
        <v>2.424812030075188E-2</v>
      </c>
      <c r="J101" s="71">
        <f t="shared" si="40"/>
        <v>2.424812030075188E-2</v>
      </c>
      <c r="K101" s="71">
        <f t="shared" si="40"/>
        <v>2.424812030075188E-2</v>
      </c>
      <c r="L101" s="71">
        <f t="shared" si="40"/>
        <v>2.424812030075188E-2</v>
      </c>
    </row>
    <row r="102" spans="2:12" ht="16.5" customHeight="1" x14ac:dyDescent="0.3">
      <c r="B102" s="68" t="str">
        <f t="shared" si="38"/>
        <v>dLevel_T2_15</v>
      </c>
      <c r="C102" s="71">
        <f>'2E.ROE Scan'!Y72</f>
        <v>1.7105263157894741E-2</v>
      </c>
      <c r="D102" s="71">
        <f t="shared" si="40"/>
        <v>1.7105263157894741E-2</v>
      </c>
      <c r="E102" s="71">
        <f t="shared" si="40"/>
        <v>1.7105263157894741E-2</v>
      </c>
      <c r="F102" s="71">
        <f t="shared" si="40"/>
        <v>1.7105263157894741E-2</v>
      </c>
      <c r="G102" s="71">
        <f t="shared" si="40"/>
        <v>1.7105263157894741E-2</v>
      </c>
      <c r="H102" s="71">
        <f t="shared" si="40"/>
        <v>1.7105263157894741E-2</v>
      </c>
      <c r="I102" s="71">
        <f t="shared" si="40"/>
        <v>1.7105263157894741E-2</v>
      </c>
      <c r="J102" s="71">
        <f t="shared" si="40"/>
        <v>1.7105263157894741E-2</v>
      </c>
      <c r="K102" s="71">
        <f t="shared" si="40"/>
        <v>1.7105263157894741E-2</v>
      </c>
      <c r="L102" s="71">
        <f t="shared" si="40"/>
        <v>1.7105263157894741E-2</v>
      </c>
    </row>
    <row r="103" spans="2:12" ht="16.5" customHeight="1" x14ac:dyDescent="0.3">
      <c r="B103" s="68" t="str">
        <f t="shared" si="38"/>
        <v>dLevel_T2_16</v>
      </c>
      <c r="C103" s="71">
        <f>'2E.ROE Scan'!Y73</f>
        <v>1.9360902255639099E-2</v>
      </c>
      <c r="D103" s="71">
        <f t="shared" si="40"/>
        <v>1.9360902255639099E-2</v>
      </c>
      <c r="E103" s="71">
        <f t="shared" si="40"/>
        <v>1.9360902255639099E-2</v>
      </c>
      <c r="F103" s="71">
        <f t="shared" si="40"/>
        <v>1.9360902255639099E-2</v>
      </c>
      <c r="G103" s="71">
        <f t="shared" si="40"/>
        <v>1.9360902255639099E-2</v>
      </c>
      <c r="H103" s="71">
        <f t="shared" si="40"/>
        <v>1.9360902255639099E-2</v>
      </c>
      <c r="I103" s="71">
        <f t="shared" si="40"/>
        <v>1.9360902255639099E-2</v>
      </c>
      <c r="J103" s="71">
        <f t="shared" si="40"/>
        <v>1.9360902255639099E-2</v>
      </c>
      <c r="K103" s="71">
        <f t="shared" si="40"/>
        <v>1.9360902255639099E-2</v>
      </c>
      <c r="L103" s="71">
        <f t="shared" si="40"/>
        <v>1.9360902255639099E-2</v>
      </c>
    </row>
    <row r="104" spans="2:12" ht="16.5" customHeight="1" x14ac:dyDescent="0.3">
      <c r="B104" s="68" t="str">
        <f t="shared" si="38"/>
        <v>dLevel_T2_17</v>
      </c>
      <c r="C104" s="71">
        <f>'2E.ROE Scan'!Y74</f>
        <v>2.4812030075187969E-2</v>
      </c>
      <c r="D104" s="71">
        <f t="shared" si="40"/>
        <v>2.4812030075187969E-2</v>
      </c>
      <c r="E104" s="71">
        <f t="shared" si="40"/>
        <v>2.4812030075187969E-2</v>
      </c>
      <c r="F104" s="71">
        <f t="shared" si="40"/>
        <v>2.4812030075187969E-2</v>
      </c>
      <c r="G104" s="71">
        <f t="shared" si="40"/>
        <v>2.4812030075187969E-2</v>
      </c>
      <c r="H104" s="71">
        <f t="shared" si="40"/>
        <v>2.4812030075187969E-2</v>
      </c>
      <c r="I104" s="71">
        <f t="shared" si="40"/>
        <v>2.4812030075187969E-2</v>
      </c>
      <c r="J104" s="71">
        <f t="shared" si="40"/>
        <v>2.4812030075187969E-2</v>
      </c>
      <c r="K104" s="71">
        <f t="shared" si="40"/>
        <v>2.4812030075187969E-2</v>
      </c>
      <c r="L104" s="71">
        <f t="shared" si="40"/>
        <v>2.4812030075187969E-2</v>
      </c>
    </row>
    <row r="105" spans="2:12" ht="16.5" customHeight="1" x14ac:dyDescent="0.3">
      <c r="B105" s="68" t="str">
        <f t="shared" si="38"/>
        <v>dLevel_T2_18</v>
      </c>
      <c r="C105" s="71">
        <f>'2E.ROE Scan'!Y75</f>
        <v>6.5601503759398494E-2</v>
      </c>
      <c r="D105" s="71">
        <f t="shared" si="40"/>
        <v>6.5601503759398494E-2</v>
      </c>
      <c r="E105" s="71">
        <f t="shared" si="40"/>
        <v>6.5601503759398494E-2</v>
      </c>
      <c r="F105" s="71">
        <f t="shared" si="40"/>
        <v>6.5601503759398494E-2</v>
      </c>
      <c r="G105" s="71">
        <f t="shared" si="40"/>
        <v>6.5601503759398494E-2</v>
      </c>
      <c r="H105" s="71">
        <f t="shared" si="40"/>
        <v>6.5601503759398494E-2</v>
      </c>
      <c r="I105" s="71">
        <f t="shared" si="40"/>
        <v>6.5601503759398494E-2</v>
      </c>
      <c r="J105" s="71">
        <f t="shared" si="40"/>
        <v>6.5601503759398494E-2</v>
      </c>
      <c r="K105" s="71">
        <f t="shared" si="40"/>
        <v>6.5601503759398494E-2</v>
      </c>
      <c r="L105" s="71">
        <f t="shared" si="40"/>
        <v>6.5601503759398494E-2</v>
      </c>
    </row>
    <row r="106" spans="2:12" ht="16.5" customHeight="1" x14ac:dyDescent="0.3">
      <c r="B106" s="68" t="str">
        <f t="shared" si="38"/>
        <v>dLevel_T2_19</v>
      </c>
      <c r="C106" s="71">
        <f>'2E.ROE Scan'!Y76</f>
        <v>1.5977443609022559E-2</v>
      </c>
      <c r="D106" s="71">
        <f t="shared" si="40"/>
        <v>1.5977443609022559E-2</v>
      </c>
      <c r="E106" s="71">
        <f t="shared" si="40"/>
        <v>1.5977443609022559E-2</v>
      </c>
      <c r="F106" s="71">
        <f t="shared" si="40"/>
        <v>1.5977443609022559E-2</v>
      </c>
      <c r="G106" s="71">
        <f t="shared" si="40"/>
        <v>1.5977443609022559E-2</v>
      </c>
      <c r="H106" s="71">
        <f t="shared" si="40"/>
        <v>1.5977443609022559E-2</v>
      </c>
      <c r="I106" s="71">
        <f t="shared" si="40"/>
        <v>1.5977443609022559E-2</v>
      </c>
      <c r="J106" s="71">
        <f t="shared" si="40"/>
        <v>1.5977443609022559E-2</v>
      </c>
      <c r="K106" s="71">
        <f t="shared" si="40"/>
        <v>1.5977443609022559E-2</v>
      </c>
      <c r="L106" s="71">
        <f t="shared" si="40"/>
        <v>1.5977443609022559E-2</v>
      </c>
    </row>
    <row r="107" spans="2:12" ht="16.5" customHeight="1" x14ac:dyDescent="0.3">
      <c r="B107" s="68" t="str">
        <f t="shared" si="38"/>
        <v>dLevel_T2_21</v>
      </c>
      <c r="C107" s="71">
        <f>'2E.ROE Scan'!Y77</f>
        <v>3.6466165413533827E-2</v>
      </c>
      <c r="D107" s="71">
        <f t="shared" si="40"/>
        <v>3.6466165413533827E-2</v>
      </c>
      <c r="E107" s="71">
        <f t="shared" si="40"/>
        <v>3.6466165413533827E-2</v>
      </c>
      <c r="F107" s="71">
        <f t="shared" si="40"/>
        <v>3.6466165413533827E-2</v>
      </c>
      <c r="G107" s="71">
        <f t="shared" si="40"/>
        <v>3.6466165413533827E-2</v>
      </c>
      <c r="H107" s="71">
        <f t="shared" si="40"/>
        <v>3.6466165413533827E-2</v>
      </c>
      <c r="I107" s="71">
        <f t="shared" si="40"/>
        <v>3.6466165413533827E-2</v>
      </c>
      <c r="J107" s="71">
        <f t="shared" si="40"/>
        <v>3.6466165413533827E-2</v>
      </c>
      <c r="K107" s="71">
        <f t="shared" si="40"/>
        <v>3.6466165413533827E-2</v>
      </c>
      <c r="L107" s="71">
        <f t="shared" si="40"/>
        <v>3.6466165413533827E-2</v>
      </c>
    </row>
    <row r="108" spans="2:12" ht="16.5" customHeight="1" x14ac:dyDescent="0.3">
      <c r="B108" s="68" t="str">
        <f t="shared" si="38"/>
        <v>dLevel_T2_22</v>
      </c>
      <c r="C108" s="71">
        <f>'2E.ROE Scan'!Y78</f>
        <v>7.3496240601503754E-2</v>
      </c>
      <c r="D108" s="71">
        <f t="shared" ref="D108:L122" si="41">IF(D$87=0,"",$C108)</f>
        <v>7.3496240601503754E-2</v>
      </c>
      <c r="E108" s="71">
        <f t="shared" si="41"/>
        <v>7.3496240601503754E-2</v>
      </c>
      <c r="F108" s="71">
        <f t="shared" si="41"/>
        <v>7.3496240601503754E-2</v>
      </c>
      <c r="G108" s="71">
        <f t="shared" si="41"/>
        <v>7.3496240601503754E-2</v>
      </c>
      <c r="H108" s="71">
        <f t="shared" si="41"/>
        <v>7.3496240601503754E-2</v>
      </c>
      <c r="I108" s="71">
        <f t="shared" si="41"/>
        <v>7.3496240601503754E-2</v>
      </c>
      <c r="J108" s="71">
        <f t="shared" si="41"/>
        <v>7.3496240601503754E-2</v>
      </c>
      <c r="K108" s="71">
        <f t="shared" si="41"/>
        <v>7.3496240601503754E-2</v>
      </c>
      <c r="L108" s="71">
        <f t="shared" si="41"/>
        <v>7.3496240601503754E-2</v>
      </c>
    </row>
    <row r="109" spans="2:12" ht="16.5" customHeight="1" x14ac:dyDescent="0.3">
      <c r="B109" s="68" t="str">
        <f t="shared" si="38"/>
        <v>dLevel_T2_23</v>
      </c>
      <c r="C109" s="71">
        <f>'2E.ROE Scan'!Y79</f>
        <v>1.578947368421053E-2</v>
      </c>
      <c r="D109" s="71">
        <f t="shared" si="41"/>
        <v>1.578947368421053E-2</v>
      </c>
      <c r="E109" s="71">
        <f t="shared" si="41"/>
        <v>1.578947368421053E-2</v>
      </c>
      <c r="F109" s="71">
        <f t="shared" si="41"/>
        <v>1.578947368421053E-2</v>
      </c>
      <c r="G109" s="71">
        <f t="shared" si="41"/>
        <v>1.578947368421053E-2</v>
      </c>
      <c r="H109" s="71">
        <f t="shared" si="41"/>
        <v>1.578947368421053E-2</v>
      </c>
      <c r="I109" s="71">
        <f t="shared" si="41"/>
        <v>1.578947368421053E-2</v>
      </c>
      <c r="J109" s="71">
        <f t="shared" si="41"/>
        <v>1.578947368421053E-2</v>
      </c>
      <c r="K109" s="71">
        <f t="shared" si="41"/>
        <v>1.578947368421053E-2</v>
      </c>
      <c r="L109" s="71">
        <f t="shared" si="41"/>
        <v>1.578947368421053E-2</v>
      </c>
    </row>
    <row r="110" spans="2:12" ht="16.5" customHeight="1" x14ac:dyDescent="0.3">
      <c r="B110" s="68" t="str">
        <f t="shared" si="38"/>
        <v>dLevel_T2_24</v>
      </c>
      <c r="C110" s="71">
        <f>'2E.ROE Scan'!Y80</f>
        <v>6.0150375939849621E-2</v>
      </c>
      <c r="D110" s="71">
        <f t="shared" si="41"/>
        <v>6.0150375939849621E-2</v>
      </c>
      <c r="E110" s="71">
        <f t="shared" si="41"/>
        <v>6.0150375939849621E-2</v>
      </c>
      <c r="F110" s="71">
        <f t="shared" si="41"/>
        <v>6.0150375939849621E-2</v>
      </c>
      <c r="G110" s="71">
        <f t="shared" si="41"/>
        <v>6.0150375939849621E-2</v>
      </c>
      <c r="H110" s="71">
        <f t="shared" si="41"/>
        <v>6.0150375939849621E-2</v>
      </c>
      <c r="I110" s="71">
        <f t="shared" si="41"/>
        <v>6.0150375939849621E-2</v>
      </c>
      <c r="J110" s="71">
        <f t="shared" si="41"/>
        <v>6.0150375939849621E-2</v>
      </c>
      <c r="K110" s="71">
        <f t="shared" si="41"/>
        <v>6.0150375939849621E-2</v>
      </c>
      <c r="L110" s="71">
        <f t="shared" si="41"/>
        <v>6.0150375939849621E-2</v>
      </c>
    </row>
    <row r="111" spans="2:12" ht="16.5" customHeight="1" x14ac:dyDescent="0.3">
      <c r="B111" s="68" t="str">
        <f t="shared" si="38"/>
        <v>dLevel_T2_25</v>
      </c>
      <c r="C111" s="71">
        <f>'2E.ROE Scan'!Y81</f>
        <v>1.8045112781954888E-2</v>
      </c>
      <c r="D111" s="71">
        <f t="shared" si="41"/>
        <v>1.8045112781954888E-2</v>
      </c>
      <c r="E111" s="71">
        <f t="shared" si="41"/>
        <v>1.8045112781954888E-2</v>
      </c>
      <c r="F111" s="71">
        <f t="shared" si="41"/>
        <v>1.8045112781954888E-2</v>
      </c>
      <c r="G111" s="71">
        <f t="shared" si="41"/>
        <v>1.8045112781954888E-2</v>
      </c>
      <c r="H111" s="71">
        <f t="shared" si="41"/>
        <v>1.8045112781954888E-2</v>
      </c>
      <c r="I111" s="71">
        <f t="shared" si="41"/>
        <v>1.8045112781954888E-2</v>
      </c>
      <c r="J111" s="71">
        <f t="shared" si="41"/>
        <v>1.8045112781954888E-2</v>
      </c>
      <c r="K111" s="71">
        <f t="shared" si="41"/>
        <v>1.8045112781954888E-2</v>
      </c>
      <c r="L111" s="71">
        <f t="shared" si="41"/>
        <v>1.8045112781954888E-2</v>
      </c>
    </row>
    <row r="112" spans="2:12" ht="16.5" customHeight="1" x14ac:dyDescent="0.3">
      <c r="B112" s="68" t="str">
        <f t="shared" si="38"/>
        <v>dLevel_T2_26</v>
      </c>
      <c r="C112" s="71">
        <f>'2E.ROE Scan'!Y82</f>
        <v>1.823308270676692E-2</v>
      </c>
      <c r="D112" s="71">
        <f t="shared" si="41"/>
        <v>1.823308270676692E-2</v>
      </c>
      <c r="E112" s="71">
        <f t="shared" si="41"/>
        <v>1.823308270676692E-2</v>
      </c>
      <c r="F112" s="71">
        <f t="shared" si="41"/>
        <v>1.823308270676692E-2</v>
      </c>
      <c r="G112" s="71">
        <f t="shared" si="41"/>
        <v>1.823308270676692E-2</v>
      </c>
      <c r="H112" s="71">
        <f t="shared" si="41"/>
        <v>1.823308270676692E-2</v>
      </c>
      <c r="I112" s="71">
        <f t="shared" si="41"/>
        <v>1.823308270676692E-2</v>
      </c>
      <c r="J112" s="71">
        <f t="shared" si="41"/>
        <v>1.823308270676692E-2</v>
      </c>
      <c r="K112" s="71">
        <f t="shared" si="41"/>
        <v>1.823308270676692E-2</v>
      </c>
      <c r="L112" s="71">
        <f t="shared" si="41"/>
        <v>1.823308270676692E-2</v>
      </c>
    </row>
    <row r="113" spans="2:12" ht="16.5" customHeight="1" x14ac:dyDescent="0.3">
      <c r="B113" s="68" t="str">
        <f t="shared" si="38"/>
        <v>dLevel_T2_27</v>
      </c>
      <c r="C113" s="71">
        <f>'2E.ROE Scan'!Y83</f>
        <v>2.8007518796992481E-2</v>
      </c>
      <c r="D113" s="71">
        <f t="shared" si="41"/>
        <v>2.8007518796992481E-2</v>
      </c>
      <c r="E113" s="71">
        <f t="shared" si="41"/>
        <v>2.8007518796992481E-2</v>
      </c>
      <c r="F113" s="71">
        <f t="shared" si="41"/>
        <v>2.8007518796992481E-2</v>
      </c>
      <c r="G113" s="71">
        <f t="shared" si="41"/>
        <v>2.8007518796992481E-2</v>
      </c>
      <c r="H113" s="71">
        <f t="shared" si="41"/>
        <v>2.8007518796992481E-2</v>
      </c>
      <c r="I113" s="71">
        <f t="shared" si="41"/>
        <v>2.8007518796992481E-2</v>
      </c>
      <c r="J113" s="71">
        <f t="shared" si="41"/>
        <v>2.8007518796992481E-2</v>
      </c>
      <c r="K113" s="71">
        <f t="shared" si="41"/>
        <v>2.8007518796992481E-2</v>
      </c>
      <c r="L113" s="71">
        <f t="shared" si="41"/>
        <v>2.8007518796992481E-2</v>
      </c>
    </row>
    <row r="114" spans="2:12" ht="16.5" customHeight="1" x14ac:dyDescent="0.3">
      <c r="B114" s="68" t="str">
        <f t="shared" si="38"/>
        <v>dLevel_T2_28</v>
      </c>
      <c r="C114" s="71">
        <f>'2E.ROE Scan'!Y84</f>
        <v>2.7443609022556392E-2</v>
      </c>
      <c r="D114" s="71">
        <f t="shared" si="41"/>
        <v>2.7443609022556392E-2</v>
      </c>
      <c r="E114" s="71">
        <f t="shared" si="41"/>
        <v>2.7443609022556392E-2</v>
      </c>
      <c r="F114" s="71">
        <f t="shared" si="41"/>
        <v>2.7443609022556392E-2</v>
      </c>
      <c r="G114" s="71">
        <f t="shared" si="41"/>
        <v>2.7443609022556392E-2</v>
      </c>
      <c r="H114" s="71">
        <f t="shared" si="41"/>
        <v>2.7443609022556392E-2</v>
      </c>
      <c r="I114" s="71">
        <f t="shared" si="41"/>
        <v>2.7443609022556392E-2</v>
      </c>
      <c r="J114" s="71">
        <f t="shared" si="41"/>
        <v>2.7443609022556392E-2</v>
      </c>
      <c r="K114" s="71">
        <f t="shared" si="41"/>
        <v>2.7443609022556392E-2</v>
      </c>
      <c r="L114" s="71">
        <f t="shared" si="41"/>
        <v>2.7443609022556392E-2</v>
      </c>
    </row>
    <row r="115" spans="2:12" ht="16.5" customHeight="1" x14ac:dyDescent="0.3">
      <c r="B115" s="68">
        <f t="shared" si="38"/>
        <v>0</v>
      </c>
      <c r="C115" s="71">
        <f>'2E.ROE Scan'!Y85</f>
        <v>0</v>
      </c>
      <c r="D115" s="71">
        <f t="shared" si="41"/>
        <v>0</v>
      </c>
      <c r="E115" s="71">
        <f t="shared" si="41"/>
        <v>0</v>
      </c>
      <c r="F115" s="71">
        <f t="shared" si="41"/>
        <v>0</v>
      </c>
      <c r="G115" s="71">
        <f t="shared" si="41"/>
        <v>0</v>
      </c>
      <c r="H115" s="71">
        <f t="shared" si="41"/>
        <v>0</v>
      </c>
      <c r="I115" s="71">
        <f t="shared" si="41"/>
        <v>0</v>
      </c>
      <c r="J115" s="71">
        <f t="shared" si="41"/>
        <v>0</v>
      </c>
      <c r="K115" s="71">
        <f t="shared" si="41"/>
        <v>0</v>
      </c>
      <c r="L115" s="71">
        <f t="shared" si="41"/>
        <v>0</v>
      </c>
    </row>
    <row r="116" spans="2:12" ht="16.5" customHeight="1" x14ac:dyDescent="0.3">
      <c r="B116" s="68">
        <f t="shared" si="38"/>
        <v>0</v>
      </c>
      <c r="C116" s="71">
        <f>'2E.ROE Scan'!Y86</f>
        <v>0</v>
      </c>
      <c r="D116" s="71">
        <f t="shared" si="41"/>
        <v>0</v>
      </c>
      <c r="E116" s="71">
        <f t="shared" si="41"/>
        <v>0</v>
      </c>
      <c r="F116" s="71">
        <f t="shared" si="41"/>
        <v>0</v>
      </c>
      <c r="G116" s="71">
        <f t="shared" si="41"/>
        <v>0</v>
      </c>
      <c r="H116" s="71">
        <f t="shared" si="41"/>
        <v>0</v>
      </c>
      <c r="I116" s="71">
        <f t="shared" si="41"/>
        <v>0</v>
      </c>
      <c r="J116" s="71">
        <f t="shared" si="41"/>
        <v>0</v>
      </c>
      <c r="K116" s="71">
        <f t="shared" si="41"/>
        <v>0</v>
      </c>
      <c r="L116" s="71">
        <f t="shared" si="41"/>
        <v>0</v>
      </c>
    </row>
    <row r="117" spans="2:12" ht="16.5" customHeight="1" x14ac:dyDescent="0.3">
      <c r="B117" s="68">
        <f t="shared" si="38"/>
        <v>0</v>
      </c>
      <c r="C117" s="71">
        <f>'2E.ROE Scan'!Y87</f>
        <v>0</v>
      </c>
      <c r="D117" s="71">
        <f t="shared" si="41"/>
        <v>0</v>
      </c>
      <c r="E117" s="71">
        <f t="shared" si="41"/>
        <v>0</v>
      </c>
      <c r="F117" s="71">
        <f t="shared" si="41"/>
        <v>0</v>
      </c>
      <c r="G117" s="71">
        <f t="shared" si="41"/>
        <v>0</v>
      </c>
      <c r="H117" s="71">
        <f t="shared" si="41"/>
        <v>0</v>
      </c>
      <c r="I117" s="71">
        <f t="shared" si="41"/>
        <v>0</v>
      </c>
      <c r="J117" s="71">
        <f t="shared" si="41"/>
        <v>0</v>
      </c>
      <c r="K117" s="71">
        <f t="shared" si="41"/>
        <v>0</v>
      </c>
      <c r="L117" s="71">
        <f t="shared" si="41"/>
        <v>0</v>
      </c>
    </row>
    <row r="118" spans="2:12" ht="16.5" customHeight="1" x14ac:dyDescent="0.3">
      <c r="B118" s="68">
        <f t="shared" si="38"/>
        <v>0</v>
      </c>
      <c r="C118" s="71">
        <f>'2E.ROE Scan'!Y88</f>
        <v>0</v>
      </c>
      <c r="D118" s="71">
        <f t="shared" si="41"/>
        <v>0</v>
      </c>
      <c r="E118" s="71">
        <f t="shared" si="41"/>
        <v>0</v>
      </c>
      <c r="F118" s="71">
        <f t="shared" si="41"/>
        <v>0</v>
      </c>
      <c r="G118" s="71">
        <f t="shared" si="41"/>
        <v>0</v>
      </c>
      <c r="H118" s="71">
        <f t="shared" si="41"/>
        <v>0</v>
      </c>
      <c r="I118" s="71">
        <f t="shared" si="41"/>
        <v>0</v>
      </c>
      <c r="J118" s="71">
        <f t="shared" si="41"/>
        <v>0</v>
      </c>
      <c r="K118" s="71">
        <f t="shared" si="41"/>
        <v>0</v>
      </c>
      <c r="L118" s="71">
        <f t="shared" si="41"/>
        <v>0</v>
      </c>
    </row>
    <row r="119" spans="2:12" ht="16.5" customHeight="1" x14ac:dyDescent="0.3">
      <c r="B119" s="68">
        <f t="shared" si="38"/>
        <v>0</v>
      </c>
      <c r="C119" s="71">
        <f>'2E.ROE Scan'!Y89</f>
        <v>0</v>
      </c>
      <c r="D119" s="71">
        <f t="shared" si="41"/>
        <v>0</v>
      </c>
      <c r="E119" s="71">
        <f t="shared" si="41"/>
        <v>0</v>
      </c>
      <c r="F119" s="71">
        <f t="shared" si="41"/>
        <v>0</v>
      </c>
      <c r="G119" s="71">
        <f t="shared" si="41"/>
        <v>0</v>
      </c>
      <c r="H119" s="71">
        <f t="shared" si="41"/>
        <v>0</v>
      </c>
      <c r="I119" s="71">
        <f t="shared" si="41"/>
        <v>0</v>
      </c>
      <c r="J119" s="71">
        <f t="shared" si="41"/>
        <v>0</v>
      </c>
      <c r="K119" s="71">
        <f t="shared" si="41"/>
        <v>0</v>
      </c>
      <c r="L119" s="71">
        <f t="shared" si="41"/>
        <v>0</v>
      </c>
    </row>
    <row r="120" spans="2:12" ht="16.5" customHeight="1" x14ac:dyDescent="0.3">
      <c r="B120" s="68">
        <f t="shared" si="38"/>
        <v>0</v>
      </c>
      <c r="C120" s="71">
        <f>'2E.ROE Scan'!Y90</f>
        <v>0</v>
      </c>
      <c r="D120" s="71">
        <f t="shared" si="41"/>
        <v>0</v>
      </c>
      <c r="E120" s="71">
        <f t="shared" si="41"/>
        <v>0</v>
      </c>
      <c r="F120" s="71">
        <f t="shared" si="41"/>
        <v>0</v>
      </c>
      <c r="G120" s="71">
        <f t="shared" si="41"/>
        <v>0</v>
      </c>
      <c r="H120" s="71">
        <f t="shared" si="41"/>
        <v>0</v>
      </c>
      <c r="I120" s="71">
        <f t="shared" si="41"/>
        <v>0</v>
      </c>
      <c r="J120" s="71">
        <f t="shared" si="41"/>
        <v>0</v>
      </c>
      <c r="K120" s="71">
        <f t="shared" si="41"/>
        <v>0</v>
      </c>
      <c r="L120" s="71">
        <f t="shared" si="41"/>
        <v>0</v>
      </c>
    </row>
    <row r="121" spans="2:12" ht="16.5" customHeight="1" x14ac:dyDescent="0.3">
      <c r="B121" s="68">
        <f t="shared" si="38"/>
        <v>0</v>
      </c>
      <c r="C121" s="71">
        <f>'2E.ROE Scan'!Y91</f>
        <v>0</v>
      </c>
      <c r="D121" s="71">
        <f t="shared" si="41"/>
        <v>0</v>
      </c>
      <c r="E121" s="71">
        <f t="shared" si="41"/>
        <v>0</v>
      </c>
      <c r="F121" s="71">
        <f t="shared" si="41"/>
        <v>0</v>
      </c>
      <c r="G121" s="71">
        <f t="shared" si="41"/>
        <v>0</v>
      </c>
      <c r="H121" s="71">
        <f t="shared" si="41"/>
        <v>0</v>
      </c>
      <c r="I121" s="71">
        <f t="shared" si="41"/>
        <v>0</v>
      </c>
      <c r="J121" s="71">
        <f t="shared" si="41"/>
        <v>0</v>
      </c>
      <c r="K121" s="71">
        <f t="shared" si="41"/>
        <v>0</v>
      </c>
      <c r="L121" s="71">
        <f t="shared" si="41"/>
        <v>0</v>
      </c>
    </row>
    <row r="122" spans="2:12" ht="16.5" customHeight="1" x14ac:dyDescent="0.3">
      <c r="B122" s="68">
        <f t="shared" si="38"/>
        <v>0</v>
      </c>
      <c r="C122" s="71">
        <f>'2E.ROE Scan'!Y92</f>
        <v>0</v>
      </c>
      <c r="D122" s="71">
        <f t="shared" si="41"/>
        <v>0</v>
      </c>
      <c r="E122" s="71">
        <f t="shared" si="41"/>
        <v>0</v>
      </c>
      <c r="F122" s="71">
        <f t="shared" si="41"/>
        <v>0</v>
      </c>
      <c r="G122" s="71">
        <f t="shared" si="41"/>
        <v>0</v>
      </c>
      <c r="H122" s="71">
        <f t="shared" si="41"/>
        <v>0</v>
      </c>
      <c r="I122" s="71">
        <f t="shared" si="41"/>
        <v>0</v>
      </c>
      <c r="J122" s="71">
        <f t="shared" si="41"/>
        <v>0</v>
      </c>
      <c r="K122" s="71">
        <f t="shared" si="41"/>
        <v>0</v>
      </c>
      <c r="L122" s="71">
        <f t="shared" si="41"/>
        <v>0</v>
      </c>
    </row>
    <row r="125" spans="2:12" ht="16.5" customHeight="1" x14ac:dyDescent="0.3">
      <c r="B125" s="66" t="s">
        <v>396</v>
      </c>
      <c r="C125" s="55"/>
      <c r="D125" s="55"/>
      <c r="E125" s="55"/>
      <c r="F125" s="55"/>
      <c r="G125" s="55"/>
      <c r="H125" s="55"/>
      <c r="I125" s="55"/>
      <c r="J125" s="55"/>
      <c r="K125" s="55"/>
      <c r="L125" s="55"/>
    </row>
    <row r="126" spans="2:12" ht="33.75" customHeight="1" x14ac:dyDescent="0.35">
      <c r="B126" s="67"/>
      <c r="C126" s="58" t="str">
        <f t="shared" ref="C126:L126" si="42">C2</f>
        <v>ABA</v>
      </c>
      <c r="D126" s="58" t="str">
        <f t="shared" si="42"/>
        <v>B6</v>
      </c>
      <c r="E126" s="58" t="str">
        <f t="shared" si="42"/>
        <v>ABA1</v>
      </c>
      <c r="F126" s="58" t="str">
        <f t="shared" si="42"/>
        <v>B61</v>
      </c>
      <c r="G126" s="58" t="str">
        <f t="shared" si="42"/>
        <v>B7</v>
      </c>
      <c r="H126" s="58" t="str">
        <f t="shared" si="42"/>
        <v/>
      </c>
      <c r="I126" s="58" t="str">
        <f t="shared" si="42"/>
        <v/>
      </c>
      <c r="J126" s="58" t="str">
        <f t="shared" si="42"/>
        <v/>
      </c>
      <c r="K126" s="58" t="str">
        <f t="shared" si="42"/>
        <v/>
      </c>
      <c r="L126" s="58" t="str">
        <f t="shared" si="42"/>
        <v/>
      </c>
    </row>
    <row r="127" spans="2:12" ht="16.5" customHeight="1" x14ac:dyDescent="0.3">
      <c r="B127" s="68" t="str">
        <f t="shared" ref="B127:B161" si="43">B88</f>
        <v>dLevel_T2_1</v>
      </c>
      <c r="C127" s="79">
        <f ca="1">'2E.ROE Scan'!E214</f>
        <v>112.08241420870348</v>
      </c>
      <c r="D127" s="79">
        <f ca="1">'2E.ROE Scan'!F214</f>
        <v>111.11841871743906</v>
      </c>
      <c r="E127" s="79">
        <f ca="1">'2E.ROE Scan'!G214</f>
        <v>112.08241420870348</v>
      </c>
      <c r="F127" s="79">
        <f ca="1">'2E.ROE Scan'!H214</f>
        <v>111.11841871743906</v>
      </c>
      <c r="G127" s="79">
        <f ca="1">'2E.ROE Scan'!I214</f>
        <v>114.22484054207598</v>
      </c>
      <c r="H127" s="79">
        <f ca="1">'2E.ROE Scan'!J214</f>
        <v>0</v>
      </c>
      <c r="I127" s="79">
        <f ca="1">'2E.ROE Scan'!K214</f>
        <v>0</v>
      </c>
      <c r="J127" s="79">
        <f ca="1">'2E.ROE Scan'!L214</f>
        <v>0</v>
      </c>
      <c r="K127" s="79">
        <f ca="1">'2E.ROE Scan'!M214</f>
        <v>0</v>
      </c>
      <c r="L127" s="79">
        <f ca="1">'2E.ROE Scan'!N214</f>
        <v>0</v>
      </c>
    </row>
    <row r="128" spans="2:12" ht="16.5" customHeight="1" x14ac:dyDescent="0.3">
      <c r="B128" s="68" t="str">
        <f t="shared" si="43"/>
        <v>dLevel_T2_2</v>
      </c>
      <c r="C128" s="79">
        <f ca="1">'2E.ROE Scan'!E215</f>
        <v>84.043131133822797</v>
      </c>
      <c r="D128" s="79">
        <f ca="1">'2E.ROE Scan'!F215</f>
        <v>52.862018449220038</v>
      </c>
      <c r="E128" s="79">
        <f ca="1">'2E.ROE Scan'!G215</f>
        <v>84.043131133822797</v>
      </c>
      <c r="F128" s="79">
        <f ca="1">'2E.ROE Scan'!H215</f>
        <v>52.862018449220038</v>
      </c>
      <c r="G128" s="79">
        <f ca="1">'2E.ROE Scan'!I215</f>
        <v>102.89336439442994</v>
      </c>
      <c r="H128" s="79">
        <f ca="1">'2E.ROE Scan'!J215</f>
        <v>0</v>
      </c>
      <c r="I128" s="79">
        <f ca="1">'2E.ROE Scan'!K215</f>
        <v>0</v>
      </c>
      <c r="J128" s="79">
        <f ca="1">'2E.ROE Scan'!L215</f>
        <v>0</v>
      </c>
      <c r="K128" s="79">
        <f ca="1">'2E.ROE Scan'!M215</f>
        <v>0</v>
      </c>
      <c r="L128" s="79">
        <f ca="1">'2E.ROE Scan'!N215</f>
        <v>0</v>
      </c>
    </row>
    <row r="129" spans="2:12" ht="16.5" customHeight="1" x14ac:dyDescent="0.3">
      <c r="B129" s="68" t="str">
        <f t="shared" si="43"/>
        <v>dLevel_T2_3</v>
      </c>
      <c r="C129" s="79">
        <f ca="1">'2E.ROE Scan'!E216</f>
        <v>77.990328864320006</v>
      </c>
      <c r="D129" s="79">
        <f ca="1">'2E.ROE Scan'!F216</f>
        <v>54.173647852923779</v>
      </c>
      <c r="E129" s="79">
        <f ca="1">'2E.ROE Scan'!G216</f>
        <v>77.990328864320006</v>
      </c>
      <c r="F129" s="79">
        <f ca="1">'2E.ROE Scan'!H216</f>
        <v>54.173647852923779</v>
      </c>
      <c r="G129" s="79">
        <f ca="1">'2E.ROE Scan'!I216</f>
        <v>97.051479850086182</v>
      </c>
      <c r="H129" s="79">
        <f ca="1">'2E.ROE Scan'!J216</f>
        <v>0</v>
      </c>
      <c r="I129" s="79">
        <f ca="1">'2E.ROE Scan'!K216</f>
        <v>0</v>
      </c>
      <c r="J129" s="79">
        <f ca="1">'2E.ROE Scan'!L216</f>
        <v>0</v>
      </c>
      <c r="K129" s="79">
        <f ca="1">'2E.ROE Scan'!M216</f>
        <v>0</v>
      </c>
      <c r="L129" s="79">
        <f ca="1">'2E.ROE Scan'!N216</f>
        <v>0</v>
      </c>
    </row>
    <row r="130" spans="2:12" ht="16.5" customHeight="1" x14ac:dyDescent="0.3">
      <c r="B130" s="68" t="str">
        <f t="shared" si="43"/>
        <v>dLevel_T2_4</v>
      </c>
      <c r="C130" s="79">
        <f ca="1">'2E.ROE Scan'!E217</f>
        <v>114.46797969295224</v>
      </c>
      <c r="D130" s="79">
        <f ca="1">'2E.ROE Scan'!F217</f>
        <v>121.69039818767942</v>
      </c>
      <c r="E130" s="79">
        <f ca="1">'2E.ROE Scan'!G217</f>
        <v>114.46797969295224</v>
      </c>
      <c r="F130" s="79">
        <f ca="1">'2E.ROE Scan'!H217</f>
        <v>121.69039818767942</v>
      </c>
      <c r="G130" s="79">
        <f ca="1">'2E.ROE Scan'!I217</f>
        <v>117.35230850925585</v>
      </c>
      <c r="H130" s="79">
        <f ca="1">'2E.ROE Scan'!J217</f>
        <v>0</v>
      </c>
      <c r="I130" s="79">
        <f ca="1">'2E.ROE Scan'!K217</f>
        <v>0</v>
      </c>
      <c r="J130" s="79">
        <f ca="1">'2E.ROE Scan'!L217</f>
        <v>0</v>
      </c>
      <c r="K130" s="79">
        <f ca="1">'2E.ROE Scan'!M217</f>
        <v>0</v>
      </c>
      <c r="L130" s="79">
        <f ca="1">'2E.ROE Scan'!N217</f>
        <v>0</v>
      </c>
    </row>
    <row r="131" spans="2:12" ht="16.5" customHeight="1" x14ac:dyDescent="0.3">
      <c r="B131" s="68" t="str">
        <f t="shared" si="43"/>
        <v>dLevel_T2_5</v>
      </c>
      <c r="C131" s="79">
        <f ca="1">'2E.ROE Scan'!E218</f>
        <v>78.050971504161296</v>
      </c>
      <c r="D131" s="79">
        <f ca="1">'2E.ROE Scan'!F218</f>
        <v>126.18890812358103</v>
      </c>
      <c r="E131" s="79">
        <f ca="1">'2E.ROE Scan'!G218</f>
        <v>78.050971504161296</v>
      </c>
      <c r="F131" s="79">
        <f ca="1">'2E.ROE Scan'!H218</f>
        <v>126.18890812358103</v>
      </c>
      <c r="G131" s="79">
        <f ca="1">'2E.ROE Scan'!I218</f>
        <v>99.243526411827048</v>
      </c>
      <c r="H131" s="79">
        <f ca="1">'2E.ROE Scan'!J218</f>
        <v>0</v>
      </c>
      <c r="I131" s="79">
        <f ca="1">'2E.ROE Scan'!K218</f>
        <v>0</v>
      </c>
      <c r="J131" s="79">
        <f ca="1">'2E.ROE Scan'!L218</f>
        <v>0</v>
      </c>
      <c r="K131" s="79">
        <f ca="1">'2E.ROE Scan'!M218</f>
        <v>0</v>
      </c>
      <c r="L131" s="79">
        <f ca="1">'2E.ROE Scan'!N218</f>
        <v>0</v>
      </c>
    </row>
    <row r="132" spans="2:12" ht="16.5" customHeight="1" x14ac:dyDescent="0.3">
      <c r="B132" s="68" t="str">
        <f t="shared" si="43"/>
        <v>dLevel_T2_6</v>
      </c>
      <c r="C132" s="79">
        <f ca="1">'2E.ROE Scan'!E219</f>
        <v>108.59959341668817</v>
      </c>
      <c r="D132" s="79">
        <f ca="1">'2E.ROE Scan'!F219</f>
        <v>107.69082721885479</v>
      </c>
      <c r="E132" s="79">
        <f ca="1">'2E.ROE Scan'!G219</f>
        <v>108.59959341668817</v>
      </c>
      <c r="F132" s="79">
        <f ca="1">'2E.ROE Scan'!H219</f>
        <v>107.69082721885479</v>
      </c>
      <c r="G132" s="79">
        <f ca="1">'2E.ROE Scan'!I219</f>
        <v>93.207017998171011</v>
      </c>
      <c r="H132" s="79">
        <f ca="1">'2E.ROE Scan'!J219</f>
        <v>0</v>
      </c>
      <c r="I132" s="79">
        <f ca="1">'2E.ROE Scan'!K219</f>
        <v>0</v>
      </c>
      <c r="J132" s="79">
        <f ca="1">'2E.ROE Scan'!L219</f>
        <v>0</v>
      </c>
      <c r="K132" s="79">
        <f ca="1">'2E.ROE Scan'!M219</f>
        <v>0</v>
      </c>
      <c r="L132" s="79">
        <f ca="1">'2E.ROE Scan'!N219</f>
        <v>0</v>
      </c>
    </row>
    <row r="133" spans="2:12" ht="16.5" customHeight="1" x14ac:dyDescent="0.3">
      <c r="B133" s="68" t="str">
        <f t="shared" si="43"/>
        <v>dLevel_T2_7</v>
      </c>
      <c r="C133" s="79">
        <f ca="1">'2E.ROE Scan'!E220</f>
        <v>132.51059738066084</v>
      </c>
      <c r="D133" s="79">
        <f ca="1">'2E.ROE Scan'!F220</f>
        <v>150.0409012885967</v>
      </c>
      <c r="E133" s="79">
        <f ca="1">'2E.ROE Scan'!G220</f>
        <v>132.51059738066084</v>
      </c>
      <c r="F133" s="79">
        <f ca="1">'2E.ROE Scan'!H220</f>
        <v>150.0409012885967</v>
      </c>
      <c r="G133" s="79">
        <f ca="1">'2E.ROE Scan'!I220</f>
        <v>118.83974865878616</v>
      </c>
      <c r="H133" s="79">
        <f ca="1">'2E.ROE Scan'!J220</f>
        <v>0</v>
      </c>
      <c r="I133" s="79">
        <f ca="1">'2E.ROE Scan'!K220</f>
        <v>0</v>
      </c>
      <c r="J133" s="79">
        <f ca="1">'2E.ROE Scan'!L220</f>
        <v>0</v>
      </c>
      <c r="K133" s="79">
        <f ca="1">'2E.ROE Scan'!M220</f>
        <v>0</v>
      </c>
      <c r="L133" s="79">
        <f ca="1">'2E.ROE Scan'!N220</f>
        <v>0</v>
      </c>
    </row>
    <row r="134" spans="2:12" ht="16.5" customHeight="1" x14ac:dyDescent="0.3">
      <c r="B134" s="68" t="str">
        <f t="shared" si="43"/>
        <v>dLevel_T2_8</v>
      </c>
      <c r="C134" s="79">
        <f ca="1">'2E.ROE Scan'!E221</f>
        <v>90.959678640691848</v>
      </c>
      <c r="D134" s="79">
        <f ca="1">'2E.ROE Scan'!F221</f>
        <v>127.76090304293157</v>
      </c>
      <c r="E134" s="79">
        <f ca="1">'2E.ROE Scan'!G221</f>
        <v>90.959678640691848</v>
      </c>
      <c r="F134" s="79">
        <f ca="1">'2E.ROE Scan'!H221</f>
        <v>127.76090304293157</v>
      </c>
      <c r="G134" s="79">
        <f ca="1">'2E.ROE Scan'!I221</f>
        <v>120.9408716687733</v>
      </c>
      <c r="H134" s="79">
        <f ca="1">'2E.ROE Scan'!J221</f>
        <v>0</v>
      </c>
      <c r="I134" s="79">
        <f ca="1">'2E.ROE Scan'!K221</f>
        <v>0</v>
      </c>
      <c r="J134" s="79">
        <f ca="1">'2E.ROE Scan'!L221</f>
        <v>0</v>
      </c>
      <c r="K134" s="79">
        <f ca="1">'2E.ROE Scan'!M221</f>
        <v>0</v>
      </c>
      <c r="L134" s="79">
        <f ca="1">'2E.ROE Scan'!N221</f>
        <v>0</v>
      </c>
    </row>
    <row r="135" spans="2:12" ht="16.5" customHeight="1" x14ac:dyDescent="0.3">
      <c r="B135" s="68" t="str">
        <f t="shared" si="43"/>
        <v>dLevel_T2_9</v>
      </c>
      <c r="C135" s="79">
        <f ca="1">'2E.ROE Scan'!E222</f>
        <v>71.532204557069974</v>
      </c>
      <c r="D135" s="79">
        <f ca="1">'2E.ROE Scan'!F222</f>
        <v>107.53376964795991</v>
      </c>
      <c r="E135" s="79">
        <f ca="1">'2E.ROE Scan'!G222</f>
        <v>71.532204557069974</v>
      </c>
      <c r="F135" s="79">
        <f ca="1">'2E.ROE Scan'!H222</f>
        <v>107.53376964795991</v>
      </c>
      <c r="G135" s="79">
        <f ca="1">'2E.ROE Scan'!I222</f>
        <v>97.997117801220696</v>
      </c>
      <c r="H135" s="79">
        <f ca="1">'2E.ROE Scan'!J222</f>
        <v>0</v>
      </c>
      <c r="I135" s="79">
        <f ca="1">'2E.ROE Scan'!K222</f>
        <v>0</v>
      </c>
      <c r="J135" s="79">
        <f ca="1">'2E.ROE Scan'!L222</f>
        <v>0</v>
      </c>
      <c r="K135" s="79">
        <f ca="1">'2E.ROE Scan'!M222</f>
        <v>0</v>
      </c>
      <c r="L135" s="79">
        <f ca="1">'2E.ROE Scan'!N222</f>
        <v>0</v>
      </c>
    </row>
    <row r="136" spans="2:12" ht="16.5" customHeight="1" x14ac:dyDescent="0.3">
      <c r="B136" s="68" t="str">
        <f t="shared" si="43"/>
        <v>dLevel_T2_10</v>
      </c>
      <c r="C136" s="79">
        <f ca="1">'2E.ROE Scan'!E223</f>
        <v>92.153765706684268</v>
      </c>
      <c r="D136" s="79">
        <f ca="1">'2E.ROE Scan'!F223</f>
        <v>89.868386293635609</v>
      </c>
      <c r="E136" s="79">
        <f ca="1">'2E.ROE Scan'!G223</f>
        <v>92.153765706684268</v>
      </c>
      <c r="F136" s="79">
        <f ca="1">'2E.ROE Scan'!H223</f>
        <v>89.868386293635609</v>
      </c>
      <c r="G136" s="79">
        <f ca="1">'2E.ROE Scan'!I223</f>
        <v>74.460671972764658</v>
      </c>
      <c r="H136" s="79">
        <f ca="1">'2E.ROE Scan'!J223</f>
        <v>0</v>
      </c>
      <c r="I136" s="79">
        <f ca="1">'2E.ROE Scan'!K223</f>
        <v>0</v>
      </c>
      <c r="J136" s="79">
        <f ca="1">'2E.ROE Scan'!L223</f>
        <v>0</v>
      </c>
      <c r="K136" s="79">
        <f ca="1">'2E.ROE Scan'!M223</f>
        <v>0</v>
      </c>
      <c r="L136" s="79">
        <f ca="1">'2E.ROE Scan'!N223</f>
        <v>0</v>
      </c>
    </row>
    <row r="137" spans="2:12" ht="16.5" customHeight="1" x14ac:dyDescent="0.3">
      <c r="B137" s="68" t="str">
        <f t="shared" si="43"/>
        <v>dLevel_T2_11</v>
      </c>
      <c r="C137" s="79">
        <f ca="1">'2E.ROE Scan'!E224</f>
        <v>120.49240237929098</v>
      </c>
      <c r="D137" s="79">
        <f ca="1">'2E.ROE Scan'!F224</f>
        <v>123.52969223133259</v>
      </c>
      <c r="E137" s="79">
        <f ca="1">'2E.ROE Scan'!G224</f>
        <v>120.49240237929098</v>
      </c>
      <c r="F137" s="79">
        <f ca="1">'2E.ROE Scan'!H224</f>
        <v>123.52969223133259</v>
      </c>
      <c r="G137" s="79">
        <f ca="1">'2E.ROE Scan'!I224</f>
        <v>94.644824794088336</v>
      </c>
      <c r="H137" s="79">
        <f ca="1">'2E.ROE Scan'!J224</f>
        <v>0</v>
      </c>
      <c r="I137" s="79">
        <f ca="1">'2E.ROE Scan'!K224</f>
        <v>0</v>
      </c>
      <c r="J137" s="79">
        <f ca="1">'2E.ROE Scan'!L224</f>
        <v>0</v>
      </c>
      <c r="K137" s="79">
        <f ca="1">'2E.ROE Scan'!M224</f>
        <v>0</v>
      </c>
      <c r="L137" s="79">
        <f ca="1">'2E.ROE Scan'!N224</f>
        <v>0</v>
      </c>
    </row>
    <row r="138" spans="2:12" ht="16.5" customHeight="1" x14ac:dyDescent="0.3">
      <c r="B138" s="68" t="str">
        <f t="shared" si="43"/>
        <v>dLevel_T2_12</v>
      </c>
      <c r="C138" s="79">
        <f ca="1">'2E.ROE Scan'!E225</f>
        <v>132.32753531172344</v>
      </c>
      <c r="D138" s="79">
        <f ca="1">'2E.ROE Scan'!F225</f>
        <v>82.637973124719693</v>
      </c>
      <c r="E138" s="79">
        <f ca="1">'2E.ROE Scan'!G225</f>
        <v>132.32753531172344</v>
      </c>
      <c r="F138" s="79">
        <f ca="1">'2E.ROE Scan'!H225</f>
        <v>82.637973124719693</v>
      </c>
      <c r="G138" s="79">
        <f ca="1">'2E.ROE Scan'!I225</f>
        <v>63.826658551086048</v>
      </c>
      <c r="H138" s="79">
        <f ca="1">'2E.ROE Scan'!J225</f>
        <v>0</v>
      </c>
      <c r="I138" s="79">
        <f ca="1">'2E.ROE Scan'!K225</f>
        <v>0</v>
      </c>
      <c r="J138" s="79">
        <f ca="1">'2E.ROE Scan'!L225</f>
        <v>0</v>
      </c>
      <c r="K138" s="79">
        <f ca="1">'2E.ROE Scan'!M225</f>
        <v>0</v>
      </c>
      <c r="L138" s="79">
        <f ca="1">'2E.ROE Scan'!N225</f>
        <v>0</v>
      </c>
    </row>
    <row r="139" spans="2:12" ht="16.5" customHeight="1" x14ac:dyDescent="0.3">
      <c r="B139" s="68" t="str">
        <f t="shared" si="43"/>
        <v>dLevel_T2_13</v>
      </c>
      <c r="C139" s="79">
        <f ca="1">'2E.ROE Scan'!E226</f>
        <v>95.181607572240196</v>
      </c>
      <c r="D139" s="79">
        <f ca="1">'2E.ROE Scan'!F226</f>
        <v>13.394804329297733</v>
      </c>
      <c r="E139" s="79">
        <f ca="1">'2E.ROE Scan'!G226</f>
        <v>95.181607572240196</v>
      </c>
      <c r="F139" s="79">
        <f ca="1">'2E.ROE Scan'!H226</f>
        <v>13.394804329297733</v>
      </c>
      <c r="G139" s="79">
        <f ca="1">'2E.ROE Scan'!I226</f>
        <v>72.840181169096581</v>
      </c>
      <c r="H139" s="79">
        <f ca="1">'2E.ROE Scan'!J226</f>
        <v>0</v>
      </c>
      <c r="I139" s="79">
        <f ca="1">'2E.ROE Scan'!K226</f>
        <v>0</v>
      </c>
      <c r="J139" s="79">
        <f ca="1">'2E.ROE Scan'!L226</f>
        <v>0</v>
      </c>
      <c r="K139" s="79">
        <f ca="1">'2E.ROE Scan'!M226</f>
        <v>0</v>
      </c>
      <c r="L139" s="79">
        <f ca="1">'2E.ROE Scan'!N226</f>
        <v>0</v>
      </c>
    </row>
    <row r="140" spans="2:12" ht="16.5" customHeight="1" x14ac:dyDescent="0.3">
      <c r="B140" s="68" t="str">
        <f t="shared" si="43"/>
        <v>dLevel_T2_14</v>
      </c>
      <c r="C140" s="79">
        <f ca="1">'2E.ROE Scan'!E227</f>
        <v>93.957356866076509</v>
      </c>
      <c r="D140" s="79">
        <f ca="1">'2E.ROE Scan'!F227</f>
        <v>102.72553392390292</v>
      </c>
      <c r="E140" s="79">
        <f ca="1">'2E.ROE Scan'!G227</f>
        <v>93.957356866076509</v>
      </c>
      <c r="F140" s="79">
        <f ca="1">'2E.ROE Scan'!H227</f>
        <v>102.72553392390292</v>
      </c>
      <c r="G140" s="79">
        <f ca="1">'2E.ROE Scan'!I227</f>
        <v>92.62700852509505</v>
      </c>
      <c r="H140" s="79">
        <f ca="1">'2E.ROE Scan'!J227</f>
        <v>0</v>
      </c>
      <c r="I140" s="79">
        <f ca="1">'2E.ROE Scan'!K227</f>
        <v>0</v>
      </c>
      <c r="J140" s="79">
        <f ca="1">'2E.ROE Scan'!L227</f>
        <v>0</v>
      </c>
      <c r="K140" s="79">
        <f ca="1">'2E.ROE Scan'!M227</f>
        <v>0</v>
      </c>
      <c r="L140" s="79">
        <f ca="1">'2E.ROE Scan'!N227</f>
        <v>0</v>
      </c>
    </row>
    <row r="141" spans="2:12" ht="16.5" customHeight="1" x14ac:dyDescent="0.3">
      <c r="B141" s="68" t="str">
        <f t="shared" si="43"/>
        <v>dLevel_T2_15</v>
      </c>
      <c r="C141" s="79">
        <f ca="1">'2E.ROE Scan'!E228</f>
        <v>92.107266947278248</v>
      </c>
      <c r="D141" s="79">
        <f ca="1">'2E.ROE Scan'!F228</f>
        <v>13.394804329297735</v>
      </c>
      <c r="E141" s="79">
        <f ca="1">'2E.ROE Scan'!G228</f>
        <v>92.107266947278248</v>
      </c>
      <c r="F141" s="79">
        <f ca="1">'2E.ROE Scan'!H228</f>
        <v>13.394804329297735</v>
      </c>
      <c r="G141" s="79">
        <f ca="1">'2E.ROE Scan'!I228</f>
        <v>89.325419399110743</v>
      </c>
      <c r="H141" s="79">
        <f ca="1">'2E.ROE Scan'!J228</f>
        <v>0</v>
      </c>
      <c r="I141" s="79">
        <f ca="1">'2E.ROE Scan'!K228</f>
        <v>0</v>
      </c>
      <c r="J141" s="79">
        <f ca="1">'2E.ROE Scan'!L228</f>
        <v>0</v>
      </c>
      <c r="K141" s="79">
        <f ca="1">'2E.ROE Scan'!M228</f>
        <v>0</v>
      </c>
      <c r="L141" s="79">
        <f ca="1">'2E.ROE Scan'!N228</f>
        <v>0</v>
      </c>
    </row>
    <row r="142" spans="2:12" ht="16.5" customHeight="1" x14ac:dyDescent="0.3">
      <c r="B142" s="68" t="str">
        <f t="shared" si="43"/>
        <v>dLevel_T2_16</v>
      </c>
      <c r="C142" s="79">
        <f ca="1">'2E.ROE Scan'!E229</f>
        <v>84.037517156680693</v>
      </c>
      <c r="D142" s="79">
        <f ca="1">'2E.ROE Scan'!F229</f>
        <v>75.132859040108173</v>
      </c>
      <c r="E142" s="79">
        <f ca="1">'2E.ROE Scan'!G229</f>
        <v>84.037517156680693</v>
      </c>
      <c r="F142" s="79">
        <f ca="1">'2E.ROE Scan'!H229</f>
        <v>75.132859040108173</v>
      </c>
      <c r="G142" s="79">
        <f ca="1">'2E.ROE Scan'!I229</f>
        <v>92.484634175129756</v>
      </c>
      <c r="H142" s="79">
        <f ca="1">'2E.ROE Scan'!J229</f>
        <v>0</v>
      </c>
      <c r="I142" s="79">
        <f ca="1">'2E.ROE Scan'!K229</f>
        <v>0</v>
      </c>
      <c r="J142" s="79">
        <f ca="1">'2E.ROE Scan'!L229</f>
        <v>0</v>
      </c>
      <c r="K142" s="79">
        <f ca="1">'2E.ROE Scan'!M229</f>
        <v>0</v>
      </c>
      <c r="L142" s="79">
        <f ca="1">'2E.ROE Scan'!N229</f>
        <v>0</v>
      </c>
    </row>
    <row r="143" spans="2:12" ht="16.5" customHeight="1" x14ac:dyDescent="0.3">
      <c r="B143" s="68" t="str">
        <f t="shared" si="43"/>
        <v>dLevel_T2_17</v>
      </c>
      <c r="C143" s="79">
        <f ca="1">'2E.ROE Scan'!E230</f>
        <v>50.131105332395478</v>
      </c>
      <c r="D143" s="79">
        <f ca="1">'2E.ROE Scan'!F230</f>
        <v>71.561331058295778</v>
      </c>
      <c r="E143" s="79">
        <f ca="1">'2E.ROE Scan'!G230</f>
        <v>50.131105332395478</v>
      </c>
      <c r="F143" s="79">
        <f ca="1">'2E.ROE Scan'!H230</f>
        <v>71.561331058295778</v>
      </c>
      <c r="G143" s="79">
        <f ca="1">'2E.ROE Scan'!I230</f>
        <v>98.089133837524429</v>
      </c>
      <c r="H143" s="79">
        <f ca="1">'2E.ROE Scan'!J230</f>
        <v>0</v>
      </c>
      <c r="I143" s="79">
        <f ca="1">'2E.ROE Scan'!K230</f>
        <v>0</v>
      </c>
      <c r="J143" s="79">
        <f ca="1">'2E.ROE Scan'!L230</f>
        <v>0</v>
      </c>
      <c r="K143" s="79">
        <f ca="1">'2E.ROE Scan'!M230</f>
        <v>0</v>
      </c>
      <c r="L143" s="79">
        <f ca="1">'2E.ROE Scan'!N230</f>
        <v>0</v>
      </c>
    </row>
    <row r="144" spans="2:12" ht="16.5" customHeight="1" x14ac:dyDescent="0.3">
      <c r="B144" s="68" t="str">
        <f t="shared" si="43"/>
        <v>dLevel_T2_18</v>
      </c>
      <c r="C144" s="79">
        <f ca="1">'2E.ROE Scan'!E231</f>
        <v>56.094504955504242</v>
      </c>
      <c r="D144" s="79">
        <f ca="1">'2E.ROE Scan'!F231</f>
        <v>125.69657268544994</v>
      </c>
      <c r="E144" s="79">
        <f ca="1">'2E.ROE Scan'!G231</f>
        <v>56.094504955504242</v>
      </c>
      <c r="F144" s="79">
        <f ca="1">'2E.ROE Scan'!H231</f>
        <v>125.69657268544994</v>
      </c>
      <c r="G144" s="79">
        <f ca="1">'2E.ROE Scan'!I231</f>
        <v>118.35373583347393</v>
      </c>
      <c r="H144" s="79">
        <f ca="1">'2E.ROE Scan'!J231</f>
        <v>0</v>
      </c>
      <c r="I144" s="79">
        <f ca="1">'2E.ROE Scan'!K231</f>
        <v>0</v>
      </c>
      <c r="J144" s="79">
        <f ca="1">'2E.ROE Scan'!L231</f>
        <v>0</v>
      </c>
      <c r="K144" s="79">
        <f ca="1">'2E.ROE Scan'!M231</f>
        <v>0</v>
      </c>
      <c r="L144" s="79">
        <f ca="1">'2E.ROE Scan'!N231</f>
        <v>0</v>
      </c>
    </row>
    <row r="145" spans="2:12" ht="16.5" customHeight="1" x14ac:dyDescent="0.3">
      <c r="B145" s="68" t="str">
        <f t="shared" si="43"/>
        <v>dLevel_T2_19</v>
      </c>
      <c r="C145" s="79">
        <f ca="1">'2E.ROE Scan'!E232</f>
        <v>70.712910309110399</v>
      </c>
      <c r="D145" s="79">
        <f ca="1">'2E.ROE Scan'!F232</f>
        <v>58.774409628984777</v>
      </c>
      <c r="E145" s="79">
        <f ca="1">'2E.ROE Scan'!G232</f>
        <v>70.712910309110399</v>
      </c>
      <c r="F145" s="79">
        <f ca="1">'2E.ROE Scan'!H232</f>
        <v>58.774409628984777</v>
      </c>
      <c r="G145" s="79">
        <f ca="1">'2E.ROE Scan'!I232</f>
        <v>72.311303582848623</v>
      </c>
      <c r="H145" s="79">
        <f ca="1">'2E.ROE Scan'!J232</f>
        <v>0</v>
      </c>
      <c r="I145" s="79">
        <f ca="1">'2E.ROE Scan'!K232</f>
        <v>0</v>
      </c>
      <c r="J145" s="79">
        <f ca="1">'2E.ROE Scan'!L232</f>
        <v>0</v>
      </c>
      <c r="K145" s="79">
        <f ca="1">'2E.ROE Scan'!M232</f>
        <v>0</v>
      </c>
      <c r="L145" s="79">
        <f ca="1">'2E.ROE Scan'!N232</f>
        <v>0</v>
      </c>
    </row>
    <row r="146" spans="2:12" ht="16.5" customHeight="1" x14ac:dyDescent="0.3">
      <c r="B146" s="68" t="str">
        <f t="shared" si="43"/>
        <v>dLevel_T2_21</v>
      </c>
      <c r="C146" s="79">
        <f ca="1">'2E.ROE Scan'!E233</f>
        <v>77.698603818900907</v>
      </c>
      <c r="D146" s="79">
        <f ca="1">'2E.ROE Scan'!F233</f>
        <v>93.596836878806499</v>
      </c>
      <c r="E146" s="79">
        <f ca="1">'2E.ROE Scan'!G233</f>
        <v>77.698603818900907</v>
      </c>
      <c r="F146" s="79">
        <f ca="1">'2E.ROE Scan'!H233</f>
        <v>93.596836878806499</v>
      </c>
      <c r="G146" s="79">
        <f ca="1">'2E.ROE Scan'!I233</f>
        <v>93.589732128568372</v>
      </c>
      <c r="H146" s="79">
        <f ca="1">'2E.ROE Scan'!J233</f>
        <v>0</v>
      </c>
      <c r="I146" s="79">
        <f ca="1">'2E.ROE Scan'!K233</f>
        <v>0</v>
      </c>
      <c r="J146" s="79">
        <f ca="1">'2E.ROE Scan'!L233</f>
        <v>0</v>
      </c>
      <c r="K146" s="79">
        <f ca="1">'2E.ROE Scan'!M233</f>
        <v>0</v>
      </c>
      <c r="L146" s="79">
        <f ca="1">'2E.ROE Scan'!N233</f>
        <v>0</v>
      </c>
    </row>
    <row r="147" spans="2:12" ht="16.5" customHeight="1" x14ac:dyDescent="0.3">
      <c r="B147" s="68" t="str">
        <f t="shared" si="43"/>
        <v>dLevel_T2_22</v>
      </c>
      <c r="C147" s="79">
        <f ca="1">'2E.ROE Scan'!E234</f>
        <v>235.54365307317687</v>
      </c>
      <c r="D147" s="79">
        <f ca="1">'2E.ROE Scan'!F234</f>
        <v>212.39439792390641</v>
      </c>
      <c r="E147" s="79">
        <f ca="1">'2E.ROE Scan'!G234</f>
        <v>235.54365307317687</v>
      </c>
      <c r="F147" s="79">
        <f ca="1">'2E.ROE Scan'!H234</f>
        <v>212.39439792390641</v>
      </c>
      <c r="G147" s="79">
        <f ca="1">'2E.ROE Scan'!I234</f>
        <v>164.85006930614983</v>
      </c>
      <c r="H147" s="79">
        <f ca="1">'2E.ROE Scan'!J234</f>
        <v>0</v>
      </c>
      <c r="I147" s="79">
        <f ca="1">'2E.ROE Scan'!K234</f>
        <v>0</v>
      </c>
      <c r="J147" s="79">
        <f ca="1">'2E.ROE Scan'!L234</f>
        <v>0</v>
      </c>
      <c r="K147" s="79">
        <f ca="1">'2E.ROE Scan'!M234</f>
        <v>0</v>
      </c>
      <c r="L147" s="79">
        <f ca="1">'2E.ROE Scan'!N234</f>
        <v>0</v>
      </c>
    </row>
    <row r="148" spans="2:12" ht="16.5" customHeight="1" x14ac:dyDescent="0.3">
      <c r="B148" s="68" t="str">
        <f t="shared" si="43"/>
        <v>dLevel_T2_23</v>
      </c>
      <c r="C148" s="79">
        <f ca="1">'2E.ROE Scan'!E235</f>
        <v>72.895157132789038</v>
      </c>
      <c r="D148" s="79">
        <f ca="1">'2E.ROE Scan'!F235</f>
        <v>23.200481655787232</v>
      </c>
      <c r="E148" s="79">
        <f ca="1">'2E.ROE Scan'!G235</f>
        <v>72.895157132789038</v>
      </c>
      <c r="F148" s="79">
        <f ca="1">'2E.ROE Scan'!H235</f>
        <v>23.200481655787232</v>
      </c>
      <c r="G148" s="79">
        <f ca="1">'2E.ROE Scan'!I235</f>
        <v>82.401232541066463</v>
      </c>
      <c r="H148" s="79">
        <f ca="1">'2E.ROE Scan'!J235</f>
        <v>0</v>
      </c>
      <c r="I148" s="79">
        <f ca="1">'2E.ROE Scan'!K235</f>
        <v>0</v>
      </c>
      <c r="J148" s="79">
        <f ca="1">'2E.ROE Scan'!L235</f>
        <v>0</v>
      </c>
      <c r="K148" s="79">
        <f ca="1">'2E.ROE Scan'!M235</f>
        <v>0</v>
      </c>
      <c r="L148" s="79">
        <f ca="1">'2E.ROE Scan'!N235</f>
        <v>0</v>
      </c>
    </row>
    <row r="149" spans="2:12" ht="16.5" customHeight="1" x14ac:dyDescent="0.3">
      <c r="B149" s="68" t="str">
        <f t="shared" si="43"/>
        <v>dLevel_T2_24</v>
      </c>
      <c r="C149" s="79">
        <f ca="1">'2E.ROE Scan'!E236</f>
        <v>78.70609506904988</v>
      </c>
      <c r="D149" s="79">
        <f ca="1">'2E.ROE Scan'!F236</f>
        <v>114.39047883514857</v>
      </c>
      <c r="E149" s="79">
        <f ca="1">'2E.ROE Scan'!G236</f>
        <v>78.70609506904988</v>
      </c>
      <c r="F149" s="79">
        <f ca="1">'2E.ROE Scan'!H236</f>
        <v>114.39047883514857</v>
      </c>
      <c r="G149" s="79">
        <f ca="1">'2E.ROE Scan'!I236</f>
        <v>124.90245710020098</v>
      </c>
      <c r="H149" s="79">
        <f ca="1">'2E.ROE Scan'!J236</f>
        <v>0</v>
      </c>
      <c r="I149" s="79">
        <f ca="1">'2E.ROE Scan'!K236</f>
        <v>0</v>
      </c>
      <c r="J149" s="79">
        <f ca="1">'2E.ROE Scan'!L236</f>
        <v>0</v>
      </c>
      <c r="K149" s="79">
        <f ca="1">'2E.ROE Scan'!M236</f>
        <v>0</v>
      </c>
      <c r="L149" s="79">
        <f ca="1">'2E.ROE Scan'!N236</f>
        <v>0</v>
      </c>
    </row>
    <row r="150" spans="2:12" ht="16.5" customHeight="1" x14ac:dyDescent="0.3">
      <c r="B150" s="68" t="str">
        <f t="shared" si="43"/>
        <v>dLevel_T2_25</v>
      </c>
      <c r="C150" s="79">
        <f ca="1">'2E.ROE Scan'!E237</f>
        <v>75.922041335207467</v>
      </c>
      <c r="D150" s="79">
        <f ca="1">'2E.ROE Scan'!F237</f>
        <v>42.293004372489001</v>
      </c>
      <c r="E150" s="79">
        <f ca="1">'2E.ROE Scan'!G237</f>
        <v>75.922041335207467</v>
      </c>
      <c r="F150" s="79">
        <f ca="1">'2E.ROE Scan'!H237</f>
        <v>42.293004372489001</v>
      </c>
      <c r="G150" s="79">
        <f ca="1">'2E.ROE Scan'!I237</f>
        <v>85.149509969415476</v>
      </c>
      <c r="H150" s="79">
        <f ca="1">'2E.ROE Scan'!J237</f>
        <v>0</v>
      </c>
      <c r="I150" s="79">
        <f ca="1">'2E.ROE Scan'!K237</f>
        <v>0</v>
      </c>
      <c r="J150" s="79">
        <f ca="1">'2E.ROE Scan'!L237</f>
        <v>0</v>
      </c>
      <c r="K150" s="79">
        <f ca="1">'2E.ROE Scan'!M237</f>
        <v>0</v>
      </c>
      <c r="L150" s="79">
        <f ca="1">'2E.ROE Scan'!N237</f>
        <v>0</v>
      </c>
    </row>
    <row r="151" spans="2:12" ht="16.5" customHeight="1" x14ac:dyDescent="0.3">
      <c r="B151" s="68" t="str">
        <f t="shared" si="43"/>
        <v>dLevel_T2_26</v>
      </c>
      <c r="C151" s="79">
        <f ca="1">'2E.ROE Scan'!E238</f>
        <v>99.915711902758957</v>
      </c>
      <c r="D151" s="79">
        <f ca="1">'2E.ROE Scan'!F238</f>
        <v>45.975906762115621</v>
      </c>
      <c r="E151" s="79">
        <f ca="1">'2E.ROE Scan'!G238</f>
        <v>99.915711902758957</v>
      </c>
      <c r="F151" s="79">
        <f ca="1">'2E.ROE Scan'!H238</f>
        <v>45.975906762115621</v>
      </c>
      <c r="G151" s="79">
        <f ca="1">'2E.ROE Scan'!I238</f>
        <v>70.400787819502597</v>
      </c>
      <c r="H151" s="79">
        <f ca="1">'2E.ROE Scan'!J238</f>
        <v>0</v>
      </c>
      <c r="I151" s="79">
        <f ca="1">'2E.ROE Scan'!K238</f>
        <v>0</v>
      </c>
      <c r="J151" s="79">
        <f ca="1">'2E.ROE Scan'!L238</f>
        <v>0</v>
      </c>
      <c r="K151" s="79">
        <f ca="1">'2E.ROE Scan'!M238</f>
        <v>0</v>
      </c>
      <c r="L151" s="79">
        <f ca="1">'2E.ROE Scan'!N238</f>
        <v>0</v>
      </c>
    </row>
    <row r="152" spans="2:12" ht="16.5" customHeight="1" x14ac:dyDescent="0.3">
      <c r="B152" s="68" t="str">
        <f t="shared" si="43"/>
        <v>dLevel_T2_27</v>
      </c>
      <c r="C152" s="79">
        <f ca="1">'2E.ROE Scan'!E239</f>
        <v>68.603416632865716</v>
      </c>
      <c r="D152" s="79">
        <f ca="1">'2E.ROE Scan'!F239</f>
        <v>101.91020553890536</v>
      </c>
      <c r="E152" s="79">
        <f ca="1">'2E.ROE Scan'!G239</f>
        <v>68.603416632865716</v>
      </c>
      <c r="F152" s="79">
        <f ca="1">'2E.ROE Scan'!H239</f>
        <v>101.91020553890536</v>
      </c>
      <c r="G152" s="79">
        <f ca="1">'2E.ROE Scan'!I239</f>
        <v>93.088275050329912</v>
      </c>
      <c r="H152" s="79">
        <f ca="1">'2E.ROE Scan'!J239</f>
        <v>0</v>
      </c>
      <c r="I152" s="79">
        <f ca="1">'2E.ROE Scan'!K239</f>
        <v>0</v>
      </c>
      <c r="J152" s="79">
        <f ca="1">'2E.ROE Scan'!L239</f>
        <v>0</v>
      </c>
      <c r="K152" s="79">
        <f ca="1">'2E.ROE Scan'!M239</f>
        <v>0</v>
      </c>
      <c r="L152" s="79">
        <f ca="1">'2E.ROE Scan'!N239</f>
        <v>0</v>
      </c>
    </row>
    <row r="153" spans="2:12" ht="16.5" customHeight="1" x14ac:dyDescent="0.3">
      <c r="B153" s="68" t="str">
        <f t="shared" si="43"/>
        <v>dLevel_T2_28</v>
      </c>
      <c r="C153" s="79">
        <f ca="1">'2E.ROE Scan'!E240</f>
        <v>65.257737316421441</v>
      </c>
      <c r="D153" s="79">
        <f ca="1">'2E.ROE Scan'!F240</f>
        <v>79.471141241155465</v>
      </c>
      <c r="E153" s="79">
        <f ca="1">'2E.ROE Scan'!G240</f>
        <v>65.257737316421441</v>
      </c>
      <c r="F153" s="79">
        <f ca="1">'2E.ROE Scan'!H240</f>
        <v>79.471141241155465</v>
      </c>
      <c r="G153" s="79">
        <f ca="1">'2E.ROE Scan'!I240</f>
        <v>96.104941363595074</v>
      </c>
      <c r="H153" s="79">
        <f ca="1">'2E.ROE Scan'!J240</f>
        <v>0</v>
      </c>
      <c r="I153" s="79">
        <f ca="1">'2E.ROE Scan'!K240</f>
        <v>0</v>
      </c>
      <c r="J153" s="79">
        <f ca="1">'2E.ROE Scan'!L240</f>
        <v>0</v>
      </c>
      <c r="K153" s="79">
        <f ca="1">'2E.ROE Scan'!M240</f>
        <v>0</v>
      </c>
      <c r="L153" s="79">
        <f ca="1">'2E.ROE Scan'!N240</f>
        <v>0</v>
      </c>
    </row>
    <row r="154" spans="2:12" ht="16.5" customHeight="1" x14ac:dyDescent="0.3">
      <c r="B154" s="68">
        <f t="shared" si="43"/>
        <v>0</v>
      </c>
      <c r="C154" s="79">
        <f ca="1">'2E.ROE Scan'!E241</f>
        <v>0</v>
      </c>
      <c r="D154" s="79">
        <f ca="1">'2E.ROE Scan'!F241</f>
        <v>0</v>
      </c>
      <c r="E154" s="79">
        <f ca="1">'2E.ROE Scan'!G241</f>
        <v>0</v>
      </c>
      <c r="F154" s="79">
        <f ca="1">'2E.ROE Scan'!H241</f>
        <v>0</v>
      </c>
      <c r="G154" s="79">
        <f ca="1">'2E.ROE Scan'!I241</f>
        <v>0</v>
      </c>
      <c r="H154" s="79">
        <f ca="1">'2E.ROE Scan'!J241</f>
        <v>0</v>
      </c>
      <c r="I154" s="79">
        <f ca="1">'2E.ROE Scan'!K241</f>
        <v>0</v>
      </c>
      <c r="J154" s="79">
        <f ca="1">'2E.ROE Scan'!L241</f>
        <v>0</v>
      </c>
      <c r="K154" s="79">
        <f ca="1">'2E.ROE Scan'!M241</f>
        <v>0</v>
      </c>
      <c r="L154" s="79">
        <f ca="1">'2E.ROE Scan'!N241</f>
        <v>0</v>
      </c>
    </row>
    <row r="155" spans="2:12" ht="16.5" customHeight="1" x14ac:dyDescent="0.3">
      <c r="B155" s="68">
        <f t="shared" si="43"/>
        <v>0</v>
      </c>
      <c r="C155" s="79">
        <f ca="1">'2E.ROE Scan'!E242</f>
        <v>0</v>
      </c>
      <c r="D155" s="79">
        <f ca="1">'2E.ROE Scan'!F242</f>
        <v>0</v>
      </c>
      <c r="E155" s="79">
        <f ca="1">'2E.ROE Scan'!G242</f>
        <v>0</v>
      </c>
      <c r="F155" s="79">
        <f ca="1">'2E.ROE Scan'!H242</f>
        <v>0</v>
      </c>
      <c r="G155" s="79">
        <f ca="1">'2E.ROE Scan'!I242</f>
        <v>0</v>
      </c>
      <c r="H155" s="79">
        <f ca="1">'2E.ROE Scan'!J242</f>
        <v>0</v>
      </c>
      <c r="I155" s="79">
        <f ca="1">'2E.ROE Scan'!K242</f>
        <v>0</v>
      </c>
      <c r="J155" s="79">
        <f ca="1">'2E.ROE Scan'!L242</f>
        <v>0</v>
      </c>
      <c r="K155" s="79">
        <f ca="1">'2E.ROE Scan'!M242</f>
        <v>0</v>
      </c>
      <c r="L155" s="79">
        <f ca="1">'2E.ROE Scan'!N242</f>
        <v>0</v>
      </c>
    </row>
    <row r="156" spans="2:12" ht="16.5" customHeight="1" x14ac:dyDescent="0.3">
      <c r="B156" s="68">
        <f t="shared" si="43"/>
        <v>0</v>
      </c>
      <c r="C156" s="79">
        <f ca="1">'2E.ROE Scan'!E243</f>
        <v>0</v>
      </c>
      <c r="D156" s="79">
        <f ca="1">'2E.ROE Scan'!F243</f>
        <v>0</v>
      </c>
      <c r="E156" s="79">
        <f ca="1">'2E.ROE Scan'!G243</f>
        <v>0</v>
      </c>
      <c r="F156" s="79">
        <f ca="1">'2E.ROE Scan'!H243</f>
        <v>0</v>
      </c>
      <c r="G156" s="79">
        <f ca="1">'2E.ROE Scan'!I243</f>
        <v>0</v>
      </c>
      <c r="H156" s="79">
        <f ca="1">'2E.ROE Scan'!J243</f>
        <v>0</v>
      </c>
      <c r="I156" s="79">
        <f ca="1">'2E.ROE Scan'!K243</f>
        <v>0</v>
      </c>
      <c r="J156" s="79">
        <f ca="1">'2E.ROE Scan'!L243</f>
        <v>0</v>
      </c>
      <c r="K156" s="79">
        <f ca="1">'2E.ROE Scan'!M243</f>
        <v>0</v>
      </c>
      <c r="L156" s="79">
        <f ca="1">'2E.ROE Scan'!N243</f>
        <v>0</v>
      </c>
    </row>
    <row r="157" spans="2:12" ht="16.5" customHeight="1" x14ac:dyDescent="0.3">
      <c r="B157" s="68">
        <f t="shared" si="43"/>
        <v>0</v>
      </c>
      <c r="C157" s="79">
        <f ca="1">'2E.ROE Scan'!E244</f>
        <v>0</v>
      </c>
      <c r="D157" s="79">
        <f ca="1">'2E.ROE Scan'!F244</f>
        <v>0</v>
      </c>
      <c r="E157" s="79">
        <f ca="1">'2E.ROE Scan'!G244</f>
        <v>0</v>
      </c>
      <c r="F157" s="79">
        <f ca="1">'2E.ROE Scan'!H244</f>
        <v>0</v>
      </c>
      <c r="G157" s="79">
        <f ca="1">'2E.ROE Scan'!I244</f>
        <v>0</v>
      </c>
      <c r="H157" s="79">
        <f ca="1">'2E.ROE Scan'!J244</f>
        <v>0</v>
      </c>
      <c r="I157" s="79">
        <f ca="1">'2E.ROE Scan'!K244</f>
        <v>0</v>
      </c>
      <c r="J157" s="79">
        <f ca="1">'2E.ROE Scan'!L244</f>
        <v>0</v>
      </c>
      <c r="K157" s="79">
        <f ca="1">'2E.ROE Scan'!M244</f>
        <v>0</v>
      </c>
      <c r="L157" s="79">
        <f ca="1">'2E.ROE Scan'!N244</f>
        <v>0</v>
      </c>
    </row>
    <row r="158" spans="2:12" ht="16.5" customHeight="1" x14ac:dyDescent="0.3">
      <c r="B158" s="68">
        <f t="shared" si="43"/>
        <v>0</v>
      </c>
      <c r="C158" s="79">
        <f ca="1">'2E.ROE Scan'!E245</f>
        <v>0</v>
      </c>
      <c r="D158" s="79">
        <f ca="1">'2E.ROE Scan'!F245</f>
        <v>0</v>
      </c>
      <c r="E158" s="79">
        <f ca="1">'2E.ROE Scan'!G245</f>
        <v>0</v>
      </c>
      <c r="F158" s="79">
        <f ca="1">'2E.ROE Scan'!H245</f>
        <v>0</v>
      </c>
      <c r="G158" s="79">
        <f ca="1">'2E.ROE Scan'!I245</f>
        <v>0</v>
      </c>
      <c r="H158" s="79">
        <f ca="1">'2E.ROE Scan'!J245</f>
        <v>0</v>
      </c>
      <c r="I158" s="79">
        <f ca="1">'2E.ROE Scan'!K245</f>
        <v>0</v>
      </c>
      <c r="J158" s="79">
        <f ca="1">'2E.ROE Scan'!L245</f>
        <v>0</v>
      </c>
      <c r="K158" s="79">
        <f ca="1">'2E.ROE Scan'!M245</f>
        <v>0</v>
      </c>
      <c r="L158" s="79">
        <f ca="1">'2E.ROE Scan'!N245</f>
        <v>0</v>
      </c>
    </row>
    <row r="159" spans="2:12" ht="16.5" customHeight="1" x14ac:dyDescent="0.3">
      <c r="B159" s="68">
        <f t="shared" si="43"/>
        <v>0</v>
      </c>
      <c r="C159" s="79">
        <f ca="1">'2E.ROE Scan'!E246</f>
        <v>0</v>
      </c>
      <c r="D159" s="79">
        <f ca="1">'2E.ROE Scan'!F246</f>
        <v>0</v>
      </c>
      <c r="E159" s="79">
        <f ca="1">'2E.ROE Scan'!G246</f>
        <v>0</v>
      </c>
      <c r="F159" s="79">
        <f ca="1">'2E.ROE Scan'!H246</f>
        <v>0</v>
      </c>
      <c r="G159" s="79">
        <f ca="1">'2E.ROE Scan'!I246</f>
        <v>0</v>
      </c>
      <c r="H159" s="79">
        <f ca="1">'2E.ROE Scan'!J246</f>
        <v>0</v>
      </c>
      <c r="I159" s="79">
        <f ca="1">'2E.ROE Scan'!K246</f>
        <v>0</v>
      </c>
      <c r="J159" s="79">
        <f ca="1">'2E.ROE Scan'!L246</f>
        <v>0</v>
      </c>
      <c r="K159" s="79">
        <f ca="1">'2E.ROE Scan'!M246</f>
        <v>0</v>
      </c>
      <c r="L159" s="79">
        <f ca="1">'2E.ROE Scan'!N246</f>
        <v>0</v>
      </c>
    </row>
    <row r="160" spans="2:12" ht="16.5" customHeight="1" x14ac:dyDescent="0.3">
      <c r="B160" s="68">
        <f t="shared" si="43"/>
        <v>0</v>
      </c>
      <c r="C160" s="79">
        <f ca="1">'2E.ROE Scan'!E247</f>
        <v>0</v>
      </c>
      <c r="D160" s="79">
        <f ca="1">'2E.ROE Scan'!F247</f>
        <v>0</v>
      </c>
      <c r="E160" s="79">
        <f ca="1">'2E.ROE Scan'!G247</f>
        <v>0</v>
      </c>
      <c r="F160" s="79">
        <f ca="1">'2E.ROE Scan'!H247</f>
        <v>0</v>
      </c>
      <c r="G160" s="79">
        <f ca="1">'2E.ROE Scan'!I247</f>
        <v>0</v>
      </c>
      <c r="H160" s="79">
        <f ca="1">'2E.ROE Scan'!J247</f>
        <v>0</v>
      </c>
      <c r="I160" s="79">
        <f ca="1">'2E.ROE Scan'!K247</f>
        <v>0</v>
      </c>
      <c r="J160" s="79">
        <f ca="1">'2E.ROE Scan'!L247</f>
        <v>0</v>
      </c>
      <c r="K160" s="79">
        <f ca="1">'2E.ROE Scan'!M247</f>
        <v>0</v>
      </c>
      <c r="L160" s="79">
        <f ca="1">'2E.ROE Scan'!N247</f>
        <v>0</v>
      </c>
    </row>
    <row r="161" spans="2:12" ht="16.5" customHeight="1" x14ac:dyDescent="0.3">
      <c r="B161" s="68">
        <f t="shared" si="43"/>
        <v>0</v>
      </c>
      <c r="C161" s="79">
        <f ca="1">'2E.ROE Scan'!E248</f>
        <v>0</v>
      </c>
      <c r="D161" s="79">
        <f ca="1">'2E.ROE Scan'!F248</f>
        <v>0</v>
      </c>
      <c r="E161" s="79">
        <f ca="1">'2E.ROE Scan'!G248</f>
        <v>0</v>
      </c>
      <c r="F161" s="79">
        <f ca="1">'2E.ROE Scan'!H248</f>
        <v>0</v>
      </c>
      <c r="G161" s="79">
        <f ca="1">'2E.ROE Scan'!I248</f>
        <v>0</v>
      </c>
      <c r="H161" s="79">
        <f ca="1">'2E.ROE Scan'!J248</f>
        <v>0</v>
      </c>
      <c r="I161" s="79">
        <f ca="1">'2E.ROE Scan'!K248</f>
        <v>0</v>
      </c>
      <c r="J161" s="79">
        <f ca="1">'2E.ROE Scan'!L248</f>
        <v>0</v>
      </c>
      <c r="K161" s="79">
        <f ca="1">'2E.ROE Scan'!M248</f>
        <v>0</v>
      </c>
      <c r="L161" s="79">
        <f ca="1">'2E.ROE Scan'!N248</f>
        <v>0</v>
      </c>
    </row>
  </sheetData>
  <phoneticPr fontId="52" type="noConversion"/>
  <conditionalFormatting sqref="B10:L44">
    <cfRule type="cellIs" dxfId="3" priority="4" operator="equal">
      <formula>0</formula>
    </cfRule>
  </conditionalFormatting>
  <conditionalFormatting sqref="B49:L85">
    <cfRule type="cellIs" dxfId="2" priority="1" operator="equal">
      <formula>0</formula>
    </cfRule>
  </conditionalFormatting>
  <conditionalFormatting sqref="B88:L122">
    <cfRule type="cellIs" dxfId="1" priority="2" operator="equal">
      <formula>0</formula>
    </cfRule>
  </conditionalFormatting>
  <conditionalFormatting sqref="B127:L161">
    <cfRule type="cellIs" dxfId="0" priority="3" operator="equal">
      <formula>0</formula>
    </cfRule>
  </conditionalFormatting>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40"/>
  <sheetViews>
    <sheetView workbookViewId="0">
      <selection activeCell="K17" sqref="K17"/>
    </sheetView>
  </sheetViews>
  <sheetFormatPr defaultRowHeight="14" x14ac:dyDescent="0.3"/>
  <cols>
    <col min="1" max="2" width="25" customWidth="1"/>
    <col min="3" max="4" width="15" customWidth="1"/>
    <col min="5" max="5" width="5" customWidth="1"/>
  </cols>
  <sheetData>
    <row r="1" spans="1:5" x14ac:dyDescent="0.3">
      <c r="A1" t="s">
        <v>397</v>
      </c>
    </row>
    <row r="2" spans="1:5" x14ac:dyDescent="0.3">
      <c r="A2" t="s">
        <v>398</v>
      </c>
      <c r="B2" t="s">
        <v>399</v>
      </c>
      <c r="C2" t="s">
        <v>400</v>
      </c>
      <c r="D2" t="s">
        <v>401</v>
      </c>
      <c r="E2" t="s">
        <v>402</v>
      </c>
    </row>
    <row r="3" spans="1:5" x14ac:dyDescent="0.3">
      <c r="A3" t="s">
        <v>403</v>
      </c>
      <c r="C3">
        <v>1384</v>
      </c>
      <c r="D3">
        <v>1384</v>
      </c>
      <c r="E3">
        <v>0</v>
      </c>
    </row>
    <row r="4" spans="1:5" x14ac:dyDescent="0.3">
      <c r="A4" t="s">
        <v>404</v>
      </c>
      <c r="B4" t="s">
        <v>405</v>
      </c>
      <c r="C4">
        <v>1078</v>
      </c>
      <c r="D4">
        <v>1078</v>
      </c>
      <c r="E4">
        <v>0</v>
      </c>
    </row>
    <row r="5" spans="1:5" x14ac:dyDescent="0.3">
      <c r="A5" t="s">
        <v>406</v>
      </c>
      <c r="B5" t="s">
        <v>405</v>
      </c>
      <c r="C5">
        <v>1008</v>
      </c>
      <c r="D5">
        <v>1008</v>
      </c>
      <c r="E5">
        <v>0</v>
      </c>
    </row>
    <row r="6" spans="1:5" x14ac:dyDescent="0.3">
      <c r="A6" t="s">
        <v>407</v>
      </c>
      <c r="C6">
        <v>288</v>
      </c>
    </row>
    <row r="7" spans="1:5" x14ac:dyDescent="0.3">
      <c r="A7" t="s">
        <v>408</v>
      </c>
      <c r="B7" t="s">
        <v>405</v>
      </c>
      <c r="C7">
        <v>1103</v>
      </c>
      <c r="D7">
        <v>1103</v>
      </c>
      <c r="E7">
        <v>0</v>
      </c>
    </row>
    <row r="8" spans="1:5" x14ac:dyDescent="0.3">
      <c r="A8" t="s">
        <v>409</v>
      </c>
      <c r="B8" t="s">
        <v>410</v>
      </c>
      <c r="C8">
        <v>708</v>
      </c>
      <c r="D8">
        <v>708</v>
      </c>
      <c r="E8">
        <v>0</v>
      </c>
    </row>
    <row r="10" spans="1:5" x14ac:dyDescent="0.3">
      <c r="A10" t="s">
        <v>411</v>
      </c>
    </row>
    <row r="11" spans="1:5" x14ac:dyDescent="0.3">
      <c r="A11" t="s">
        <v>398</v>
      </c>
      <c r="B11" t="s">
        <v>412</v>
      </c>
      <c r="C11" t="s">
        <v>400</v>
      </c>
      <c r="D11" t="s">
        <v>401</v>
      </c>
      <c r="E11" t="s">
        <v>402</v>
      </c>
    </row>
    <row r="12" spans="1:5" x14ac:dyDescent="0.3">
      <c r="A12" t="s">
        <v>413</v>
      </c>
      <c r="B12" t="s">
        <v>414</v>
      </c>
      <c r="C12">
        <v>332</v>
      </c>
      <c r="D12">
        <v>332</v>
      </c>
      <c r="E12">
        <v>0</v>
      </c>
    </row>
    <row r="13" spans="1:5" x14ac:dyDescent="0.3">
      <c r="A13" t="s">
        <v>413</v>
      </c>
      <c r="B13" t="s">
        <v>415</v>
      </c>
      <c r="C13">
        <v>170</v>
      </c>
      <c r="D13">
        <v>170</v>
      </c>
      <c r="E13">
        <v>0</v>
      </c>
    </row>
    <row r="14" spans="1:5" x14ac:dyDescent="0.3">
      <c r="A14" t="s">
        <v>413</v>
      </c>
      <c r="B14" t="s">
        <v>416</v>
      </c>
      <c r="C14">
        <v>130</v>
      </c>
      <c r="D14">
        <v>130</v>
      </c>
      <c r="E14">
        <v>0</v>
      </c>
    </row>
    <row r="15" spans="1:5" x14ac:dyDescent="0.3">
      <c r="A15" t="s">
        <v>413</v>
      </c>
      <c r="B15" t="s">
        <v>417</v>
      </c>
      <c r="C15">
        <v>401</v>
      </c>
      <c r="D15">
        <v>401</v>
      </c>
      <c r="E15">
        <v>0</v>
      </c>
    </row>
    <row r="16" spans="1:5" x14ac:dyDescent="0.3">
      <c r="A16" t="s">
        <v>413</v>
      </c>
      <c r="B16" t="s">
        <v>418</v>
      </c>
      <c r="C16">
        <v>182</v>
      </c>
      <c r="D16">
        <v>182</v>
      </c>
      <c r="E16">
        <v>0</v>
      </c>
    </row>
    <row r="17" spans="1:5" x14ac:dyDescent="0.3">
      <c r="A17" t="s">
        <v>413</v>
      </c>
      <c r="B17" t="s">
        <v>419</v>
      </c>
      <c r="C17">
        <v>170</v>
      </c>
      <c r="D17">
        <v>170</v>
      </c>
      <c r="E17">
        <v>0</v>
      </c>
    </row>
    <row r="18" spans="1:5" x14ac:dyDescent="0.3">
      <c r="A18" t="s">
        <v>413</v>
      </c>
      <c r="B18" t="s">
        <v>420</v>
      </c>
      <c r="C18">
        <v>381</v>
      </c>
      <c r="D18">
        <v>381</v>
      </c>
      <c r="E18">
        <v>0</v>
      </c>
    </row>
    <row r="19" spans="1:5" x14ac:dyDescent="0.3">
      <c r="A19" t="s">
        <v>413</v>
      </c>
      <c r="B19" t="s">
        <v>421</v>
      </c>
      <c r="C19">
        <v>359</v>
      </c>
      <c r="D19">
        <v>359</v>
      </c>
      <c r="E19">
        <v>0</v>
      </c>
    </row>
    <row r="20" spans="1:5" x14ac:dyDescent="0.3">
      <c r="A20" t="s">
        <v>413</v>
      </c>
      <c r="B20" t="s">
        <v>422</v>
      </c>
      <c r="C20">
        <v>103</v>
      </c>
      <c r="D20">
        <v>103</v>
      </c>
      <c r="E20">
        <v>0</v>
      </c>
    </row>
    <row r="21" spans="1:5" x14ac:dyDescent="0.3">
      <c r="A21" t="s">
        <v>413</v>
      </c>
      <c r="B21" t="s">
        <v>423</v>
      </c>
      <c r="C21">
        <v>116</v>
      </c>
      <c r="D21">
        <v>116</v>
      </c>
      <c r="E21">
        <v>0</v>
      </c>
    </row>
    <row r="22" spans="1:5" x14ac:dyDescent="0.3">
      <c r="A22" t="s">
        <v>413</v>
      </c>
      <c r="B22" t="s">
        <v>424</v>
      </c>
      <c r="C22">
        <v>193</v>
      </c>
      <c r="D22">
        <v>193</v>
      </c>
      <c r="E22">
        <v>0</v>
      </c>
    </row>
    <row r="23" spans="1:5" x14ac:dyDescent="0.3">
      <c r="A23" t="s">
        <v>413</v>
      </c>
      <c r="B23" t="s">
        <v>425</v>
      </c>
      <c r="C23">
        <v>87</v>
      </c>
      <c r="D23">
        <v>87</v>
      </c>
      <c r="E23">
        <v>0</v>
      </c>
    </row>
    <row r="24" spans="1:5" x14ac:dyDescent="0.3">
      <c r="A24" t="s">
        <v>413</v>
      </c>
      <c r="B24" t="s">
        <v>426</v>
      </c>
      <c r="C24">
        <v>62</v>
      </c>
      <c r="D24">
        <v>62</v>
      </c>
      <c r="E24">
        <v>0</v>
      </c>
    </row>
    <row r="25" spans="1:5" x14ac:dyDescent="0.3">
      <c r="A25" t="s">
        <v>413</v>
      </c>
      <c r="B25" t="s">
        <v>427</v>
      </c>
      <c r="C25">
        <v>129</v>
      </c>
      <c r="D25">
        <v>129</v>
      </c>
      <c r="E25">
        <v>0</v>
      </c>
    </row>
    <row r="26" spans="1:5" x14ac:dyDescent="0.3">
      <c r="A26" t="s">
        <v>413</v>
      </c>
      <c r="B26" t="s">
        <v>428</v>
      </c>
      <c r="C26">
        <v>91</v>
      </c>
      <c r="D26">
        <v>91</v>
      </c>
      <c r="E26">
        <v>0</v>
      </c>
    </row>
    <row r="27" spans="1:5" x14ac:dyDescent="0.3">
      <c r="A27" t="s">
        <v>413</v>
      </c>
      <c r="B27" t="s">
        <v>429</v>
      </c>
      <c r="C27">
        <v>103</v>
      </c>
      <c r="D27">
        <v>103</v>
      </c>
      <c r="E27">
        <v>0</v>
      </c>
    </row>
    <row r="28" spans="1:5" x14ac:dyDescent="0.3">
      <c r="A28" t="s">
        <v>413</v>
      </c>
      <c r="B28" t="s">
        <v>430</v>
      </c>
      <c r="C28">
        <v>132</v>
      </c>
      <c r="D28">
        <v>132</v>
      </c>
      <c r="E28">
        <v>0</v>
      </c>
    </row>
    <row r="29" spans="1:5" x14ac:dyDescent="0.3">
      <c r="A29" t="s">
        <v>413</v>
      </c>
      <c r="B29" t="s">
        <v>431</v>
      </c>
      <c r="C29">
        <v>349</v>
      </c>
      <c r="D29">
        <v>349</v>
      </c>
      <c r="E29">
        <v>0</v>
      </c>
    </row>
    <row r="30" spans="1:5" x14ac:dyDescent="0.3">
      <c r="A30" t="s">
        <v>413</v>
      </c>
      <c r="B30" t="s">
        <v>432</v>
      </c>
      <c r="C30">
        <v>85</v>
      </c>
      <c r="D30">
        <v>85</v>
      </c>
      <c r="E30">
        <v>0</v>
      </c>
    </row>
    <row r="31" spans="1:5" x14ac:dyDescent="0.3">
      <c r="A31" t="s">
        <v>413</v>
      </c>
      <c r="B31" t="s">
        <v>433</v>
      </c>
      <c r="C31">
        <v>194</v>
      </c>
      <c r="D31">
        <v>194</v>
      </c>
      <c r="E31">
        <v>0</v>
      </c>
    </row>
    <row r="32" spans="1:5" x14ac:dyDescent="0.3">
      <c r="A32" t="s">
        <v>413</v>
      </c>
      <c r="B32" t="s">
        <v>434</v>
      </c>
      <c r="C32">
        <v>391</v>
      </c>
      <c r="D32">
        <v>391</v>
      </c>
      <c r="E32">
        <v>0</v>
      </c>
    </row>
    <row r="33" spans="1:5" x14ac:dyDescent="0.3">
      <c r="A33" t="s">
        <v>413</v>
      </c>
      <c r="B33" t="s">
        <v>435</v>
      </c>
      <c r="C33">
        <v>84</v>
      </c>
      <c r="D33">
        <v>84</v>
      </c>
      <c r="E33">
        <v>0</v>
      </c>
    </row>
    <row r="34" spans="1:5" x14ac:dyDescent="0.3">
      <c r="A34" t="s">
        <v>413</v>
      </c>
      <c r="B34" t="s">
        <v>436</v>
      </c>
      <c r="C34">
        <v>320</v>
      </c>
      <c r="D34">
        <v>320</v>
      </c>
      <c r="E34">
        <v>0</v>
      </c>
    </row>
    <row r="35" spans="1:5" x14ac:dyDescent="0.3">
      <c r="A35" t="s">
        <v>413</v>
      </c>
      <c r="B35" t="s">
        <v>437</v>
      </c>
      <c r="C35">
        <v>96</v>
      </c>
      <c r="D35">
        <v>96</v>
      </c>
      <c r="E35">
        <v>0</v>
      </c>
    </row>
    <row r="36" spans="1:5" x14ac:dyDescent="0.3">
      <c r="A36" t="s">
        <v>413</v>
      </c>
      <c r="B36" t="s">
        <v>438</v>
      </c>
      <c r="C36">
        <v>97</v>
      </c>
      <c r="D36">
        <v>97</v>
      </c>
      <c r="E36">
        <v>0</v>
      </c>
    </row>
    <row r="37" spans="1:5" x14ac:dyDescent="0.3">
      <c r="A37" t="s">
        <v>413</v>
      </c>
      <c r="B37" t="s">
        <v>439</v>
      </c>
      <c r="C37">
        <v>149</v>
      </c>
      <c r="D37">
        <v>149</v>
      </c>
      <c r="E37">
        <v>0</v>
      </c>
    </row>
    <row r="38" spans="1:5" x14ac:dyDescent="0.3">
      <c r="A38" t="s">
        <v>413</v>
      </c>
      <c r="B38" t="s">
        <v>440</v>
      </c>
      <c r="C38">
        <v>146</v>
      </c>
      <c r="D38">
        <v>146</v>
      </c>
      <c r="E38">
        <v>0</v>
      </c>
    </row>
    <row r="40" spans="1:5" x14ac:dyDescent="0.3">
      <c r="A40" t="s">
        <v>441</v>
      </c>
      <c r="B40" t="s">
        <v>442</v>
      </c>
    </row>
  </sheetData>
  <phoneticPr fontId="52" type="noConversion"/>
  <pageMargins left="0.75" right="0.75" top="1" bottom="1" header="0.5" footer="0.5"/>
</worksheet>
</file>

<file path=docMetadata/LabelInfo.xml><?xml version="1.0" encoding="utf-8"?>
<clbl:labelList xmlns:clbl="http://schemas.microsoft.com/office/2020/mipLabelMetadata">
  <clbl:label id="{3741da7a-79c1-417c-b408-16c0bfe99fca}" enabled="1" method="Standard" siteId="{1e355c04-e0a4-42ed-8e2d-7351591f0ef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Instruction</vt:lpstr>
      <vt:lpstr>2A 回归syntax</vt:lpstr>
      <vt:lpstr>2A Regression</vt:lpstr>
      <vt:lpstr>2B RotationRule</vt:lpstr>
      <vt:lpstr>2B FL</vt:lpstr>
      <vt:lpstr>2C 均值</vt:lpstr>
      <vt:lpstr>2D Mapping</vt:lpstr>
      <vt:lpstr>2E.Analysis_MIA</vt:lpstr>
      <vt:lpstr>2F.Results to CS_MIA</vt:lpstr>
      <vt:lpstr>uplift check</vt:lpstr>
      <vt:lpstr>seenvsnoseen</vt:lpstr>
      <vt:lpstr>2E.ROE Scan</vt:lpstr>
      <vt:lpstr>2F.Results to CS_ROE SCAN</vt:lpstr>
      <vt:lpstr>Sample_Check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Liang, Meifang (KT)</dc:creator>
  <cp:lastModifiedBy>Xinyi Deng (external)</cp:lastModifiedBy>
  <dcterms:created xsi:type="dcterms:W3CDTF">2015-06-05T18:19:34Z</dcterms:created>
  <dcterms:modified xsi:type="dcterms:W3CDTF">2026-08-12T09:37:16Z</dcterms:modified>
</cp:coreProperties>
</file>
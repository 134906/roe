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00" firstSheet="6" activeTab="6" autoFilterDateGrouping="1"/>
  </bookViews>
  <sheets>
    <sheet xmlns:r="http://schemas.openxmlformats.org/officeDocument/2006/relationships" name="Instruction" sheetId="1" state="visible" r:id="rId1"/>
    <sheet xmlns:r="http://schemas.openxmlformats.org/officeDocument/2006/relationships" name="2A 回归syntax" sheetId="2" state="visible" r:id="rId2"/>
    <sheet xmlns:r="http://schemas.openxmlformats.org/officeDocument/2006/relationships" name="2A Regression" sheetId="3" state="visible" r:id="rId3"/>
    <sheet xmlns:r="http://schemas.openxmlformats.org/officeDocument/2006/relationships" name="2B RotationRule" sheetId="4" state="visible" r:id="rId4"/>
    <sheet xmlns:r="http://schemas.openxmlformats.org/officeDocument/2006/relationships" name="2B FL" sheetId="5" state="visible" r:id="rId5"/>
    <sheet xmlns:r="http://schemas.openxmlformats.org/officeDocument/2006/relationships" name="2C 均值" sheetId="6" state="visible" r:id="rId6"/>
    <sheet xmlns:r="http://schemas.openxmlformats.org/officeDocument/2006/relationships" name="2D Mapping" sheetId="7" state="visible" r:id="rId7"/>
    <sheet xmlns:r="http://schemas.openxmlformats.org/officeDocument/2006/relationships" name="2E.Analysis_MIA" sheetId="8" state="visible" r:id="rId8"/>
    <sheet xmlns:r="http://schemas.openxmlformats.org/officeDocument/2006/relationships" name="2F.Results to CS_MIA" sheetId="9" state="visible" r:id="rId9"/>
    <sheet xmlns:r="http://schemas.openxmlformats.org/officeDocument/2006/relationships" name="uplift check" sheetId="10" state="hidden" r:id="rId10"/>
    <sheet xmlns:r="http://schemas.openxmlformats.org/officeDocument/2006/relationships" name="seenvsnoseen" sheetId="11" state="visible" r:id="rId11"/>
    <sheet xmlns:r="http://schemas.openxmlformats.org/officeDocument/2006/relationships" name="2E.ROE Scan" sheetId="12" state="visible" r:id="rId12"/>
    <sheet xmlns:r="http://schemas.openxmlformats.org/officeDocument/2006/relationships" name="2F.Results to CS_ROE SCAN" sheetId="13" state="visible" r:id="rId13"/>
    <sheet xmlns:r="http://schemas.openxmlformats.org/officeDocument/2006/relationships" name="Sample_Check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4">
    <numFmt numFmtId="164" formatCode="0.00000_);[Red]\(0.00000\)"/>
    <numFmt numFmtId="165" formatCode="0.0%"/>
    <numFmt numFmtId="166" formatCode="0.00_ "/>
    <numFmt numFmtId="167" formatCode="0.0000_ "/>
    <numFmt numFmtId="168" formatCode="0.000_);[Red]\(0.000\)"/>
    <numFmt numFmtId="169" formatCode="_ * #,##0.00_ ;_ * \-#,##0.00_ ;_ * &quot;-&quot;??_ ;_ @_ "/>
    <numFmt numFmtId="170" formatCode="###0.000"/>
    <numFmt numFmtId="171" formatCode="###0"/>
    <numFmt numFmtId="172" formatCode="###0.00000"/>
    <numFmt numFmtId="173" formatCode="###0.00"/>
    <numFmt numFmtId="174" formatCode="###0.0000"/>
    <numFmt numFmtId="175" formatCode="0.00000"/>
    <numFmt numFmtId="176" formatCode="_ * #,##0.000_ ;_ * \-#,##0.000_ ;_ * &quot;-&quot;??_ ;_ @_ "/>
    <numFmt numFmtId="177" formatCode="0.0000_);[Red]\(0.0000\)"/>
  </numFmts>
  <fonts count="67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b val="1"/>
      <color rgb="FF0070C0"/>
      <sz val="11"/>
    </font>
    <font>
      <name val="微软雅黑"/>
      <charset val="136"/>
      <family val="2"/>
      <color theme="1"/>
      <sz val="11"/>
    </font>
    <font>
      <name val="等线"/>
      <family val="2"/>
      <color rgb="FFFF0000"/>
      <sz val="11"/>
      <scheme val="minor"/>
    </font>
    <font>
      <name val="等线"/>
      <charset val="134"/>
      <family val="2"/>
      <color theme="1"/>
      <sz val="11"/>
      <scheme val="minor"/>
    </font>
    <font>
      <name val="MingLiU"/>
      <charset val="136"/>
      <family val="3"/>
      <color indexed="60"/>
      <sz val="9"/>
    </font>
    <font>
      <name val="Verdana"/>
      <family val="2"/>
      <color theme="1"/>
      <sz val="11"/>
    </font>
    <font>
      <name val="PMingLiU"/>
      <charset val="136"/>
      <family val="1"/>
      <b val="1"/>
      <color indexed="60"/>
      <sz val="14"/>
    </font>
    <font>
      <name val="MingLiU"/>
      <charset val="136"/>
      <family val="3"/>
      <color indexed="60"/>
      <sz val="12"/>
    </font>
    <font>
      <name val="等线"/>
      <family val="2"/>
      <sz val="11"/>
      <scheme val="minor"/>
    </font>
    <font>
      <name val="等线"/>
      <family val="2"/>
      <b val="1"/>
      <color theme="1"/>
      <sz val="11"/>
      <scheme val="minor"/>
    </font>
    <font>
      <name val="MingLiU"/>
      <charset val="136"/>
      <family val="3"/>
      <color indexed="8"/>
      <sz val="12"/>
    </font>
    <font>
      <name val="等线"/>
      <charset val="134"/>
      <family val="3"/>
      <b val="1"/>
      <color theme="1"/>
      <sz val="11"/>
      <scheme val="minor"/>
    </font>
    <font>
      <name val="Times New Roman"/>
      <family val="1"/>
      <color theme="1"/>
      <sz val="10"/>
    </font>
    <font>
      <name val="微软雅黑"/>
      <charset val="134"/>
      <family val="2"/>
      <color theme="1"/>
      <sz val="10"/>
    </font>
    <font>
      <name val="等线"/>
      <family val="2"/>
      <color theme="1"/>
      <sz val="10"/>
      <scheme val="minor"/>
    </font>
    <font>
      <name val="Arial"/>
      <family val="2"/>
      <color indexed="60"/>
      <sz val="12"/>
    </font>
    <font>
      <name val="Arial"/>
      <family val="2"/>
      <color indexed="8"/>
      <sz val="12"/>
    </font>
    <font>
      <name val="Arial"/>
      <charset val="134"/>
      <family val="2"/>
      <sz val="12"/>
    </font>
    <font>
      <name val="Trebuchet MS"/>
      <family val="2"/>
      <b val="1"/>
      <color rgb="FFFFFF00"/>
      <sz val="11"/>
    </font>
    <font>
      <name val="Trebuchet MS"/>
      <family val="2"/>
      <color rgb="FFFFFFFF"/>
      <sz val="11"/>
    </font>
    <font>
      <name val="Trebuchet MS"/>
      <family val="2"/>
      <b val="1"/>
      <color rgb="FF000000"/>
      <sz val="9"/>
    </font>
    <font>
      <name val="Trebuchet MS"/>
      <family val="2"/>
      <color rgb="FF000000"/>
      <sz val="9"/>
    </font>
    <font>
      <name val="Trebuchet MS"/>
      <family val="2"/>
      <b val="1"/>
      <color rgb="FF000000"/>
      <sz val="10"/>
    </font>
    <font>
      <name val="Arial"/>
      <family val="2"/>
      <color rgb="FF000000"/>
      <sz val="10"/>
    </font>
    <font>
      <name val="Trebuchet MS"/>
      <family val="2"/>
      <color rgb="FFFFFFFF"/>
      <sz val="9"/>
    </font>
    <font>
      <name val="微软雅黑"/>
      <charset val="134"/>
      <family val="2"/>
      <sz val="10"/>
    </font>
    <font>
      <name val="等线"/>
      <charset val="134"/>
      <family val="2"/>
      <b val="1"/>
      <color theme="1"/>
      <sz val="11"/>
      <scheme val="minor"/>
    </font>
    <font>
      <name val="微软雅黑"/>
      <charset val="134"/>
      <family val="2"/>
      <b val="1"/>
      <color theme="1"/>
      <sz val="10"/>
    </font>
    <font>
      <name val="MingLiU"/>
      <charset val="136"/>
      <family val="3"/>
      <b val="1"/>
      <sz val="12"/>
    </font>
    <font>
      <name val="等线"/>
      <charset val="134"/>
      <family val="2"/>
      <b val="1"/>
      <color theme="0"/>
      <sz val="11"/>
      <scheme val="minor"/>
    </font>
    <font>
      <name val="宋体"/>
      <charset val="134"/>
      <family val="3"/>
      <sz val="12"/>
    </font>
    <font>
      <name val="Verdana"/>
      <family val="2"/>
      <sz val="12"/>
    </font>
    <font>
      <name val="等线"/>
      <family val="2"/>
      <sz val="12"/>
      <scheme val="minor"/>
    </font>
    <font>
      <name val="等线"/>
      <family val="2"/>
      <sz val="9"/>
      <scheme val="minor"/>
    </font>
    <font>
      <name val="宋体"/>
      <charset val="134"/>
      <family val="3"/>
      <color rgb="FF333333"/>
      <sz val="10"/>
    </font>
    <font>
      <name val="等线"/>
      <family val="2"/>
      <b val="1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宋体"/>
      <charset val="134"/>
      <family val="3"/>
      <b val="1"/>
      <i val="1"/>
      <color theme="0"/>
      <sz val="12"/>
    </font>
    <font>
      <name val="等线"/>
      <family val="2"/>
      <color theme="0"/>
      <sz val="12"/>
      <scheme val="minor"/>
    </font>
    <font>
      <name val="等线"/>
      <charset val="134"/>
      <family val="2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i val="1"/>
      <sz val="12"/>
    </font>
    <font>
      <name val="Arial"/>
      <family val="2"/>
      <sz val="12"/>
    </font>
    <font>
      <name val="等线"/>
      <charset val="134"/>
      <family val="2"/>
      <color theme="10"/>
      <sz val="11"/>
      <u val="single"/>
      <scheme val="minor"/>
    </font>
    <font>
      <name val="Verdana"/>
      <family val="2"/>
      <color indexed="9"/>
      <sz val="12"/>
    </font>
    <font>
      <name val="MingLiU"/>
      <charset val="136"/>
      <family val="3"/>
      <color indexed="62"/>
      <sz val="12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2"/>
      <scheme val="minor"/>
    </font>
    <font>
      <name val="等线"/>
      <family val="2"/>
      <color theme="1"/>
      <sz val="14"/>
      <scheme val="minor"/>
    </font>
    <font>
      <name val="等线"/>
      <family val="2"/>
      <color rgb="FFFF0000"/>
      <sz val="14"/>
      <scheme val="minor"/>
    </font>
    <font>
      <name val="等线"/>
      <charset val="134"/>
      <family val="3"/>
      <sz val="14"/>
      <scheme val="minor"/>
    </font>
    <font>
      <name val="等线"/>
      <charset val="134"/>
      <family val="3"/>
      <color rgb="FFFF0000"/>
      <sz val="14"/>
      <scheme val="minor"/>
    </font>
    <font>
      <name val="等线"/>
      <family val="2"/>
      <b val="1"/>
      <color theme="4"/>
      <sz val="11"/>
      <scheme val="minor"/>
    </font>
    <font>
      <name val="宋体"/>
      <charset val="134"/>
      <family val="3"/>
      <b val="1"/>
      <color theme="4"/>
      <sz val="10"/>
    </font>
    <font>
      <name val="等线"/>
      <charset val="134"/>
      <family val="3"/>
      <b val="1"/>
      <color rgb="FFFF0000"/>
      <sz val="18"/>
      <scheme val="minor"/>
    </font>
    <font>
      <name val="等线"/>
      <charset val="134"/>
      <family val="3"/>
      <color theme="1"/>
      <sz val="14"/>
      <scheme val="minor"/>
    </font>
    <font>
      <name val="宋体"/>
      <charset val="134"/>
      <family val="3"/>
      <color rgb="FF333333"/>
      <sz val="14"/>
    </font>
    <font>
      <name val="等线"/>
      <family val="2"/>
      <color theme="6"/>
      <sz val="11"/>
      <scheme val="minor"/>
    </font>
    <font>
      <b val="1"/>
    </font>
    <font>
      <i val="1"/>
      <color rgb="00FF0000"/>
    </font>
    <font>
      <b val="1"/>
      <i val="1"/>
      <color rgb="00FF0000"/>
    </font>
  </fonts>
  <fills count="1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indexed="59"/>
        <bgColor indexed="64"/>
      </patternFill>
    </fill>
    <fill>
      <patternFill patternType="solid">
        <fgColor rgb="00FFFF00"/>
        <bgColor rgb="00FFFF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1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/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 style="thin">
        <color indexed="64"/>
      </left>
      <right/>
      <top/>
      <bottom/>
      <diagonal/>
    </border>
  </borders>
  <cellStyleXfs count="40">
    <xf numFmtId="0" fontId="4" fillId="0" borderId="0"/>
    <xf numFmtId="9" fontId="4" fillId="0" borderId="0" applyAlignment="1">
      <alignment vertical="center"/>
    </xf>
    <xf numFmtId="0" fontId="5" fillId="0" borderId="0"/>
    <xf numFmtId="0" fontId="9" fillId="0" borderId="0" applyAlignment="1">
      <alignment vertical="center"/>
    </xf>
    <xf numFmtId="0" fontId="5" fillId="0" borderId="0"/>
    <xf numFmtId="0" fontId="11" fillId="0" borderId="0"/>
    <xf numFmtId="9" fontId="11" fillId="0" borderId="0" applyAlignment="1">
      <alignment vertical="center"/>
    </xf>
    <xf numFmtId="0" fontId="5" fillId="0" borderId="0"/>
    <xf numFmtId="0" fontId="9" fillId="0" borderId="0" applyAlignment="1">
      <alignment vertical="center"/>
    </xf>
    <xf numFmtId="9" fontId="9" fillId="0" borderId="0" applyAlignment="1">
      <alignment vertical="center"/>
    </xf>
    <xf numFmtId="0" fontId="5" fillId="0" borderId="0"/>
    <xf numFmtId="0" fontId="5" fillId="0" borderId="0"/>
    <xf numFmtId="43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 applyAlignment="1">
      <alignment vertical="center"/>
    </xf>
    <xf numFmtId="9" fontId="9" fillId="0" borderId="0" applyAlignment="1">
      <alignment vertical="center"/>
    </xf>
    <xf numFmtId="0" fontId="9" fillId="0" borderId="0" applyAlignment="1">
      <alignment vertical="center"/>
    </xf>
    <xf numFmtId="0" fontId="5" fillId="0" borderId="0"/>
    <xf numFmtId="0" fontId="5" fillId="0" borderId="0"/>
    <xf numFmtId="0" fontId="9" fillId="0" borderId="0" applyAlignment="1">
      <alignment vertical="center"/>
    </xf>
    <xf numFmtId="9" fontId="9" fillId="0" borderId="0" applyAlignment="1">
      <alignment vertical="center"/>
    </xf>
    <xf numFmtId="0" fontId="11" fillId="0" borderId="0"/>
    <xf numFmtId="9" fontId="1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49" fillId="0" borderId="0" applyAlignment="1">
      <alignment vertical="center"/>
    </xf>
    <xf numFmtId="0" fontId="5" fillId="0" borderId="0"/>
    <xf numFmtId="0" fontId="9" fillId="0" borderId="0" applyAlignment="1">
      <alignment vertical="center"/>
    </xf>
    <xf numFmtId="0" fontId="5" fillId="0" borderId="0"/>
    <xf numFmtId="9" fontId="9" fillId="0" borderId="0" applyAlignment="1">
      <alignment vertical="center"/>
    </xf>
  </cellStyleXfs>
  <cellXfs count="24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pivotButton="0" quotePrefix="0" xfId="1"/>
    <xf numFmtId="0" fontId="6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1"/>
    <xf numFmtId="164" fontId="0" fillId="0" borderId="0" applyAlignment="1" pivotButton="0" quotePrefix="0" xfId="0">
      <alignment horizontal="left"/>
    </xf>
    <xf numFmtId="0" fontId="10" fillId="0" borderId="1" applyAlignment="1" pivotButton="0" quotePrefix="0" xfId="2">
      <alignment horizontal="center" vertical="center" wrapText="1"/>
    </xf>
    <xf numFmtId="167" fontId="8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wrapText="1"/>
    </xf>
    <xf numFmtId="168" fontId="0" fillId="0" borderId="0" applyAlignment="1" pivotButton="0" quotePrefix="0" xfId="0">
      <alignment horizontal="center"/>
    </xf>
    <xf numFmtId="165" fontId="10" fillId="0" borderId="0" applyAlignment="1" pivotButton="0" quotePrefix="0" xfId="1">
      <alignment horizontal="right" vertical="top"/>
    </xf>
    <xf numFmtId="164" fontId="15" fillId="0" borderId="0" applyAlignment="1" pivotButton="0" quotePrefix="0" xfId="0">
      <alignment horizontal="left"/>
    </xf>
    <xf numFmtId="0" fontId="3" fillId="2" borderId="0" applyAlignment="1" pivotButton="0" quotePrefix="0" xfId="0">
      <alignment vertical="center" wrapText="1"/>
    </xf>
    <xf numFmtId="0" fontId="5" fillId="0" borderId="0" pivotButton="0" quotePrefix="0" xfId="13"/>
    <xf numFmtId="0" fontId="5" fillId="0" borderId="0" pivotButton="0" quotePrefix="0" xfId="11"/>
    <xf numFmtId="9" fontId="5" fillId="0" borderId="0" pivotButton="0" quotePrefix="0" xfId="1"/>
    <xf numFmtId="0" fontId="9" fillId="0" borderId="0" applyAlignment="1" pivotButton="0" quotePrefix="0" xfId="3">
      <alignment vertical="center"/>
    </xf>
    <xf numFmtId="0" fontId="17" fillId="0" borderId="0" applyAlignment="1" pivotButton="0" quotePrefix="0" xfId="3">
      <alignment vertical="center"/>
    </xf>
    <xf numFmtId="0" fontId="10" fillId="0" borderId="12" applyAlignment="1" pivotButton="0" quotePrefix="0" xfId="14">
      <alignment horizontal="left" vertical="top"/>
    </xf>
    <xf numFmtId="0" fontId="9" fillId="0" borderId="0" pivotButton="0" quotePrefix="0" xfId="3"/>
    <xf numFmtId="0" fontId="20" fillId="0" borderId="0" applyAlignment="1" pivotButton="0" quotePrefix="0" xfId="0">
      <alignment horizontal="left"/>
    </xf>
    <xf numFmtId="0" fontId="5" fillId="0" borderId="0" pivotButton="0" quotePrefix="0" xfId="15"/>
    <xf numFmtId="0" fontId="5" fillId="0" borderId="0" pivotButton="0" quotePrefix="0" xfId="19"/>
    <xf numFmtId="9" fontId="22" fillId="5" borderId="13" applyAlignment="1" pivotButton="0" quotePrefix="0" xfId="1">
      <alignment horizontal="right" vertical="top"/>
    </xf>
    <xf numFmtId="9" fontId="22" fillId="5" borderId="14" applyAlignment="1" pivotButton="0" quotePrefix="0" xfId="1">
      <alignment horizontal="right" vertical="top"/>
    </xf>
    <xf numFmtId="9" fontId="22" fillId="5" borderId="15" applyAlignment="1" pivotButton="0" quotePrefix="0" xfId="1">
      <alignment horizontal="right" vertical="top"/>
    </xf>
    <xf numFmtId="9" fontId="22" fillId="5" borderId="17" applyAlignment="1" pivotButton="0" quotePrefix="0" xfId="1">
      <alignment horizontal="right" vertical="top"/>
    </xf>
    <xf numFmtId="9" fontId="22" fillId="5" borderId="18" applyAlignment="1" pivotButton="0" quotePrefix="0" xfId="1">
      <alignment horizontal="right" vertical="top"/>
    </xf>
    <xf numFmtId="9" fontId="22" fillId="5" borderId="19" applyAlignment="1" pivotButton="0" quotePrefix="0" xfId="1">
      <alignment horizontal="right" vertical="top"/>
    </xf>
    <xf numFmtId="9" fontId="22" fillId="5" borderId="21" applyAlignment="1" pivotButton="0" quotePrefix="0" xfId="1">
      <alignment horizontal="right" vertical="top"/>
    </xf>
    <xf numFmtId="9" fontId="22" fillId="5" borderId="22" applyAlignment="1" pivotButton="0" quotePrefix="0" xfId="1">
      <alignment horizontal="right" vertical="top"/>
    </xf>
    <xf numFmtId="9" fontId="22" fillId="5" borderId="23" applyAlignment="1" pivotButton="0" quotePrefix="0" xfId="1">
      <alignment horizontal="right" vertical="top"/>
    </xf>
    <xf numFmtId="9" fontId="0" fillId="0" borderId="0" applyAlignment="1" pivotButton="0" quotePrefix="0" xfId="1">
      <alignment horizontal="center"/>
    </xf>
    <xf numFmtId="9" fontId="21" fillId="0" borderId="7" applyAlignment="1" pivotButton="0" quotePrefix="0" xfId="1">
      <alignment horizontal="center" wrapText="1"/>
    </xf>
    <xf numFmtId="9" fontId="21" fillId="0" borderId="8" applyAlignment="1" pivotButton="0" quotePrefix="0" xfId="1">
      <alignment horizontal="center" wrapText="1"/>
    </xf>
    <xf numFmtId="9" fontId="21" fillId="0" borderId="9" applyAlignment="1" pivotButton="0" quotePrefix="0" xfId="1">
      <alignment horizontal="center" wrapText="1"/>
    </xf>
    <xf numFmtId="9" fontId="21" fillId="0" borderId="10" applyAlignment="1" pivotButton="0" quotePrefix="0" xfId="1">
      <alignment horizontal="center" wrapText="1"/>
    </xf>
    <xf numFmtId="9" fontId="21" fillId="0" borderId="11" applyAlignment="1" pivotButton="0" quotePrefix="0" xfId="1">
      <alignment horizontal="center" wrapText="1"/>
    </xf>
    <xf numFmtId="9" fontId="21" fillId="4" borderId="12" applyAlignment="1" pivotButton="0" quotePrefix="0" xfId="1">
      <alignment horizontal="left" vertical="top" wrapText="1"/>
    </xf>
    <xf numFmtId="9" fontId="21" fillId="4" borderId="16" applyAlignment="1" pivotButton="0" quotePrefix="0" xfId="1">
      <alignment horizontal="left" vertical="top" wrapText="1"/>
    </xf>
    <xf numFmtId="9" fontId="21" fillId="4" borderId="20" applyAlignment="1" pivotButton="0" quotePrefix="0" xfId="1">
      <alignment horizontal="left" vertical="top" wrapText="1"/>
    </xf>
    <xf numFmtId="9" fontId="13" fillId="4" borderId="0" applyAlignment="1" pivotButton="0" quotePrefix="0" xfId="1">
      <alignment horizontal="left" vertical="top" wrapText="1"/>
    </xf>
    <xf numFmtId="9" fontId="16" fillId="5" borderId="0" applyAlignment="1" pivotButton="0" quotePrefix="0" xfId="1">
      <alignment horizontal="right" vertical="top"/>
    </xf>
    <xf numFmtId="0" fontId="5" fillId="0" borderId="0" pivotButton="0" quotePrefix="0" xfId="21"/>
    <xf numFmtId="0" fontId="2" fillId="0" borderId="0" pivotButton="0" quotePrefix="0" xfId="22"/>
    <xf numFmtId="0" fontId="24" fillId="6" borderId="24" applyAlignment="1" pivotButton="0" quotePrefix="0" xfId="5">
      <alignment vertical="center"/>
    </xf>
    <xf numFmtId="0" fontId="2" fillId="0" borderId="0" applyAlignment="1" pivotButton="0" quotePrefix="0" xfId="22">
      <alignment vertical="center"/>
    </xf>
    <xf numFmtId="0" fontId="25" fillId="7" borderId="5" pivotButton="0" quotePrefix="0" xfId="5"/>
    <xf numFmtId="0" fontId="25" fillId="7" borderId="5" applyAlignment="1" pivotButton="0" quotePrefix="0" xfId="5">
      <alignment wrapText="1"/>
    </xf>
    <xf numFmtId="0" fontId="26" fillId="0" borderId="1" pivotButton="0" quotePrefix="0" xfId="5"/>
    <xf numFmtId="165" fontId="27" fillId="0" borderId="1" applyAlignment="1" pivotButton="0" quotePrefix="0" xfId="6">
      <alignment horizontal="right"/>
    </xf>
    <xf numFmtId="0" fontId="26" fillId="0" borderId="1" applyAlignment="1" pivotButton="0" quotePrefix="0" xfId="5">
      <alignment horizontal="left"/>
    </xf>
    <xf numFmtId="0" fontId="28" fillId="8" borderId="1" applyAlignment="1" pivotButton="0" quotePrefix="0" xfId="5">
      <alignment horizontal="center"/>
    </xf>
    <xf numFmtId="165" fontId="28" fillId="8" borderId="1" applyAlignment="1" pivotButton="0" quotePrefix="0" xfId="6">
      <alignment horizontal="right"/>
    </xf>
    <xf numFmtId="165" fontId="0" fillId="0" borderId="0" pivotButton="0" quotePrefix="0" xfId="23"/>
    <xf numFmtId="0" fontId="29" fillId="0" borderId="0" pivotButton="0" quotePrefix="0" xfId="5"/>
    <xf numFmtId="0" fontId="24" fillId="6" borderId="4" applyAlignment="1" pivotButton="0" quotePrefix="0" xfId="5">
      <alignment vertical="center"/>
    </xf>
    <xf numFmtId="0" fontId="30" fillId="7" borderId="5" pivotButton="0" quotePrefix="0" xfId="5"/>
    <xf numFmtId="0" fontId="31" fillId="0" borderId="1" applyAlignment="1" pivotButton="0" quotePrefix="0" xfId="7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164" fontId="15" fillId="0" borderId="0" pivotButton="0" quotePrefix="0" xfId="0"/>
    <xf numFmtId="9" fontId="31" fillId="0" borderId="1" applyAlignment="1" pivotButton="0" quotePrefix="0" xfId="1">
      <alignment horizontal="left" vertical="center" wrapText="1"/>
    </xf>
    <xf numFmtId="2" fontId="21" fillId="0" borderId="6" applyAlignment="1" pivotButton="0" quotePrefix="0" xfId="12">
      <alignment horizontal="center" wrapText="1"/>
    </xf>
    <xf numFmtId="2" fontId="21" fillId="0" borderId="7" applyAlignment="1" pivotButton="0" quotePrefix="0" xfId="12">
      <alignment horizontal="center" wrapText="1"/>
    </xf>
    <xf numFmtId="0" fontId="32" fillId="0" borderId="26" applyAlignment="1" pivotButton="0" quotePrefix="0" xfId="0">
      <alignment horizontal="left" vertical="top" wrapText="1"/>
    </xf>
    <xf numFmtId="0" fontId="37" fillId="0" borderId="0" applyAlignment="1" applyProtection="1" pivotButton="0" quotePrefix="0" xfId="31">
      <alignment vertical="center"/>
      <protection locked="0" hidden="0"/>
    </xf>
    <xf numFmtId="0" fontId="37" fillId="0" borderId="0" applyAlignment="1" pivotButton="0" quotePrefix="0" xfId="31">
      <alignment vertical="center"/>
    </xf>
    <xf numFmtId="0" fontId="36" fillId="0" borderId="0" applyAlignment="1" pivotButton="0" quotePrefix="0" xfId="31">
      <alignment vertical="center"/>
    </xf>
    <xf numFmtId="2" fontId="0" fillId="0" borderId="0" applyAlignment="1" pivotButton="0" quotePrefix="0" xfId="12">
      <alignment horizontal="center"/>
    </xf>
    <xf numFmtId="169" fontId="31" fillId="0" borderId="1" applyAlignment="1" pivotButton="0" quotePrefix="0" xfId="12">
      <alignment horizontal="left" vertical="center" wrapText="1"/>
    </xf>
    <xf numFmtId="0" fontId="3" fillId="2" borderId="0" pivotButton="0" quotePrefix="0" xfId="0"/>
    <xf numFmtId="0" fontId="38" fillId="0" borderId="1" applyAlignment="1" pivotButton="0" quotePrefix="0" xfId="7">
      <alignment horizontal="left" vertical="top" wrapText="1"/>
    </xf>
    <xf numFmtId="0" fontId="39" fillId="0" borderId="1" applyAlignment="1" pivotButton="0" quotePrefix="0" xfId="2">
      <alignment horizontal="center" vertical="center" wrapText="1"/>
    </xf>
    <xf numFmtId="0" fontId="0" fillId="0" borderId="25" applyAlignment="1" pivotButton="0" quotePrefix="0" xfId="0">
      <alignment vertical="top" wrapText="1"/>
    </xf>
    <xf numFmtId="0" fontId="0" fillId="0" borderId="2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26" applyAlignment="1" pivotButton="0" quotePrefix="0" xfId="0">
      <alignment vertical="top" wrapText="1"/>
    </xf>
    <xf numFmtId="0" fontId="23" fillId="0" borderId="3" applyAlignment="1" pivotButton="0" quotePrefix="0" xfId="16">
      <alignment horizontal="left" vertical="top" wrapText="1"/>
    </xf>
    <xf numFmtId="0" fontId="7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40" fillId="0" borderId="0" applyAlignment="1" pivotButton="0" quotePrefix="0" xfId="0">
      <alignment horizontal="left" vertical="center" indent="8"/>
    </xf>
    <xf numFmtId="0" fontId="41" fillId="0" borderId="0" applyAlignment="1" pivotButton="0" quotePrefix="0" xfId="0">
      <alignment horizontal="left" vertical="center"/>
    </xf>
    <xf numFmtId="0" fontId="34" fillId="0" borderId="0" applyAlignment="1" pivotButton="0" quotePrefix="0" xfId="2">
      <alignment vertical="center" wrapText="1"/>
    </xf>
    <xf numFmtId="164" fontId="42" fillId="0" borderId="0" pivotButton="0" quotePrefix="0" xfId="0"/>
    <xf numFmtId="2" fontId="8" fillId="0" borderId="0" applyAlignment="1" pivotButton="0" quotePrefix="0" xfId="12">
      <alignment horizontal="center"/>
    </xf>
    <xf numFmtId="0" fontId="43" fillId="2" borderId="0" applyAlignment="1" pivotButton="0" quotePrefix="0" xfId="0">
      <alignment vertical="center"/>
    </xf>
    <xf numFmtId="0" fontId="44" fillId="2" borderId="0" pivotButton="0" quotePrefix="0" xfId="0"/>
    <xf numFmtId="0" fontId="35" fillId="0" borderId="0" applyAlignment="1" pivotButton="0" quotePrefix="0" xfId="0">
      <alignment wrapText="1"/>
    </xf>
    <xf numFmtId="0" fontId="33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 wrapText="1"/>
    </xf>
    <xf numFmtId="0" fontId="5" fillId="0" borderId="0" applyAlignment="1" pivotButton="0" quotePrefix="0" xfId="7">
      <alignment horizontal="left" vertical="center" wrapText="1"/>
    </xf>
    <xf numFmtId="0" fontId="5" fillId="0" borderId="0" applyAlignment="1" pivotButton="0" quotePrefix="0" xfId="26">
      <alignment horizontal="left" vertical="center"/>
    </xf>
    <xf numFmtId="0" fontId="5" fillId="0" borderId="0" applyAlignment="1" pivotButton="0" quotePrefix="0" xfId="20">
      <alignment horizontal="lef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7">
      <alignment horizontal="left" vertical="top" wrapText="1"/>
    </xf>
    <xf numFmtId="0" fontId="5" fillId="0" borderId="0" applyAlignment="1" pivotButton="0" quotePrefix="0" xfId="7">
      <alignment horizontal="left" vertical="top"/>
    </xf>
    <xf numFmtId="0" fontId="5" fillId="0" borderId="0" applyAlignment="1" pivotButton="0" quotePrefix="0" xfId="26">
      <alignment horizontal="left"/>
    </xf>
    <xf numFmtId="170" fontId="5" fillId="0" borderId="0" applyAlignment="1" pivotButton="0" quotePrefix="0" xfId="26">
      <alignment horizontal="left" vertical="top"/>
    </xf>
    <xf numFmtId="0" fontId="5" fillId="0" borderId="0" applyAlignment="1" pivotButton="0" quotePrefix="0" xfId="26">
      <alignment horizontal="left" vertical="top"/>
    </xf>
    <xf numFmtId="171" fontId="5" fillId="0" borderId="0" applyAlignment="1" pivotButton="0" quotePrefix="0" xfId="7">
      <alignment horizontal="left" vertical="top"/>
    </xf>
    <xf numFmtId="0" fontId="5" fillId="0" borderId="0" applyAlignment="1" pivotButton="0" quotePrefix="0" xfId="17">
      <alignment horizontal="left"/>
    </xf>
    <xf numFmtId="0" fontId="5" fillId="0" borderId="0" applyAlignment="1" pivotButton="0" quotePrefix="0" xfId="7">
      <alignment horizontal="left"/>
    </xf>
    <xf numFmtId="0" fontId="5" fillId="0" borderId="0" applyAlignment="1" pivotButton="0" quotePrefix="0" xfId="7">
      <alignment horizontal="left" wrapText="1"/>
    </xf>
    <xf numFmtId="170" fontId="5" fillId="0" borderId="0" applyAlignment="1" pivotButton="0" quotePrefix="0" xfId="7">
      <alignment horizontal="left" vertical="top"/>
    </xf>
    <xf numFmtId="0" fontId="5" fillId="0" borderId="0" applyAlignment="1" pivotButton="0" quotePrefix="0" xfId="17">
      <alignment horizontal="left" vertical="center"/>
    </xf>
    <xf numFmtId="0" fontId="5" fillId="0" borderId="0" applyAlignment="1" pivotButton="0" quotePrefix="0" xfId="10">
      <alignment horizontal="left"/>
    </xf>
    <xf numFmtId="0" fontId="5" fillId="0" borderId="0" applyAlignment="1" pivotButton="0" quotePrefix="0" xfId="10">
      <alignment horizontal="left" vertical="center"/>
    </xf>
    <xf numFmtId="170" fontId="5" fillId="0" borderId="0" applyAlignment="1" pivotButton="0" quotePrefix="0" xfId="10">
      <alignment horizontal="left" vertical="top"/>
    </xf>
    <xf numFmtId="0" fontId="5" fillId="0" borderId="0" applyAlignment="1" pivotButton="0" quotePrefix="0" xfId="10">
      <alignment horizontal="left" vertical="top"/>
    </xf>
    <xf numFmtId="172" fontId="5" fillId="0" borderId="0" applyAlignment="1" pivotButton="0" quotePrefix="0" xfId="7">
      <alignment horizontal="left" vertical="top"/>
    </xf>
    <xf numFmtId="0" fontId="5" fillId="0" borderId="0" applyAlignment="1" pivotButton="0" quotePrefix="0" xfId="18">
      <alignment horizontal="left"/>
    </xf>
    <xf numFmtId="0" fontId="45" fillId="0" borderId="0" applyAlignment="1" pivotButton="0" quotePrefix="0" xfId="0">
      <alignment horizontal="left"/>
    </xf>
    <xf numFmtId="0" fontId="36" fillId="0" borderId="0" applyAlignment="1" pivotButton="0" quotePrefix="0" xfId="31">
      <alignment horizontal="left" vertical="center"/>
    </xf>
    <xf numFmtId="166" fontId="36" fillId="0" borderId="0" applyAlignment="1" pivotButton="0" quotePrefix="0" xfId="31">
      <alignment horizontal="left" vertical="center"/>
    </xf>
    <xf numFmtId="10" fontId="36" fillId="0" borderId="0" applyAlignment="1" pivotButton="0" quotePrefix="0" xfId="31">
      <alignment horizontal="left" vertical="center"/>
    </xf>
    <xf numFmtId="166" fontId="46" fillId="0" borderId="0" applyAlignment="1" pivotButton="0" quotePrefix="0" xfId="31">
      <alignment horizontal="left" vertical="center"/>
    </xf>
    <xf numFmtId="10" fontId="47" fillId="0" borderId="0" applyAlignment="1" pivotButton="0" quotePrefix="0" xfId="1">
      <alignment horizontal="left" vertical="center"/>
    </xf>
    <xf numFmtId="10" fontId="36" fillId="0" borderId="0" applyAlignment="1" pivotButton="0" quotePrefix="0" xfId="1">
      <alignment horizontal="left" vertical="center"/>
    </xf>
    <xf numFmtId="9" fontId="36" fillId="0" borderId="0" applyAlignment="1" pivotButton="0" quotePrefix="0" xfId="1">
      <alignment horizontal="left" vertical="center"/>
    </xf>
    <xf numFmtId="10" fontId="46" fillId="0" borderId="0" applyAlignment="1" pivotButton="0" quotePrefix="0" xfId="1">
      <alignment horizontal="left" vertical="center"/>
    </xf>
    <xf numFmtId="0" fontId="46" fillId="0" borderId="0" applyAlignment="1" pivotButton="0" quotePrefix="0" xfId="31">
      <alignment horizontal="left" vertical="center"/>
    </xf>
    <xf numFmtId="0" fontId="48" fillId="0" borderId="0" applyAlignment="1" pivotButton="0" quotePrefix="0" xfId="0">
      <alignment horizontal="left" wrapText="1"/>
    </xf>
    <xf numFmtId="0" fontId="48" fillId="0" borderId="0" applyAlignment="1" pivotButton="0" quotePrefix="0" xfId="0">
      <alignment horizontal="left" vertical="top" wrapText="1"/>
    </xf>
    <xf numFmtId="0" fontId="48" fillId="0" borderId="0" applyAlignment="1" pivotButton="0" quotePrefix="0" xfId="0">
      <alignment horizontal="left" vertical="center" wrapText="1"/>
    </xf>
    <xf numFmtId="171" fontId="48" fillId="0" borderId="0" applyAlignment="1" pivotButton="0" quotePrefix="0" xfId="0">
      <alignment horizontal="left" vertical="top"/>
    </xf>
    <xf numFmtId="173" fontId="48" fillId="0" borderId="0" applyAlignment="1" pivotButton="0" quotePrefix="0" xfId="0">
      <alignment horizontal="left" vertical="top"/>
    </xf>
    <xf numFmtId="170" fontId="48" fillId="0" borderId="0" applyAlignment="1" pivotButton="0" quotePrefix="0" xfId="0">
      <alignment horizontal="left" vertical="top"/>
    </xf>
    <xf numFmtId="174" fontId="48" fillId="0" borderId="0" applyAlignment="1" pivotButton="0" quotePrefix="0" xfId="0">
      <alignment horizontal="left" vertical="top"/>
    </xf>
    <xf numFmtId="172" fontId="48" fillId="0" borderId="0" applyAlignment="1" pivotButton="0" quotePrefix="0" xfId="0">
      <alignment horizontal="left" vertical="top"/>
    </xf>
    <xf numFmtId="0" fontId="48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center"/>
    </xf>
    <xf numFmtId="164" fontId="0" fillId="0" borderId="0" pivotButton="0" quotePrefix="0" xfId="0"/>
    <xf numFmtId="164" fontId="10" fillId="0" borderId="0" applyAlignment="1" pivotButton="0" quotePrefix="0" xfId="1">
      <alignment horizontal="right" vertical="top"/>
    </xf>
    <xf numFmtId="176" fontId="4" fillId="0" borderId="0" pivotButton="0" quotePrefix="0" xfId="12"/>
    <xf numFmtId="10" fontId="0" fillId="0" borderId="0" applyAlignment="1" pivotButton="0" quotePrefix="0" xfId="1">
      <alignment horizontal="center"/>
    </xf>
    <xf numFmtId="177" fontId="0" fillId="0" borderId="0" applyAlignment="1" pivotButton="0" quotePrefix="0" xfId="0">
      <alignment horizontal="center"/>
    </xf>
    <xf numFmtId="0" fontId="37" fillId="0" borderId="0" applyAlignment="1" pivotButton="0" quotePrefix="0" xfId="0">
      <alignment vertical="center"/>
    </xf>
    <xf numFmtId="0" fontId="50" fillId="9" borderId="0" applyAlignment="1" pivotButton="0" quotePrefix="0" xfId="0">
      <alignment vertical="center"/>
    </xf>
    <xf numFmtId="0" fontId="37" fillId="0" borderId="0" applyAlignment="1" applyProtection="1" pivotButton="0" quotePrefix="0" xfId="0">
      <alignment vertical="center"/>
      <protection locked="0" hidden="0"/>
    </xf>
    <xf numFmtId="0" fontId="51" fillId="0" borderId="30" applyAlignment="1" pivotButton="0" quotePrefix="0" xfId="36">
      <alignment horizontal="left" vertical="top" wrapText="1"/>
    </xf>
    <xf numFmtId="175" fontId="0" fillId="0" borderId="0" applyAlignment="1" pivotButton="0" quotePrefix="0" xfId="0">
      <alignment horizontal="center" wrapText="1"/>
    </xf>
    <xf numFmtId="0" fontId="51" fillId="0" borderId="31" applyAlignment="1" pivotButton="0" quotePrefix="0" xfId="38">
      <alignment horizontal="left" vertical="top" wrapText="1"/>
    </xf>
    <xf numFmtId="171" fontId="13" fillId="0" borderId="32" applyAlignment="1" pivotButton="0" quotePrefix="0" xfId="38">
      <alignment horizontal="right" vertical="top"/>
    </xf>
    <xf numFmtId="0" fontId="13" fillId="0" borderId="33" applyAlignment="1" pivotButton="0" quotePrefix="0" xfId="38">
      <alignment horizontal="left" vertical="top" wrapText="1"/>
    </xf>
    <xf numFmtId="0" fontId="13" fillId="0" borderId="34" applyAlignment="1" pivotButton="0" quotePrefix="0" xfId="38">
      <alignment horizontal="left" vertical="top" wrapText="1"/>
    </xf>
    <xf numFmtId="0" fontId="9" fillId="0" borderId="0" applyAlignment="1" pivotButton="0" quotePrefix="0" xfId="3">
      <alignment horizontal="left" vertical="center"/>
    </xf>
    <xf numFmtId="0" fontId="9" fillId="3" borderId="0" applyAlignment="1" pivotButton="0" quotePrefix="0" xfId="3">
      <alignment horizontal="left" vertical="center"/>
    </xf>
    <xf numFmtId="0" fontId="9" fillId="3" borderId="0" applyAlignment="1" pivotButton="0" quotePrefix="0" xfId="3">
      <alignment vertical="center"/>
    </xf>
    <xf numFmtId="0" fontId="5" fillId="3" borderId="0" pivotButton="0" quotePrefix="0" xfId="4"/>
    <xf numFmtId="0" fontId="9" fillId="3" borderId="0" applyAlignment="1" pivotButton="0" quotePrefix="0" xfId="3">
      <alignment horizontal="left"/>
    </xf>
    <xf numFmtId="0" fontId="15" fillId="3" borderId="0" pivotButton="0" quotePrefix="0" xfId="0"/>
    <xf numFmtId="0" fontId="53" fillId="3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0" borderId="0" pivotButton="0" quotePrefix="0" xfId="0"/>
    <xf numFmtId="0" fontId="58" fillId="0" borderId="0" pivotButton="0" quotePrefix="0" xfId="0"/>
    <xf numFmtId="0" fontId="59" fillId="0" borderId="0" applyAlignment="1" pivotButton="0" quotePrefix="0" xfId="0">
      <alignment horizontal="left" vertical="center" indent="8"/>
    </xf>
    <xf numFmtId="0" fontId="60" fillId="0" borderId="0" pivotButton="0" quotePrefix="0" xfId="0"/>
    <xf numFmtId="0" fontId="61" fillId="3" borderId="0" pivotButton="0" quotePrefix="0" xfId="0"/>
    <xf numFmtId="0" fontId="57" fillId="0" borderId="0" pivotButton="0" quotePrefix="0" xfId="0"/>
    <xf numFmtId="0" fontId="62" fillId="0" borderId="0" applyAlignment="1" pivotButton="0" quotePrefix="0" xfId="0">
      <alignment horizontal="left" vertical="center" indent="8"/>
    </xf>
    <xf numFmtId="0" fontId="63" fillId="0" borderId="0" pivotButton="0" quotePrefix="0" xfId="0"/>
    <xf numFmtId="0" fontId="35" fillId="2" borderId="1" applyAlignment="1" pivotButton="0" quotePrefix="0" xfId="0">
      <alignment horizontal="left" vertical="top" wrapText="1"/>
    </xf>
    <xf numFmtId="0" fontId="0" fillId="0" borderId="28" pivotButton="0" quotePrefix="0" xfId="0"/>
    <xf numFmtId="0" fontId="0" fillId="0" borderId="29" pivotButton="0" quotePrefix="0" xfId="0"/>
    <xf numFmtId="0" fontId="15" fillId="3" borderId="1" applyAlignment="1" pivotButton="0" quotePrefix="0" xfId="0">
      <alignment horizontal="left" vertical="center" wrapText="1"/>
    </xf>
    <xf numFmtId="0" fontId="33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9" fontId="21" fillId="0" borderId="7" applyAlignment="1" pivotButton="0" quotePrefix="0" xfId="1">
      <alignment horizontal="center" wrapText="1"/>
    </xf>
    <xf numFmtId="0" fontId="0" fillId="0" borderId="6" pivotButton="0" quotePrefix="0" xfId="0"/>
    <xf numFmtId="0" fontId="12" fillId="0" borderId="0" applyAlignment="1" pivotButton="0" quotePrefix="0" xfId="13">
      <alignment horizontal="center" vertical="center" wrapText="1"/>
    </xf>
    <xf numFmtId="0" fontId="0" fillId="0" borderId="0" pivotButton="0" quotePrefix="0" xfId="0"/>
    <xf numFmtId="9" fontId="21" fillId="0" borderId="2" applyAlignment="1" pivotButton="0" quotePrefix="0" xfId="1">
      <alignment horizontal="left" wrapText="1"/>
    </xf>
    <xf numFmtId="0" fontId="0" fillId="0" borderId="2" pivotButton="0" quotePrefix="0" xfId="0"/>
    <xf numFmtId="9" fontId="21" fillId="0" borderId="6" applyAlignment="1" pivotButton="0" quotePrefix="0" xfId="1">
      <alignment horizontal="center" wrapText="1"/>
    </xf>
    <xf numFmtId="2" fontId="5" fillId="0" borderId="0" applyAlignment="1" pivotButton="0" quotePrefix="0" xfId="7">
      <alignment horizontal="left" vertical="top" wrapText="1"/>
    </xf>
    <xf numFmtId="2" fontId="5" fillId="0" borderId="0" applyAlignment="1" pivotButton="0" quotePrefix="0" xfId="26">
      <alignment horizontal="left" vertical="top"/>
    </xf>
    <xf numFmtId="170" fontId="5" fillId="0" borderId="0" applyAlignment="1" pivotButton="0" quotePrefix="0" xfId="26">
      <alignment horizontal="left" vertical="top"/>
    </xf>
    <xf numFmtId="171" fontId="5" fillId="0" borderId="0" applyAlignment="1" pivotButton="0" quotePrefix="0" xfId="7">
      <alignment horizontal="left" vertical="top"/>
    </xf>
    <xf numFmtId="1" fontId="5" fillId="0" borderId="0" applyAlignment="1" pivotButton="0" quotePrefix="0" xfId="26">
      <alignment horizontal="left" vertical="top"/>
    </xf>
    <xf numFmtId="2" fontId="5" fillId="0" borderId="0" applyAlignment="1" pivotButton="0" quotePrefix="0" xfId="20">
      <alignment horizontal="left"/>
    </xf>
    <xf numFmtId="2" fontId="5" fillId="0" borderId="0" applyAlignment="1" pivotButton="0" quotePrefix="0" xfId="7">
      <alignment horizontal="left" vertical="top"/>
    </xf>
    <xf numFmtId="2" fontId="5" fillId="0" borderId="0" applyAlignment="1" pivotButton="0" quotePrefix="0" xfId="17">
      <alignment horizontal="left"/>
    </xf>
    <xf numFmtId="2" fontId="5" fillId="0" borderId="0" applyAlignment="1" pivotButton="0" quotePrefix="0" xfId="7">
      <alignment horizontal="left"/>
    </xf>
    <xf numFmtId="170" fontId="5" fillId="0" borderId="0" applyAlignment="1" pivotButton="0" quotePrefix="0" xfId="7">
      <alignment horizontal="left" vertical="top"/>
    </xf>
    <xf numFmtId="2" fontId="5" fillId="0" borderId="0" applyAlignment="1" pivotButton="0" quotePrefix="0" xfId="7">
      <alignment horizontal="left" vertical="center" wrapText="1"/>
    </xf>
    <xf numFmtId="1" fontId="5" fillId="0" borderId="0" applyAlignment="1" pivotButton="0" quotePrefix="0" xfId="7">
      <alignment horizontal="left" vertical="center" wrapText="1"/>
    </xf>
    <xf numFmtId="2" fontId="5" fillId="0" borderId="0" applyAlignment="1" pivotButton="0" quotePrefix="0" xfId="7">
      <alignment horizontal="left" wrapText="1"/>
    </xf>
    <xf numFmtId="1" fontId="5" fillId="0" borderId="0" applyAlignment="1" pivotButton="0" quotePrefix="0" xfId="7">
      <alignment horizontal="left" vertical="top"/>
    </xf>
    <xf numFmtId="1" fontId="5" fillId="0" borderId="0" applyAlignment="1" pivotButton="0" quotePrefix="0" xfId="7">
      <alignment horizontal="left"/>
    </xf>
    <xf numFmtId="170" fontId="5" fillId="0" borderId="0" applyAlignment="1" pivotButton="0" quotePrefix="0" xfId="10">
      <alignment horizontal="left" vertical="top"/>
    </xf>
    <xf numFmtId="172" fontId="5" fillId="0" borderId="0" applyAlignment="1" pivotButton="0" quotePrefix="0" xfId="7">
      <alignment horizontal="left" vertical="top"/>
    </xf>
    <xf numFmtId="0" fontId="37" fillId="10" borderId="0" applyAlignment="1" applyProtection="1" pivotButton="0" quotePrefix="0" xfId="0">
      <alignment vertical="center"/>
      <protection locked="0" hidden="0"/>
    </xf>
    <xf numFmtId="166" fontId="36" fillId="0" borderId="0" applyAlignment="1" pivotButton="0" quotePrefix="0" xfId="31">
      <alignment horizontal="left" vertical="center"/>
    </xf>
    <xf numFmtId="2" fontId="45" fillId="0" borderId="0" applyAlignment="1" pivotButton="0" quotePrefix="0" xfId="0">
      <alignment horizontal="left"/>
    </xf>
    <xf numFmtId="10" fontId="0" fillId="0" borderId="0" pivotButton="0" quotePrefix="0" xfId="0"/>
    <xf numFmtId="2" fontId="64" fillId="10" borderId="0" applyAlignment="1" pivotButton="0" quotePrefix="0" xfId="31">
      <alignment horizontal="left" vertical="center"/>
    </xf>
    <xf numFmtId="2" fontId="0" fillId="0" borderId="0" pivotButton="0" quotePrefix="0" xfId="0"/>
    <xf numFmtId="2" fontId="64" fillId="10" borderId="0" pivotButton="0" quotePrefix="0" xfId="0"/>
    <xf numFmtId="2" fontId="36" fillId="0" borderId="0" applyAlignment="1" pivotButton="0" quotePrefix="0" xfId="31">
      <alignment horizontal="left" vertical="center"/>
    </xf>
    <xf numFmtId="2" fontId="66" fillId="10" borderId="0" applyAlignment="1" pivotButton="0" quotePrefix="0" xfId="31">
      <alignment horizontal="left" vertical="center"/>
    </xf>
    <xf numFmtId="2" fontId="66" fillId="10" borderId="0" pivotButton="0" quotePrefix="0" xfId="0"/>
    <xf numFmtId="166" fontId="46" fillId="0" borderId="0" applyAlignment="1" pivotButton="0" quotePrefix="0" xfId="31">
      <alignment horizontal="left" vertical="center"/>
    </xf>
    <xf numFmtId="2" fontId="46" fillId="0" borderId="0" applyAlignment="1" pivotButton="0" quotePrefix="0" xfId="31">
      <alignment horizontal="left" vertical="center"/>
    </xf>
    <xf numFmtId="176" fontId="4" fillId="0" borderId="0" pivotButton="0" quotePrefix="0" xfId="12"/>
    <xf numFmtId="2" fontId="48" fillId="0" borderId="0" applyAlignment="1" pivotButton="0" quotePrefix="0" xfId="0">
      <alignment horizontal="left" vertical="top"/>
    </xf>
    <xf numFmtId="1" fontId="48" fillId="0" borderId="0" applyAlignment="1" pivotButton="0" quotePrefix="0" xfId="0">
      <alignment horizontal="left" vertical="top"/>
    </xf>
    <xf numFmtId="1" fontId="48" fillId="0" borderId="0" applyAlignment="1" pivotButton="0" quotePrefix="0" xfId="0">
      <alignment horizontal="left" vertical="top" wrapText="1"/>
    </xf>
    <xf numFmtId="2" fontId="48" fillId="0" borderId="0" applyAlignment="1" pivotButton="0" quotePrefix="0" xfId="0">
      <alignment horizontal="left" vertical="top" wrapText="1"/>
    </xf>
    <xf numFmtId="2" fontId="48" fillId="0" borderId="0" applyAlignment="1" pivotButton="0" quotePrefix="0" xfId="0">
      <alignment horizontal="left"/>
    </xf>
    <xf numFmtId="1" fontId="48" fillId="0" borderId="0" applyAlignment="1" pivotButton="0" quotePrefix="0" xfId="0">
      <alignment horizontal="left"/>
    </xf>
    <xf numFmtId="2" fontId="48" fillId="0" borderId="0" applyAlignment="1" pivotButton="0" quotePrefix="0" xfId="0">
      <alignment horizontal="left" vertical="center" wrapText="1"/>
    </xf>
    <xf numFmtId="1" fontId="48" fillId="0" borderId="0" applyAlignment="1" pivotButton="0" quotePrefix="0" xfId="0">
      <alignment horizontal="left" vertical="center" wrapText="1"/>
    </xf>
    <xf numFmtId="2" fontId="48" fillId="0" borderId="0" applyAlignment="1" pivotButton="0" quotePrefix="0" xfId="0">
      <alignment horizontal="left" wrapText="1"/>
    </xf>
    <xf numFmtId="171" fontId="48" fillId="0" borderId="0" applyAlignment="1" pivotButton="0" quotePrefix="0" xfId="0">
      <alignment horizontal="left" vertical="top"/>
    </xf>
    <xf numFmtId="173" fontId="48" fillId="0" borderId="0" applyAlignment="1" pivotButton="0" quotePrefix="0" xfId="0">
      <alignment horizontal="left" vertical="top"/>
    </xf>
    <xf numFmtId="170" fontId="48" fillId="0" borderId="0" applyAlignment="1" pivotButton="0" quotePrefix="0" xfId="0">
      <alignment horizontal="left" vertical="top"/>
    </xf>
    <xf numFmtId="171" fontId="13" fillId="0" borderId="32" applyAlignment="1" pivotButton="0" quotePrefix="0" xfId="38">
      <alignment horizontal="right" vertical="top"/>
    </xf>
    <xf numFmtId="175" fontId="0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0" fillId="0" borderId="0" applyAlignment="1" pivotButton="0" quotePrefix="0" xfId="1">
      <alignment horizontal="right" vertical="top"/>
    </xf>
    <xf numFmtId="164" fontId="0" fillId="0" borderId="0" pivotButton="0" quotePrefix="0" xfId="0"/>
    <xf numFmtId="164" fontId="10" fillId="0" borderId="0" applyAlignment="1" pivotButton="0" quotePrefix="0" xfId="1">
      <alignment horizontal="right" vertical="top"/>
    </xf>
    <xf numFmtId="164" fontId="0" fillId="0" borderId="0" applyAlignment="1" pivotButton="0" quotePrefix="0" xfId="0">
      <alignment horizontal="left"/>
    </xf>
    <xf numFmtId="165" fontId="0" fillId="0" borderId="0" pivotButton="0" quotePrefix="0" xfId="1"/>
    <xf numFmtId="166" fontId="0" fillId="0" borderId="0" pivotButton="0" quotePrefix="0" xfId="0"/>
    <xf numFmtId="177" fontId="0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left"/>
    </xf>
    <xf numFmtId="164" fontId="15" fillId="0" borderId="0" pivotButton="0" quotePrefix="0" xfId="0"/>
    <xf numFmtId="168" fontId="0" fillId="0" borderId="0" applyAlignment="1" pivotButton="0" quotePrefix="0" xfId="0">
      <alignment horizontal="center"/>
    </xf>
    <xf numFmtId="167" fontId="8" fillId="0" borderId="0" pivotButton="0" quotePrefix="0" xfId="0"/>
    <xf numFmtId="165" fontId="27" fillId="0" borderId="1" applyAlignment="1" pivotButton="0" quotePrefix="0" xfId="6">
      <alignment horizontal="right"/>
    </xf>
    <xf numFmtId="165" fontId="28" fillId="8" borderId="1" applyAlignment="1" pivotButton="0" quotePrefix="0" xfId="6">
      <alignment horizontal="right"/>
    </xf>
    <xf numFmtId="165" fontId="0" fillId="0" borderId="0" pivotButton="0" quotePrefix="0" xfId="23"/>
    <xf numFmtId="1" fontId="0" fillId="0" borderId="0" pivotButton="0" quotePrefix="0" xfId="0"/>
    <xf numFmtId="175" fontId="0" fillId="0" borderId="0" applyAlignment="1" pivotButton="0" quotePrefix="0" xfId="0">
      <alignment horizontal="center"/>
    </xf>
    <xf numFmtId="164" fontId="42" fillId="0" borderId="0" pivotButton="0" quotePrefix="0" xfId="0"/>
    <xf numFmtId="169" fontId="31" fillId="0" borderId="1" applyAlignment="1" pivotButton="0" quotePrefix="0" xfId="12">
      <alignment horizontal="left" vertical="center" wrapText="1"/>
    </xf>
  </cellXfs>
  <cellStyles count="40">
    <cellStyle name="Normal" xfId="0" builtinId="0"/>
    <cellStyle name="Percent" xfId="1" builtinId="5"/>
    <cellStyle name="常规_核对样本量（TO CS）" xfId="2"/>
    <cellStyle name="常规 3" xfId="3"/>
    <cellStyle name="常规 2" xfId="4"/>
    <cellStyle name="常规 4" xfId="5"/>
    <cellStyle name="百分比 2" xfId="6"/>
    <cellStyle name="Normal 2" xfId="7"/>
    <cellStyle name="Normal 3" xfId="8"/>
    <cellStyle name="Percent 2" xfId="9"/>
    <cellStyle name="Normal_reg(因子2)" xfId="10"/>
    <cellStyle name="Normal_均值" xfId="11"/>
    <cellStyle name="Comma" xfId="12" builtinId="3"/>
    <cellStyle name="Normal_uplift check" xfId="13"/>
    <cellStyle name="常规_核对均值" xfId="14"/>
    <cellStyle name="Normal_均值_v4" xfId="15"/>
    <cellStyle name="Normal_reg(因子)_v1" xfId="16"/>
    <cellStyle name="Normal_reg(因子)_v1.1" xfId="17"/>
    <cellStyle name="Normal_reg(因子)_v3.1" xfId="18"/>
    <cellStyle name="Normal_均值_v3.1" xfId="19"/>
    <cellStyle name="Normal_reg(因子)_v3.4" xfId="20"/>
    <cellStyle name="Normal_均值_v3.4" xfId="21"/>
    <cellStyle name="Normal 4" xfId="22"/>
    <cellStyle name="Percent 3" xfId="23"/>
    <cellStyle name="常规 3 2" xfId="24"/>
    <cellStyle name="常规_reg" xfId="25"/>
    <cellStyle name="Normal_reg(因子)" xfId="26"/>
    <cellStyle name="Normal 3 3" xfId="27"/>
    <cellStyle name="Percent 2 3" xfId="28"/>
    <cellStyle name="Normal 3 2" xfId="29"/>
    <cellStyle name="Percent 2 2" xfId="30"/>
    <cellStyle name="Normal 5" xfId="31"/>
    <cellStyle name="Normal 2 2" xfId="32"/>
    <cellStyle name="常规 3 3" xfId="33"/>
    <cellStyle name="Normal 3 4" xfId="34"/>
    <cellStyle name="Hyperlink 2" xfId="35"/>
    <cellStyle name="Normal_Sheet1 2" xfId="36"/>
    <cellStyle name="Normal 4 2" xfId="37"/>
    <cellStyle name="Normal_2C.均值" xfId="38"/>
    <cellStyle name="Percent 3 2" xfId="39"/>
  </cellStyles>
  <dxfs count="25"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KPI Performance Breakdown</a:t>
            </a:r>
          </a:p>
        </rich>
      </tx>
      <layout>
        <manualLayout>
          <xMode val="edge"/>
          <yMode val="edge"/>
          <wMode val="factor"/>
          <hMode val="factor"/>
          <x val="0.3834699557888844"/>
          <y val="0.0279902849069812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'2F.Results to CS_MIA'!$B$3</f>
              <strCache>
                <ptCount val="1"/>
                <pt idx="0">
                  <v>Other (No exposure)</v>
                </pt>
              </strCache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'2F.Results to CS_MIA'!$C$2:$V$2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CS_MIA'!$C$3:$V$3</f>
              <numCache>
                <formatCode>0.0%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"/>
          <order val="1"/>
          <tx>
            <strRef>
              <f>'2F.Results to CS_MIA'!$B$4</f>
              <strCache>
                <ptCount val="1"/>
                <pt idx="0">
                  <v>Campaign Impacts (contribution from exposure)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'2F.Results to CS_MIA'!$C$2:$V$2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CS_MIA'!$C$4:$V$4</f>
              <numCache>
                <formatCode>0.0%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11990304"/>
        <axId val="611988864"/>
      </barChart>
      <catAx>
        <axId val="6119903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11988864"/>
        <crosses val="autoZero"/>
        <auto val="1"/>
        <lblAlgn val="ctr"/>
        <lblOffset val="100"/>
        <noMultiLvlLbl val="0"/>
      </catAx>
      <valAx>
        <axId val="611988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119903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'2F.Results to CS_MIA'!$B$10</f>
              <strCache>
                <ptCount val="1"/>
                <pt idx="0">
                  <v>instagram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CS_MIA'!$C$10:$V$10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"/>
          <order val="1"/>
          <tx>
            <strRef>
              <f>'2F.Results to CS_MIA'!$B$11</f>
              <strCache>
                <ptCount val="1"/>
                <pt idx="0">
                  <v>youtube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CS_MIA'!$C$11:$V$11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2"/>
          <order val="2"/>
          <tx>
            <strRef>
              <f>'2F.Results to CS_MIA'!$B$12</f>
              <strCache>
                <ptCount val="1"/>
                <pt idx="0">
                  <v>tiktok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CS_MIA'!$C$12:$V$12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3"/>
          <order val="3"/>
          <tx>
            <strRef>
              <f>'2F.Results to CS_MIA'!$B$13</f>
              <strCache>
                <ptCount val="1"/>
                <pt idx="0">
                  <v>metro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CS_MIA'!$C$13:$V$13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4"/>
          <order val="4"/>
          <tx>
            <strRef>
              <f>'2F.Results to CS_MIA'!$B$14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CS_MIA'!$C$14:$V$14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5"/>
          <order val="5"/>
          <tx>
            <strRef>
              <f>'2F.Results to CS_MIA'!$B$15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CS_MIA'!$C$15:$V$15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6"/>
          <order val="6"/>
          <tx>
            <strRef>
              <f>'2F.Results to CS_MIA'!$B$16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CS_MIA'!$C$16:$V$16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7"/>
          <order val="7"/>
          <tx>
            <strRef>
              <f>'2F.Results to CS_MIA'!$B$17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CS_MIA'!$C$17:$V$17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8"/>
          <order val="8"/>
          <tx>
            <strRef>
              <f>'2F.Results to CS_MIA'!$B$18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CS_MIA'!$C$18:$V$18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9"/>
          <order val="9"/>
          <tx>
            <strRef>
              <f>'2F.Results to CS_MIA'!$B$19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CS_MIA'!$C$19:$V$19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0"/>
          <order val="10"/>
          <tx>
            <strRef>
              <f>'2F.Results to CS_MIA'!$B$20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CS_MIA'!$C$20:$V$20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1"/>
          <order val="11"/>
          <tx>
            <strRef>
              <f>'2F.Results to CS_MIA'!$B$21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CS_MIA'!$C$21:$V$21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2"/>
          <order val="12"/>
          <tx>
            <strRef>
              <f>'2F.Results to CS_MIA'!$B$22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CS_MIA'!$C$22:$V$22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3"/>
          <order val="13"/>
          <tx>
            <strRef>
              <f>'2F.Results to CS_MIA'!$B$23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CS_MIA'!$C$23:$V$23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4"/>
          <order val="14"/>
          <tx>
            <strRef>
              <f>'2F.Results to CS_MIA'!$B$24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CS_MIA'!$C$24:$V$24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5"/>
          <order val="15"/>
          <tx>
            <strRef>
              <f>'2F.Results to CS_MIA'!$B$25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4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CS_MIA'!$C$25:$V$25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6"/>
          <order val="16"/>
          <tx>
            <strRef>
              <f>'2F.Results to CS_MIA'!$B$26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5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CS_MIA'!$C$26:$V$26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7"/>
          <order val="17"/>
          <tx>
            <strRef>
              <f>'2F.Results to CS_MIA'!$B$27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6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CS_MIA'!$C$27:$V$27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8"/>
          <order val="18"/>
          <tx>
            <strRef>
              <f>'2F.Results to CS_MIA'!$B$28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CS_MIA'!$C$9:$V$9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CS_MIA'!$C$28:$V$28</f>
              <numCache>
                <formatCode>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651306912"/>
        <axId val="1651307392"/>
      </barChart>
      <catAx>
        <axId val="16513069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51307392"/>
        <crosses val="autoZero"/>
        <auto val="1"/>
        <lblAlgn val="ctr"/>
        <lblOffset val="100"/>
        <noMultiLvlLbl val="0"/>
      </catAx>
      <valAx>
        <axId val="1651307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513069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ubbleChart>
        <varyColors val="0"/>
        <ser>
          <idx val="0"/>
          <order val="0"/>
          <tx>
            <strRef>
              <f>'2F.Results to CS_ROE SCAN'!$C$126</f>
              <strCache>
                <ptCount val="1"/>
                <pt idx="0">
                  <v>Brand Awareness</v>
                </pt>
              </strCache>
            </strRef>
          </tx>
          <spPr>
            <a:solidFill xmlns:a="http://schemas.openxmlformats.org/drawingml/2006/main">
              <a:schemeClr val="accent1">
                <a:alpha val="75000"/>
              </a:schemeClr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xVal>
            <numRef>
              <f>'2F.Results to CS_ROE SCAN'!$C$88:$C$106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xVal>
          <yVal>
            <numRef>
              <f>'2F.Results to CS_ROE SCAN'!$C$127:$C$145</f>
              <numCache>
                <formatCode>_(* #,##0.00_);_(* \(#,##0.00\);_(* "-"??_);_(@_)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yVal>
          <bubbleSize>
            <numRef>
              <f>'2F.Results to CS_ROE SCAN'!$C$49:$C$67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bubbleSize>
          <bubble3D val="0"/>
        </ser>
        <dLbls>
          <showLegendKey val="0"/>
          <showVal val="0"/>
          <showCatName val="0"/>
          <showSerName val="0"/>
          <showPercent val="0"/>
          <showBubbleSize val="0"/>
        </dLbls>
        <bubbleScale val="100"/>
        <showNegBubbles val="0"/>
        <axId val="1645756240"/>
        <axId val="1645762960"/>
      </bubbleChart>
      <valAx>
        <axId val="16457562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62960"/>
        <crosses val="autoZero"/>
        <crossBetween val="midCat"/>
      </valAx>
      <valAx>
        <axId val="16457629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5624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KPI Performance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'2F.Results to CS_ROE SCAN'!$B$3</f>
              <strCache>
                <ptCount val="1"/>
                <pt idx="0">
                  <v>Other (No exposure)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SCAN'!$C$2:$V$2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CS_ROE SCAN'!$C$3:$V$3</f>
              <numCache>
                <formatCode>0.0%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ser>
          <idx val="1"/>
          <order val="1"/>
          <tx>
            <strRef>
              <f>'2F.Results to CS_ROE SCAN'!$B$4</f>
              <strCache>
                <ptCount val="1"/>
                <pt idx="0">
                  <v>Campaign Impacts (contribution from exposure)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SCAN'!$C$2:$V$2</f>
              <strCache>
                <ptCount val="20"/>
                <pt idx="0">
                  <v>Brand Awareness</v>
                </pt>
                <pt idx="1">
                  <v>Brand Familiarity</v>
                </pt>
                <pt idx="2">
                  <v>Brand Consideration</v>
                </pt>
                <pt idx="3">
                  <v>Outstanding performance in taking portraits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strCache>
            </strRef>
          </cat>
          <val>
            <numRef>
              <f>'2F.Results to CS_ROE SCAN'!$C$4:$V$4</f>
              <numCache>
                <formatCode>0.0%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109765599"/>
        <axId val="2109767519"/>
      </barChart>
      <catAx>
        <axId val="21097655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09767519"/>
        <crosses val="autoZero"/>
        <auto val="1"/>
        <lblAlgn val="ctr"/>
        <lblOffset val="100"/>
        <noMultiLvlLbl val="0"/>
      </catAx>
      <valAx>
        <axId val="210976751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0976559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percentStacked"/>
        <varyColors val="0"/>
        <ser>
          <idx val="0"/>
          <order val="0"/>
          <tx>
            <strRef>
              <f>'2F.Results to CS_ROE SCAN'!$C$9</f>
              <strCache>
                <ptCount val="1"/>
                <pt idx="0">
                  <v>Brand Awareness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SCAN'!$C$10:$C$28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"/>
          <order val="1"/>
          <tx>
            <strRef>
              <f>'2F.Results to CS_ROE SCAN'!$D$9</f>
              <strCache>
                <ptCount val="1"/>
                <pt idx="0">
                  <v>Brand Familiarity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SCAN'!$D$10:$D$28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2"/>
          <order val="2"/>
          <tx>
            <strRef>
              <f>'2F.Results to CS_ROE SCAN'!$E$9</f>
              <strCache>
                <ptCount val="1"/>
                <pt idx="0">
                  <v>Brand Consideration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SCAN'!$E$10:$E$28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3"/>
          <order val="3"/>
          <tx>
            <strRef>
              <f>'2F.Results to CS_ROE SCAN'!$F$9</f>
              <strCache>
                <ptCount val="1"/>
                <pt idx="0">
                  <v>Outstanding performance in taking portraits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SCAN'!$F$10:$F$28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4"/>
          <order val="4"/>
          <tx>
            <strRef>
              <f>'2F.Results to CS_ROE SCAN'!$G$9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SCAN'!$G$10:$G$28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5"/>
          <order val="5"/>
          <tx>
            <strRef>
              <f>'2F.Results to CS_ROE SCAN'!$H$9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SCAN'!$H$10:$H$28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6"/>
          <order val="6"/>
          <tx>
            <strRef>
              <f>'2F.Results to CS_ROE SCAN'!$I$9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SCAN'!$I$10:$I$28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7"/>
          <order val="7"/>
          <tx>
            <strRef>
              <f>'2F.Results to CS_ROE SCAN'!$J$9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SCAN'!$J$10:$J$28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8"/>
          <order val="8"/>
          <tx>
            <strRef>
              <f>'2F.Results to CS_ROE SCAN'!$K$9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SCAN'!$K$10:$K$28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9"/>
          <order val="9"/>
          <tx>
            <strRef>
              <f>'2F.Results to CS_ROE SCAN'!$L$9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SCAN'!$L$10:$L$28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0"/>
          <order val="10"/>
          <tx>
            <strRef>
              <f>'2F.Results to CS_ROE SCAN'!$M$9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SCAN'!$M$10:$M$28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1"/>
          <order val="11"/>
          <tx>
            <strRef>
              <f>'2F.Results to CS_ROE SCAN'!$N$9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SCAN'!$N$10:$N$28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2"/>
          <order val="12"/>
          <tx>
            <strRef>
              <f>'2F.Results to CS_ROE SCAN'!$O$9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SCAN'!$O$10:$O$28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3"/>
          <order val="13"/>
          <tx>
            <strRef>
              <f>'2F.Results to CS_ROE SCAN'!$P$9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SCAN'!$P$10:$P$28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4"/>
          <order val="14"/>
          <tx>
            <strRef>
              <f>'2F.Results to CS_ROE SCAN'!$Q$9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SCAN'!$Q$10:$Q$28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5"/>
          <order val="15"/>
          <tx>
            <strRef>
              <f>'2F.Results to CS_ROE SCAN'!$R$9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4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SCAN'!$R$10:$R$28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6"/>
          <order val="16"/>
          <tx>
            <strRef>
              <f>'2F.Results to CS_ROE SCAN'!$S$9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5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SCAN'!$S$10:$S$28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7"/>
          <order val="17"/>
          <tx>
            <strRef>
              <f>'2F.Results to CS_ROE SCAN'!$T$9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6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SCAN'!$T$10:$T$28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8"/>
          <order val="18"/>
          <tx>
            <strRef>
              <f>'2F.Results to CS_ROE SCAN'!$U$9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SCAN'!$U$10:$U$28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ser>
          <idx val="19"/>
          <order val="19"/>
          <tx>
            <strRef>
              <f>'2F.Results to CS_ROE SCAN'!$V$9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'2F.Results to CS_ROE SCAN'!$B$10:$B$28</f>
              <strCache>
                <ptCount val="19"/>
                <pt idx="0">
                  <v>instagram</v>
                </pt>
                <pt idx="1">
                  <v>youtube</v>
                </pt>
                <pt idx="2">
                  <v>tiktok</v>
                </pt>
                <pt idx="3">
                  <v>metro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strCache>
            </strRef>
          </cat>
          <val>
            <numRef>
              <f>'2F.Results to CS_ROE SCAN'!$V$10:$V$28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42345711"/>
        <axId val="142350991"/>
      </barChart>
      <catAx>
        <axId val="1423457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42350991"/>
        <crosses val="autoZero"/>
        <auto val="1"/>
        <lblAlgn val="ctr"/>
        <lblOffset val="100"/>
        <noMultiLvlLbl val="0"/>
      </catAx>
      <valAx>
        <axId val="1423509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423457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ubbleChart>
        <varyColors val="0"/>
        <ser>
          <idx val="0"/>
          <order val="0"/>
          <tx>
            <strRef>
              <f>'2F.Results to CS_ROE SCAN'!$D$126</f>
              <strCache>
                <ptCount val="1"/>
                <pt idx="0">
                  <v>Brand Familiarity</v>
                </pt>
              </strCache>
            </strRef>
          </tx>
          <spPr>
            <a:solidFill xmlns:a="http://schemas.openxmlformats.org/drawingml/2006/main">
              <a:schemeClr val="accent1">
                <a:alpha val="75000"/>
              </a:schemeClr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xVal>
            <numRef>
              <f>'2F.Results to CS_ROE SCAN'!$D$88:$D$106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xVal>
          <yVal>
            <numRef>
              <f>'2F.Results to CS_ROE SCAN'!$D$127:$D$145</f>
              <numCache>
                <formatCode>_(* #,##0.00_);_(* \(#,##0.00\);_(* "-"??_);_(@_)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yVal>
          <bubbleSize>
            <numRef>
              <f>'2F.Results to CS_ROE SCAN'!$D$49:$D$67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bubbleSize>
          <bubble3D val="0"/>
        </ser>
        <dLbls>
          <showLegendKey val="0"/>
          <showVal val="0"/>
          <showCatName val="0"/>
          <showSerName val="0"/>
          <showPercent val="0"/>
          <showBubbleSize val="0"/>
        </dLbls>
        <bubbleScale val="100"/>
        <showNegBubbles val="0"/>
        <axId val="1645756240"/>
        <axId val="1645762960"/>
      </bubbleChart>
      <valAx>
        <axId val="16457562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62960"/>
        <crosses val="autoZero"/>
        <crossBetween val="midCat"/>
      </valAx>
      <valAx>
        <axId val="16457629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5624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ubbleChart>
        <varyColors val="0"/>
        <ser>
          <idx val="0"/>
          <order val="0"/>
          <tx>
            <strRef>
              <f>'2F.Results to CS_ROE SCAN'!$E$126</f>
              <strCache>
                <ptCount val="1"/>
                <pt idx="0">
                  <v>Brand Consideration</v>
                </pt>
              </strCache>
            </strRef>
          </tx>
          <spPr>
            <a:solidFill xmlns:a="http://schemas.openxmlformats.org/drawingml/2006/main">
              <a:schemeClr val="accent1">
                <a:alpha val="75000"/>
              </a:schemeClr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xVal>
            <numRef>
              <f>'2F.Results to CS_ROE SCAN'!$E$88:$E$106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xVal>
          <yVal>
            <numRef>
              <f>'2F.Results to CS_ROE SCAN'!$E$127:$E$145</f>
              <numCache>
                <formatCode>_(* #,##0.00_);_(* \(#,##0.00\);_(* "-"??_);_(@_)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yVal>
          <bubbleSize>
            <numRef>
              <f>'2F.Results to CS_ROE SCAN'!$E$49:$E$67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bubbleSize>
          <bubble3D val="0"/>
        </ser>
        <dLbls>
          <showLegendKey val="0"/>
          <showVal val="0"/>
          <showCatName val="0"/>
          <showSerName val="0"/>
          <showPercent val="0"/>
          <showBubbleSize val="0"/>
        </dLbls>
        <bubbleScale val="100"/>
        <showNegBubbles val="0"/>
        <axId val="1645756240"/>
        <axId val="1645762960"/>
      </bubbleChart>
      <valAx>
        <axId val="16457562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62960"/>
        <crosses val="autoZero"/>
        <crossBetween val="midCat"/>
      </valAx>
      <valAx>
        <axId val="16457629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5624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ubbleChart>
        <varyColors val="0"/>
        <ser>
          <idx val="0"/>
          <order val="0"/>
          <tx>
            <strRef>
              <f>'2F.Results to CS_ROE SCAN'!$F$126</f>
              <strCache>
                <ptCount val="1"/>
                <pt idx="0">
                  <v>Outstanding performance in taking portraits</v>
                </pt>
              </strCache>
            </strRef>
          </tx>
          <spPr>
            <a:solidFill xmlns:a="http://schemas.openxmlformats.org/drawingml/2006/main">
              <a:schemeClr val="accent1">
                <a:alpha val="75000"/>
              </a:schemeClr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xVal>
            <numRef>
              <f>'2F.Results to CS_ROE SCAN'!$F$88:$F$106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xVal>
          <yVal>
            <numRef>
              <f>'2F.Results to CS_ROE SCAN'!$F$127:$F$145</f>
              <numCache>
                <formatCode>_(* #,##0.00_);_(* \(#,##0.00\);_(* "-"??_);_(@_)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yVal>
          <bubbleSize>
            <numRef>
              <f>'2F.Results to CS_ROE SCAN'!$F$49:$F$67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bubbleSize>
          <bubble3D val="0"/>
        </ser>
        <dLbls>
          <showLegendKey val="0"/>
          <showVal val="0"/>
          <showCatName val="0"/>
          <showSerName val="0"/>
          <showPercent val="0"/>
          <showBubbleSize val="0"/>
        </dLbls>
        <bubbleScale val="100"/>
        <showNegBubbles val="0"/>
        <axId val="1645756240"/>
        <axId val="1645762960"/>
      </bubbleChart>
      <valAx>
        <axId val="16457562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62960"/>
        <crosses val="autoZero"/>
        <crossBetween val="midCat"/>
      </valAx>
      <valAx>
        <axId val="16457629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5624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ubbleChart>
        <varyColors val="0"/>
        <ser>
          <idx val="0"/>
          <order val="0"/>
          <tx>
            <strRef>
              <f>'2F.Results to CS_ROE SCAN'!$G$126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1">
                <a:alpha val="75000"/>
              </a:schemeClr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xVal>
            <numRef>
              <f>'2F.Results to CS_ROE SCAN'!$G$88:$G$106</f>
            </numRef>
          </xVal>
          <yVal>
            <numRef>
              <f>'2F.Results to CS_ROE SCAN'!$G$127:$G$145</f>
              <numCache>
                <formatCode>_(* #,##0.00_);_(* \(#,##0.00\);_(* "-"??_);_(@_)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yVal>
          <bubbleSize>
            <numRef>
              <f>'2F.Results to CS_ROE SCAN'!$G$49:$G$67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bubbleSize>
          <bubble3D val="0"/>
        </ser>
        <dLbls>
          <showLegendKey val="0"/>
          <showVal val="0"/>
          <showCatName val="0"/>
          <showSerName val="0"/>
          <showPercent val="0"/>
          <showBubbleSize val="0"/>
        </dLbls>
        <bubbleScale val="100"/>
        <showNegBubbles val="0"/>
        <axId val="1645756240"/>
        <axId val="1645762960"/>
      </bubbleChart>
      <valAx>
        <axId val="16457562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62960"/>
        <crosses val="autoZero"/>
        <crossBetween val="midCat"/>
      </valAx>
      <valAx>
        <axId val="16457629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5624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ubbleChart>
        <varyColors val="0"/>
        <ser>
          <idx val="0"/>
          <order val="0"/>
          <tx>
            <strRef>
              <f>'2F.Results to CS_ROE SCAN'!$H$126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1">
                <a:alpha val="75000"/>
              </a:schemeClr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xVal>
            <numRef>
              <f>'2F.Results to CS_ROE SCAN'!$H$88:$H$106</f>
            </numRef>
          </xVal>
          <yVal>
            <numRef>
              <f>'2F.Results to CS_ROE SCAN'!$H$127:$H$145</f>
              <numCache>
                <formatCode>_(* #,##0.00_);_(* \(#,##0.00\);_(* "-"??_);_(@_)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yVal>
          <bubbleSize>
            <numRef>
              <f>'2F.Results to CS_ROE SCAN'!$H$49:$H$67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bubbleSize>
          <bubble3D val="0"/>
        </ser>
        <dLbls>
          <showLegendKey val="0"/>
          <showVal val="0"/>
          <showCatName val="0"/>
          <showSerName val="0"/>
          <showPercent val="0"/>
          <showBubbleSize val="0"/>
        </dLbls>
        <bubbleScale val="100"/>
        <showNegBubbles val="0"/>
        <axId val="1645756240"/>
        <axId val="1645762960"/>
      </bubbleChart>
      <valAx>
        <axId val="16457562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62960"/>
        <crosses val="autoZero"/>
        <crossBetween val="midCat"/>
      </valAx>
      <valAx>
        <axId val="16457629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5624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ubbleChart>
        <varyColors val="0"/>
        <ser>
          <idx val="0"/>
          <order val="0"/>
          <tx>
            <strRef>
              <f>'2F.Results to CS_ROE SCAN'!$I$126</f>
              <strCache>
                <ptCount val="1"/>
                <pt idx="0">
                  <v>0</v>
                </pt>
              </strCache>
            </strRef>
          </tx>
          <spPr>
            <a:solidFill xmlns:a="http://schemas.openxmlformats.org/drawingml/2006/main">
              <a:schemeClr val="accent1">
                <a:alpha val="75000"/>
              </a:schemeClr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4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6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7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xVal>
            <numRef>
              <f>'2F.Results to CS_ROE SCAN'!$I$88:$I$106</f>
            </numRef>
          </xVal>
          <yVal>
            <numRef>
              <f>'2F.Results to CS_ROE SCAN'!$I$127:$I$145</f>
              <numCache>
                <formatCode>_(* #,##0.00_);_(* \(#,##0.00\);_(* "-"??_);_(@_)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yVal>
          <bubbleSize>
            <numRef>
              <f>'2F.Results to CS_ROE SCAN'!$I$49:$I$67</f>
              <numCache>
                <formatCode>0%</formatCode>
                <ptCount val="1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bubbleSize>
          <bubble3D val="0"/>
        </ser>
        <dLbls>
          <showLegendKey val="0"/>
          <showVal val="0"/>
          <showCatName val="0"/>
          <showSerName val="0"/>
          <showPercent val="0"/>
          <showBubbleSize val="0"/>
        </dLbls>
        <bubbleScale val="100"/>
        <showNegBubbles val="0"/>
        <axId val="1645756240"/>
        <axId val="1645762960"/>
      </bubbleChart>
      <valAx>
        <axId val="164575624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62960"/>
        <crosses val="autoZero"/>
        <crossBetween val="midCat"/>
      </valAx>
      <valAx>
        <axId val="164576296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4575624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/Relationships>
</file>

<file path=xl/drawings/drawing1.xml><?xml version="1.0" encoding="utf-8"?>
<wsDr xmlns="http://schemas.openxmlformats.org/drawingml/2006/spreadsheetDrawing">
  <twoCellAnchor editAs="oneCell">
    <from>
      <col>14</col>
      <colOff>207997</colOff>
      <row>15</row>
      <rowOff>220186</rowOff>
    </from>
    <to>
      <col>16</col>
      <colOff>327526</colOff>
      <row>21</row>
      <rowOff>60913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82602" y="3228081"/>
          <a:ext cx="1439661" cy="9686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20</row>
      <rowOff>67237</rowOff>
    </from>
    <to>
      <col>4</col>
      <colOff>592178</colOff>
      <row>25</row>
      <rowOff>67236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4064002"/>
          <a:ext cx="3356296" cy="8964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309888</colOff>
      <row>8</row>
      <rowOff>4124</rowOff>
    </from>
    <to>
      <col>13</col>
      <colOff>585611</colOff>
      <row>12</row>
      <rowOff>101549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405888" y="1473695"/>
          <a:ext cx="2924580" cy="10227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52</col>
      <colOff>669018</colOff>
      <row>0</row>
      <rowOff>301625</rowOff>
    </from>
    <to>
      <col>65</col>
      <colOff>38553</colOff>
      <row>10</row>
      <rowOff>81643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52</col>
      <colOff>612321</colOff>
      <row>15</row>
      <rowOff>45810</rowOff>
    </from>
    <to>
      <col>65</col>
      <colOff>598715</colOff>
      <row>33</row>
      <rowOff>201839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</col>
      <colOff>170844</colOff>
      <row>168</row>
      <rowOff>169785</rowOff>
    </from>
    <to>
      <col>4</col>
      <colOff>367698</colOff>
      <row>183</row>
      <rowOff>48625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54</col>
      <colOff>446991</colOff>
      <row>0</row>
      <rowOff>279711</rowOff>
    </from>
    <to>
      <col>72</col>
      <colOff>317501</colOff>
      <row>14</row>
      <rowOff>169645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54</col>
      <colOff>450104</colOff>
      <row>18</row>
      <rowOff>57587</rowOff>
    </from>
    <to>
      <col>72</col>
      <colOff>432673</colOff>
      <row>40</row>
      <rowOff>7783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5</col>
      <colOff>386292</colOff>
      <row>168</row>
      <rowOff>105833</rowOff>
    </from>
    <to>
      <col>12</col>
      <colOff>138646</colOff>
      <row>182</row>
      <rowOff>169881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13</col>
      <colOff>259291</colOff>
      <row>168</row>
      <rowOff>105833</rowOff>
    </from>
    <to>
      <col>20</col>
      <colOff>138646</colOff>
      <row>182</row>
      <rowOff>169881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</col>
      <colOff>148166</colOff>
      <row>189</row>
      <rowOff>105834</rowOff>
    </from>
    <to>
      <col>4</col>
      <colOff>345020</colOff>
      <row>204</row>
      <rowOff>169882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5</col>
      <colOff>386292</colOff>
      <row>190</row>
      <rowOff>0</rowOff>
    </from>
    <to>
      <col>12</col>
      <colOff>138646</colOff>
      <row>205</row>
      <rowOff>64048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13</col>
      <colOff>259291</colOff>
      <row>190</row>
      <rowOff>132292</rowOff>
    </from>
    <to>
      <col>20</col>
      <colOff>138646</colOff>
      <row>206</row>
      <rowOff>11131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21</col>
      <colOff>591851</colOff>
      <row>190</row>
      <rowOff>63951</rowOff>
    </from>
    <to>
      <col>28</col>
      <colOff>445154</colOff>
      <row>205</row>
      <rowOff>147538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2:O30"/>
  <sheetViews>
    <sheetView showGridLines="0" zoomScale="70" workbookViewId="0">
      <selection activeCell="Q12" sqref="Q12"/>
    </sheetView>
  </sheetViews>
  <sheetFormatPr baseColWidth="8" defaultRowHeight="14"/>
  <cols>
    <col width="10.4140625" customWidth="1" style="179" min="1" max="1"/>
  </cols>
  <sheetData>
    <row r="2" ht="15.75" customHeight="1" s="179">
      <c r="B2" s="92" t="inlineStr">
        <is>
          <t>这个文件主要用来整理MIA回归模型的结果，更新成给CS的模板</t>
        </is>
      </c>
      <c r="C2" s="93" t="n"/>
      <c r="D2" s="93" t="n"/>
      <c r="E2" s="93" t="n"/>
      <c r="F2" s="93" t="n"/>
      <c r="G2" s="93" t="n"/>
      <c r="H2" s="93" t="n"/>
      <c r="I2" s="93" t="n"/>
      <c r="J2" s="93" t="n"/>
      <c r="K2" s="93" t="n"/>
      <c r="L2" s="93" t="n"/>
      <c r="M2" s="93" t="n"/>
    </row>
    <row r="3">
      <c r="B3" s="87" t="inlineStr">
        <is>
          <t>•         自动更新"2A 回归Syntax"，Column A为X变量，Column B为Y变量（填充回归变量，多组回归同时进行时，按每组间间隔三行的形式向下填充）</t>
        </is>
      </c>
    </row>
    <row r="4">
      <c r="B4" s="87" t="inlineStr">
        <is>
          <t>•        自动更新 2A Regression、2B RotationRule、2B FL、2C 均值、seenvsnoseen、Sample_Check</t>
        </is>
      </c>
    </row>
    <row r="5">
      <c r="B5" s="87" t="inlineStr">
        <is>
          <t>•        需要维护2A 回归syntax C列及以后的公式</t>
        </is>
      </c>
    </row>
    <row r="6">
      <c r="B6" s="87" t="inlineStr">
        <is>
          <t>•        更新“2D Mapping“，column A填写"2A Regression结果"对应的regression第几个regression结果表格（column L），column B填写table 对应的KPI，column C填写这个KPI是基于Total样本or部分样本</t>
        </is>
      </c>
    </row>
    <row r="7">
      <c r="B7" s="87" t="inlineStr">
        <is>
          <t>•        2E.Analysis_MIA中，需要手动填写B列黄色部分(指回归x变量中除了factor以外的部分）</t>
        </is>
      </c>
    </row>
    <row r="8">
      <c r="B8" s="87" t="n"/>
    </row>
    <row r="9" ht="22.5" customHeight="1" s="179">
      <c r="B9" s="164" t="inlineStr">
        <is>
          <t>使用前需要先手动写的部分：</t>
        </is>
      </c>
      <c r="O9" t="inlineStr">
        <is>
          <t>G列是用于和运行时的变量名对照的，如果能完全保证顺序一致，不写也可以</t>
        </is>
      </c>
    </row>
    <row r="10" ht="17.5" customHeight="1" s="179">
      <c r="B10" s="165" t="inlineStr">
        <is>
          <t>2D Mapping中两列变量名称列（写希望交付结果时显示的变量名）</t>
        </is>
      </c>
      <c r="C10" s="158" t="n"/>
      <c r="D10" s="158" t="n"/>
      <c r="E10" s="158" t="n"/>
      <c r="F10" s="158" t="n"/>
      <c r="G10" s="158" t="n"/>
    </row>
    <row r="11" ht="17.5" customHeight="1" s="179">
      <c r="B11" s="165" t="inlineStr">
        <is>
          <t>2E.Analysis_MIA/2E.ROE Scan中最左侧黄色方块（Brand dispo）</t>
        </is>
      </c>
      <c r="C11" s="158" t="n"/>
      <c r="D11" s="158" t="n"/>
      <c r="E11" s="158" t="n"/>
      <c r="F11" s="158" t="n"/>
      <c r="G11" s="158" t="n"/>
    </row>
    <row r="12">
      <c r="B12" s="87" t="inlineStr">
        <is>
          <t>写入之后，2E中对应的图表才能分别出现变量名和数值</t>
        </is>
      </c>
    </row>
    <row r="13">
      <c r="B13" s="87" t="n"/>
    </row>
    <row r="14">
      <c r="B14" s="87" t="n"/>
    </row>
    <row r="15" ht="29" customHeight="1" s="179">
      <c r="A15" s="160" t="inlineStr">
        <is>
          <t>不适用的情况：</t>
        </is>
      </c>
      <c r="B15" s="87" t="n"/>
    </row>
    <row r="16" ht="20" customHeight="1" s="179">
      <c r="A16" s="161" t="inlineStr">
        <is>
          <t>跑一次整个流程时，如果同时存在reg1，reg2…..那么他们的ind必须同时含同一个Brand dispo或者同时不含Brand dispo</t>
        </is>
      </c>
      <c r="B16" s="87" t="n"/>
    </row>
    <row r="17">
      <c r="B17" s="87" t="n"/>
    </row>
    <row r="18" customFormat="1" s="162">
      <c r="A18" s="162" t="inlineStr">
        <is>
          <t>因为2E中，有如图的约束（取0/1），如果我们运行时2A中得到的reg结果是同时存在：含不同的Brand dispo或者不含，会和该约束产生冲突，数据出错</t>
        </is>
      </c>
      <c r="B18" s="163" t="n"/>
    </row>
    <row r="20">
      <c r="A20" t="inlineStr">
        <is>
          <t>在2E从2A中读取回归结果时，实际上只会从A列读取第一次出现的kpi</t>
        </is>
      </c>
      <c r="B20" s="87" t="n"/>
    </row>
    <row r="22">
      <c r="F22" t="inlineStr">
        <is>
          <t>可以看到变量名相同时，数据都一样，也就是说如果reg2和reg1用同样的y变量就可能不被识别</t>
        </is>
      </c>
    </row>
    <row r="27" ht="17.5" customHeight="1" s="179">
      <c r="A27" s="159" t="inlineStr">
        <is>
          <t>建议：</t>
        </is>
      </c>
      <c r="B27" s="159" t="n"/>
      <c r="C27" s="159" t="n"/>
      <c r="D27" s="159" t="n"/>
      <c r="E27" s="159" t="n"/>
    </row>
    <row r="28" ht="17.5" customHeight="1" s="179">
      <c r="A28" s="159" t="inlineStr">
        <is>
          <t>1.ind相同时，可以只跑一组reg，罗列dep就可以</t>
        </is>
      </c>
      <c r="B28" s="159" t="n"/>
      <c r="C28" s="159" t="n"/>
      <c r="D28" s="159" t="n"/>
      <c r="E28" s="159" t="n"/>
    </row>
    <row r="29" ht="17.5" customHeight="1" s="179">
      <c r="A29" s="166" t="inlineStr">
        <is>
          <t>在运行时要注意config参数和Brand dispo的配套</t>
        </is>
      </c>
      <c r="B29" s="167" t="n"/>
      <c r="C29" s="159" t="n"/>
      <c r="D29" s="159" t="n"/>
      <c r="E29" s="159" t="n"/>
    </row>
    <row r="30" ht="17.5" customHeight="1" s="179">
      <c r="A30" s="159" t="n"/>
      <c r="B30" s="159" t="n"/>
      <c r="C30" s="159" t="n"/>
      <c r="D30" s="159" t="n"/>
      <c r="E30" s="159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3">
    <tabColor theme="1"/>
    <outlinePr summaryBelow="1" summaryRight="1"/>
    <pageSetUpPr/>
  </sheetPr>
  <dimension ref="A1:E40"/>
  <sheetViews>
    <sheetView zoomScale="80" zoomScaleNormal="80" workbookViewId="0">
      <selection activeCell="B14" sqref="B14"/>
    </sheetView>
  </sheetViews>
  <sheetFormatPr baseColWidth="8" defaultColWidth="9" defaultRowHeight="14"/>
  <cols>
    <col width="24.58203125" customWidth="1" style="23" min="1" max="1"/>
    <col width="36.58203125" customWidth="1" style="152" min="2" max="2"/>
    <col width="45.4140625" customWidth="1" style="23" min="3" max="3"/>
    <col width="9" customWidth="1" style="23" min="4" max="8"/>
    <col width="9" customWidth="1" style="23" min="9" max="16384"/>
  </cols>
  <sheetData>
    <row r="1">
      <c r="A1" s="23" t="inlineStr">
        <is>
          <t>X变量</t>
        </is>
      </c>
      <c r="B1" s="152" t="inlineStr">
        <is>
          <t>Y变量</t>
        </is>
      </c>
      <c r="C1" s="24" t="inlineStr">
        <is>
          <t>SYNTAX1</t>
        </is>
      </c>
    </row>
    <row r="2">
      <c r="A2" s="154" t="inlineStr">
        <is>
          <t>bumo</t>
        </is>
      </c>
      <c r="B2" s="86" t="inlineStr">
        <is>
          <t>dOEK1K2001</t>
        </is>
      </c>
      <c r="C2" s="25">
        <f>"REGRESSION 
  /MISSING PAIRWISE 
  /STATISTICS COEFF OUTS R ANOVA 
  /CRITERIA=PIN(.05) POUT(.10) 
  /NOORIGIN 
  /DEPENDENT "&amp;B2&amp;"
  /METHOD=ENTER  "&amp;_xlfn.TEXTJOIN(" ",,$A$2:$A$40) &amp;".
"</f>
        <v/>
      </c>
    </row>
    <row r="3">
      <c r="A3" s="154" t="inlineStr">
        <is>
          <t>Factor1</t>
        </is>
      </c>
      <c r="B3" s="86" t="inlineStr">
        <is>
          <t>dK801</t>
        </is>
      </c>
      <c r="C3" s="25">
        <f>"REGRESSION 
  /MISSING PAIRWISE 
  /STATISTICS COEFF OUTS R ANOVA 
  /CRITERIA=PIN(.05) POUT(.10) 
  /NOORIGIN 
  /DEPENDENT "&amp;B3&amp;"
  /METHOD=ENTER  "&amp;_xlfn.TEXTJOIN(" ",,$A$2:$A$12) &amp;".
"</f>
        <v/>
      </c>
    </row>
    <row r="4">
      <c r="A4" s="154" t="inlineStr">
        <is>
          <t>Factor2</t>
        </is>
      </c>
      <c r="B4" s="86" t="inlineStr">
        <is>
          <t>dIM1_Flip_V1_Slice06</t>
        </is>
      </c>
      <c r="C4" s="25">
        <f>"REGRESSION 
  /MISSING PAIRWISE 
  /STATISTICS COEFF OUTS R ANOVA 
  /CRITERIA=PIN(.05) POUT(.10) 
  /NOORIGIN 
  /DEPENDENT "&amp;B4&amp;"
  /METHOD=ENTER  "&amp;_xlfn.TEXTJOIN(" ",,$A$2:$A$12) &amp;".
"</f>
        <v/>
      </c>
    </row>
    <row r="5">
      <c r="A5" s="154" t="inlineStr">
        <is>
          <t>Factor3</t>
        </is>
      </c>
      <c r="B5" s="86" t="inlineStr">
        <is>
          <t>dIM1_Flip_V1_Slice04</t>
        </is>
      </c>
      <c r="C5" s="25">
        <f>"REGRESSION 
  /MISSING PAIRWISE 
  /STATISTICS COEFF OUTS R ANOVA 
  /CRITERIA=PIN(.05) POUT(.10) 
  /NOORIGIN 
  /DEPENDENT "&amp;B5&amp;"
  /METHOD=ENTER  "&amp;_xlfn.TEXTJOIN(" ",,$A$2:$A$12) &amp;".
"</f>
        <v/>
      </c>
    </row>
    <row r="6">
      <c r="A6" s="154" t="inlineStr">
        <is>
          <t>Factor4</t>
        </is>
      </c>
      <c r="B6" s="96" t="n"/>
      <c r="C6" s="25">
        <f>"REGRESSION 
  /MISSING PAIRWISE 
  /STATISTICS COEFF OUTS R ANOVA 
  /CRITERIA=PIN(.05) POUT(.10) 
  /NOORIGIN 
  /DEPENDENT "&amp;B6&amp;"
  /METHOD=ENTER  "&amp;_xlfn.TEXTJOIN(" ",,$A$2:$A$12) &amp;".
"</f>
        <v/>
      </c>
    </row>
    <row r="7">
      <c r="A7" s="155" t="n"/>
      <c r="B7" s="96" t="n"/>
      <c r="C7" s="25">
        <f>"REGRESSION 
  /MISSING PAIRWISE 
  /STATISTICS COEFF OUTS R ANOVA 
  /CRITERIA=PIN(.05) POUT(.10) 
  /NOORIGIN 
  /DEPENDENT "&amp;B7&amp;"
  /METHOD=ENTER  "&amp;_xlfn.TEXTJOIN(" ",,$A$2:$A$12) &amp;".
"</f>
        <v/>
      </c>
    </row>
    <row r="8">
      <c r="A8" s="155" t="n"/>
      <c r="B8" s="156" t="n"/>
      <c r="C8" s="25">
        <f>"REGRESSION 
  /MISSING PAIRWISE 
  /STATISTICS COEFF OUTS R ANOVA 
  /CRITERIA=PIN(.05) POUT(.10) 
  /NOORIGIN 
  /DEPENDENT "&amp;B8&amp;"
  /METHOD=ENTER  "&amp;_xlfn.TEXTJOIN(" ",,$A$2:$A$12) &amp;".
"</f>
        <v/>
      </c>
    </row>
    <row r="9">
      <c r="A9" s="155" t="n"/>
      <c r="B9" s="156" t="n"/>
      <c r="C9" s="25">
        <f>"REGRESSION 
  /MISSING PAIRWISE 
  /STATISTICS COEFF OUTS R ANOVA 
  /CRITERIA=PIN(.05) POUT(.10) 
  /NOORIGIN 
  /DEPENDENT "&amp;B9&amp;"
  /METHOD=ENTER  "&amp;_xlfn.TEXTJOIN(" ",,$A$2:$A$12) &amp;".
"</f>
        <v/>
      </c>
    </row>
    <row r="10">
      <c r="A10" s="155" t="n"/>
      <c r="B10" s="156" t="n"/>
      <c r="C10" s="25">
        <f>"REGRESSION 
  /MISSING PAIRWISE 
  /STATISTICS COEFF OUTS R ANOVA 
  /CRITERIA=PIN(.05) POUT(.10) 
  /NOORIGIN 
  /DEPENDENT "&amp;B10&amp;"
  /METHOD=ENTER  "&amp;_xlfn.TEXTJOIN(" ",,$A$2:$A$12) &amp;".
"</f>
        <v/>
      </c>
    </row>
    <row r="11">
      <c r="A11" s="155" t="n"/>
      <c r="B11" s="156" t="n"/>
      <c r="C11" s="25">
        <f>"REGRESSION 
  /MISSING PAIRWISE 
  /STATISTICS COEFF OUTS R ANOVA 
  /CRITERIA=PIN(.05) POUT(.10) 
  /NOORIGIN 
  /DEPENDENT "&amp;B11&amp;"
  /METHOD=ENTER  "&amp;_xlfn.TEXTJOIN(" ",,$A$2:$A$12) &amp;".
"</f>
        <v/>
      </c>
    </row>
    <row r="12">
      <c r="A12" s="155" t="n"/>
      <c r="B12" s="156" t="n"/>
      <c r="C12" s="25" t="n"/>
    </row>
    <row r="13">
      <c r="A13" s="154" t="n"/>
      <c r="B13" s="156" t="n"/>
      <c r="C13" s="25" t="n"/>
    </row>
    <row r="14">
      <c r="A14" s="154" t="n"/>
      <c r="B14" s="156" t="n"/>
      <c r="C14" s="25" t="n"/>
    </row>
    <row r="15">
      <c r="A15" s="154" t="n"/>
      <c r="B15" s="153" t="n"/>
      <c r="C15" s="24" t="n"/>
      <c r="D15" s="26" t="n"/>
      <c r="E15" s="26" t="n"/>
    </row>
    <row r="16">
      <c r="A16" s="154" t="n"/>
      <c r="B16" s="86" t="n"/>
      <c r="C16" s="25" t="n"/>
    </row>
    <row r="17">
      <c r="A17" s="154" t="n"/>
      <c r="B17" s="86" t="n"/>
      <c r="C17" s="25" t="n"/>
    </row>
    <row r="18">
      <c r="A18" s="154" t="n"/>
      <c r="B18" s="86" t="n"/>
      <c r="C18" s="25" t="n"/>
    </row>
    <row r="19">
      <c r="A19" s="154" t="n"/>
      <c r="B19" s="86" t="n"/>
      <c r="C19" s="25" t="n"/>
    </row>
    <row r="20">
      <c r="A20" s="154" t="n"/>
      <c r="B20" s="86" t="n"/>
      <c r="C20" s="25" t="n"/>
    </row>
    <row r="21">
      <c r="A21" s="154" t="n"/>
      <c r="B21" s="86" t="n"/>
      <c r="C21" s="25" t="n"/>
    </row>
    <row r="22">
      <c r="A22" s="154" t="n"/>
      <c r="B22" s="86" t="n"/>
      <c r="C22" s="25" t="n"/>
    </row>
    <row r="23">
      <c r="A23" s="154" t="n"/>
      <c r="B23" s="86" t="n"/>
      <c r="C23" s="25" t="n"/>
    </row>
    <row r="24">
      <c r="A24" s="154" t="n"/>
      <c r="B24" s="153" t="n"/>
    </row>
    <row r="25">
      <c r="A25" s="154" t="n"/>
      <c r="B25" s="153" t="n"/>
    </row>
    <row r="26">
      <c r="A26" s="154" t="n"/>
      <c r="B26" s="153" t="n"/>
    </row>
    <row r="27">
      <c r="A27" s="154" t="n"/>
      <c r="B27" s="153" t="n"/>
    </row>
    <row r="28">
      <c r="A28" s="154" t="n"/>
      <c r="B28" s="153" t="n"/>
    </row>
    <row r="29">
      <c r="A29" s="154" t="n"/>
      <c r="B29" s="153" t="n"/>
    </row>
    <row r="30">
      <c r="A30" s="154" t="n"/>
      <c r="B30" s="153" t="n"/>
      <c r="C30" s="24" t="n"/>
    </row>
    <row r="31">
      <c r="A31" s="154" t="n"/>
      <c r="B31" s="86" t="n"/>
      <c r="C31" s="25" t="n"/>
    </row>
    <row r="32">
      <c r="A32" s="154" t="n"/>
      <c r="B32" s="86" t="n"/>
      <c r="C32" s="25" t="n"/>
    </row>
    <row r="33">
      <c r="A33" s="154" t="n"/>
      <c r="B33" s="86" t="n"/>
      <c r="C33" s="25" t="n"/>
    </row>
    <row r="34">
      <c r="A34" s="154" t="n"/>
      <c r="B34" s="86" t="n"/>
      <c r="C34" s="25" t="n"/>
    </row>
    <row r="35">
      <c r="A35" s="154" t="n"/>
      <c r="B35" s="86" t="n"/>
      <c r="C35" s="25" t="n"/>
    </row>
    <row r="36">
      <c r="A36" s="154" t="n"/>
      <c r="B36" s="86" t="n"/>
      <c r="C36" s="25" t="n"/>
    </row>
    <row r="37">
      <c r="A37" s="154" t="n"/>
      <c r="B37" s="86" t="n"/>
      <c r="C37" s="25" t="n"/>
    </row>
    <row r="38">
      <c r="A38" s="154" t="n"/>
      <c r="B38" s="86" t="n"/>
      <c r="C38" s="25" t="n"/>
    </row>
    <row r="39">
      <c r="A39" s="154" t="n"/>
      <c r="B39" s="153" t="n"/>
    </row>
    <row r="40">
      <c r="A40" s="154" t="n"/>
      <c r="B40" s="15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K419"/>
  <sheetViews>
    <sheetView zoomScaleNormal="80" workbookViewId="0">
      <selection activeCell="A5" sqref="A5"/>
    </sheetView>
  </sheetViews>
  <sheetFormatPr baseColWidth="8" defaultColWidth="9" defaultRowHeight="12.5"/>
  <cols>
    <col width="25" bestFit="1" customWidth="1" style="115" min="1" max="1"/>
    <col width="25" customWidth="1" style="115" min="2" max="2"/>
    <col width="25" customWidth="1" style="115" min="3" max="3"/>
    <col width="22" customWidth="1" style="115" min="4" max="4"/>
    <col width="25" customWidth="1" style="115" min="5" max="5"/>
    <col width="22" customWidth="1" style="115" min="6" max="7"/>
    <col width="24" customWidth="1" style="179" min="7" max="7"/>
    <col width="25" customWidth="1" style="100" min="8" max="9"/>
    <col width="22" customWidth="1" style="179" min="9" max="9"/>
    <col width="2" customWidth="1" style="100" min="10" max="12"/>
    <col width="2" customWidth="1" style="179" min="11" max="11"/>
    <col width="10.58203125" customWidth="1" style="100" min="13" max="13"/>
    <col width="9" customWidth="1" style="100" min="14" max="18"/>
    <col width="9" customWidth="1" style="100" min="19" max="16384"/>
  </cols>
  <sheetData>
    <row r="1">
      <c r="A1" s="97" t="inlineStr">
        <is>
          <t>Dependent Variable: dOEK1K2001</t>
        </is>
      </c>
      <c r="B1" s="97" t="n"/>
      <c r="C1" s="97" t="n"/>
      <c r="D1" s="98" t="n"/>
      <c r="E1" s="98" t="n"/>
      <c r="F1" s="98" t="n"/>
      <c r="G1" s="98" t="n"/>
      <c r="H1" s="99" t="n"/>
      <c r="I1" s="99" t="n"/>
      <c r="J1" s="99" t="n"/>
      <c r="K1" s="99" t="n"/>
    </row>
    <row r="2">
      <c r="A2" s="101" t="inlineStr">
        <is>
          <t>Model Summary</t>
        </is>
      </c>
      <c r="B2" s="101" t="n"/>
      <c r="C2" s="102" t="n"/>
      <c r="D2" s="103" t="n"/>
      <c r="E2" s="103" t="n"/>
      <c r="F2" s="103" t="n"/>
      <c r="G2" s="103" t="n"/>
      <c r="H2" s="99" t="n"/>
      <c r="I2" s="99" t="n"/>
      <c r="J2" s="99" t="n"/>
      <c r="K2" s="99" t="n"/>
    </row>
    <row r="3">
      <c r="A3" s="101" t="inlineStr">
        <is>
          <t>Model</t>
        </is>
      </c>
      <c r="B3" s="101" t="inlineStr">
        <is>
          <t>R</t>
        </is>
      </c>
      <c r="C3" s="101" t="inlineStr">
        <is>
          <t>R Square</t>
        </is>
      </c>
      <c r="D3" s="103" t="inlineStr">
        <is>
          <t>Adjusted R Square</t>
        </is>
      </c>
      <c r="E3" s="103" t="inlineStr">
        <is>
          <t>Std. Error of the Estimate</t>
        </is>
      </c>
      <c r="F3" s="103" t="n"/>
      <c r="G3" s="103" t="n"/>
      <c r="H3" s="99" t="n"/>
      <c r="I3" s="99" t="n"/>
      <c r="J3" s="99" t="n"/>
      <c r="K3" s="99" t="n"/>
    </row>
    <row r="4">
      <c r="A4" s="101" t="n">
        <v>1</v>
      </c>
      <c r="B4" s="183" t="n">
        <v>0.3630003850084668</v>
      </c>
      <c r="C4" s="183" t="n">
        <v>0.1317692795162951</v>
      </c>
      <c r="D4" s="184" t="n">
        <v>0.1277645252705215</v>
      </c>
      <c r="E4" s="184" t="n">
        <v>0.3848533873856615</v>
      </c>
      <c r="F4" s="185" t="n"/>
      <c r="G4" s="185" t="n"/>
      <c r="H4" s="99" t="n"/>
      <c r="I4" s="99" t="n"/>
      <c r="J4" s="99" t="n"/>
      <c r="K4" s="99" t="n"/>
    </row>
    <row r="5" ht="102" customHeight="1" s="179">
      <c r="A5" s="101" t="inlineStr">
        <is>
          <t>a. Predictors: (Constant), bumo, Factor1, Factor2, Factor3, Factor4</t>
        </is>
      </c>
      <c r="B5" s="101" t="n"/>
      <c r="C5" s="101" t="n"/>
      <c r="D5" s="185" t="n"/>
      <c r="E5" s="185" t="n"/>
      <c r="F5" s="185" t="n"/>
      <c r="G5" s="185" t="n"/>
      <c r="H5" s="99" t="n"/>
      <c r="I5" s="99" t="n"/>
      <c r="J5" s="99" t="n"/>
      <c r="K5" s="99" t="n"/>
    </row>
    <row r="6">
      <c r="A6" s="101" t="n"/>
      <c r="B6" s="101" t="n"/>
      <c r="C6" s="101" t="n"/>
      <c r="D6" s="185" t="n"/>
      <c r="E6" s="185" t="n"/>
      <c r="F6" s="185" t="n"/>
      <c r="G6" s="185" t="n"/>
      <c r="H6" s="99" t="n"/>
      <c r="I6" s="99" t="n"/>
      <c r="J6" s="99" t="n"/>
      <c r="K6" s="99" t="n"/>
    </row>
    <row r="7">
      <c r="A7" s="101" t="inlineStr">
        <is>
          <t>Coefficientsa</t>
        </is>
      </c>
      <c r="B7" s="101" t="n"/>
      <c r="C7" s="101" t="n"/>
      <c r="D7" s="185" t="n"/>
      <c r="E7" s="185" t="n"/>
      <c r="F7" s="185" t="n"/>
      <c r="G7" s="185" t="n"/>
      <c r="H7" s="99" t="n"/>
      <c r="I7" s="99" t="n"/>
      <c r="J7" s="99" t="n"/>
      <c r="K7" s="99" t="n"/>
    </row>
    <row r="8" ht="25.5" customHeight="1" s="179">
      <c r="A8" s="101" t="inlineStr">
        <is>
          <t>Model</t>
        </is>
      </c>
      <c r="B8" s="101" t="inlineStr"/>
      <c r="C8" s="101" t="inlineStr">
        <is>
          <t>Unstandardized Coefficients</t>
        </is>
      </c>
      <c r="D8" s="185" t="inlineStr"/>
      <c r="E8" s="185" t="inlineStr">
        <is>
          <t>Standardized Coefficients</t>
        </is>
      </c>
      <c r="F8" s="185" t="inlineStr">
        <is>
          <t>t</t>
        </is>
      </c>
      <c r="G8" s="185" t="inlineStr">
        <is>
          <t>Sig.</t>
        </is>
      </c>
      <c r="H8" s="99" t="inlineStr">
        <is>
          <t>95.0% Confidence Interval for B</t>
        </is>
      </c>
      <c r="I8" s="99" t="inlineStr"/>
      <c r="J8" s="99" t="n"/>
      <c r="K8" s="99" t="n"/>
    </row>
    <row r="9">
      <c r="A9" s="101" t="inlineStr"/>
      <c r="B9" s="101" t="inlineStr"/>
      <c r="C9" s="186" t="inlineStr">
        <is>
          <t>B</t>
        </is>
      </c>
      <c r="D9" s="185" t="inlineStr">
        <is>
          <t>Std. Error</t>
        </is>
      </c>
      <c r="E9" s="185" t="inlineStr">
        <is>
          <t>Beta</t>
        </is>
      </c>
      <c r="F9" s="185" t="inlineStr"/>
      <c r="G9" s="185" t="inlineStr"/>
      <c r="H9" s="99" t="inlineStr">
        <is>
          <t>Lower Bound</t>
        </is>
      </c>
      <c r="I9" s="99" t="inlineStr">
        <is>
          <t>Upper Bound</t>
        </is>
      </c>
      <c r="J9" s="99" t="n"/>
      <c r="K9" s="99" t="n"/>
    </row>
    <row r="10">
      <c r="A10" s="101" t="n">
        <v>1</v>
      </c>
      <c r="B10" s="101" t="inlineStr">
        <is>
          <t>constant</t>
        </is>
      </c>
      <c r="C10" s="183" t="n">
        <v>0.1666587434409699</v>
      </c>
      <c r="D10" s="184" t="n">
        <v>0.01373661228196097</v>
      </c>
      <c r="E10" s="185" t="inlineStr"/>
      <c r="F10" s="184" t="n">
        <v>12.13244867221211</v>
      </c>
      <c r="G10" s="187" t="n">
        <v>0</v>
      </c>
      <c r="H10" s="188" t="n">
        <v>0.1397053833818794</v>
      </c>
      <c r="I10" s="188" t="n">
        <v>0.1936121035000603</v>
      </c>
      <c r="J10" s="99" t="n"/>
      <c r="K10" s="99" t="n"/>
    </row>
    <row r="11">
      <c r="A11" s="101" t="inlineStr"/>
      <c r="B11" s="101" t="inlineStr">
        <is>
          <t>bumo</t>
        </is>
      </c>
      <c r="C11" s="183" t="n">
        <v>0.778064465441395</v>
      </c>
      <c r="D11" s="184" t="n">
        <v>0.06370125640028865</v>
      </c>
      <c r="E11" s="185" t="n">
        <v>0.3479965113515689</v>
      </c>
      <c r="F11" s="184" t="n">
        <v>12.21427189052851</v>
      </c>
      <c r="G11" s="187" t="n">
        <v>0</v>
      </c>
      <c r="H11" s="188" t="n">
        <v>0.6530727378792688</v>
      </c>
      <c r="I11" s="188" t="n">
        <v>0.9030561930035211</v>
      </c>
      <c r="J11" s="99" t="n"/>
      <c r="K11" s="99" t="n"/>
    </row>
    <row r="12">
      <c r="A12" s="101" t="inlineStr"/>
      <c r="B12" s="101" t="inlineStr">
        <is>
          <t>Factor1</t>
        </is>
      </c>
      <c r="C12" s="183" t="n">
        <v>0.03555118959367667</v>
      </c>
      <c r="D12" s="184" t="n">
        <v>0.01166245863699697</v>
      </c>
      <c r="E12" s="185" t="n">
        <v>0.08618428879075177</v>
      </c>
      <c r="F12" s="184" t="n">
        <v>3.048344324317443</v>
      </c>
      <c r="G12" s="184" t="n">
        <v>0.002356836668371276</v>
      </c>
      <c r="H12" s="188" t="n">
        <v>0.01266764011546755</v>
      </c>
      <c r="I12" s="188" t="n">
        <v>0.0584347390718858</v>
      </c>
      <c r="J12" s="99" t="n"/>
      <c r="K12" s="99" t="n"/>
    </row>
    <row r="13">
      <c r="A13" s="101" t="inlineStr"/>
      <c r="B13" s="101" t="inlineStr">
        <is>
          <t>Factor2</t>
        </is>
      </c>
      <c r="C13" s="189" t="n">
        <v>0.02586646594659255</v>
      </c>
      <c r="D13" s="184" t="n">
        <v>0.01165705804906027</v>
      </c>
      <c r="E13" s="105" t="n">
        <v>0.06268520456947185</v>
      </c>
      <c r="F13" s="184" t="n">
        <v>2.218953173067347</v>
      </c>
      <c r="G13" s="184" t="n">
        <v>0.02669638517632822</v>
      </c>
      <c r="H13" s="188" t="n">
        <v>0.002993513258057679</v>
      </c>
      <c r="I13" s="188" t="n">
        <v>0.04873941863512743</v>
      </c>
      <c r="J13" s="99" t="n"/>
      <c r="K13" s="99" t="n"/>
    </row>
    <row r="14">
      <c r="A14" s="101" t="inlineStr"/>
      <c r="B14" s="101" t="inlineStr">
        <is>
          <t>Factor3</t>
        </is>
      </c>
      <c r="C14" s="189" t="n">
        <v>0.01130690199828223</v>
      </c>
      <c r="D14" s="184" t="n">
        <v>0.01166622474830231</v>
      </c>
      <c r="E14" s="105" t="n">
        <v>0.02740329861705777</v>
      </c>
      <c r="F14" s="184" t="n">
        <v>0.9691997404668236</v>
      </c>
      <c r="G14" s="184" t="n">
        <v>0.3326617345889171</v>
      </c>
      <c r="H14" s="188" t="n">
        <v>-0.01158403717339364</v>
      </c>
      <c r="I14" s="188" t="n">
        <v>0.0341978411699581</v>
      </c>
      <c r="J14" s="99" t="n"/>
      <c r="K14" s="99" t="n"/>
    </row>
    <row r="15" ht="25.5" customHeight="1" s="179">
      <c r="A15" s="101" t="inlineStr"/>
      <c r="B15" s="101" t="inlineStr">
        <is>
          <t>Factor4</t>
        </is>
      </c>
      <c r="C15" s="183" t="n">
        <v>0.0119081321013908</v>
      </c>
      <c r="D15" s="190" t="n">
        <v>0.01165817275010579</v>
      </c>
      <c r="E15" s="107" t="n">
        <v>0.02886965918398504</v>
      </c>
      <c r="F15" s="190" t="n">
        <v>1.021440697152369</v>
      </c>
      <c r="G15" s="190" t="n">
        <v>0.3072735916071077</v>
      </c>
      <c r="H15" s="188" t="n">
        <v>-0.01096700780317822</v>
      </c>
      <c r="I15" s="188" t="n">
        <v>0.03478327200595982</v>
      </c>
      <c r="J15" s="99" t="n"/>
      <c r="K15" s="99" t="n"/>
    </row>
    <row r="16">
      <c r="A16" s="101" t="n"/>
      <c r="B16" s="101" t="inlineStr">
        <is>
          <t>a. Dependent Variable: dOEK1K2001</t>
        </is>
      </c>
      <c r="C16" s="101" t="n"/>
      <c r="D16" s="98" t="n"/>
      <c r="E16" s="98" t="n"/>
      <c r="F16" s="98" t="n"/>
      <c r="G16" s="98" t="n"/>
      <c r="H16" s="99" t="n"/>
      <c r="I16" s="99" t="n"/>
      <c r="J16" s="99" t="n"/>
      <c r="K16" s="99" t="n"/>
    </row>
    <row r="17">
      <c r="A17" s="103" t="n"/>
      <c r="B17" s="103" t="n"/>
      <c r="C17" s="103" t="n"/>
      <c r="D17" s="103" t="n"/>
      <c r="E17" s="103" t="n"/>
      <c r="F17" s="103" t="n"/>
      <c r="G17" s="103" t="n"/>
      <c r="H17" s="99" t="n"/>
      <c r="I17" s="99" t="n"/>
      <c r="J17" s="99" t="n"/>
      <c r="K17" s="99" t="n"/>
    </row>
    <row r="18">
      <c r="A18" s="97" t="inlineStr">
        <is>
          <t>Dependent Variable: dK801</t>
        </is>
      </c>
      <c r="B18" s="97" t="n"/>
      <c r="C18" s="97" t="n"/>
      <c r="D18" s="97" t="n"/>
      <c r="E18" s="108" t="n"/>
      <c r="F18" s="108" t="n"/>
      <c r="G18" s="108" t="n"/>
      <c r="H18" s="99" t="n"/>
      <c r="I18" s="99" t="n"/>
      <c r="J18" s="99" t="n"/>
      <c r="K18" s="99" t="n"/>
    </row>
    <row r="19">
      <c r="A19" s="109" t="inlineStr">
        <is>
          <t>Model Summary</t>
        </is>
      </c>
      <c r="B19" s="109" t="n"/>
      <c r="C19" s="109" t="n"/>
      <c r="D19" s="109" t="n"/>
      <c r="E19" s="108" t="n"/>
      <c r="F19" s="108" t="n"/>
      <c r="G19" s="108" t="n"/>
      <c r="H19" s="99" t="n"/>
      <c r="I19" s="99" t="n"/>
      <c r="J19" s="99" t="n"/>
      <c r="K19" s="99" t="n"/>
    </row>
    <row r="20">
      <c r="A20" s="102" t="inlineStr">
        <is>
          <t>Model</t>
        </is>
      </c>
      <c r="B20" s="101" t="inlineStr">
        <is>
          <t>R</t>
        </is>
      </c>
      <c r="C20" s="102" t="inlineStr">
        <is>
          <t>R Square</t>
        </is>
      </c>
      <c r="D20" s="101" t="inlineStr">
        <is>
          <t>Adjusted R Square</t>
        </is>
      </c>
      <c r="E20" s="108" t="inlineStr">
        <is>
          <t>Std. Error of the Estimate</t>
        </is>
      </c>
      <c r="F20" s="108" t="n"/>
      <c r="G20" s="108" t="n"/>
      <c r="H20" s="99" t="n"/>
      <c r="I20" s="99" t="n"/>
      <c r="J20" s="99" t="n"/>
      <c r="K20" s="99" t="n"/>
    </row>
    <row r="21" ht="25.5" customHeight="1" s="179">
      <c r="A21" s="101" t="n">
        <v>2</v>
      </c>
      <c r="B21" s="183" t="n">
        <v>0.3406145852817785</v>
      </c>
      <c r="C21" s="183" t="n">
        <v>0.116018295706678</v>
      </c>
      <c r="D21" s="183" t="n">
        <v>0.1119408893215611</v>
      </c>
      <c r="E21" s="191" t="n">
        <v>0.3115825292622508</v>
      </c>
      <c r="F21" s="108" t="n"/>
      <c r="G21" s="108" t="n"/>
      <c r="H21" s="99" t="n"/>
      <c r="I21" s="99" t="n"/>
      <c r="J21" s="99" t="n"/>
      <c r="K21" s="99" t="n"/>
    </row>
    <row r="22">
      <c r="A22" s="105" t="inlineStr">
        <is>
          <t>a. Predictors: (Constant), bumo, Factor1, Factor2, Factor3, Factor4</t>
        </is>
      </c>
      <c r="B22" s="105" t="n"/>
      <c r="C22" s="185" t="n"/>
      <c r="D22" s="185" t="n"/>
      <c r="E22" s="185" t="n"/>
      <c r="F22" s="185" t="n"/>
      <c r="G22" s="185" t="n"/>
      <c r="H22" s="99" t="n"/>
      <c r="I22" s="99" t="n"/>
      <c r="J22" s="99" t="n"/>
      <c r="K22" s="99" t="n"/>
    </row>
    <row r="23">
      <c r="A23" s="97" t="n"/>
      <c r="B23" s="97" t="n"/>
      <c r="C23" s="97" t="n"/>
      <c r="D23" s="97" t="n"/>
      <c r="E23" s="97" t="n"/>
      <c r="F23" s="108" t="n"/>
      <c r="G23" s="108" t="n"/>
      <c r="H23" s="99" t="n"/>
      <c r="I23" s="99" t="n"/>
      <c r="J23" s="99" t="n"/>
      <c r="K23" s="99" t="n"/>
    </row>
    <row r="24" ht="25.5" customHeight="1" s="179">
      <c r="A24" s="109" t="inlineStr">
        <is>
          <t>Coefficientsa</t>
        </is>
      </c>
      <c r="B24" s="109" t="n"/>
      <c r="C24" s="109" t="n"/>
      <c r="D24" s="109" t="n"/>
      <c r="E24" s="109" t="n"/>
      <c r="F24" s="108" t="n"/>
      <c r="G24" s="108" t="n"/>
      <c r="H24" s="99" t="n"/>
      <c r="I24" s="99" t="n"/>
      <c r="J24" s="99" t="n"/>
      <c r="K24" s="99" t="n"/>
    </row>
    <row r="25">
      <c r="A25" s="102" t="inlineStr">
        <is>
          <t>Model</t>
        </is>
      </c>
      <c r="B25" s="102" t="inlineStr"/>
      <c r="C25" s="192" t="inlineStr">
        <is>
          <t>Unstandardized Coefficients</t>
        </is>
      </c>
      <c r="D25" s="192" t="inlineStr"/>
      <c r="E25" s="192" t="inlineStr">
        <is>
          <t>Standardized Coefficients</t>
        </is>
      </c>
      <c r="F25" s="108" t="inlineStr">
        <is>
          <t>t</t>
        </is>
      </c>
      <c r="G25" s="108" t="inlineStr">
        <is>
          <t>Sig.</t>
        </is>
      </c>
      <c r="H25" s="99" t="inlineStr">
        <is>
          <t>95.0% Confidence Interval for B</t>
        </is>
      </c>
      <c r="I25" s="99" t="inlineStr"/>
      <c r="J25" s="99" t="n"/>
      <c r="K25" s="99" t="n"/>
    </row>
    <row r="26">
      <c r="A26" s="101" t="inlineStr"/>
      <c r="B26" s="101" t="inlineStr"/>
      <c r="C26" s="101" t="inlineStr">
        <is>
          <t>B</t>
        </is>
      </c>
      <c r="D26" s="101" t="inlineStr">
        <is>
          <t>Std. Error</t>
        </is>
      </c>
      <c r="E26" s="101" t="inlineStr">
        <is>
          <t>Beta</t>
        </is>
      </c>
      <c r="F26" s="108" t="inlineStr"/>
      <c r="G26" s="108" t="inlineStr"/>
      <c r="H26" s="99" t="inlineStr">
        <is>
          <t>Lower Bound</t>
        </is>
      </c>
      <c r="I26" s="99" t="inlineStr">
        <is>
          <t>Upper Bound</t>
        </is>
      </c>
      <c r="J26" s="99" t="n"/>
      <c r="K26" s="99" t="n"/>
    </row>
    <row r="27">
      <c r="A27" s="105" t="n">
        <v>2</v>
      </c>
      <c r="B27" s="105" t="inlineStr">
        <is>
          <t>constant</t>
        </is>
      </c>
      <c r="C27" s="184" t="n">
        <v>0.09672274329835326</v>
      </c>
      <c r="D27" s="184" t="n">
        <v>0.01112134786543848</v>
      </c>
      <c r="E27" s="185" t="inlineStr"/>
      <c r="F27" s="184" t="n">
        <v>8.697034250581799</v>
      </c>
      <c r="G27" s="187" t="n">
        <v>0</v>
      </c>
      <c r="H27" s="188" t="n">
        <v>0.07490093693105811</v>
      </c>
      <c r="I27" s="188" t="n">
        <v>0.1185445496656484</v>
      </c>
      <c r="J27" s="99" t="n"/>
      <c r="K27" s="99" t="n"/>
    </row>
    <row r="28">
      <c r="A28" s="97" t="inlineStr"/>
      <c r="B28" s="97" t="inlineStr">
        <is>
          <t>bumo</t>
        </is>
      </c>
      <c r="C28" s="193" t="n">
        <v>0.5791144965488551</v>
      </c>
      <c r="D28" s="193" t="n">
        <v>0.05157340233176953</v>
      </c>
      <c r="E28" s="97" t="n">
        <v>0.3233936021455276</v>
      </c>
      <c r="F28" s="193" t="n">
        <v>11.22893721115074</v>
      </c>
      <c r="G28" s="194" t="n">
        <v>0</v>
      </c>
      <c r="H28" s="188" t="n">
        <v>0.4779194963561234</v>
      </c>
      <c r="I28" s="188" t="n">
        <v>0.6803094967415867</v>
      </c>
      <c r="J28" s="99" t="n"/>
      <c r="K28" s="99" t="n"/>
    </row>
    <row r="29">
      <c r="A29" s="109" t="inlineStr"/>
      <c r="B29" s="109" t="inlineStr">
        <is>
          <t>Factor1</t>
        </is>
      </c>
      <c r="C29" s="195" t="n">
        <v>0.04060392294849151</v>
      </c>
      <c r="D29" s="195" t="n">
        <v>0.009442084904635255</v>
      </c>
      <c r="E29" s="109" t="n">
        <v>0.1228993647680218</v>
      </c>
      <c r="F29" s="195" t="n">
        <v>4.300313263287694</v>
      </c>
      <c r="G29" s="195" t="n">
        <v>1.859263726089466e-05</v>
      </c>
      <c r="H29" s="188" t="n">
        <v>0.02207709050106609</v>
      </c>
      <c r="I29" s="188" t="n">
        <v>0.05913075539591692</v>
      </c>
      <c r="J29" s="99" t="n"/>
      <c r="K29" s="99" t="n"/>
    </row>
    <row r="30">
      <c r="A30" s="102" t="inlineStr"/>
      <c r="B30" s="101" t="inlineStr">
        <is>
          <t>Factor2</t>
        </is>
      </c>
      <c r="C30" s="189" t="n">
        <v>0.003707208874747308</v>
      </c>
      <c r="D30" s="189" t="n">
        <v>0.009437712515294341</v>
      </c>
      <c r="E30" s="192" t="n">
        <v>0.01121715408500547</v>
      </c>
      <c r="F30" s="189" t="n">
        <v>0.3928079890905311</v>
      </c>
      <c r="G30" s="189" t="n">
        <v>0.6945385334909346</v>
      </c>
      <c r="H30" s="188" t="n">
        <v>-0.01481104426783895</v>
      </c>
      <c r="I30" s="188" t="n">
        <v>0.02222546201733357</v>
      </c>
      <c r="J30" s="99" t="n"/>
      <c r="K30" s="99" t="n"/>
    </row>
    <row r="31" ht="38.25" customHeight="1" s="179">
      <c r="A31" s="101" t="inlineStr"/>
      <c r="B31" s="101" t="inlineStr">
        <is>
          <t>Factor3</t>
        </is>
      </c>
      <c r="C31" s="189" t="n">
        <v>-0.001479278488490873</v>
      </c>
      <c r="D31" s="189" t="n">
        <v>0.009445133999496992</v>
      </c>
      <c r="E31" s="192" t="n">
        <v>-0.004476275784335461</v>
      </c>
      <c r="F31" s="183" t="n">
        <v>-0.156618052064656</v>
      </c>
      <c r="G31" s="183" t="n">
        <v>0.8755750380406955</v>
      </c>
      <c r="H31" s="188" t="n">
        <v>-0.0200120937321091</v>
      </c>
      <c r="I31" s="188" t="n">
        <v>0.01705353675512736</v>
      </c>
      <c r="J31" s="99" t="n"/>
      <c r="K31" s="99" t="n"/>
    </row>
    <row r="32">
      <c r="A32" s="101" t="inlineStr"/>
      <c r="B32" s="101" t="inlineStr">
        <is>
          <t>Factor4</t>
        </is>
      </c>
      <c r="C32" s="189" t="n">
        <v>-0.007195561549086025</v>
      </c>
      <c r="D32" s="189" t="n">
        <v>0.00943861499239995</v>
      </c>
      <c r="E32" s="101" t="n">
        <v>-0.02178062731893575</v>
      </c>
      <c r="F32" s="183" t="n">
        <v>-0.7623535396750423</v>
      </c>
      <c r="G32" s="183" t="n">
        <v>0.446014873345024</v>
      </c>
      <c r="H32" s="188" t="n">
        <v>-0.02571558549147891</v>
      </c>
      <c r="I32" s="188" t="n">
        <v>0.01132446239330686</v>
      </c>
      <c r="J32" s="99" t="n"/>
      <c r="K32" s="99" t="n"/>
    </row>
    <row r="33">
      <c r="A33" s="101" t="n"/>
      <c r="B33" s="101" t="inlineStr">
        <is>
          <t>a. Dependent Variable: dK801</t>
        </is>
      </c>
      <c r="C33" s="101" t="n"/>
      <c r="D33" s="101" t="n"/>
      <c r="E33" s="101" t="n"/>
      <c r="F33" s="101" t="n"/>
      <c r="G33" s="101" t="n"/>
      <c r="H33" s="99" t="n"/>
      <c r="I33" s="99" t="n"/>
      <c r="J33" s="99" t="n"/>
      <c r="K33" s="99" t="n"/>
    </row>
    <row r="34">
      <c r="A34" s="105" t="n"/>
      <c r="B34" s="105" t="n"/>
      <c r="C34" s="185" t="n"/>
      <c r="D34" s="185" t="n"/>
      <c r="E34" s="105" t="n"/>
      <c r="F34" s="185" t="n"/>
      <c r="G34" s="185" t="n"/>
      <c r="H34" s="99" t="n"/>
      <c r="I34" s="99" t="n"/>
      <c r="J34" s="99" t="n"/>
      <c r="K34" s="99" t="n"/>
    </row>
    <row r="35">
      <c r="A35" s="97" t="inlineStr">
        <is>
          <t>Dependent Variable: dIM1_Flip_V1_Slice06</t>
        </is>
      </c>
      <c r="B35" s="97" t="n"/>
      <c r="C35" s="97" t="n"/>
      <c r="D35" s="97" t="n"/>
      <c r="E35" s="97" t="n"/>
      <c r="F35" s="97" t="n"/>
      <c r="G35" s="97" t="n"/>
      <c r="H35" s="99" t="n"/>
      <c r="I35" s="99" t="n"/>
      <c r="J35" s="99" t="n"/>
      <c r="K35" s="99" t="n"/>
    </row>
    <row r="36">
      <c r="A36" s="109" t="inlineStr">
        <is>
          <t>Model Summary</t>
        </is>
      </c>
      <c r="B36" s="109" t="n"/>
      <c r="C36" s="109" t="n"/>
      <c r="D36" s="109" t="n"/>
      <c r="E36" s="109" t="n"/>
      <c r="F36" s="109" t="n"/>
      <c r="G36" s="109" t="n"/>
      <c r="H36" s="99" t="n"/>
      <c r="I36" s="99" t="n"/>
      <c r="J36" s="99" t="n"/>
      <c r="K36" s="99" t="n"/>
    </row>
    <row r="37" ht="25.5" customHeight="1" s="179">
      <c r="A37" s="109" t="inlineStr">
        <is>
          <t>Model</t>
        </is>
      </c>
      <c r="B37" s="109" t="inlineStr">
        <is>
          <t>R</t>
        </is>
      </c>
      <c r="C37" s="109" t="inlineStr">
        <is>
          <t>R Square</t>
        </is>
      </c>
      <c r="D37" s="109" t="inlineStr">
        <is>
          <t>Adjusted R Square</t>
        </is>
      </c>
      <c r="E37" s="109" t="inlineStr">
        <is>
          <t>Std. Error of the Estimate</t>
        </is>
      </c>
      <c r="F37" s="109" t="n"/>
      <c r="G37" s="109" t="n"/>
      <c r="H37" s="99" t="n"/>
      <c r="I37" s="99" t="n"/>
      <c r="J37" s="99" t="n"/>
      <c r="K37" s="99" t="n"/>
    </row>
    <row r="38">
      <c r="A38" s="102" t="n">
        <v>3</v>
      </c>
      <c r="B38" s="183" t="n">
        <v>0.3268481025314391</v>
      </c>
      <c r="C38" s="189" t="n">
        <v>0.1068296821284022</v>
      </c>
      <c r="D38" s="189" t="n">
        <v>0.1027098928393264</v>
      </c>
      <c r="E38" s="183" t="n">
        <v>0.3282450275221526</v>
      </c>
      <c r="F38" s="192" t="n"/>
      <c r="G38" s="192" t="n"/>
      <c r="H38" s="99" t="n"/>
      <c r="I38" s="99" t="n"/>
      <c r="J38" s="99" t="n"/>
      <c r="K38" s="99" t="n"/>
    </row>
    <row r="39" ht="38.25" customHeight="1" s="179">
      <c r="A39" s="101" t="inlineStr">
        <is>
          <t>a. Predictors: (Constant), bumo, Factor1, Factor2, Factor3, Factor4</t>
        </is>
      </c>
      <c r="B39" s="101" t="n"/>
      <c r="C39" s="192" t="n"/>
      <c r="D39" s="192" t="n"/>
      <c r="E39" s="192" t="n"/>
      <c r="F39" s="192" t="n"/>
      <c r="G39" s="192" t="n"/>
      <c r="H39" s="99" t="n"/>
      <c r="I39" s="99" t="n"/>
      <c r="J39" s="99" t="n"/>
      <c r="K39" s="99" t="n"/>
    </row>
    <row r="40">
      <c r="A40" s="101" t="n"/>
      <c r="B40" s="101" t="n"/>
      <c r="C40" s="192" t="n"/>
      <c r="D40" s="192" t="n"/>
      <c r="E40" s="192" t="n"/>
      <c r="F40" s="192" t="n"/>
      <c r="G40" s="192" t="n"/>
      <c r="H40" s="99" t="n"/>
      <c r="I40" s="99" t="n"/>
      <c r="J40" s="99" t="n"/>
      <c r="K40" s="99" t="n"/>
    </row>
    <row r="41">
      <c r="A41" s="101" t="inlineStr">
        <is>
          <t>Coefficientsa</t>
        </is>
      </c>
      <c r="B41" s="101" t="n"/>
      <c r="C41" s="192" t="n"/>
      <c r="D41" s="192" t="n"/>
      <c r="E41" s="192" t="n"/>
      <c r="F41" s="192" t="n"/>
      <c r="G41" s="192" t="n"/>
      <c r="H41" s="99" t="n"/>
      <c r="I41" s="99" t="n"/>
      <c r="J41" s="99" t="n"/>
      <c r="K41" s="99" t="n"/>
    </row>
    <row r="42">
      <c r="A42" s="101" t="inlineStr">
        <is>
          <t>Model</t>
        </is>
      </c>
      <c r="B42" s="101" t="inlineStr"/>
      <c r="C42" s="192" t="inlineStr">
        <is>
          <t>Unstandardized Coefficients</t>
        </is>
      </c>
      <c r="D42" s="192" t="inlineStr"/>
      <c r="E42" s="192" t="inlineStr">
        <is>
          <t>Standardized Coefficients</t>
        </is>
      </c>
      <c r="F42" s="192" t="inlineStr">
        <is>
          <t>t</t>
        </is>
      </c>
      <c r="G42" s="192" t="inlineStr">
        <is>
          <t>Sig.</t>
        </is>
      </c>
      <c r="H42" s="99" t="inlineStr">
        <is>
          <t>95.0% Confidence Interval for B</t>
        </is>
      </c>
      <c r="I42" s="99" t="inlineStr"/>
      <c r="J42" s="99" t="n"/>
      <c r="K42" s="99" t="n"/>
    </row>
    <row r="43">
      <c r="A43" s="101" t="inlineStr"/>
      <c r="B43" s="101" t="inlineStr"/>
      <c r="C43" s="192" t="inlineStr">
        <is>
          <t>B</t>
        </is>
      </c>
      <c r="D43" s="192" t="inlineStr">
        <is>
          <t>Std. Error</t>
        </is>
      </c>
      <c r="E43" s="192" t="inlineStr">
        <is>
          <t>Beta</t>
        </is>
      </c>
      <c r="F43" s="192" t="inlineStr"/>
      <c r="G43" s="192" t="inlineStr"/>
      <c r="H43" s="99" t="inlineStr">
        <is>
          <t>Lower Bound</t>
        </is>
      </c>
      <c r="I43" s="99" t="inlineStr">
        <is>
          <t>Upper Bound</t>
        </is>
      </c>
      <c r="J43" s="99" t="n"/>
      <c r="K43" s="99" t="n"/>
    </row>
    <row r="44">
      <c r="A44" s="101" t="n">
        <v>3</v>
      </c>
      <c r="B44" s="101" t="inlineStr">
        <is>
          <t>constant</t>
        </is>
      </c>
      <c r="C44" s="189" t="n">
        <v>0.09968249027319481</v>
      </c>
      <c r="D44" s="189" t="n">
        <v>0.0117160841617719</v>
      </c>
      <c r="E44" s="192" t="inlineStr"/>
      <c r="F44" s="189" t="n">
        <v>8.50817465091674</v>
      </c>
      <c r="G44" s="196" t="n">
        <v>0</v>
      </c>
      <c r="H44" s="188" t="n">
        <v>0.07669371921284099</v>
      </c>
      <c r="I44" s="188" t="n">
        <v>0.1226712613335486</v>
      </c>
      <c r="J44" s="99" t="n"/>
      <c r="K44" s="99" t="n"/>
    </row>
    <row r="45" ht="102" customHeight="1" s="179">
      <c r="A45" s="101" t="inlineStr"/>
      <c r="B45" s="101" t="inlineStr">
        <is>
          <t>bumo</t>
        </is>
      </c>
      <c r="C45" s="189" t="n">
        <v>0.5618923188536165</v>
      </c>
      <c r="D45" s="189" t="n">
        <v>0.05433139305944296</v>
      </c>
      <c r="E45" s="192" t="n">
        <v>0.2994236034502075</v>
      </c>
      <c r="F45" s="189" t="n">
        <v>10.34194573731729</v>
      </c>
      <c r="G45" s="196" t="n">
        <v>0</v>
      </c>
      <c r="H45" s="188" t="n">
        <v>0.4552857138491049</v>
      </c>
      <c r="I45" s="188" t="n">
        <v>0.668498923858128</v>
      </c>
      <c r="J45" s="99" t="n"/>
      <c r="K45" s="99" t="n"/>
    </row>
    <row r="46">
      <c r="A46" s="101" t="inlineStr"/>
      <c r="B46" s="101" t="inlineStr">
        <is>
          <t>Factor1</t>
        </is>
      </c>
      <c r="C46" s="189" t="n">
        <v>0.03040596788030106</v>
      </c>
      <c r="D46" s="189" t="n">
        <v>0.00994701925915714</v>
      </c>
      <c r="E46" s="192" t="n">
        <v>0.08782262735513575</v>
      </c>
      <c r="F46" s="189" t="n">
        <v>3.056791897965774</v>
      </c>
      <c r="G46" s="189" t="n">
        <v>0.002291979843801695</v>
      </c>
      <c r="H46" s="188" t="n">
        <v>0.01088837605317726</v>
      </c>
      <c r="I46" s="188" t="n">
        <v>0.04992355970742486</v>
      </c>
      <c r="J46" s="99" t="n"/>
      <c r="K46" s="99" t="n"/>
    </row>
    <row r="47" ht="38.25" customHeight="1" s="179">
      <c r="A47" s="101" t="inlineStr"/>
      <c r="B47" s="101" t="inlineStr">
        <is>
          <t>Factor2</t>
        </is>
      </c>
      <c r="C47" s="189" t="n">
        <v>0.00735250007277689</v>
      </c>
      <c r="D47" s="189" t="n">
        <v>0.009942413047560666</v>
      </c>
      <c r="E47" s="192" t="n">
        <v>0.021229346082169</v>
      </c>
      <c r="F47" s="189" t="n">
        <v>0.739508612004487</v>
      </c>
      <c r="G47" s="189" t="n">
        <v>0.4597583214233847</v>
      </c>
      <c r="H47" s="188" t="n">
        <v>-0.01215605365404097</v>
      </c>
      <c r="I47" s="188" t="n">
        <v>0.02686105379959475</v>
      </c>
      <c r="J47" s="99" t="n"/>
      <c r="K47" s="99" t="n"/>
    </row>
    <row r="48">
      <c r="A48" s="101" t="inlineStr"/>
      <c r="B48" s="101" t="inlineStr">
        <is>
          <t>Factor3</t>
        </is>
      </c>
      <c r="C48" s="189" t="n">
        <v>0.03396856105260531</v>
      </c>
      <c r="D48" s="189" t="n">
        <v>0.009950231410458362</v>
      </c>
      <c r="E48" s="192" t="n">
        <v>0.09808667072391891</v>
      </c>
      <c r="F48" s="189" t="n">
        <v>3.413846336970824</v>
      </c>
      <c r="G48" s="189" t="n">
        <v>0.000664215328811224</v>
      </c>
      <c r="H48" s="188" t="n">
        <v>0.01444466648730932</v>
      </c>
      <c r="I48" s="188" t="n">
        <v>0.05349245561790129</v>
      </c>
      <c r="J48" s="99" t="n"/>
      <c r="K48" s="99" t="n"/>
    </row>
    <row r="49">
      <c r="A49" s="101" t="inlineStr"/>
      <c r="B49" s="101" t="inlineStr">
        <is>
          <t>Factor4</t>
        </is>
      </c>
      <c r="C49" s="189" t="n">
        <v>-0.004079549989865911</v>
      </c>
      <c r="D49" s="189" t="n">
        <v>0.009943363786432548</v>
      </c>
      <c r="E49" s="192" t="n">
        <v>-0.01178376033203941</v>
      </c>
      <c r="F49" s="189" t="n">
        <v>-0.4102786619787911</v>
      </c>
      <c r="G49" s="189" t="n">
        <v>0.6816826174286077</v>
      </c>
      <c r="H49" s="188" t="n">
        <v>-0.02358996921354792</v>
      </c>
      <c r="I49" s="188" t="n">
        <v>0.0154308692338161</v>
      </c>
      <c r="J49" s="99" t="n"/>
      <c r="K49" s="99" t="n"/>
    </row>
    <row r="50">
      <c r="A50" s="101" t="n"/>
      <c r="B50" s="101" t="inlineStr">
        <is>
          <t>a. Dependent Variable: dIM1_Flip_V1_Slice06</t>
        </is>
      </c>
      <c r="C50" s="192" t="n"/>
      <c r="D50" s="192" t="n"/>
      <c r="E50" s="192" t="n"/>
      <c r="F50" s="192" t="n"/>
      <c r="G50" s="192" t="n"/>
      <c r="H50" s="99" t="n"/>
      <c r="I50" s="99" t="n"/>
      <c r="J50" s="99" t="n"/>
      <c r="K50" s="99" t="n"/>
    </row>
    <row r="51">
      <c r="A51" s="101" t="n"/>
      <c r="B51" s="101" t="n"/>
      <c r="C51" s="192" t="n"/>
      <c r="D51" s="192" t="n"/>
      <c r="E51" s="192" t="n"/>
      <c r="F51" s="192" t="n"/>
      <c r="G51" s="192" t="n"/>
      <c r="H51" s="99" t="n"/>
      <c r="I51" s="99" t="n"/>
      <c r="J51" s="99" t="n"/>
      <c r="K51" s="99" t="n"/>
    </row>
    <row r="52">
      <c r="A52" s="101" t="inlineStr">
        <is>
          <t>Dependent Variable: dIM1_Flip_V1_Slice04</t>
        </is>
      </c>
      <c r="B52" s="101" t="n"/>
      <c r="C52" s="192" t="n"/>
      <c r="D52" s="192" t="n"/>
      <c r="E52" s="192" t="n"/>
      <c r="F52" s="192" t="n"/>
      <c r="G52" s="192" t="n"/>
      <c r="H52" s="99" t="n"/>
      <c r="I52" s="99" t="n"/>
      <c r="J52" s="99" t="n"/>
      <c r="K52" s="99" t="n"/>
    </row>
    <row r="53" ht="25.5" customHeight="1" s="179">
      <c r="A53" s="101" t="inlineStr">
        <is>
          <t>Model Summary</t>
        </is>
      </c>
      <c r="B53" s="101" t="n"/>
      <c r="C53" s="192" t="n"/>
      <c r="D53" s="192" t="n"/>
      <c r="E53" s="192" t="n"/>
      <c r="F53" s="192" t="n"/>
      <c r="G53" s="192" t="n"/>
      <c r="H53" s="99" t="n"/>
      <c r="I53" s="99" t="n"/>
      <c r="J53" s="99" t="n"/>
      <c r="K53" s="99" t="n"/>
    </row>
    <row r="54">
      <c r="A54" s="101" t="inlineStr">
        <is>
          <t>Model</t>
        </is>
      </c>
      <c r="B54" s="101" t="inlineStr">
        <is>
          <t>R</t>
        </is>
      </c>
      <c r="C54" s="192" t="inlineStr">
        <is>
          <t>R Square</t>
        </is>
      </c>
      <c r="D54" s="192" t="inlineStr">
        <is>
          <t>Adjusted R Square</t>
        </is>
      </c>
      <c r="E54" s="192" t="inlineStr">
        <is>
          <t>Std. Error of the Estimate</t>
        </is>
      </c>
      <c r="F54" s="192" t="n"/>
      <c r="G54" s="192" t="n"/>
      <c r="H54" s="99" t="n"/>
      <c r="I54" s="99" t="n"/>
      <c r="J54" s="99" t="n"/>
      <c r="K54" s="99" t="n"/>
    </row>
    <row r="55">
      <c r="A55" s="101" t="n">
        <v>4</v>
      </c>
      <c r="B55" s="183" t="n">
        <v>0.2661945808431078</v>
      </c>
      <c r="C55" s="189" t="n">
        <v>0.07085955487023787</v>
      </c>
      <c r="D55" s="189" t="n">
        <v>0.06657385171004515</v>
      </c>
      <c r="E55" s="189" t="n">
        <v>0.3330060687581888</v>
      </c>
      <c r="F55" s="192" t="n"/>
      <c r="G55" s="192" t="n"/>
      <c r="H55" s="99" t="n"/>
      <c r="I55" s="99" t="n"/>
      <c r="J55" s="99" t="n"/>
      <c r="K55" s="99" t="n"/>
    </row>
    <row r="56">
      <c r="A56" s="101" t="inlineStr">
        <is>
          <t>a. Predictors: (Constant), bumo, Factor1, Factor2, Factor3, Factor4</t>
        </is>
      </c>
      <c r="B56" s="101" t="n"/>
      <c r="C56" s="192" t="n"/>
      <c r="D56" s="192" t="n"/>
      <c r="E56" s="192" t="n"/>
      <c r="F56" s="192" t="n"/>
      <c r="G56" s="192" t="n"/>
      <c r="H56" s="99" t="n"/>
      <c r="I56" s="99" t="n"/>
      <c r="J56" s="99" t="n"/>
      <c r="K56" s="99" t="n"/>
    </row>
    <row r="57">
      <c r="A57" s="101" t="n"/>
      <c r="B57" s="101" t="n"/>
      <c r="C57" s="192" t="n"/>
      <c r="D57" s="192" t="n"/>
      <c r="E57" s="192" t="n"/>
      <c r="F57" s="192" t="n"/>
      <c r="G57" s="192" t="n"/>
      <c r="H57" s="99" t="n"/>
      <c r="I57" s="99" t="n"/>
      <c r="J57" s="99" t="n"/>
      <c r="K57" s="99" t="n"/>
    </row>
    <row r="58">
      <c r="A58" s="101" t="inlineStr">
        <is>
          <t>Coefficientsa</t>
        </is>
      </c>
      <c r="B58" s="101" t="n"/>
      <c r="C58" s="192" t="n"/>
      <c r="D58" s="192" t="n"/>
      <c r="E58" s="192" t="n"/>
      <c r="F58" s="192" t="n"/>
      <c r="G58" s="192" t="n"/>
      <c r="H58" s="99" t="n"/>
      <c r="I58" s="99" t="n"/>
      <c r="J58" s="99" t="n"/>
      <c r="K58" s="99" t="n"/>
    </row>
    <row r="59">
      <c r="A59" s="101" t="inlineStr">
        <is>
          <t>Model</t>
        </is>
      </c>
      <c r="B59" s="101" t="inlineStr"/>
      <c r="C59" s="192" t="inlineStr">
        <is>
          <t>Unstandardized Coefficients</t>
        </is>
      </c>
      <c r="D59" s="192" t="inlineStr"/>
      <c r="E59" s="192" t="inlineStr">
        <is>
          <t>Standardized Coefficients</t>
        </is>
      </c>
      <c r="F59" s="192" t="inlineStr">
        <is>
          <t>t</t>
        </is>
      </c>
      <c r="G59" s="192" t="inlineStr">
        <is>
          <t>Sig.</t>
        </is>
      </c>
      <c r="H59" s="99" t="inlineStr">
        <is>
          <t>95.0% Confidence Interval for B</t>
        </is>
      </c>
      <c r="I59" s="99" t="inlineStr"/>
      <c r="J59" s="99" t="n"/>
      <c r="K59" s="99" t="n"/>
    </row>
    <row r="60">
      <c r="A60" s="103" t="inlineStr"/>
      <c r="B60" s="103" t="inlineStr"/>
      <c r="C60" s="103" t="inlineStr">
        <is>
          <t>B</t>
        </is>
      </c>
      <c r="D60" s="103" t="inlineStr">
        <is>
          <t>Std. Error</t>
        </is>
      </c>
      <c r="E60" s="103" t="inlineStr">
        <is>
          <t>Beta</t>
        </is>
      </c>
      <c r="F60" s="103" t="inlineStr"/>
      <c r="G60" s="103" t="inlineStr"/>
      <c r="H60" s="99" t="inlineStr">
        <is>
          <t>Lower Bound</t>
        </is>
      </c>
      <c r="I60" s="99" t="inlineStr">
        <is>
          <t>Upper Bound</t>
        </is>
      </c>
      <c r="J60" s="99" t="n"/>
      <c r="K60" s="99" t="n"/>
    </row>
    <row r="61">
      <c r="A61" s="97" t="n">
        <v>4</v>
      </c>
      <c r="B61" s="97" t="inlineStr">
        <is>
          <t>constant</t>
        </is>
      </c>
      <c r="C61" s="193" t="n">
        <v>0.1015910515085838</v>
      </c>
      <c r="D61" s="191" t="n">
        <v>0.01188602050548484</v>
      </c>
      <c r="E61" s="108" t="inlineStr"/>
      <c r="F61" s="191" t="n">
        <v>8.547103840322697</v>
      </c>
      <c r="G61" s="197" t="n">
        <v>0</v>
      </c>
      <c r="H61" s="188" t="n">
        <v>0.07826883903158352</v>
      </c>
      <c r="I61" s="188" t="n">
        <v>0.1249132639855841</v>
      </c>
      <c r="J61" s="99" t="n"/>
      <c r="K61" s="99" t="n"/>
    </row>
    <row r="62">
      <c r="A62" s="101" t="inlineStr"/>
      <c r="B62" s="101" t="inlineStr">
        <is>
          <t>bumo</t>
        </is>
      </c>
      <c r="C62" s="189" t="n">
        <v>0.4586770939534343</v>
      </c>
      <c r="D62" s="191" t="n">
        <v>0.05511944460959125</v>
      </c>
      <c r="E62" s="108" t="n">
        <v>0.2456834035511462</v>
      </c>
      <c r="F62" s="191" t="n">
        <v>8.321511531950751</v>
      </c>
      <c r="G62" s="197" t="n">
        <v>2.220446049250313e-16</v>
      </c>
      <c r="H62" s="188" t="n">
        <v>0.3505242097979733</v>
      </c>
      <c r="I62" s="188" t="n">
        <v>0.5668299781088952</v>
      </c>
      <c r="J62" s="99" t="n"/>
      <c r="K62" s="99" t="n"/>
    </row>
    <row r="63" ht="25.5" customHeight="1" s="179">
      <c r="A63" s="101" t="inlineStr"/>
      <c r="B63" s="101" t="inlineStr">
        <is>
          <t>Factor1</t>
        </is>
      </c>
      <c r="C63" s="183" t="n">
        <v>0.02479635166230338</v>
      </c>
      <c r="D63" s="191" t="n">
        <v>0.01009129614044302</v>
      </c>
      <c r="E63" s="108" t="n">
        <v>0.07198984033917476</v>
      </c>
      <c r="F63" s="191" t="n">
        <v>2.457201861604946</v>
      </c>
      <c r="G63" s="191" t="n">
        <v>0.01415817717504209</v>
      </c>
      <c r="H63" s="188" t="n">
        <v>0.00499566625652427</v>
      </c>
      <c r="I63" s="188" t="n">
        <v>0.04459703706808249</v>
      </c>
      <c r="J63" s="99" t="n"/>
      <c r="K63" s="99" t="n"/>
    </row>
    <row r="64">
      <c r="A64" s="101" t="inlineStr"/>
      <c r="B64" s="101" t="inlineStr">
        <is>
          <t>Factor2</t>
        </is>
      </c>
      <c r="C64" s="183" t="n">
        <v>0.006857605410061416</v>
      </c>
      <c r="D64" s="191" t="n">
        <v>0.01008662311789279</v>
      </c>
      <c r="E64" s="108" t="n">
        <v>0.01990260399169445</v>
      </c>
      <c r="F64" s="191" t="n">
        <v>0.6798712839678347</v>
      </c>
      <c r="G64" s="191" t="n">
        <v>0.4967311250462207</v>
      </c>
      <c r="H64" s="188" t="n">
        <v>-0.01293391080197654</v>
      </c>
      <c r="I64" s="188" t="n">
        <v>0.02664912162209937</v>
      </c>
      <c r="J64" s="99" t="n"/>
      <c r="K64" s="99" t="n"/>
    </row>
    <row r="65">
      <c r="A65" s="101" t="inlineStr"/>
      <c r="B65" s="101" t="inlineStr">
        <is>
          <t>Factor3</t>
        </is>
      </c>
      <c r="C65" s="183" t="n">
        <v>0.01485459576646376</v>
      </c>
      <c r="D65" s="191" t="n">
        <v>0.01009455488250273</v>
      </c>
      <c r="E65" s="185" t="n">
        <v>0.04311511135526032</v>
      </c>
      <c r="F65" s="184" t="n">
        <v>1.471545396440589</v>
      </c>
      <c r="G65" s="184" t="n">
        <v>0.1414339165464138</v>
      </c>
      <c r="H65" s="188" t="n">
        <v>-0.00495248379576908</v>
      </c>
      <c r="I65" s="188" t="n">
        <v>0.0346616753286966</v>
      </c>
      <c r="J65" s="99" t="n"/>
      <c r="K65" s="99" t="n"/>
    </row>
    <row r="66">
      <c r="A66" s="101" t="inlineStr"/>
      <c r="B66" s="101" t="inlineStr">
        <is>
          <t>Factor4</t>
        </is>
      </c>
      <c r="C66" s="183" t="n">
        <v>0.02111040542517664</v>
      </c>
      <c r="D66" s="191" t="n">
        <v>0.01008758764678918</v>
      </c>
      <c r="E66" s="185" t="n">
        <v>0.0612920357106236</v>
      </c>
      <c r="F66" s="184" t="n">
        <v>2.092710979507172</v>
      </c>
      <c r="G66" s="184" t="n">
        <v>0.03660702228170964</v>
      </c>
      <c r="H66" s="188" t="n">
        <v>0.00131699665811142</v>
      </c>
      <c r="I66" s="188" t="n">
        <v>0.04090381419224186</v>
      </c>
      <c r="J66" s="99" t="n"/>
      <c r="K66" s="99" t="n"/>
    </row>
    <row r="67">
      <c r="A67" s="101" t="n"/>
      <c r="B67" s="101" t="inlineStr">
        <is>
          <t>a. Dependent Variable: dIM1_Flip_V1_Slice04</t>
        </is>
      </c>
      <c r="C67" s="101" t="n"/>
      <c r="D67" s="108" t="n"/>
      <c r="E67" s="185" t="n"/>
      <c r="F67" s="185" t="n"/>
      <c r="G67" s="185" t="n"/>
      <c r="H67" s="99" t="n"/>
      <c r="I67" s="99" t="n"/>
      <c r="J67" s="99" t="n"/>
      <c r="K67" s="99" t="n"/>
    </row>
    <row r="68">
      <c r="A68" s="101" t="n"/>
      <c r="B68" s="101" t="n"/>
      <c r="C68" s="101" t="n"/>
      <c r="D68" s="108" t="n"/>
      <c r="E68" s="185" t="n"/>
      <c r="F68" s="185" t="n"/>
      <c r="G68" s="185" t="n"/>
      <c r="H68" s="99" t="n"/>
      <c r="I68" s="99" t="n"/>
      <c r="J68" s="99" t="n"/>
      <c r="K68" s="99" t="n"/>
    </row>
    <row r="69">
      <c r="A69" s="101" t="n"/>
      <c r="B69" s="101" t="n"/>
      <c r="C69" s="186" t="n"/>
      <c r="D69" s="108" t="n"/>
      <c r="E69" s="185" t="n"/>
      <c r="F69" s="185" t="n"/>
      <c r="G69" s="185" t="n"/>
      <c r="H69" s="99" t="n"/>
      <c r="I69" s="99" t="n"/>
      <c r="J69" s="99" t="n"/>
      <c r="K69" s="99" t="n"/>
    </row>
    <row r="70">
      <c r="A70" s="101" t="n"/>
      <c r="B70" s="101" t="n"/>
      <c r="C70" s="101" t="n"/>
      <c r="D70" s="108" t="n"/>
      <c r="E70" s="185" t="n"/>
      <c r="F70" s="185" t="n"/>
      <c r="G70" s="185" t="n"/>
      <c r="H70" s="99" t="n"/>
      <c r="I70" s="99" t="n"/>
      <c r="J70" s="99" t="n"/>
      <c r="K70" s="99" t="n"/>
    </row>
    <row r="71">
      <c r="A71" s="101" t="n"/>
      <c r="B71" s="101" t="n"/>
      <c r="C71" s="101" t="n"/>
      <c r="D71" s="108" t="n"/>
      <c r="E71" s="105" t="n"/>
      <c r="F71" s="105" t="n"/>
      <c r="G71" s="105" t="n"/>
      <c r="H71" s="99" t="n"/>
      <c r="I71" s="99" t="n"/>
      <c r="J71" s="99" t="n"/>
      <c r="K71" s="99" t="n"/>
    </row>
    <row r="72">
      <c r="A72" s="101" t="n"/>
      <c r="B72" s="101" t="n"/>
      <c r="C72" s="101" t="n"/>
      <c r="D72" s="108" t="n"/>
      <c r="E72" s="107" t="n"/>
      <c r="F72" s="107" t="n"/>
      <c r="G72" s="107" t="n"/>
      <c r="H72" s="99" t="n"/>
      <c r="I72" s="99" t="n"/>
      <c r="J72" s="99" t="n"/>
      <c r="K72" s="99" t="n"/>
    </row>
    <row r="73">
      <c r="A73" s="101" t="n"/>
      <c r="B73" s="101" t="n"/>
      <c r="C73" s="102" t="n"/>
      <c r="D73" s="108" t="n"/>
      <c r="E73" s="111" t="n"/>
      <c r="F73" s="111" t="n"/>
      <c r="G73" s="111" t="n"/>
      <c r="H73" s="99" t="n"/>
      <c r="I73" s="99" t="n"/>
      <c r="J73" s="99" t="n"/>
      <c r="K73" s="99" t="n"/>
    </row>
    <row r="74">
      <c r="A74" s="101" t="n"/>
      <c r="B74" s="101" t="n"/>
      <c r="C74" s="102" t="n"/>
      <c r="D74" s="108" t="n"/>
      <c r="E74" s="98" t="n"/>
      <c r="F74" s="98" t="n"/>
      <c r="G74" s="98" t="n"/>
      <c r="H74" s="99" t="n"/>
      <c r="I74" s="99" t="n"/>
      <c r="J74" s="99" t="n"/>
      <c r="K74" s="99" t="n"/>
    </row>
    <row r="75">
      <c r="A75" s="101" t="n"/>
      <c r="B75" s="101" t="n"/>
      <c r="C75" s="101" t="n"/>
      <c r="D75" s="108" t="n"/>
      <c r="E75" s="103" t="n"/>
      <c r="F75" s="103" t="n"/>
      <c r="G75" s="103" t="n"/>
      <c r="H75" s="99" t="n"/>
      <c r="I75" s="99" t="n"/>
      <c r="J75" s="99" t="n"/>
      <c r="K75" s="99" t="n"/>
    </row>
    <row r="76">
      <c r="A76" s="101" t="n"/>
      <c r="B76" s="101" t="n"/>
      <c r="C76" s="101" t="n"/>
      <c r="D76" s="108" t="n"/>
      <c r="E76" s="103" t="n"/>
      <c r="F76" s="103" t="n"/>
      <c r="G76" s="103" t="n"/>
      <c r="H76" s="99" t="n"/>
      <c r="I76" s="99" t="n"/>
      <c r="J76" s="99" t="n"/>
      <c r="K76" s="99" t="n"/>
    </row>
    <row r="77">
      <c r="A77" s="105" t="n"/>
      <c r="B77" s="105" t="n"/>
      <c r="C77" s="185" t="n"/>
      <c r="D77" s="185" t="n"/>
      <c r="E77" s="105" t="n"/>
      <c r="F77" s="185" t="n"/>
      <c r="G77" s="185" t="n"/>
      <c r="H77" s="99" t="n"/>
      <c r="I77" s="99" t="n"/>
      <c r="J77" s="99" t="n"/>
      <c r="K77" s="99" t="n"/>
    </row>
    <row r="78">
      <c r="A78" s="97" t="n"/>
      <c r="B78" s="97" t="n"/>
      <c r="C78" s="97" t="n"/>
      <c r="D78" s="97" t="n"/>
      <c r="E78" s="185" t="n"/>
      <c r="F78" s="185" t="n"/>
      <c r="G78" s="185" t="n"/>
      <c r="H78" s="99" t="n"/>
      <c r="I78" s="99" t="n"/>
      <c r="J78" s="99" t="n"/>
      <c r="K78" s="99" t="n"/>
    </row>
    <row r="79" ht="38.25" customHeight="1" s="179">
      <c r="A79" s="109" t="n"/>
      <c r="B79" s="109" t="n"/>
      <c r="C79" s="109" t="n"/>
      <c r="D79" s="109" t="n"/>
      <c r="E79" s="185" t="n"/>
      <c r="F79" s="185" t="n"/>
      <c r="G79" s="185" t="n"/>
      <c r="H79" s="99" t="n"/>
      <c r="I79" s="99" t="n"/>
      <c r="J79" s="99" t="n"/>
      <c r="K79" s="99" t="n"/>
    </row>
    <row r="80">
      <c r="A80" s="102" t="n"/>
      <c r="B80" s="101" t="n"/>
      <c r="C80" s="102" t="n"/>
      <c r="D80" s="101" t="n"/>
      <c r="E80" s="185" t="n"/>
      <c r="F80" s="185" t="n"/>
      <c r="G80" s="185" t="n"/>
      <c r="H80" s="99" t="n"/>
      <c r="I80" s="99" t="n"/>
      <c r="J80" s="99" t="n"/>
      <c r="K80" s="99" t="n"/>
    </row>
    <row r="81">
      <c r="A81" s="101" t="n"/>
      <c r="B81" s="101" t="n"/>
      <c r="C81" s="101" t="n"/>
      <c r="D81" s="101" t="n"/>
      <c r="E81" s="108" t="n"/>
      <c r="F81" s="108" t="n"/>
      <c r="G81" s="108" t="n"/>
      <c r="H81" s="99" t="n"/>
      <c r="I81" s="99" t="n"/>
      <c r="J81" s="99" t="n"/>
      <c r="K81" s="99" t="n"/>
    </row>
    <row r="82">
      <c r="A82" s="105" t="n"/>
      <c r="B82" s="105" t="n"/>
      <c r="C82" s="185" t="n"/>
      <c r="D82" s="185" t="n"/>
      <c r="E82" s="185" t="n"/>
      <c r="F82" s="185" t="n"/>
      <c r="G82" s="185" t="n"/>
      <c r="H82" s="99" t="n"/>
      <c r="I82" s="99" t="n"/>
      <c r="J82" s="99" t="n"/>
      <c r="K82" s="99" t="n"/>
    </row>
    <row r="83">
      <c r="A83" s="97" t="n"/>
      <c r="B83" s="97" t="n"/>
      <c r="C83" s="97" t="n"/>
      <c r="D83" s="97" t="n"/>
      <c r="E83" s="97" t="n"/>
      <c r="F83" s="108" t="n"/>
      <c r="G83" s="108" t="n"/>
      <c r="H83" s="99" t="n"/>
      <c r="I83" s="99" t="n"/>
      <c r="J83" s="99" t="n"/>
      <c r="K83" s="99" t="n"/>
    </row>
    <row r="84">
      <c r="A84" s="109" t="n"/>
      <c r="B84" s="109" t="n"/>
      <c r="C84" s="109" t="n"/>
      <c r="D84" s="109" t="n"/>
      <c r="E84" s="109" t="n"/>
      <c r="F84" s="108" t="n"/>
      <c r="G84" s="108" t="n"/>
      <c r="H84" s="99" t="n"/>
      <c r="I84" s="99" t="n"/>
      <c r="J84" s="99" t="n"/>
      <c r="K84" s="99" t="n"/>
    </row>
    <row r="85">
      <c r="A85" s="102" t="n"/>
      <c r="B85" s="102" t="n"/>
      <c r="C85" s="192" t="n"/>
      <c r="D85" s="192" t="n"/>
      <c r="E85" s="192" t="n"/>
      <c r="F85" s="108" t="n"/>
      <c r="G85" s="108" t="n"/>
      <c r="H85" s="99" t="n"/>
      <c r="I85" s="99" t="n"/>
      <c r="J85" s="99" t="n"/>
      <c r="K85" s="99" t="n"/>
    </row>
    <row r="86">
      <c r="A86" s="101" t="n"/>
      <c r="B86" s="101" t="n"/>
      <c r="C86" s="101" t="n"/>
      <c r="D86" s="101" t="n"/>
      <c r="E86" s="101" t="n"/>
      <c r="F86" s="108" t="n"/>
      <c r="G86" s="108" t="n"/>
      <c r="H86" s="99" t="n"/>
      <c r="I86" s="99" t="n"/>
      <c r="J86" s="99" t="n"/>
      <c r="K86" s="99" t="n"/>
    </row>
    <row r="87">
      <c r="A87" s="107" t="n"/>
      <c r="B87" s="107" t="n"/>
      <c r="C87" s="107" t="n"/>
      <c r="D87" s="107" t="n"/>
      <c r="E87" s="107" t="n"/>
      <c r="F87" s="107" t="n"/>
      <c r="G87" s="107" t="n"/>
      <c r="H87" s="99" t="n"/>
      <c r="I87" s="99" t="n"/>
      <c r="J87" s="99" t="n"/>
      <c r="K87" s="99" t="n"/>
    </row>
    <row r="88" ht="25.5" customHeight="1" s="179">
      <c r="A88" s="97" t="n"/>
      <c r="B88" s="97" t="n"/>
      <c r="C88" s="97" t="n"/>
      <c r="D88" s="97" t="n"/>
      <c r="E88" s="97" t="n"/>
      <c r="F88" s="97" t="n"/>
      <c r="G88" s="97" t="n"/>
      <c r="H88" s="99" t="n"/>
      <c r="I88" s="99" t="n"/>
      <c r="J88" s="99" t="n"/>
      <c r="K88" s="99" t="n"/>
    </row>
    <row r="89">
      <c r="A89" s="109" t="n"/>
      <c r="B89" s="109" t="n"/>
      <c r="C89" s="109" t="n"/>
      <c r="D89" s="109" t="n"/>
      <c r="E89" s="109" t="n"/>
      <c r="F89" s="109" t="n"/>
      <c r="G89" s="109" t="n"/>
      <c r="H89" s="99" t="n"/>
      <c r="I89" s="99" t="n"/>
      <c r="J89" s="99" t="n"/>
      <c r="K89" s="99" t="n"/>
    </row>
    <row r="90">
      <c r="A90" s="102" t="n"/>
      <c r="B90" s="101" t="n"/>
      <c r="C90" s="192" t="n"/>
      <c r="D90" s="186" t="n"/>
      <c r="E90" s="192" t="n"/>
      <c r="F90" s="192" t="n"/>
      <c r="G90" s="102" t="n"/>
      <c r="H90" s="99" t="n"/>
      <c r="I90" s="99" t="n"/>
      <c r="J90" s="99" t="n"/>
      <c r="K90" s="99" t="n"/>
    </row>
    <row r="91">
      <c r="A91" s="101" t="n"/>
      <c r="B91" s="101" t="n"/>
      <c r="C91" s="192" t="n"/>
      <c r="D91" s="186" t="n"/>
      <c r="E91" s="192" t="n"/>
      <c r="F91" s="101" t="n"/>
      <c r="G91" s="101" t="n"/>
      <c r="H91" s="99" t="n"/>
      <c r="I91" s="99" t="n"/>
      <c r="J91" s="99" t="n"/>
      <c r="K91" s="99" t="n"/>
    </row>
    <row r="92">
      <c r="A92" s="101" t="n"/>
      <c r="B92" s="101" t="n"/>
      <c r="C92" s="192" t="n"/>
      <c r="D92" s="186" t="n"/>
      <c r="E92" s="101" t="n"/>
      <c r="F92" s="101" t="n"/>
      <c r="G92" s="101" t="n"/>
      <c r="H92" s="99" t="n"/>
      <c r="I92" s="99" t="n"/>
      <c r="J92" s="99" t="n"/>
      <c r="K92" s="99" t="n"/>
    </row>
    <row r="93">
      <c r="A93" s="101" t="n"/>
      <c r="B93" s="101" t="n"/>
      <c r="C93" s="101" t="n"/>
      <c r="D93" s="101" t="n"/>
      <c r="E93" s="101" t="n"/>
      <c r="F93" s="101" t="n"/>
      <c r="G93" s="101" t="n"/>
      <c r="H93" s="99" t="n"/>
      <c r="I93" s="99" t="n"/>
      <c r="J93" s="99" t="n"/>
      <c r="K93" s="99" t="n"/>
    </row>
    <row r="94">
      <c r="A94" s="105" t="n"/>
      <c r="B94" s="105" t="n"/>
      <c r="C94" s="185" t="n"/>
      <c r="D94" s="185" t="n"/>
      <c r="E94" s="185" t="n"/>
      <c r="F94" s="185" t="n"/>
      <c r="G94" s="185" t="n"/>
      <c r="H94" s="99" t="n"/>
      <c r="I94" s="99" t="n"/>
      <c r="J94" s="99" t="n"/>
      <c r="K94" s="99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9" t="n"/>
      <c r="I95" s="99" t="n"/>
      <c r="J95" s="99" t="n"/>
      <c r="K95" s="99" t="n"/>
    </row>
    <row r="96">
      <c r="A96" s="109" t="n"/>
      <c r="B96" s="109" t="n"/>
      <c r="C96" s="109" t="n"/>
      <c r="D96" s="109" t="n"/>
      <c r="E96" s="109" t="n"/>
      <c r="F96" s="109" t="n"/>
      <c r="G96" s="109" t="n"/>
      <c r="H96" s="99" t="n"/>
      <c r="I96" s="99" t="n"/>
      <c r="J96" s="99" t="n"/>
      <c r="K96" s="99" t="n"/>
    </row>
    <row r="97">
      <c r="A97" s="109" t="n"/>
      <c r="B97" s="109" t="n"/>
      <c r="C97" s="109" t="n"/>
      <c r="D97" s="109" t="n"/>
      <c r="E97" s="109" t="n"/>
      <c r="F97" s="109" t="n"/>
      <c r="G97" s="109" t="n"/>
      <c r="H97" s="99" t="n"/>
      <c r="I97" s="99" t="n"/>
      <c r="J97" s="99" t="n"/>
      <c r="K97" s="99" t="n"/>
    </row>
    <row r="98">
      <c r="A98" s="102" t="n"/>
      <c r="B98" s="101" t="n"/>
      <c r="C98" s="192" t="n"/>
      <c r="D98" s="192" t="n"/>
      <c r="E98" s="101" t="n"/>
      <c r="F98" s="192" t="n"/>
      <c r="G98" s="192" t="n"/>
      <c r="H98" s="99" t="n"/>
      <c r="I98" s="99" t="n"/>
      <c r="J98" s="99" t="n"/>
      <c r="K98" s="99" t="n"/>
    </row>
    <row r="99">
      <c r="A99" s="101" t="n"/>
      <c r="B99" s="101" t="n"/>
      <c r="C99" s="192" t="n"/>
      <c r="D99" s="192" t="n"/>
      <c r="E99" s="192" t="n"/>
      <c r="F99" s="192" t="n"/>
      <c r="G99" s="192" t="n"/>
      <c r="H99" s="99" t="n"/>
      <c r="I99" s="99" t="n"/>
      <c r="J99" s="99" t="n"/>
      <c r="K99" s="99" t="n"/>
    </row>
    <row r="100">
      <c r="A100" s="101" t="n"/>
      <c r="B100" s="101" t="n"/>
      <c r="C100" s="192" t="n"/>
      <c r="D100" s="192" t="n"/>
      <c r="E100" s="192" t="n"/>
      <c r="F100" s="192" t="n"/>
      <c r="G100" s="192" t="n"/>
      <c r="H100" s="99" t="n"/>
      <c r="I100" s="99" t="n"/>
      <c r="J100" s="99" t="n"/>
      <c r="K100" s="99" t="n"/>
    </row>
    <row r="101">
      <c r="A101" s="101" t="n"/>
      <c r="B101" s="101" t="n"/>
      <c r="C101" s="192" t="n"/>
      <c r="D101" s="192" t="n"/>
      <c r="E101" s="192" t="n"/>
      <c r="F101" s="192" t="n"/>
      <c r="G101" s="192" t="n"/>
      <c r="H101" s="99" t="n"/>
      <c r="I101" s="99" t="n"/>
      <c r="J101" s="99" t="n"/>
      <c r="K101" s="99" t="n"/>
    </row>
    <row r="102">
      <c r="A102" s="101" t="n"/>
      <c r="B102" s="101" t="n"/>
      <c r="C102" s="192" t="n"/>
      <c r="D102" s="192" t="n"/>
      <c r="E102" s="192" t="n"/>
      <c r="F102" s="192" t="n"/>
      <c r="G102" s="192" t="n"/>
      <c r="H102" s="99" t="n"/>
      <c r="I102" s="99" t="n"/>
      <c r="J102" s="99" t="n"/>
      <c r="K102" s="99" t="n"/>
    </row>
    <row r="103">
      <c r="A103" s="101" t="n"/>
      <c r="B103" s="101" t="n"/>
      <c r="C103" s="192" t="n"/>
      <c r="D103" s="192" t="n"/>
      <c r="E103" s="192" t="n"/>
      <c r="F103" s="192" t="n"/>
      <c r="G103" s="192" t="n"/>
      <c r="H103" s="99" t="n"/>
      <c r="I103" s="99" t="n"/>
      <c r="J103" s="99" t="n"/>
      <c r="K103" s="99" t="n"/>
    </row>
    <row r="104">
      <c r="A104" s="101" t="n"/>
      <c r="B104" s="101" t="n"/>
      <c r="C104" s="192" t="n"/>
      <c r="D104" s="192" t="n"/>
      <c r="E104" s="192" t="n"/>
      <c r="F104" s="192" t="n"/>
      <c r="G104" s="192" t="n"/>
      <c r="H104" s="99" t="n"/>
      <c r="I104" s="99" t="n"/>
      <c r="J104" s="99" t="n"/>
      <c r="K104" s="99" t="n"/>
    </row>
    <row r="105">
      <c r="A105" s="101" t="n"/>
      <c r="B105" s="101" t="n"/>
      <c r="C105" s="192" t="n"/>
      <c r="D105" s="192" t="n"/>
      <c r="E105" s="192" t="n"/>
      <c r="F105" s="192" t="n"/>
      <c r="G105" s="192" t="n"/>
      <c r="H105" s="99" t="n"/>
      <c r="I105" s="99" t="n"/>
      <c r="J105" s="99" t="n"/>
      <c r="K105" s="99" t="n"/>
    </row>
    <row r="106">
      <c r="A106" s="101" t="n"/>
      <c r="B106" s="101" t="n"/>
      <c r="C106" s="192" t="n"/>
      <c r="D106" s="192" t="n"/>
      <c r="E106" s="192" t="n"/>
      <c r="F106" s="192" t="n"/>
      <c r="G106" s="192" t="n"/>
      <c r="H106" s="99" t="n"/>
      <c r="I106" s="99" t="n"/>
      <c r="J106" s="99" t="n"/>
      <c r="K106" s="99" t="n"/>
    </row>
    <row r="107">
      <c r="A107" s="101" t="n"/>
      <c r="B107" s="101" t="n"/>
      <c r="C107" s="192" t="n"/>
      <c r="D107" s="192" t="n"/>
      <c r="E107" s="192" t="n"/>
      <c r="F107" s="192" t="n"/>
      <c r="G107" s="192" t="n"/>
      <c r="H107" s="99" t="n"/>
      <c r="I107" s="99" t="n"/>
      <c r="J107" s="99" t="n"/>
      <c r="K107" s="99" t="n"/>
    </row>
    <row r="108">
      <c r="A108" s="101" t="n"/>
      <c r="B108" s="101" t="n"/>
      <c r="C108" s="192" t="n"/>
      <c r="D108" s="192" t="n"/>
      <c r="E108" s="192" t="n"/>
      <c r="F108" s="192" t="n"/>
      <c r="G108" s="192" t="n"/>
      <c r="H108" s="99" t="n"/>
      <c r="I108" s="99" t="n"/>
      <c r="J108" s="99" t="n"/>
      <c r="K108" s="99" t="n"/>
    </row>
    <row r="109">
      <c r="A109" s="101" t="n"/>
      <c r="B109" s="101" t="n"/>
      <c r="C109" s="192" t="n"/>
      <c r="D109" s="192" t="n"/>
      <c r="E109" s="192" t="n"/>
      <c r="F109" s="192" t="n"/>
      <c r="G109" s="192" t="n"/>
      <c r="H109" s="99" t="n"/>
      <c r="I109" s="99" t="n"/>
      <c r="J109" s="99" t="n"/>
      <c r="K109" s="99" t="n"/>
    </row>
    <row r="110">
      <c r="A110" s="101" t="n"/>
      <c r="B110" s="101" t="n"/>
      <c r="C110" s="192" t="n"/>
      <c r="D110" s="192" t="n"/>
      <c r="E110" s="192" t="n"/>
      <c r="F110" s="192" t="n"/>
      <c r="G110" s="192" t="n"/>
      <c r="H110" s="99" t="n"/>
      <c r="I110" s="99" t="n"/>
      <c r="J110" s="99" t="n"/>
      <c r="K110" s="99" t="n"/>
    </row>
    <row r="111">
      <c r="A111" s="101" t="n"/>
      <c r="B111" s="101" t="n"/>
      <c r="C111" s="192" t="n"/>
      <c r="D111" s="192" t="n"/>
      <c r="E111" s="192" t="n"/>
      <c r="F111" s="192" t="n"/>
      <c r="G111" s="192" t="n"/>
      <c r="H111" s="99" t="n"/>
      <c r="I111" s="99" t="n"/>
      <c r="J111" s="99" t="n"/>
      <c r="K111" s="99" t="n"/>
    </row>
    <row r="112">
      <c r="A112" s="101" t="n"/>
      <c r="B112" s="101" t="n"/>
      <c r="C112" s="192" t="n"/>
      <c r="D112" s="192" t="n"/>
      <c r="E112" s="192" t="n"/>
      <c r="F112" s="192" t="n"/>
      <c r="G112" s="192" t="n"/>
      <c r="H112" s="99" t="n"/>
      <c r="I112" s="99" t="n"/>
      <c r="J112" s="99" t="n"/>
      <c r="K112" s="99" t="n"/>
    </row>
    <row r="113">
      <c r="A113" s="101" t="n"/>
      <c r="B113" s="101" t="n"/>
      <c r="C113" s="192" t="n"/>
      <c r="D113" s="192" t="n"/>
      <c r="E113" s="192" t="n"/>
      <c r="F113" s="192" t="n"/>
      <c r="G113" s="192" t="n"/>
      <c r="H113" s="99" t="n"/>
      <c r="I113" s="99" t="n"/>
      <c r="J113" s="99" t="n"/>
      <c r="K113" s="99" t="n"/>
    </row>
    <row r="114">
      <c r="A114" s="101" t="n"/>
      <c r="B114" s="101" t="n"/>
      <c r="C114" s="192" t="n"/>
      <c r="D114" s="192" t="n"/>
      <c r="E114" s="192" t="n"/>
      <c r="F114" s="192" t="n"/>
      <c r="G114" s="192" t="n"/>
      <c r="H114" s="99" t="n"/>
      <c r="I114" s="99" t="n"/>
      <c r="J114" s="99" t="n"/>
      <c r="K114" s="99" t="n"/>
    </row>
    <row r="115">
      <c r="A115" s="101" t="n"/>
      <c r="B115" s="101" t="n"/>
      <c r="C115" s="192" t="n"/>
      <c r="D115" s="192" t="n"/>
      <c r="E115" s="192" t="n"/>
      <c r="F115" s="192" t="n"/>
      <c r="G115" s="192" t="n"/>
      <c r="H115" s="99" t="n"/>
      <c r="I115" s="99" t="n"/>
      <c r="J115" s="99" t="n"/>
      <c r="K115" s="99" t="n"/>
    </row>
    <row r="116">
      <c r="A116" s="101" t="n"/>
      <c r="B116" s="101" t="n"/>
      <c r="C116" s="192" t="n"/>
      <c r="D116" s="192" t="n"/>
      <c r="E116" s="192" t="n"/>
      <c r="F116" s="192" t="n"/>
      <c r="G116" s="192" t="n"/>
      <c r="H116" s="99" t="n"/>
      <c r="I116" s="99" t="n"/>
      <c r="J116" s="99" t="n"/>
      <c r="K116" s="99" t="n"/>
    </row>
    <row r="117">
      <c r="A117" s="101" t="n"/>
      <c r="B117" s="101" t="n"/>
      <c r="C117" s="192" t="n"/>
      <c r="D117" s="192" t="n"/>
      <c r="E117" s="192" t="n"/>
      <c r="F117" s="192" t="n"/>
      <c r="G117" s="192" t="n"/>
      <c r="H117" s="99" t="n"/>
      <c r="I117" s="99" t="n"/>
      <c r="J117" s="99" t="n"/>
      <c r="K117" s="99" t="n"/>
    </row>
    <row r="118">
      <c r="A118" s="101" t="n"/>
      <c r="B118" s="101" t="n"/>
      <c r="C118" s="192" t="n"/>
      <c r="D118" s="192" t="n"/>
      <c r="E118" s="192" t="n"/>
      <c r="F118" s="192" t="n"/>
      <c r="G118" s="192" t="n"/>
      <c r="H118" s="99" t="n"/>
      <c r="I118" s="99" t="n"/>
      <c r="J118" s="99" t="n"/>
      <c r="K118" s="99" t="n"/>
    </row>
    <row r="119" ht="38.25" customHeight="1" s="179">
      <c r="A119" s="101" t="n"/>
      <c r="B119" s="101" t="n"/>
      <c r="C119" s="192" t="n"/>
      <c r="D119" s="192" t="n"/>
      <c r="E119" s="192" t="n"/>
      <c r="F119" s="192" t="n"/>
      <c r="G119" s="192" t="n"/>
      <c r="H119" s="99" t="n"/>
      <c r="I119" s="99" t="n"/>
      <c r="J119" s="99" t="n"/>
      <c r="K119" s="99" t="n"/>
    </row>
    <row r="120">
      <c r="A120" s="112" t="n"/>
      <c r="B120" s="112" t="n"/>
      <c r="C120" s="112" t="n"/>
      <c r="D120" s="112" t="n"/>
      <c r="E120" s="112" t="n"/>
      <c r="F120" s="112" t="n"/>
      <c r="G120" s="112" t="n"/>
      <c r="H120" s="99" t="n"/>
      <c r="I120" s="99" t="n"/>
      <c r="J120" s="99" t="n"/>
      <c r="K120" s="99" t="n"/>
    </row>
    <row r="121">
      <c r="A121" s="97" t="n"/>
      <c r="B121" s="97" t="n"/>
      <c r="C121" s="97" t="n"/>
      <c r="D121" s="108" t="n"/>
      <c r="E121" s="108" t="n"/>
      <c r="F121" s="108" t="n"/>
      <c r="G121" s="108" t="n"/>
      <c r="H121" s="99" t="n"/>
      <c r="I121" s="99" t="n"/>
      <c r="J121" s="99" t="n"/>
      <c r="K121" s="99" t="n"/>
    </row>
    <row r="122">
      <c r="A122" s="101" t="n"/>
      <c r="B122" s="101" t="n"/>
      <c r="C122" s="102" t="n"/>
      <c r="D122" s="108" t="n"/>
      <c r="E122" s="108" t="n"/>
      <c r="F122" s="108" t="n"/>
      <c r="G122" s="108" t="n"/>
      <c r="H122" s="99" t="n"/>
      <c r="I122" s="99" t="n"/>
      <c r="J122" s="99" t="n"/>
      <c r="K122" s="99" t="n"/>
    </row>
    <row r="123">
      <c r="A123" s="101" t="n"/>
      <c r="B123" s="101" t="n"/>
      <c r="C123" s="101" t="n"/>
      <c r="D123" s="108" t="n"/>
      <c r="E123" s="108" t="n"/>
      <c r="F123" s="108" t="n"/>
      <c r="G123" s="108" t="n"/>
      <c r="H123" s="99" t="n"/>
      <c r="I123" s="99" t="n"/>
      <c r="J123" s="99" t="n"/>
      <c r="K123" s="99" t="n"/>
    </row>
    <row r="124">
      <c r="A124" s="101" t="n"/>
      <c r="B124" s="101" t="n"/>
      <c r="C124" s="101" t="n"/>
      <c r="D124" s="108" t="n"/>
      <c r="E124" s="108" t="n"/>
      <c r="F124" s="108" t="n"/>
      <c r="G124" s="108" t="n"/>
      <c r="H124" s="99" t="n"/>
      <c r="I124" s="99" t="n"/>
      <c r="J124" s="99" t="n"/>
      <c r="K124" s="99" t="n"/>
    </row>
    <row r="125">
      <c r="A125" s="101" t="n"/>
      <c r="B125" s="101" t="n"/>
      <c r="C125" s="101" t="n"/>
      <c r="D125" s="108" t="n"/>
      <c r="E125" s="108" t="n"/>
      <c r="F125" s="108" t="n"/>
      <c r="G125" s="108" t="n"/>
      <c r="H125" s="99" t="n"/>
      <c r="I125" s="99" t="n"/>
      <c r="J125" s="99" t="n"/>
      <c r="K125" s="99" t="n"/>
    </row>
    <row r="126">
      <c r="A126" s="101" t="n"/>
      <c r="B126" s="101" t="n"/>
      <c r="C126" s="101" t="n"/>
      <c r="D126" s="108" t="n"/>
      <c r="E126" s="108" t="n"/>
      <c r="F126" s="108" t="n"/>
      <c r="G126" s="108" t="n"/>
      <c r="H126" s="99" t="n"/>
      <c r="I126" s="99" t="n"/>
      <c r="J126" s="99" t="n"/>
      <c r="K126" s="99" t="n"/>
    </row>
    <row r="127">
      <c r="A127" s="101" t="n"/>
      <c r="B127" s="101" t="n"/>
      <c r="C127" s="101" t="n"/>
      <c r="D127" s="108" t="n"/>
      <c r="E127" s="108" t="n"/>
      <c r="F127" s="108" t="n"/>
      <c r="G127" s="108" t="n"/>
      <c r="H127" s="99" t="n"/>
      <c r="I127" s="99" t="n"/>
      <c r="J127" s="99" t="n"/>
      <c r="K127" s="99" t="n"/>
    </row>
    <row r="128">
      <c r="A128" s="101" t="n"/>
      <c r="B128" s="101" t="n"/>
      <c r="C128" s="101" t="n"/>
      <c r="D128" s="108" t="n"/>
      <c r="E128" s="108" t="n"/>
      <c r="F128" s="108" t="n"/>
      <c r="G128" s="108" t="n"/>
      <c r="H128" s="99" t="n"/>
      <c r="I128" s="99" t="n"/>
      <c r="J128" s="99" t="n"/>
      <c r="K128" s="99" t="n"/>
    </row>
    <row r="129">
      <c r="A129" s="101" t="n"/>
      <c r="B129" s="101" t="n"/>
      <c r="C129" s="186" t="n"/>
      <c r="D129" s="108" t="n"/>
      <c r="E129" s="108" t="n"/>
      <c r="F129" s="113" t="n"/>
      <c r="G129" s="113" t="n"/>
      <c r="H129" s="99" t="n"/>
      <c r="I129" s="99" t="n"/>
      <c r="J129" s="99" t="n"/>
      <c r="K129" s="99" t="n"/>
    </row>
    <row r="130">
      <c r="A130" s="101" t="n"/>
      <c r="B130" s="101" t="n"/>
      <c r="C130" s="101" t="n"/>
      <c r="D130" s="108" t="n"/>
      <c r="E130" s="108" t="n"/>
      <c r="F130" s="112" t="n"/>
      <c r="G130" s="112" t="n"/>
      <c r="H130" s="99" t="n"/>
      <c r="I130" s="99" t="n"/>
      <c r="J130" s="99" t="n"/>
      <c r="K130" s="99" t="n"/>
    </row>
    <row r="131">
      <c r="A131" s="101" t="n"/>
      <c r="B131" s="101" t="n"/>
      <c r="C131" s="101" t="n"/>
      <c r="D131" s="108" t="n"/>
      <c r="E131" s="108" t="n"/>
      <c r="F131" s="112" t="n"/>
      <c r="G131" s="112" t="n"/>
      <c r="H131" s="99" t="n"/>
      <c r="I131" s="99" t="n"/>
      <c r="J131" s="99" t="n"/>
      <c r="K131" s="99" t="n"/>
    </row>
    <row r="132">
      <c r="A132" s="101" t="n"/>
      <c r="B132" s="101" t="n"/>
      <c r="C132" s="101" t="n"/>
      <c r="D132" s="108" t="n"/>
      <c r="E132" s="108" t="n"/>
      <c r="F132" s="198" t="n"/>
      <c r="G132" s="198" t="n"/>
      <c r="H132" s="99" t="n"/>
      <c r="I132" s="99" t="n"/>
      <c r="J132" s="99" t="n"/>
      <c r="K132" s="99" t="n"/>
    </row>
    <row r="133">
      <c r="A133" s="101" t="n"/>
      <c r="B133" s="101" t="n"/>
      <c r="C133" s="102" t="n"/>
      <c r="D133" s="108" t="n"/>
      <c r="E133" s="108" t="n"/>
      <c r="F133" s="198" t="n"/>
      <c r="G133" s="198" t="n"/>
      <c r="H133" s="99" t="n"/>
      <c r="I133" s="99" t="n"/>
      <c r="J133" s="99" t="n"/>
      <c r="K133" s="99" t="n"/>
    </row>
    <row r="134">
      <c r="A134" s="101" t="n"/>
      <c r="B134" s="101" t="n"/>
      <c r="C134" s="102" t="n"/>
      <c r="D134" s="108" t="n"/>
      <c r="E134" s="108" t="n"/>
      <c r="F134" s="198" t="n"/>
      <c r="G134" s="198" t="n"/>
      <c r="H134" s="99" t="n"/>
      <c r="I134" s="99" t="n"/>
      <c r="J134" s="99" t="n"/>
      <c r="K134" s="99" t="n"/>
    </row>
    <row r="135">
      <c r="A135" s="101" t="n"/>
      <c r="B135" s="101" t="n"/>
      <c r="C135" s="101" t="n"/>
      <c r="D135" s="108" t="n"/>
      <c r="E135" s="108" t="n"/>
      <c r="F135" s="198" t="n"/>
      <c r="G135" s="198" t="n"/>
      <c r="H135" s="99" t="n"/>
      <c r="I135" s="99" t="n"/>
      <c r="J135" s="99" t="n"/>
      <c r="K135" s="99" t="n"/>
    </row>
    <row r="136">
      <c r="A136" s="101" t="n"/>
      <c r="B136" s="101" t="n"/>
      <c r="C136" s="101" t="n"/>
      <c r="D136" s="108" t="n"/>
      <c r="E136" s="108" t="n"/>
      <c r="F136" s="198" t="n"/>
      <c r="G136" s="198" t="n"/>
      <c r="H136" s="99" t="n"/>
      <c r="I136" s="99" t="n"/>
      <c r="J136" s="99" t="n"/>
      <c r="K136" s="99" t="n"/>
    </row>
    <row r="137" ht="14" customHeight="1" s="179">
      <c r="H137" s="99" t="n"/>
      <c r="I137" s="99" t="n"/>
      <c r="J137" s="99" t="n"/>
      <c r="K137" s="99" t="n"/>
    </row>
    <row r="138" ht="14" customHeight="1" s="179">
      <c r="A138" s="97" t="n"/>
      <c r="B138" s="97" t="n"/>
      <c r="C138" s="97" t="n"/>
      <c r="D138" s="97" t="n"/>
      <c r="E138" s="108" t="n"/>
      <c r="H138" s="99" t="n"/>
      <c r="I138" s="99" t="n"/>
      <c r="J138" s="99" t="n"/>
      <c r="K138" s="99" t="n"/>
    </row>
    <row r="139">
      <c r="A139" s="109" t="n"/>
      <c r="B139" s="109" t="n"/>
      <c r="C139" s="109" t="n"/>
      <c r="D139" s="109" t="n"/>
      <c r="E139" s="108" t="n"/>
      <c r="F139" s="113" t="n"/>
      <c r="G139" s="113" t="n"/>
      <c r="H139" s="99" t="n"/>
      <c r="I139" s="99" t="n"/>
      <c r="J139" s="99" t="n"/>
      <c r="K139" s="99" t="n"/>
    </row>
    <row r="140">
      <c r="A140" s="102" t="n"/>
      <c r="B140" s="101" t="n"/>
      <c r="C140" s="102" t="n"/>
      <c r="D140" s="101" t="n"/>
      <c r="E140" s="108" t="n"/>
      <c r="F140" s="112" t="n"/>
      <c r="G140" s="112" t="n"/>
      <c r="H140" s="99" t="n"/>
      <c r="I140" s="99" t="n"/>
      <c r="J140" s="99" t="n"/>
      <c r="K140" s="99" t="n"/>
    </row>
    <row r="141">
      <c r="A141" s="101" t="n"/>
      <c r="B141" s="101" t="n"/>
      <c r="C141" s="101" t="n"/>
      <c r="D141" s="101" t="n"/>
      <c r="E141" s="108" t="n"/>
      <c r="F141" s="112" t="n"/>
      <c r="G141" s="112" t="n"/>
      <c r="H141" s="99" t="n"/>
      <c r="I141" s="99" t="n"/>
      <c r="J141" s="99" t="n"/>
      <c r="K141" s="99" t="n"/>
    </row>
    <row r="142" ht="14" customHeight="1" s="179">
      <c r="C142" s="198" t="n"/>
      <c r="D142" s="198" t="n"/>
      <c r="F142" s="198" t="n"/>
      <c r="G142" s="198" t="n"/>
      <c r="H142" s="99" t="n"/>
      <c r="I142" s="99" t="n"/>
      <c r="J142" s="99" t="n"/>
      <c r="K142" s="99" t="n"/>
    </row>
    <row r="143">
      <c r="A143" s="97" t="n"/>
      <c r="B143" s="97" t="n"/>
      <c r="C143" s="97" t="n"/>
      <c r="D143" s="97" t="n"/>
      <c r="E143" s="97" t="n"/>
      <c r="F143" s="198" t="n"/>
      <c r="G143" s="198" t="n"/>
      <c r="H143" s="99" t="n"/>
      <c r="I143" s="99" t="n"/>
      <c r="J143" s="99" t="n"/>
      <c r="K143" s="99" t="n"/>
    </row>
    <row r="144">
      <c r="A144" s="109" t="n"/>
      <c r="B144" s="109" t="n"/>
      <c r="C144" s="109" t="n"/>
      <c r="D144" s="109" t="n"/>
      <c r="E144" s="109" t="n"/>
      <c r="F144" s="198" t="n"/>
      <c r="G144" s="198" t="n"/>
      <c r="H144" s="99" t="n"/>
      <c r="I144" s="99" t="n"/>
      <c r="J144" s="99" t="n"/>
      <c r="K144" s="99" t="n"/>
    </row>
    <row r="145">
      <c r="A145" s="102" t="n"/>
      <c r="B145" s="102" t="n"/>
      <c r="C145" s="192" t="n"/>
      <c r="D145" s="192" t="n"/>
      <c r="E145" s="199" t="n"/>
      <c r="F145" s="108" t="n"/>
      <c r="G145" s="108" t="n"/>
      <c r="H145" s="99" t="n"/>
      <c r="I145" s="99" t="n"/>
      <c r="J145" s="99" t="n"/>
      <c r="K145" s="99" t="n"/>
    </row>
    <row r="146">
      <c r="A146" s="101" t="n"/>
      <c r="B146" s="101" t="n"/>
      <c r="C146" s="101" t="n"/>
      <c r="D146" s="101" t="n"/>
      <c r="E146" s="101" t="n"/>
      <c r="F146" s="108" t="n"/>
      <c r="G146" s="108" t="n"/>
      <c r="H146" s="99" t="n"/>
      <c r="I146" s="99" t="n"/>
      <c r="J146" s="99" t="n"/>
      <c r="K146" s="99" t="n"/>
    </row>
    <row r="147" ht="14" customHeight="1" s="179">
      <c r="H147" s="99" t="n"/>
      <c r="I147" s="99" t="n"/>
      <c r="J147" s="99" t="n"/>
      <c r="K147" s="99" t="n"/>
    </row>
    <row r="148">
      <c r="A148" s="97" t="n"/>
      <c r="B148" s="97" t="n"/>
      <c r="C148" s="97" t="n"/>
      <c r="D148" s="97" t="n"/>
      <c r="E148" s="97" t="n"/>
      <c r="F148" s="97" t="n"/>
      <c r="G148" s="97" t="n"/>
      <c r="H148" s="99" t="n"/>
      <c r="I148" s="99" t="n"/>
      <c r="J148" s="99" t="n"/>
      <c r="K148" s="99" t="n"/>
    </row>
    <row r="149">
      <c r="A149" s="109" t="n"/>
      <c r="B149" s="109" t="n"/>
      <c r="C149" s="109" t="n"/>
      <c r="D149" s="109" t="n"/>
      <c r="E149" s="109" t="n"/>
      <c r="F149" s="109" t="n"/>
      <c r="G149" s="109" t="n"/>
      <c r="H149" s="99" t="n"/>
      <c r="I149" s="99" t="n"/>
      <c r="J149" s="99" t="n"/>
      <c r="K149" s="99" t="n"/>
    </row>
    <row r="150">
      <c r="A150" s="102" t="n"/>
      <c r="B150" s="101" t="n"/>
      <c r="C150" s="192" t="n"/>
      <c r="D150" s="186" t="n"/>
      <c r="E150" s="192" t="n"/>
      <c r="F150" s="192" t="n"/>
      <c r="G150" s="102" t="n"/>
      <c r="H150" s="99" t="n"/>
      <c r="I150" s="99" t="n"/>
      <c r="J150" s="99" t="n"/>
      <c r="K150" s="99" t="n"/>
    </row>
    <row r="151">
      <c r="A151" s="101" t="n"/>
      <c r="B151" s="101" t="n"/>
      <c r="C151" s="192" t="n"/>
      <c r="D151" s="186" t="n"/>
      <c r="E151" s="192" t="n"/>
      <c r="F151" s="101" t="n"/>
      <c r="G151" s="101" t="n"/>
      <c r="H151" s="99" t="n"/>
      <c r="I151" s="99" t="n"/>
      <c r="J151" s="99" t="n"/>
      <c r="K151" s="99" t="n"/>
    </row>
    <row r="152">
      <c r="A152" s="101" t="n"/>
      <c r="B152" s="101" t="n"/>
      <c r="C152" s="192" t="n"/>
      <c r="D152" s="186" t="n"/>
      <c r="E152" s="101" t="n"/>
      <c r="F152" s="101" t="n"/>
      <c r="G152" s="101" t="n"/>
      <c r="H152" s="99" t="n"/>
      <c r="I152" s="99" t="n"/>
      <c r="J152" s="99" t="n"/>
      <c r="K152" s="99" t="n"/>
    </row>
    <row r="153">
      <c r="A153" s="101" t="n"/>
      <c r="B153" s="101" t="n"/>
      <c r="C153" s="101" t="n"/>
      <c r="D153" s="101" t="n"/>
      <c r="E153" s="101" t="n"/>
      <c r="F153" s="101" t="n"/>
      <c r="G153" s="101" t="n"/>
      <c r="H153" s="99" t="n"/>
      <c r="I153" s="99" t="n"/>
      <c r="J153" s="99" t="n"/>
      <c r="K153" s="99" t="n"/>
    </row>
    <row r="154" ht="14" customHeight="1" s="179">
      <c r="C154" s="198" t="n"/>
      <c r="D154" s="198" t="n"/>
      <c r="E154" s="198" t="n"/>
      <c r="F154" s="198" t="n"/>
      <c r="G154" s="198" t="n"/>
      <c r="H154" s="99" t="n"/>
      <c r="I154" s="99" t="n"/>
      <c r="J154" s="99" t="n"/>
      <c r="K154" s="99" t="n"/>
    </row>
    <row r="155">
      <c r="A155" s="97" t="n"/>
      <c r="B155" s="97" t="n"/>
      <c r="C155" s="97" t="n"/>
      <c r="D155" s="97" t="n"/>
      <c r="E155" s="97" t="n"/>
      <c r="F155" s="97" t="n"/>
      <c r="G155" s="97" t="n"/>
      <c r="H155" s="99" t="n"/>
      <c r="I155" s="99" t="n"/>
      <c r="J155" s="99" t="n"/>
      <c r="K155" s="99" t="n"/>
    </row>
    <row r="156">
      <c r="A156" s="109" t="n"/>
      <c r="B156" s="109" t="n"/>
      <c r="C156" s="109" t="n"/>
      <c r="D156" s="109" t="n"/>
      <c r="E156" s="109" t="n"/>
      <c r="F156" s="109" t="n"/>
      <c r="G156" s="109" t="n"/>
      <c r="H156" s="99" t="n"/>
      <c r="I156" s="99" t="n"/>
      <c r="J156" s="99" t="n"/>
      <c r="K156" s="99" t="n"/>
    </row>
    <row r="157">
      <c r="A157" s="109" t="n"/>
      <c r="B157" s="109" t="n"/>
      <c r="C157" s="109" t="n"/>
      <c r="D157" s="109" t="n"/>
      <c r="E157" s="109" t="n"/>
      <c r="F157" s="109" t="n"/>
      <c r="G157" s="109" t="n"/>
      <c r="H157" s="99" t="n"/>
      <c r="I157" s="99" t="n"/>
      <c r="J157" s="99" t="n"/>
      <c r="K157" s="99" t="n"/>
    </row>
    <row r="158">
      <c r="A158" s="102" t="n"/>
      <c r="B158" s="101" t="n"/>
      <c r="C158" s="192" t="n"/>
      <c r="D158" s="192" t="n"/>
      <c r="E158" s="101" t="n"/>
      <c r="F158" s="192" t="n"/>
      <c r="G158" s="192" t="n"/>
      <c r="H158" s="99" t="n"/>
      <c r="I158" s="99" t="n"/>
      <c r="J158" s="99" t="n"/>
      <c r="K158" s="99" t="n"/>
    </row>
    <row r="159">
      <c r="A159" s="101" t="n"/>
      <c r="B159" s="101" t="n"/>
      <c r="C159" s="192" t="n"/>
      <c r="D159" s="192" t="n"/>
      <c r="E159" s="192" t="n"/>
      <c r="F159" s="192" t="n"/>
      <c r="G159" s="192" t="n"/>
      <c r="H159" s="99" t="n"/>
      <c r="I159" s="99" t="n"/>
      <c r="J159" s="99" t="n"/>
      <c r="K159" s="99" t="n"/>
    </row>
    <row r="160">
      <c r="A160" s="101" t="n"/>
      <c r="B160" s="101" t="n"/>
      <c r="C160" s="192" t="n"/>
      <c r="D160" s="192" t="n"/>
      <c r="E160" s="192" t="n"/>
      <c r="F160" s="192" t="n"/>
      <c r="G160" s="192" t="n"/>
      <c r="H160" s="99" t="n"/>
      <c r="I160" s="99" t="n"/>
      <c r="J160" s="99" t="n"/>
      <c r="K160" s="99" t="n"/>
    </row>
    <row r="161">
      <c r="A161" s="101" t="n"/>
      <c r="B161" s="101" t="n"/>
      <c r="C161" s="192" t="n"/>
      <c r="D161" s="192" t="n"/>
      <c r="E161" s="192" t="n"/>
      <c r="F161" s="192" t="n"/>
      <c r="G161" s="192" t="n"/>
      <c r="H161" s="99" t="n"/>
      <c r="I161" s="99" t="n"/>
      <c r="J161" s="99" t="n"/>
      <c r="K161" s="99" t="n"/>
    </row>
    <row r="162">
      <c r="A162" s="101" t="n"/>
      <c r="B162" s="101" t="n"/>
      <c r="C162" s="192" t="n"/>
      <c r="D162" s="192" t="n"/>
      <c r="E162" s="192" t="n"/>
      <c r="F162" s="192" t="n"/>
      <c r="G162" s="192" t="n"/>
      <c r="H162" s="99" t="n"/>
      <c r="I162" s="99" t="n"/>
      <c r="J162" s="99" t="n"/>
      <c r="K162" s="99" t="n"/>
    </row>
    <row r="163">
      <c r="A163" s="101" t="n"/>
      <c r="B163" s="101" t="n"/>
      <c r="C163" s="192" t="n"/>
      <c r="D163" s="192" t="n"/>
      <c r="E163" s="192" t="n"/>
      <c r="F163" s="192" t="n"/>
      <c r="G163" s="192" t="n"/>
      <c r="H163" s="99" t="n"/>
      <c r="I163" s="99" t="n"/>
      <c r="J163" s="99" t="n"/>
      <c r="K163" s="99" t="n"/>
    </row>
    <row r="164">
      <c r="A164" s="101" t="n"/>
      <c r="B164" s="101" t="n"/>
      <c r="C164" s="192" t="n"/>
      <c r="D164" s="192" t="n"/>
      <c r="E164" s="192" t="n"/>
      <c r="F164" s="192" t="n"/>
      <c r="G164" s="192" t="n"/>
      <c r="H164" s="99" t="n"/>
      <c r="I164" s="99" t="n"/>
      <c r="J164" s="99" t="n"/>
      <c r="K164" s="99" t="n"/>
    </row>
    <row r="165">
      <c r="A165" s="101" t="n"/>
      <c r="B165" s="101" t="n"/>
      <c r="C165" s="192" t="n"/>
      <c r="D165" s="192" t="n"/>
      <c r="E165" s="192" t="n"/>
      <c r="F165" s="192" t="n"/>
      <c r="G165" s="192" t="n"/>
      <c r="H165" s="99" t="n"/>
      <c r="I165" s="99" t="n"/>
      <c r="J165" s="99" t="n"/>
      <c r="K165" s="99" t="n"/>
    </row>
    <row r="166">
      <c r="A166" s="101" t="n"/>
      <c r="B166" s="101" t="n"/>
      <c r="C166" s="192" t="n"/>
      <c r="D166" s="192" t="n"/>
      <c r="E166" s="192" t="n"/>
      <c r="F166" s="192" t="n"/>
      <c r="G166" s="192" t="n"/>
      <c r="H166" s="99" t="n"/>
      <c r="I166" s="99" t="n"/>
      <c r="J166" s="99" t="n"/>
      <c r="K166" s="99" t="n"/>
    </row>
    <row r="167">
      <c r="A167" s="101" t="n"/>
      <c r="B167" s="101" t="n"/>
      <c r="C167" s="192" t="n"/>
      <c r="D167" s="192" t="n"/>
      <c r="E167" s="192" t="n"/>
      <c r="F167" s="192" t="n"/>
      <c r="G167" s="192" t="n"/>
      <c r="H167" s="99" t="n"/>
      <c r="I167" s="99" t="n"/>
      <c r="J167" s="99" t="n"/>
      <c r="K167" s="99" t="n"/>
    </row>
    <row r="168">
      <c r="A168" s="101" t="n"/>
      <c r="B168" s="101" t="n"/>
      <c r="C168" s="192" t="n"/>
      <c r="D168" s="192" t="n"/>
      <c r="E168" s="192" t="n"/>
      <c r="F168" s="192" t="n"/>
      <c r="G168" s="192" t="n"/>
      <c r="H168" s="99" t="n"/>
      <c r="I168" s="99" t="n"/>
      <c r="J168" s="99" t="n"/>
      <c r="K168" s="99" t="n"/>
    </row>
    <row r="169">
      <c r="A169" s="101" t="n"/>
      <c r="B169" s="101" t="n"/>
      <c r="C169" s="192" t="n"/>
      <c r="D169" s="192" t="n"/>
      <c r="E169" s="192" t="n"/>
      <c r="F169" s="192" t="n"/>
      <c r="G169" s="192" t="n"/>
      <c r="H169" s="99" t="n"/>
      <c r="I169" s="99" t="n"/>
      <c r="J169" s="99" t="n"/>
      <c r="K169" s="99" t="n"/>
    </row>
    <row r="170">
      <c r="A170" s="101" t="n"/>
      <c r="B170" s="101" t="n"/>
      <c r="C170" s="192" t="n"/>
      <c r="D170" s="192" t="n"/>
      <c r="E170" s="192" t="n"/>
      <c r="F170" s="192" t="n"/>
      <c r="G170" s="192" t="n"/>
      <c r="H170" s="99" t="n"/>
      <c r="I170" s="99" t="n"/>
      <c r="J170" s="99" t="n"/>
      <c r="K170" s="99" t="n"/>
    </row>
    <row r="171">
      <c r="A171" s="101" t="n"/>
      <c r="B171" s="101" t="n"/>
      <c r="C171" s="192" t="n"/>
      <c r="D171" s="192" t="n"/>
      <c r="E171" s="192" t="n"/>
      <c r="F171" s="192" t="n"/>
      <c r="G171" s="192" t="n"/>
      <c r="H171" s="99" t="n"/>
      <c r="I171" s="99" t="n"/>
      <c r="J171" s="99" t="n"/>
      <c r="K171" s="99" t="n"/>
    </row>
    <row r="172">
      <c r="A172" s="101" t="n"/>
      <c r="B172" s="101" t="n"/>
      <c r="C172" s="192" t="n"/>
      <c r="D172" s="192" t="n"/>
      <c r="E172" s="192" t="n"/>
      <c r="F172" s="192" t="n"/>
      <c r="G172" s="192" t="n"/>
      <c r="H172" s="99" t="n"/>
      <c r="I172" s="99" t="n"/>
      <c r="J172" s="99" t="n"/>
      <c r="K172" s="99" t="n"/>
    </row>
    <row r="173">
      <c r="A173" s="101" t="n"/>
      <c r="B173" s="101" t="n"/>
      <c r="C173" s="192" t="n"/>
      <c r="D173" s="192" t="n"/>
      <c r="E173" s="192" t="n"/>
      <c r="F173" s="192" t="n"/>
      <c r="G173" s="192" t="n"/>
      <c r="H173" s="99" t="n"/>
      <c r="I173" s="99" t="n"/>
      <c r="J173" s="99" t="n"/>
      <c r="K173" s="99" t="n"/>
    </row>
    <row r="174">
      <c r="A174" s="101" t="n"/>
      <c r="B174" s="101" t="n"/>
      <c r="C174" s="192" t="n"/>
      <c r="D174" s="192" t="n"/>
      <c r="E174" s="192" t="n"/>
      <c r="F174" s="192" t="n"/>
      <c r="G174" s="192" t="n"/>
      <c r="H174" s="99" t="n"/>
      <c r="I174" s="99" t="n"/>
      <c r="J174" s="99" t="n"/>
      <c r="K174" s="99" t="n"/>
    </row>
    <row r="175">
      <c r="A175" s="101" t="n"/>
      <c r="B175" s="101" t="n"/>
      <c r="C175" s="192" t="n"/>
      <c r="D175" s="192" t="n"/>
      <c r="E175" s="192" t="n"/>
      <c r="F175" s="192" t="n"/>
      <c r="G175" s="192" t="n"/>
      <c r="H175" s="99" t="n"/>
      <c r="I175" s="99" t="n"/>
      <c r="J175" s="99" t="n"/>
      <c r="K175" s="99" t="n"/>
    </row>
    <row r="176">
      <c r="A176" s="101" t="n"/>
      <c r="B176" s="101" t="n"/>
      <c r="C176" s="192" t="n"/>
      <c r="D176" s="192" t="n"/>
      <c r="E176" s="192" t="n"/>
      <c r="F176" s="192" t="n"/>
      <c r="G176" s="192" t="n"/>
      <c r="H176" s="99" t="n"/>
      <c r="I176" s="99" t="n"/>
      <c r="J176" s="99" t="n"/>
      <c r="K176" s="99" t="n"/>
    </row>
    <row r="177">
      <c r="A177" s="101" t="n"/>
      <c r="B177" s="101" t="n"/>
      <c r="C177" s="192" t="n"/>
      <c r="D177" s="192" t="n"/>
      <c r="E177" s="192" t="n"/>
      <c r="F177" s="192" t="n"/>
      <c r="G177" s="192" t="n"/>
      <c r="H177" s="99" t="n"/>
      <c r="I177" s="99" t="n"/>
      <c r="J177" s="99" t="n"/>
      <c r="K177" s="99" t="n"/>
    </row>
    <row r="178">
      <c r="A178" s="101" t="n"/>
      <c r="B178" s="101" t="n"/>
      <c r="C178" s="192" t="n"/>
      <c r="D178" s="192" t="n"/>
      <c r="E178" s="192" t="n"/>
      <c r="F178" s="192" t="n"/>
      <c r="G178" s="192" t="n"/>
      <c r="H178" s="99" t="n"/>
      <c r="I178" s="99" t="n"/>
      <c r="J178" s="99" t="n"/>
      <c r="K178" s="99" t="n"/>
    </row>
    <row r="179">
      <c r="A179" s="101" t="n"/>
      <c r="B179" s="101" t="n"/>
      <c r="C179" s="192" t="n"/>
      <c r="D179" s="192" t="n"/>
      <c r="E179" s="192" t="n"/>
      <c r="F179" s="192" t="n"/>
      <c r="G179" s="192" t="n"/>
      <c r="H179" s="99" t="n"/>
      <c r="I179" s="99" t="n"/>
      <c r="J179" s="99" t="n"/>
      <c r="K179" s="99" t="n"/>
    </row>
    <row r="180">
      <c r="A180" s="112" t="n"/>
      <c r="B180" s="112" t="n"/>
      <c r="C180" s="112" t="n"/>
      <c r="D180" s="112" t="n"/>
      <c r="E180" s="112" t="n"/>
      <c r="F180" s="112" t="n"/>
      <c r="G180" s="112" t="n"/>
      <c r="H180" s="99" t="n"/>
      <c r="I180" s="99" t="n"/>
      <c r="J180" s="99" t="n"/>
      <c r="K180" s="99" t="n"/>
    </row>
    <row r="181">
      <c r="A181" s="112" t="n"/>
      <c r="B181" s="112" t="n"/>
      <c r="C181" s="112" t="n"/>
      <c r="D181" s="112" t="n"/>
      <c r="E181" s="112" t="n"/>
      <c r="F181" s="112" t="n"/>
      <c r="G181" s="112" t="n"/>
      <c r="H181" s="99" t="n"/>
      <c r="I181" s="99" t="n"/>
      <c r="J181" s="99" t="n"/>
      <c r="K181" s="99" t="n"/>
    </row>
    <row r="182" ht="14" customHeight="1" s="179">
      <c r="C182" s="198" t="n"/>
      <c r="D182" s="198" t="n"/>
      <c r="F182" s="198" t="n"/>
      <c r="G182" s="198" t="n"/>
      <c r="H182" s="99" t="n"/>
      <c r="I182" s="99" t="n"/>
      <c r="J182" s="99" t="n"/>
      <c r="K182" s="99" t="n"/>
    </row>
    <row r="183" ht="14" customHeight="1" s="179">
      <c r="C183" s="198" t="n"/>
      <c r="D183" s="198" t="n"/>
      <c r="E183" s="198" t="n"/>
      <c r="F183" s="198" t="n"/>
      <c r="G183" s="198" t="n"/>
      <c r="H183" s="99" t="n"/>
      <c r="I183" s="99" t="n"/>
      <c r="J183" s="99" t="n"/>
      <c r="K183" s="99" t="n"/>
    </row>
    <row r="184" ht="14" customHeight="1" s="179">
      <c r="C184" s="198" t="n"/>
      <c r="D184" s="198" t="n"/>
      <c r="E184" s="198" t="n"/>
      <c r="F184" s="198" t="n"/>
      <c r="G184" s="198" t="n"/>
      <c r="H184" s="99" t="n"/>
      <c r="I184" s="99" t="n"/>
      <c r="J184" s="99" t="n"/>
      <c r="K184" s="99" t="n"/>
    </row>
    <row r="185" ht="14" customHeight="1" s="179">
      <c r="C185" s="198" t="n"/>
      <c r="D185" s="198" t="n"/>
      <c r="E185" s="198" t="n"/>
      <c r="F185" s="198" t="n"/>
      <c r="G185" s="198" t="n"/>
      <c r="H185" s="99" t="n"/>
      <c r="I185" s="99" t="n"/>
      <c r="J185" s="99" t="n"/>
      <c r="K185" s="99" t="n"/>
    </row>
    <row r="186" ht="14" customHeight="1" s="179">
      <c r="C186" s="198" t="n"/>
      <c r="D186" s="198" t="n"/>
      <c r="E186" s="198" t="n"/>
      <c r="F186" s="198" t="n"/>
      <c r="G186" s="198" t="n"/>
      <c r="H186" s="99" t="n"/>
      <c r="I186" s="99" t="n"/>
      <c r="J186" s="99" t="n"/>
      <c r="K186" s="99" t="n"/>
    </row>
    <row r="187" ht="14" customHeight="1" s="179">
      <c r="H187" s="99" t="n"/>
      <c r="I187" s="99" t="n"/>
      <c r="J187" s="99" t="n"/>
      <c r="K187" s="99" t="n"/>
    </row>
    <row r="188" ht="14" customHeight="1" s="179">
      <c r="H188" s="99" t="n"/>
      <c r="I188" s="99" t="n"/>
      <c r="J188" s="99" t="n"/>
      <c r="K188" s="99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99" t="n"/>
      <c r="I189" s="99" t="n"/>
      <c r="J189" s="99" t="n"/>
      <c r="K189" s="99" t="n"/>
    </row>
    <row r="190">
      <c r="A190" s="112" t="n"/>
      <c r="B190" s="112" t="n"/>
      <c r="C190" s="112" t="n"/>
      <c r="D190" s="112" t="n"/>
      <c r="E190" s="112" t="n"/>
      <c r="F190" s="112" t="n"/>
      <c r="G190" s="112" t="n"/>
      <c r="H190" s="99" t="n"/>
      <c r="I190" s="99" t="n"/>
      <c r="J190" s="99" t="n"/>
      <c r="K190" s="99" t="n"/>
    </row>
    <row r="191">
      <c r="A191" s="112" t="n"/>
      <c r="B191" s="112" t="n"/>
      <c r="C191" s="112" t="n"/>
      <c r="D191" s="112" t="n"/>
      <c r="E191" s="112" t="n"/>
      <c r="F191" s="112" t="n"/>
      <c r="G191" s="112" t="n"/>
      <c r="H191" s="99" t="n"/>
      <c r="I191" s="99" t="n"/>
      <c r="J191" s="99" t="n"/>
      <c r="K191" s="99" t="n"/>
    </row>
    <row r="192">
      <c r="C192" s="198" t="n"/>
      <c r="D192" s="198" t="n"/>
      <c r="F192" s="198" t="n"/>
      <c r="G192" s="198" t="n"/>
      <c r="H192" s="99" t="n"/>
      <c r="I192" s="99" t="n"/>
      <c r="J192" s="99" t="n"/>
      <c r="K192" s="99" t="n"/>
    </row>
    <row r="193" ht="14" customHeight="1" s="179">
      <c r="C193" s="198" t="n"/>
      <c r="D193" s="198" t="n"/>
      <c r="E193" s="198" t="n"/>
      <c r="F193" s="198" t="n"/>
      <c r="G193" s="198" t="n"/>
      <c r="H193" s="99" t="n"/>
      <c r="I193" s="99" t="n"/>
      <c r="J193" s="99" t="n"/>
      <c r="K193" s="99" t="n"/>
    </row>
    <row r="194" ht="14" customHeight="1" s="179">
      <c r="C194" s="198" t="n"/>
      <c r="D194" s="198" t="n"/>
      <c r="E194" s="198" t="n"/>
      <c r="F194" s="198" t="n"/>
      <c r="G194" s="198" t="n"/>
      <c r="H194" s="99" t="n"/>
      <c r="I194" s="99" t="n"/>
      <c r="J194" s="99" t="n"/>
      <c r="K194" s="99" t="n"/>
    </row>
    <row r="195" ht="14" customHeight="1" s="179">
      <c r="C195" s="198" t="n"/>
      <c r="D195" s="198" t="n"/>
      <c r="E195" s="198" t="n"/>
      <c r="F195" s="198" t="n"/>
      <c r="G195" s="198" t="n"/>
      <c r="H195" s="99" t="n"/>
      <c r="I195" s="99" t="n"/>
      <c r="J195" s="99" t="n"/>
      <c r="K195" s="99" t="n"/>
    </row>
    <row r="196" ht="14" customHeight="1" s="179">
      <c r="C196" s="198" t="n"/>
      <c r="D196" s="198" t="n"/>
      <c r="E196" s="198" t="n"/>
      <c r="F196" s="198" t="n"/>
      <c r="G196" s="198" t="n"/>
      <c r="H196" s="99" t="n"/>
      <c r="I196" s="99" t="n"/>
      <c r="J196" s="99" t="n"/>
      <c r="K196" s="99" t="n"/>
    </row>
    <row r="197" ht="14" customHeight="1" s="179">
      <c r="H197" s="99" t="n"/>
      <c r="I197" s="99" t="n"/>
      <c r="J197" s="99" t="n"/>
      <c r="K197" s="99" t="n"/>
    </row>
    <row r="198">
      <c r="H198" s="99" t="n"/>
      <c r="I198" s="99" t="n"/>
      <c r="J198" s="99" t="n"/>
      <c r="K198" s="99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99" t="n"/>
      <c r="I199" s="99" t="n"/>
      <c r="J199" s="99" t="n"/>
      <c r="K199" s="99" t="n"/>
    </row>
    <row r="200">
      <c r="A200" s="112" t="n"/>
      <c r="B200" s="112" t="n"/>
      <c r="C200" s="112" t="n"/>
      <c r="D200" s="112" t="n"/>
      <c r="E200" s="112" t="n"/>
      <c r="F200" s="112" t="n"/>
      <c r="G200" s="112" t="n"/>
      <c r="H200" s="99" t="n"/>
      <c r="I200" s="99" t="n"/>
      <c r="J200" s="99" t="n"/>
      <c r="K200" s="99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99" t="n"/>
      <c r="I201" s="99" t="n"/>
      <c r="J201" s="99" t="n"/>
      <c r="K201" s="99" t="n"/>
    </row>
    <row r="202" ht="14" customHeight="1" s="179">
      <c r="C202" s="198" t="n"/>
      <c r="D202" s="198" t="n"/>
      <c r="F202" s="198" t="n"/>
      <c r="G202" s="198" t="n"/>
      <c r="H202" s="99" t="n"/>
      <c r="I202" s="99" t="n"/>
      <c r="J202" s="99" t="n"/>
      <c r="K202" s="99" t="n"/>
    </row>
    <row r="203" ht="14" customHeight="1" s="179">
      <c r="C203" s="198" t="n"/>
      <c r="D203" s="198" t="n"/>
      <c r="E203" s="198" t="n"/>
      <c r="F203" s="198" t="n"/>
      <c r="G203" s="198" t="n"/>
      <c r="H203" s="99" t="n"/>
      <c r="I203" s="99" t="n"/>
      <c r="J203" s="99" t="n"/>
      <c r="K203" s="99" t="n"/>
    </row>
    <row r="204" ht="14" customHeight="1" s="179">
      <c r="C204" s="198" t="n"/>
      <c r="D204" s="198" t="n"/>
      <c r="E204" s="198" t="n"/>
      <c r="F204" s="198" t="n"/>
      <c r="G204" s="198" t="n"/>
      <c r="H204" s="99" t="n"/>
      <c r="I204" s="99" t="n"/>
      <c r="J204" s="99" t="n"/>
      <c r="K204" s="99" t="n"/>
    </row>
    <row r="205" ht="14" customHeight="1" s="179">
      <c r="C205" s="198" t="n"/>
      <c r="D205" s="198" t="n"/>
      <c r="E205" s="198" t="n"/>
      <c r="F205" s="198" t="n"/>
      <c r="G205" s="198" t="n"/>
      <c r="H205" s="99" t="n"/>
      <c r="I205" s="99" t="n"/>
      <c r="J205" s="99" t="n"/>
      <c r="K205" s="99" t="n"/>
    </row>
    <row r="206" ht="14" customHeight="1" s="179">
      <c r="C206" s="198" t="n"/>
      <c r="D206" s="198" t="n"/>
      <c r="E206" s="198" t="n"/>
      <c r="F206" s="198" t="n"/>
      <c r="G206" s="198" t="n"/>
      <c r="H206" s="99" t="n"/>
      <c r="I206" s="99" t="n"/>
      <c r="J206" s="99" t="n"/>
      <c r="K206" s="99" t="n"/>
    </row>
    <row r="207" ht="14" customHeight="1" s="179">
      <c r="H207" s="99" t="n"/>
      <c r="I207" s="99" t="n"/>
      <c r="J207" s="99" t="n"/>
      <c r="K207" s="99" t="n"/>
    </row>
    <row r="208" ht="14" customHeight="1" s="179">
      <c r="H208" s="99" t="n"/>
      <c r="I208" s="99" t="n"/>
      <c r="J208" s="99" t="n"/>
      <c r="K208" s="99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99" t="n"/>
      <c r="I209" s="99" t="n"/>
      <c r="J209" s="99" t="n"/>
      <c r="K209" s="99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99" t="n"/>
      <c r="I210" s="99" t="n"/>
      <c r="J210" s="99" t="n"/>
      <c r="K210" s="99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99" t="n"/>
      <c r="I211" s="99" t="n"/>
      <c r="J211" s="99" t="n"/>
      <c r="K211" s="99" t="n"/>
    </row>
    <row r="212" ht="14" customHeight="1" s="179">
      <c r="C212" s="198" t="n"/>
      <c r="D212" s="198" t="n"/>
      <c r="F212" s="198" t="n"/>
      <c r="G212" s="198" t="n"/>
      <c r="H212" s="99" t="n"/>
      <c r="I212" s="99" t="n"/>
      <c r="J212" s="99" t="n"/>
      <c r="K212" s="99" t="n"/>
    </row>
    <row r="213" ht="14" customHeight="1" s="179">
      <c r="C213" s="198" t="n"/>
      <c r="D213" s="198" t="n"/>
      <c r="E213" s="198" t="n"/>
      <c r="F213" s="198" t="n"/>
      <c r="G213" s="198" t="n"/>
      <c r="H213" s="99" t="n"/>
      <c r="I213" s="99" t="n"/>
      <c r="J213" s="99" t="n"/>
      <c r="K213" s="99" t="n"/>
    </row>
    <row r="214" ht="14" customHeight="1" s="179">
      <c r="C214" s="198" t="n"/>
      <c r="D214" s="198" t="n"/>
      <c r="E214" s="198" t="n"/>
      <c r="F214" s="198" t="n"/>
      <c r="G214" s="198" t="n"/>
      <c r="H214" s="99" t="n"/>
      <c r="I214" s="99" t="n"/>
      <c r="J214" s="99" t="n"/>
      <c r="K214" s="99" t="n"/>
    </row>
    <row r="215" ht="14" customHeight="1" s="179">
      <c r="C215" s="198" t="n"/>
      <c r="D215" s="198" t="n"/>
      <c r="E215" s="198" t="n"/>
      <c r="F215" s="198" t="n"/>
      <c r="G215" s="198" t="n"/>
      <c r="H215" s="99" t="n"/>
      <c r="I215" s="99" t="n"/>
      <c r="J215" s="99" t="n"/>
      <c r="K215" s="99" t="n"/>
    </row>
    <row r="216" ht="14" customHeight="1" s="179">
      <c r="C216" s="198" t="n"/>
      <c r="D216" s="198" t="n"/>
      <c r="E216" s="198" t="n"/>
      <c r="F216" s="198" t="n"/>
      <c r="G216" s="198" t="n"/>
      <c r="H216" s="99" t="n"/>
      <c r="I216" s="99" t="n"/>
      <c r="J216" s="99" t="n"/>
      <c r="K216" s="99" t="n"/>
    </row>
    <row r="217" ht="14" customHeight="1" s="179">
      <c r="H217" s="99" t="n"/>
      <c r="I217" s="99" t="n"/>
      <c r="J217" s="99" t="n"/>
      <c r="K217" s="99" t="n"/>
    </row>
    <row r="218" ht="14" customHeight="1" s="179">
      <c r="H218" s="99" t="n"/>
      <c r="I218" s="99" t="n"/>
      <c r="J218" s="99" t="n"/>
      <c r="K218" s="99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99" t="n"/>
      <c r="I219" s="99" t="n"/>
      <c r="J219" s="99" t="n"/>
      <c r="K219" s="99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99" t="n"/>
      <c r="I220" s="99" t="n"/>
      <c r="J220" s="99" t="n"/>
      <c r="K220" s="99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99" t="n"/>
      <c r="I221" s="99" t="n"/>
      <c r="J221" s="99" t="n"/>
      <c r="K221" s="99" t="n"/>
    </row>
    <row r="222" ht="14" customHeight="1" s="179">
      <c r="C222" s="198" t="n"/>
      <c r="D222" s="198" t="n"/>
      <c r="F222" s="198" t="n"/>
      <c r="G222" s="198" t="n"/>
      <c r="H222" s="99" t="n"/>
      <c r="I222" s="99" t="n"/>
      <c r="J222" s="99" t="n"/>
      <c r="K222" s="99" t="n"/>
    </row>
    <row r="223" ht="14" customHeight="1" s="179">
      <c r="C223" s="198" t="n"/>
      <c r="D223" s="198" t="n"/>
      <c r="E223" s="198" t="n"/>
      <c r="F223" s="198" t="n"/>
      <c r="G223" s="198" t="n"/>
      <c r="H223" s="99" t="n"/>
      <c r="I223" s="99" t="n"/>
      <c r="J223" s="99" t="n"/>
      <c r="K223" s="99" t="n"/>
    </row>
    <row r="224">
      <c r="C224" s="198" t="n"/>
      <c r="D224" s="198" t="n"/>
      <c r="E224" s="198" t="n"/>
      <c r="F224" s="198" t="n"/>
      <c r="G224" s="198" t="n"/>
      <c r="H224" s="99" t="n"/>
      <c r="I224" s="99" t="n"/>
      <c r="J224" s="99" t="n"/>
      <c r="K224" s="99" t="n"/>
    </row>
    <row r="225" ht="14" customHeight="1" s="179">
      <c r="C225" s="198" t="n"/>
      <c r="D225" s="198" t="n"/>
      <c r="E225" s="198" t="n"/>
      <c r="F225" s="198" t="n"/>
      <c r="G225" s="198" t="n"/>
      <c r="H225" s="99" t="n"/>
      <c r="I225" s="99" t="n"/>
      <c r="J225" s="99" t="n"/>
      <c r="K225" s="99" t="n"/>
    </row>
    <row r="226" ht="14" customHeight="1" s="179">
      <c r="C226" s="198" t="n"/>
      <c r="D226" s="198" t="n"/>
      <c r="E226" s="198" t="n"/>
      <c r="F226" s="198" t="n"/>
      <c r="G226" s="198" t="n"/>
      <c r="H226" s="99" t="n"/>
      <c r="I226" s="99" t="n"/>
      <c r="J226" s="99" t="n"/>
      <c r="K226" s="99" t="n"/>
    </row>
    <row r="227" ht="14" customHeight="1" s="179">
      <c r="H227" s="99" t="n"/>
      <c r="I227" s="99" t="n"/>
      <c r="J227" s="99" t="n"/>
      <c r="K227" s="99" t="n"/>
    </row>
    <row r="228" ht="14" customHeight="1" s="179">
      <c r="H228" s="99" t="n"/>
      <c r="I228" s="99" t="n"/>
      <c r="J228" s="99" t="n"/>
      <c r="K228" s="99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99" t="n"/>
      <c r="I229" s="99" t="n"/>
      <c r="J229" s="99" t="n"/>
      <c r="K229" s="99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99" t="n"/>
      <c r="I230" s="99" t="n"/>
      <c r="J230" s="99" t="n"/>
      <c r="K230" s="99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99" t="n"/>
      <c r="I231" s="99" t="n"/>
      <c r="J231" s="99" t="n"/>
      <c r="K231" s="99" t="n"/>
    </row>
    <row r="232" ht="14" customHeight="1" s="179">
      <c r="C232" s="198" t="n"/>
      <c r="D232" s="198" t="n"/>
      <c r="F232" s="198" t="n"/>
      <c r="G232" s="198" t="n"/>
      <c r="H232" s="99" t="n"/>
      <c r="I232" s="99" t="n"/>
      <c r="J232" s="99" t="n"/>
      <c r="K232" s="99" t="n"/>
    </row>
    <row r="233">
      <c r="C233" s="198" t="n"/>
      <c r="D233" s="198" t="n"/>
      <c r="E233" s="198" t="n"/>
      <c r="F233" s="198" t="n"/>
      <c r="G233" s="198" t="n"/>
      <c r="H233" s="99" t="n"/>
      <c r="I233" s="99" t="n"/>
      <c r="J233" s="99" t="n"/>
      <c r="K233" s="99" t="n"/>
    </row>
    <row r="234" ht="14" customHeight="1" s="179">
      <c r="C234" s="198" t="n"/>
      <c r="D234" s="198" t="n"/>
      <c r="E234" s="198" t="n"/>
      <c r="F234" s="198" t="n"/>
      <c r="G234" s="198" t="n"/>
      <c r="H234" s="99" t="n"/>
      <c r="I234" s="99" t="n"/>
      <c r="J234" s="99" t="n"/>
      <c r="K234" s="99" t="n"/>
    </row>
    <row r="235" ht="14" customHeight="1" s="179">
      <c r="C235" s="198" t="n"/>
      <c r="D235" s="198" t="n"/>
      <c r="E235" s="198" t="n"/>
      <c r="F235" s="198" t="n"/>
      <c r="G235" s="198" t="n"/>
      <c r="H235" s="99" t="n"/>
      <c r="I235" s="99" t="n"/>
      <c r="J235" s="99" t="n"/>
      <c r="K235" s="99" t="n"/>
    </row>
    <row r="236" ht="14" customHeight="1" s="179">
      <c r="C236" s="198" t="n"/>
      <c r="D236" s="198" t="n"/>
      <c r="E236" s="198" t="n"/>
      <c r="F236" s="198" t="n"/>
      <c r="G236" s="198" t="n"/>
      <c r="H236" s="99" t="n"/>
      <c r="I236" s="99" t="n"/>
      <c r="J236" s="99" t="n"/>
      <c r="K236" s="99" t="n"/>
    </row>
    <row r="237" ht="14" customHeight="1" s="179">
      <c r="H237" s="99" t="n"/>
      <c r="I237" s="99" t="n"/>
      <c r="J237" s="99" t="n"/>
      <c r="K237" s="99" t="n"/>
    </row>
    <row r="238" ht="14" customHeight="1" s="179">
      <c r="H238" s="99" t="n"/>
      <c r="I238" s="99" t="n"/>
      <c r="J238" s="99" t="n"/>
      <c r="K238" s="99" t="n"/>
    </row>
    <row r="239" ht="14" customHeight="1" s="179">
      <c r="H239" s="99" t="n"/>
      <c r="I239" s="99" t="n"/>
      <c r="J239" s="99" t="n"/>
      <c r="K239" s="99" t="n"/>
    </row>
    <row r="240" ht="14" customHeight="1" s="179">
      <c r="H240" s="99" t="n"/>
      <c r="I240" s="99" t="n"/>
      <c r="J240" s="99" t="n"/>
      <c r="K240" s="99" t="n"/>
    </row>
    <row r="241" ht="14" customHeight="1" s="179">
      <c r="H241" s="99" t="n"/>
      <c r="I241" s="99" t="n"/>
      <c r="J241" s="99" t="n"/>
      <c r="K241" s="99" t="n"/>
    </row>
    <row r="242" ht="14" customHeight="1" s="179">
      <c r="H242" s="99" t="n"/>
      <c r="I242" s="99" t="n"/>
      <c r="J242" s="99" t="n"/>
      <c r="K242" s="99" t="n"/>
    </row>
    <row r="243" ht="14" customHeight="1" s="179">
      <c r="H243" s="99" t="n"/>
      <c r="I243" s="99" t="n"/>
      <c r="J243" s="99" t="n"/>
      <c r="K243" s="99" t="n"/>
    </row>
    <row r="244" ht="14" customHeight="1" s="179">
      <c r="H244" s="99" t="n"/>
      <c r="I244" s="99" t="n"/>
      <c r="J244" s="99" t="n"/>
      <c r="K244" s="99" t="n"/>
    </row>
    <row r="245" ht="14" customHeight="1" s="179">
      <c r="H245" s="99" t="n"/>
      <c r="I245" s="99" t="n"/>
      <c r="J245" s="99" t="n"/>
      <c r="K245" s="99" t="n"/>
    </row>
    <row r="246" ht="14" customHeight="1" s="179">
      <c r="H246" s="99" t="n"/>
      <c r="I246" s="99" t="n"/>
      <c r="J246" s="99" t="n"/>
      <c r="K246" s="99" t="n"/>
    </row>
    <row r="247" ht="14" customHeight="1" s="179">
      <c r="H247" s="99" t="n"/>
      <c r="I247" s="99" t="n"/>
      <c r="J247" s="99" t="n"/>
      <c r="K247" s="99" t="n"/>
    </row>
    <row r="248" ht="14" customHeight="1" s="179">
      <c r="H248" s="99" t="n"/>
      <c r="I248" s="99" t="n"/>
      <c r="J248" s="99" t="n"/>
      <c r="K248" s="99" t="n"/>
    </row>
    <row r="249" ht="14" customHeight="1" s="179">
      <c r="H249" s="99" t="n"/>
      <c r="I249" s="99" t="n"/>
      <c r="J249" s="99" t="n"/>
      <c r="K249" s="99" t="n"/>
    </row>
    <row r="250" ht="14" customHeight="1" s="179">
      <c r="H250" s="99" t="n"/>
      <c r="I250" s="99" t="n"/>
      <c r="J250" s="99" t="n"/>
      <c r="K250" s="99" t="n"/>
    </row>
    <row r="251" ht="14" customHeight="1" s="179">
      <c r="H251" s="99" t="n"/>
      <c r="I251" s="99" t="n"/>
      <c r="J251" s="99" t="n"/>
      <c r="K251" s="99" t="n"/>
    </row>
    <row r="252" ht="14" customHeight="1" s="179">
      <c r="H252" s="99" t="n"/>
      <c r="I252" s="99" t="n"/>
      <c r="J252" s="99" t="n"/>
      <c r="K252" s="99" t="n"/>
    </row>
    <row r="253" ht="14" customHeight="1" s="179">
      <c r="H253" s="99" t="n"/>
      <c r="I253" s="99" t="n"/>
      <c r="J253" s="99" t="n"/>
      <c r="K253" s="99" t="n"/>
    </row>
    <row r="254" ht="14" customHeight="1" s="179">
      <c r="H254" s="99" t="n"/>
      <c r="I254" s="99" t="n"/>
      <c r="J254" s="99" t="n"/>
      <c r="K254" s="99" t="n"/>
    </row>
    <row r="255" ht="14" customHeight="1" s="179">
      <c r="H255" s="99" t="n"/>
      <c r="I255" s="99" t="n"/>
      <c r="J255" s="99" t="n"/>
      <c r="K255" s="99" t="n"/>
    </row>
    <row r="256">
      <c r="H256" s="99" t="n"/>
      <c r="I256" s="99" t="n"/>
      <c r="J256" s="99" t="n"/>
      <c r="K256" s="99" t="n"/>
    </row>
    <row r="257">
      <c r="H257" s="99" t="n"/>
      <c r="I257" s="99" t="n"/>
      <c r="J257" s="99" t="n"/>
      <c r="K257" s="99" t="n"/>
    </row>
    <row r="258">
      <c r="H258" s="99" t="n"/>
      <c r="I258" s="99" t="n"/>
      <c r="J258" s="99" t="n"/>
      <c r="K258" s="99" t="n"/>
    </row>
    <row r="259">
      <c r="H259" s="99" t="n"/>
      <c r="I259" s="99" t="n"/>
      <c r="J259" s="99" t="n"/>
      <c r="K259" s="99" t="n"/>
    </row>
    <row r="260">
      <c r="H260" s="99" t="n"/>
      <c r="I260" s="99" t="n"/>
      <c r="J260" s="99" t="n"/>
      <c r="K260" s="99" t="n"/>
    </row>
    <row r="261">
      <c r="H261" s="99" t="n"/>
      <c r="I261" s="99" t="n"/>
      <c r="J261" s="99" t="n"/>
      <c r="K261" s="99" t="n"/>
    </row>
    <row r="262">
      <c r="H262" s="99" t="n"/>
      <c r="I262" s="99" t="n"/>
      <c r="J262" s="99" t="n"/>
      <c r="K262" s="99" t="n"/>
    </row>
    <row r="263">
      <c r="H263" s="99" t="n"/>
      <c r="I263" s="99" t="n"/>
      <c r="J263" s="99" t="n"/>
      <c r="K263" s="99" t="n"/>
    </row>
    <row r="264">
      <c r="H264" s="99" t="n"/>
      <c r="I264" s="99" t="n"/>
      <c r="J264" s="99" t="n"/>
      <c r="K264" s="99" t="n"/>
    </row>
    <row r="265">
      <c r="H265" s="99" t="n"/>
      <c r="I265" s="99" t="n"/>
      <c r="J265" s="99" t="n"/>
      <c r="K265" s="99" t="n"/>
    </row>
    <row r="266">
      <c r="H266" s="99" t="n"/>
      <c r="I266" s="99" t="n"/>
      <c r="J266" s="99" t="n"/>
      <c r="K266" s="99" t="n"/>
    </row>
    <row r="267">
      <c r="H267" s="99" t="n"/>
      <c r="I267" s="99" t="n"/>
      <c r="J267" s="99" t="n"/>
      <c r="K267" s="99" t="n"/>
    </row>
    <row r="268">
      <c r="H268" s="99" t="n"/>
      <c r="I268" s="99" t="n"/>
      <c r="J268" s="99" t="n"/>
      <c r="K268" s="99" t="n"/>
    </row>
    <row r="269">
      <c r="H269" s="99" t="n"/>
      <c r="I269" s="99" t="n"/>
      <c r="J269" s="99" t="n"/>
      <c r="K269" s="99" t="n"/>
    </row>
    <row r="270">
      <c r="H270" s="117" t="n"/>
      <c r="I270" s="117" t="n"/>
      <c r="J270" s="117" t="n"/>
      <c r="K270" s="117" t="n"/>
    </row>
    <row r="271">
      <c r="H271" s="117" t="n"/>
      <c r="I271" s="117" t="n"/>
      <c r="J271" s="117" t="n"/>
      <c r="K271" s="117" t="n"/>
    </row>
    <row r="272">
      <c r="H272" s="117" t="n"/>
      <c r="I272" s="117" t="n"/>
      <c r="J272" s="117" t="n"/>
      <c r="K272" s="117" t="n"/>
    </row>
    <row r="273">
      <c r="H273" s="117" t="n"/>
      <c r="I273" s="117" t="n"/>
      <c r="J273" s="117" t="n"/>
      <c r="K273" s="117" t="n"/>
    </row>
    <row r="274">
      <c r="H274" s="117" t="n"/>
      <c r="I274" s="117" t="n"/>
      <c r="J274" s="117" t="n"/>
      <c r="K274" s="117" t="n"/>
    </row>
    <row r="275">
      <c r="H275" s="117" t="n"/>
      <c r="I275" s="117" t="n"/>
      <c r="J275" s="117" t="n"/>
      <c r="K275" s="117" t="n"/>
    </row>
    <row r="276">
      <c r="H276" s="117" t="n"/>
      <c r="I276" s="117" t="n"/>
      <c r="J276" s="117" t="n"/>
      <c r="K276" s="117" t="n"/>
    </row>
    <row r="277">
      <c r="H277" s="117" t="n"/>
      <c r="I277" s="117" t="n"/>
      <c r="J277" s="117" t="n"/>
      <c r="K277" s="117" t="n"/>
    </row>
    <row r="278">
      <c r="H278" s="117" t="n"/>
      <c r="I278" s="117" t="n"/>
      <c r="J278" s="117" t="n"/>
      <c r="K278" s="117" t="n"/>
    </row>
    <row r="279">
      <c r="H279" s="117" t="n"/>
      <c r="I279" s="117" t="n"/>
      <c r="J279" s="117" t="n"/>
      <c r="K279" s="117" t="n"/>
    </row>
    <row r="280">
      <c r="H280" s="117" t="n"/>
      <c r="I280" s="117" t="n"/>
      <c r="J280" s="117" t="n"/>
      <c r="K280" s="117" t="n"/>
    </row>
    <row r="281">
      <c r="H281" s="117" t="n"/>
      <c r="I281" s="117" t="n"/>
      <c r="J281" s="117" t="n"/>
      <c r="K281" s="117" t="n"/>
    </row>
    <row r="282">
      <c r="H282" s="117" t="n"/>
      <c r="I282" s="117" t="n"/>
      <c r="J282" s="117" t="n"/>
      <c r="K282" s="117" t="n"/>
    </row>
    <row r="283">
      <c r="H283" s="117" t="n"/>
      <c r="I283" s="117" t="n"/>
      <c r="J283" s="117" t="n"/>
      <c r="K283" s="117" t="n"/>
    </row>
    <row r="284">
      <c r="H284" s="117" t="n"/>
      <c r="I284" s="117" t="n"/>
      <c r="J284" s="117" t="n"/>
      <c r="K284" s="117" t="n"/>
    </row>
    <row r="285">
      <c r="H285" s="117" t="n"/>
      <c r="I285" s="117" t="n"/>
      <c r="J285" s="117" t="n"/>
      <c r="K285" s="117" t="n"/>
    </row>
    <row r="286">
      <c r="H286" s="117" t="n"/>
      <c r="I286" s="117" t="n"/>
      <c r="J286" s="117" t="n"/>
      <c r="K286" s="117" t="n"/>
    </row>
    <row r="287">
      <c r="H287" s="117" t="n"/>
      <c r="I287" s="117" t="n"/>
      <c r="J287" s="117" t="n"/>
      <c r="K287" s="117" t="n"/>
    </row>
    <row r="288">
      <c r="H288" s="117" t="n"/>
      <c r="I288" s="117" t="n"/>
      <c r="J288" s="117" t="n"/>
      <c r="K288" s="117" t="n"/>
    </row>
    <row r="289">
      <c r="H289" s="117" t="n"/>
      <c r="I289" s="117" t="n"/>
      <c r="J289" s="117" t="n"/>
      <c r="K289" s="117" t="n"/>
    </row>
    <row r="290">
      <c r="H290" s="117" t="n"/>
      <c r="I290" s="117" t="n"/>
      <c r="J290" s="117" t="n"/>
      <c r="K290" s="117" t="n"/>
    </row>
    <row r="291">
      <c r="H291" s="117" t="n"/>
      <c r="I291" s="117" t="n"/>
      <c r="J291" s="117" t="n"/>
      <c r="K291" s="117" t="n"/>
    </row>
    <row r="292">
      <c r="H292" s="117" t="n"/>
      <c r="I292" s="117" t="n"/>
      <c r="J292" s="117" t="n"/>
      <c r="K292" s="117" t="n"/>
    </row>
    <row r="293">
      <c r="H293" s="117" t="n"/>
      <c r="I293" s="117" t="n"/>
      <c r="J293" s="117" t="n"/>
      <c r="K293" s="117" t="n"/>
    </row>
    <row r="294">
      <c r="H294" s="117" t="n"/>
      <c r="I294" s="117" t="n"/>
      <c r="J294" s="117" t="n"/>
      <c r="K294" s="117" t="n"/>
    </row>
    <row r="295">
      <c r="H295" s="117" t="n"/>
      <c r="I295" s="117" t="n"/>
      <c r="J295" s="117" t="n"/>
      <c r="K295" s="117" t="n"/>
    </row>
    <row r="296">
      <c r="H296" s="117" t="n"/>
      <c r="I296" s="117" t="n"/>
      <c r="J296" s="117" t="n"/>
      <c r="K296" s="117" t="n"/>
    </row>
    <row r="297">
      <c r="H297" s="117" t="n"/>
      <c r="I297" s="117" t="n"/>
      <c r="J297" s="117" t="n"/>
      <c r="K297" s="117" t="n"/>
    </row>
    <row r="298">
      <c r="H298" s="117" t="n"/>
      <c r="I298" s="117" t="n"/>
      <c r="J298" s="117" t="n"/>
      <c r="K298" s="117" t="n"/>
    </row>
    <row r="299">
      <c r="H299" s="117" t="n"/>
      <c r="I299" s="117" t="n"/>
      <c r="J299" s="117" t="n"/>
      <c r="K299" s="117" t="n"/>
    </row>
    <row r="300">
      <c r="H300" s="117" t="n"/>
      <c r="I300" s="117" t="n"/>
      <c r="J300" s="117" t="n"/>
      <c r="K300" s="117" t="n"/>
    </row>
    <row r="301">
      <c r="H301" s="117" t="n"/>
      <c r="I301" s="117" t="n"/>
      <c r="J301" s="117" t="n"/>
      <c r="K301" s="117" t="n"/>
    </row>
    <row r="302">
      <c r="H302" s="117" t="n"/>
      <c r="I302" s="117" t="n"/>
      <c r="J302" s="117" t="n"/>
      <c r="K302" s="117" t="n"/>
    </row>
    <row r="303">
      <c r="H303" s="117" t="n"/>
      <c r="I303" s="117" t="n"/>
      <c r="J303" s="117" t="n"/>
      <c r="K303" s="117" t="n"/>
    </row>
    <row r="304">
      <c r="H304" s="117" t="n"/>
      <c r="I304" s="117" t="n"/>
      <c r="J304" s="117" t="n"/>
      <c r="K304" s="117" t="n"/>
    </row>
    <row r="305">
      <c r="H305" s="117" t="n"/>
      <c r="I305" s="117" t="n"/>
      <c r="J305" s="117" t="n"/>
      <c r="K305" s="117" t="n"/>
    </row>
    <row r="306">
      <c r="H306" s="117" t="n"/>
      <c r="I306" s="117" t="n"/>
      <c r="J306" s="117" t="n"/>
      <c r="K306" s="117" t="n"/>
    </row>
    <row r="307">
      <c r="H307" s="117" t="n"/>
      <c r="I307" s="117" t="n"/>
      <c r="J307" s="117" t="n"/>
      <c r="K307" s="117" t="n"/>
    </row>
    <row r="308">
      <c r="H308" s="117" t="n"/>
      <c r="I308" s="117" t="n"/>
      <c r="J308" s="117" t="n"/>
      <c r="K308" s="117" t="n"/>
    </row>
    <row r="309">
      <c r="H309" s="117" t="n"/>
      <c r="I309" s="117" t="n"/>
      <c r="J309" s="117" t="n"/>
      <c r="K309" s="117" t="n"/>
    </row>
    <row r="310">
      <c r="H310" s="117" t="n"/>
      <c r="I310" s="117" t="n"/>
      <c r="J310" s="117" t="n"/>
      <c r="K310" s="117" t="n"/>
    </row>
    <row r="311">
      <c r="H311" s="117" t="n"/>
      <c r="I311" s="117" t="n"/>
      <c r="J311" s="117" t="n"/>
      <c r="K311" s="117" t="n"/>
    </row>
    <row r="312">
      <c r="H312" s="117" t="n"/>
      <c r="I312" s="117" t="n"/>
      <c r="J312" s="117" t="n"/>
      <c r="K312" s="117" t="n"/>
    </row>
    <row r="313">
      <c r="H313" s="117" t="n"/>
      <c r="I313" s="117" t="n"/>
      <c r="J313" s="117" t="n"/>
      <c r="K313" s="117" t="n"/>
    </row>
    <row r="314">
      <c r="H314" s="117" t="n"/>
      <c r="I314" s="117" t="n"/>
      <c r="J314" s="117" t="n"/>
      <c r="K314" s="117" t="n"/>
    </row>
    <row r="315">
      <c r="H315" s="117" t="n"/>
      <c r="I315" s="117" t="n"/>
      <c r="J315" s="117" t="n"/>
      <c r="K315" s="117" t="n"/>
    </row>
    <row r="316">
      <c r="H316" s="117" t="n"/>
      <c r="I316" s="117" t="n"/>
      <c r="J316" s="117" t="n"/>
      <c r="K316" s="117" t="n"/>
    </row>
    <row r="317">
      <c r="H317" s="117" t="n"/>
      <c r="I317" s="117" t="n"/>
      <c r="J317" s="117" t="n"/>
      <c r="K317" s="117" t="n"/>
    </row>
    <row r="318">
      <c r="H318" s="117" t="n"/>
      <c r="I318" s="117" t="n"/>
      <c r="J318" s="117" t="n"/>
      <c r="K318" s="117" t="n"/>
    </row>
    <row r="319">
      <c r="H319" s="117" t="n"/>
      <c r="I319" s="117" t="n"/>
      <c r="J319" s="117" t="n"/>
      <c r="K319" s="117" t="n"/>
    </row>
    <row r="320">
      <c r="H320" s="117" t="n"/>
      <c r="I320" s="117" t="n"/>
      <c r="J320" s="117" t="n"/>
      <c r="K320" s="117" t="n"/>
    </row>
    <row r="321">
      <c r="H321" s="117" t="n"/>
      <c r="I321" s="117" t="n"/>
      <c r="J321" s="117" t="n"/>
      <c r="K321" s="117" t="n"/>
    </row>
    <row r="322">
      <c r="H322" s="117" t="n"/>
      <c r="I322" s="117" t="n"/>
      <c r="J322" s="117" t="n"/>
      <c r="K322" s="117" t="n"/>
    </row>
    <row r="323">
      <c r="H323" s="117" t="n"/>
      <c r="I323" s="117" t="n"/>
      <c r="J323" s="117" t="n"/>
      <c r="K323" s="117" t="n"/>
    </row>
    <row r="324">
      <c r="H324" s="117" t="n"/>
      <c r="I324" s="117" t="n"/>
      <c r="J324" s="117" t="n"/>
      <c r="K324" s="117" t="n"/>
    </row>
    <row r="325">
      <c r="H325" s="117" t="n"/>
      <c r="I325" s="117" t="n"/>
      <c r="J325" s="117" t="n"/>
      <c r="K325" s="117" t="n"/>
    </row>
    <row r="326">
      <c r="H326" s="117" t="n"/>
      <c r="I326" s="117" t="n"/>
      <c r="J326" s="117" t="n"/>
      <c r="K326" s="117" t="n"/>
    </row>
    <row r="327">
      <c r="H327" s="117" t="n"/>
      <c r="I327" s="117" t="n"/>
      <c r="J327" s="117" t="n"/>
      <c r="K327" s="117" t="n"/>
    </row>
    <row r="328">
      <c r="H328" s="117" t="n"/>
      <c r="I328" s="117" t="n"/>
      <c r="J328" s="117" t="n"/>
      <c r="K328" s="117" t="n"/>
    </row>
    <row r="329">
      <c r="H329" s="117" t="n"/>
      <c r="I329" s="117" t="n"/>
      <c r="J329" s="117" t="n"/>
      <c r="K329" s="117" t="n"/>
    </row>
    <row r="330">
      <c r="H330" s="117" t="n"/>
      <c r="I330" s="117" t="n"/>
      <c r="J330" s="117" t="n"/>
      <c r="K330" s="117" t="n"/>
    </row>
    <row r="331">
      <c r="H331" s="117" t="n"/>
      <c r="I331" s="117" t="n"/>
      <c r="J331" s="117" t="n"/>
      <c r="K331" s="117" t="n"/>
    </row>
    <row r="332">
      <c r="H332" s="117" t="n"/>
      <c r="I332" s="117" t="n"/>
      <c r="J332" s="117" t="n"/>
      <c r="K332" s="117" t="n"/>
    </row>
    <row r="333">
      <c r="H333" s="117" t="n"/>
      <c r="I333" s="117" t="n"/>
      <c r="J333" s="117" t="n"/>
      <c r="K333" s="117" t="n"/>
    </row>
    <row r="334">
      <c r="H334" s="117" t="n"/>
      <c r="I334" s="117" t="n"/>
      <c r="J334" s="117" t="n"/>
      <c r="K334" s="117" t="n"/>
    </row>
    <row r="335">
      <c r="H335" s="117" t="n"/>
      <c r="I335" s="117" t="n"/>
      <c r="J335" s="117" t="n"/>
      <c r="K335" s="117" t="n"/>
    </row>
    <row r="336">
      <c r="H336" s="117" t="n"/>
      <c r="I336" s="117" t="n"/>
      <c r="J336" s="117" t="n"/>
      <c r="K336" s="117" t="n"/>
    </row>
    <row r="337">
      <c r="H337" s="117" t="n"/>
      <c r="I337" s="117" t="n"/>
      <c r="J337" s="117" t="n"/>
      <c r="K337" s="117" t="n"/>
    </row>
    <row r="338">
      <c r="H338" s="117" t="n"/>
      <c r="I338" s="117" t="n"/>
      <c r="J338" s="117" t="n"/>
      <c r="K338" s="117" t="n"/>
    </row>
    <row r="339">
      <c r="H339" s="117" t="n"/>
      <c r="I339" s="117" t="n"/>
      <c r="J339" s="117" t="n"/>
      <c r="K339" s="117" t="n"/>
    </row>
    <row r="340">
      <c r="H340" s="117" t="n"/>
      <c r="I340" s="117" t="n"/>
      <c r="J340" s="117" t="n"/>
      <c r="K340" s="117" t="n"/>
    </row>
    <row r="341">
      <c r="H341" s="117" t="n"/>
      <c r="I341" s="117" t="n"/>
      <c r="J341" s="117" t="n"/>
      <c r="K341" s="117" t="n"/>
    </row>
    <row r="342">
      <c r="H342" s="117" t="n"/>
      <c r="I342" s="117" t="n"/>
      <c r="J342" s="117" t="n"/>
      <c r="K342" s="117" t="n"/>
    </row>
    <row r="343">
      <c r="H343" s="117" t="n"/>
      <c r="I343" s="117" t="n"/>
      <c r="J343" s="117" t="n"/>
      <c r="K343" s="117" t="n"/>
    </row>
    <row r="344">
      <c r="H344" s="117" t="n"/>
      <c r="I344" s="117" t="n"/>
      <c r="J344" s="117" t="n"/>
      <c r="K344" s="117" t="n"/>
    </row>
    <row r="345">
      <c r="H345" s="117" t="n"/>
      <c r="I345" s="117" t="n"/>
      <c r="J345" s="117" t="n"/>
      <c r="K345" s="117" t="n"/>
    </row>
    <row r="346">
      <c r="H346" s="117" t="n"/>
      <c r="I346" s="117" t="n"/>
      <c r="J346" s="117" t="n"/>
      <c r="K346" s="117" t="n"/>
    </row>
    <row r="347">
      <c r="H347" s="117" t="n"/>
      <c r="I347" s="117" t="n"/>
      <c r="J347" s="117" t="n"/>
      <c r="K347" s="117" t="n"/>
    </row>
    <row r="348">
      <c r="H348" s="117" t="n"/>
      <c r="I348" s="117" t="n"/>
      <c r="J348" s="117" t="n"/>
      <c r="K348" s="117" t="n"/>
    </row>
    <row r="349">
      <c r="H349" s="117" t="n"/>
      <c r="I349" s="117" t="n"/>
      <c r="J349" s="117" t="n"/>
      <c r="K349" s="117" t="n"/>
    </row>
    <row r="350">
      <c r="H350" s="117" t="n"/>
      <c r="I350" s="117" t="n"/>
      <c r="J350" s="117" t="n"/>
      <c r="K350" s="117" t="n"/>
    </row>
    <row r="351">
      <c r="H351" s="117" t="n"/>
      <c r="I351" s="117" t="n"/>
      <c r="J351" s="117" t="n"/>
      <c r="K351" s="117" t="n"/>
    </row>
    <row r="352">
      <c r="H352" s="117" t="n"/>
      <c r="I352" s="117" t="n"/>
      <c r="J352" s="117" t="n"/>
      <c r="K352" s="117" t="n"/>
    </row>
    <row r="353">
      <c r="H353" s="117" t="n"/>
      <c r="I353" s="117" t="n"/>
      <c r="J353" s="117" t="n"/>
      <c r="K353" s="117" t="n"/>
    </row>
    <row r="354">
      <c r="H354" s="117" t="n"/>
      <c r="I354" s="117" t="n"/>
      <c r="J354" s="117" t="n"/>
      <c r="K354" s="117" t="n"/>
    </row>
    <row r="355">
      <c r="H355" s="117" t="n"/>
      <c r="I355" s="117" t="n"/>
      <c r="J355" s="117" t="n"/>
      <c r="K355" s="117" t="n"/>
    </row>
    <row r="356">
      <c r="H356" s="117" t="n"/>
      <c r="I356" s="117" t="n"/>
      <c r="J356" s="117" t="n"/>
      <c r="K356" s="117" t="n"/>
    </row>
    <row r="357">
      <c r="H357" s="117" t="n"/>
      <c r="I357" s="117" t="n"/>
      <c r="J357" s="117" t="n"/>
      <c r="K357" s="117" t="n"/>
    </row>
    <row r="358">
      <c r="H358" s="117" t="n"/>
      <c r="I358" s="117" t="n"/>
      <c r="J358" s="117" t="n"/>
      <c r="K358" s="117" t="n"/>
    </row>
    <row r="359">
      <c r="H359" s="117" t="n"/>
      <c r="I359" s="117" t="n"/>
      <c r="J359" s="117" t="n"/>
      <c r="K359" s="117" t="n"/>
    </row>
    <row r="360">
      <c r="H360" s="117" t="n"/>
      <c r="I360" s="117" t="n"/>
      <c r="J360" s="117" t="n"/>
      <c r="K360" s="117" t="n"/>
    </row>
    <row r="361">
      <c r="H361" s="117" t="n"/>
      <c r="I361" s="117" t="n"/>
      <c r="J361" s="117" t="n"/>
      <c r="K361" s="117" t="n"/>
    </row>
    <row r="362">
      <c r="H362" s="117" t="n"/>
      <c r="I362" s="117" t="n"/>
      <c r="J362" s="117" t="n"/>
      <c r="K362" s="117" t="n"/>
    </row>
    <row r="363">
      <c r="H363" s="117" t="n"/>
      <c r="I363" s="117" t="n"/>
      <c r="J363" s="117" t="n"/>
      <c r="K363" s="117" t="n"/>
    </row>
    <row r="364">
      <c r="H364" s="117" t="n"/>
      <c r="I364" s="117" t="n"/>
      <c r="J364" s="117" t="n"/>
      <c r="K364" s="117" t="n"/>
    </row>
    <row r="365">
      <c r="H365" s="117" t="n"/>
      <c r="I365" s="117" t="n"/>
      <c r="J365" s="117" t="n"/>
      <c r="K365" s="117" t="n"/>
    </row>
    <row r="366">
      <c r="H366" s="117" t="n"/>
      <c r="I366" s="117" t="n"/>
      <c r="J366" s="117" t="n"/>
      <c r="K366" s="117" t="n"/>
    </row>
    <row r="367">
      <c r="H367" s="117" t="n"/>
      <c r="I367" s="117" t="n"/>
      <c r="J367" s="117" t="n"/>
      <c r="K367" s="117" t="n"/>
    </row>
    <row r="368">
      <c r="H368" s="117" t="n"/>
      <c r="I368" s="117" t="n"/>
      <c r="J368" s="117" t="n"/>
      <c r="K368" s="117" t="n"/>
    </row>
    <row r="369">
      <c r="H369" s="117" t="n"/>
      <c r="I369" s="117" t="n"/>
      <c r="J369" s="117" t="n"/>
      <c r="K369" s="117" t="n"/>
    </row>
    <row r="370">
      <c r="H370" s="117" t="n"/>
      <c r="I370" s="117" t="n"/>
      <c r="J370" s="117" t="n"/>
      <c r="K370" s="117" t="n"/>
    </row>
    <row r="371">
      <c r="H371" s="117" t="n"/>
      <c r="I371" s="117" t="n"/>
      <c r="J371" s="117" t="n"/>
      <c r="K371" s="117" t="n"/>
    </row>
    <row r="372">
      <c r="H372" s="117" t="n"/>
      <c r="I372" s="117" t="n"/>
      <c r="J372" s="117" t="n"/>
      <c r="K372" s="117" t="n"/>
    </row>
    <row r="373">
      <c r="H373" s="117" t="n"/>
      <c r="I373" s="117" t="n"/>
      <c r="J373" s="117" t="n"/>
      <c r="K373" s="117" t="n"/>
    </row>
    <row r="374">
      <c r="H374" s="117" t="n"/>
      <c r="I374" s="117" t="n"/>
      <c r="J374" s="117" t="n"/>
      <c r="K374" s="117" t="n"/>
    </row>
    <row r="375">
      <c r="H375" s="117" t="n"/>
      <c r="I375" s="117" t="n"/>
      <c r="J375" s="117" t="n"/>
      <c r="K375" s="117" t="n"/>
    </row>
    <row r="376">
      <c r="H376" s="117" t="n"/>
      <c r="I376" s="117" t="n"/>
      <c r="J376" s="117" t="n"/>
      <c r="K376" s="117" t="n"/>
    </row>
    <row r="377">
      <c r="H377" s="117" t="n"/>
      <c r="I377" s="117" t="n"/>
      <c r="J377" s="117" t="n"/>
      <c r="K377" s="117" t="n"/>
    </row>
    <row r="378">
      <c r="H378" s="117" t="n"/>
      <c r="I378" s="117" t="n"/>
      <c r="J378" s="117" t="n"/>
      <c r="K378" s="117" t="n"/>
    </row>
    <row r="379">
      <c r="H379" s="117" t="n"/>
      <c r="I379" s="117" t="n"/>
      <c r="J379" s="117" t="n"/>
      <c r="K379" s="117" t="n"/>
    </row>
    <row r="380">
      <c r="H380" s="117" t="n"/>
      <c r="I380" s="117" t="n"/>
      <c r="J380" s="117" t="n"/>
      <c r="K380" s="117" t="n"/>
    </row>
    <row r="381">
      <c r="H381" s="117" t="n"/>
      <c r="I381" s="117" t="n"/>
      <c r="J381" s="117" t="n"/>
      <c r="K381" s="117" t="n"/>
    </row>
    <row r="382">
      <c r="H382" s="117" t="n"/>
      <c r="I382" s="117" t="n"/>
      <c r="J382" s="117" t="n"/>
      <c r="K382" s="117" t="n"/>
    </row>
    <row r="383">
      <c r="H383" s="117" t="n"/>
      <c r="I383" s="117" t="n"/>
      <c r="J383" s="117" t="n"/>
      <c r="K383" s="117" t="n"/>
    </row>
    <row r="384">
      <c r="H384" s="117" t="n"/>
      <c r="I384" s="117" t="n"/>
      <c r="J384" s="117" t="n"/>
      <c r="K384" s="117" t="n"/>
    </row>
    <row r="385">
      <c r="H385" s="117" t="n"/>
      <c r="I385" s="117" t="n"/>
      <c r="J385" s="117" t="n"/>
      <c r="K385" s="117" t="n"/>
    </row>
    <row r="386">
      <c r="H386" s="117" t="n"/>
      <c r="I386" s="117" t="n"/>
      <c r="J386" s="117" t="n"/>
      <c r="K386" s="117" t="n"/>
    </row>
    <row r="387">
      <c r="H387" s="117" t="n"/>
      <c r="I387" s="117" t="n"/>
      <c r="J387" s="117" t="n"/>
      <c r="K387" s="117" t="n"/>
    </row>
    <row r="388">
      <c r="H388" s="117" t="n"/>
      <c r="I388" s="117" t="n"/>
      <c r="J388" s="117" t="n"/>
      <c r="K388" s="117" t="n"/>
    </row>
    <row r="389">
      <c r="H389" s="117" t="n"/>
      <c r="I389" s="117" t="n"/>
      <c r="J389" s="117" t="n"/>
      <c r="K389" s="117" t="n"/>
    </row>
    <row r="390">
      <c r="H390" s="117" t="n"/>
      <c r="I390" s="117" t="n"/>
      <c r="J390" s="117" t="n"/>
      <c r="K390" s="117" t="n"/>
    </row>
    <row r="391">
      <c r="H391" s="117" t="n"/>
      <c r="I391" s="117" t="n"/>
      <c r="J391" s="117" t="n"/>
      <c r="K391" s="117" t="n"/>
    </row>
    <row r="392">
      <c r="H392" s="117" t="n"/>
      <c r="I392" s="117" t="n"/>
      <c r="J392" s="117" t="n"/>
      <c r="K392" s="117" t="n"/>
    </row>
    <row r="393">
      <c r="H393" s="117" t="n"/>
      <c r="I393" s="117" t="n"/>
      <c r="J393" s="117" t="n"/>
      <c r="K393" s="117" t="n"/>
    </row>
    <row r="394">
      <c r="H394" s="117" t="n"/>
      <c r="I394" s="117" t="n"/>
      <c r="J394" s="117" t="n"/>
      <c r="K394" s="117" t="n"/>
    </row>
    <row r="395">
      <c r="H395" s="117" t="n"/>
      <c r="I395" s="117" t="n"/>
      <c r="J395" s="117" t="n"/>
      <c r="K395" s="117" t="n"/>
    </row>
    <row r="396">
      <c r="H396" s="117" t="n"/>
      <c r="I396" s="117" t="n"/>
      <c r="J396" s="117" t="n"/>
      <c r="K396" s="117" t="n"/>
    </row>
    <row r="397">
      <c r="H397" s="117" t="n"/>
      <c r="I397" s="117" t="n"/>
      <c r="J397" s="117" t="n"/>
      <c r="K397" s="117" t="n"/>
    </row>
    <row r="398">
      <c r="H398" s="117" t="n"/>
      <c r="I398" s="117" t="n"/>
      <c r="J398" s="117" t="n"/>
      <c r="K398" s="117" t="n"/>
    </row>
    <row r="399">
      <c r="H399" s="117" t="n"/>
      <c r="I399" s="117" t="n"/>
      <c r="J399" s="117" t="n"/>
      <c r="K399" s="117" t="n"/>
    </row>
    <row r="400">
      <c r="H400" s="117" t="n"/>
      <c r="I400" s="117" t="n"/>
      <c r="J400" s="117" t="n"/>
      <c r="K400" s="117" t="n"/>
    </row>
    <row r="401">
      <c r="H401" s="117" t="n"/>
      <c r="I401" s="117" t="n"/>
      <c r="J401" s="117" t="n"/>
      <c r="K401" s="117" t="n"/>
    </row>
    <row r="402">
      <c r="H402" s="117" t="n"/>
      <c r="I402" s="117" t="n"/>
      <c r="J402" s="117" t="n"/>
      <c r="K402" s="117" t="n"/>
    </row>
    <row r="403">
      <c r="H403" s="117" t="n"/>
      <c r="I403" s="117" t="n"/>
      <c r="J403" s="117" t="n"/>
      <c r="K403" s="117" t="n"/>
    </row>
    <row r="404">
      <c r="H404" s="117" t="n"/>
      <c r="I404" s="117" t="n"/>
      <c r="J404" s="117" t="n"/>
      <c r="K404" s="117" t="n"/>
    </row>
    <row r="405">
      <c r="H405" s="117" t="n"/>
      <c r="I405" s="117" t="n"/>
      <c r="J405" s="117" t="n"/>
      <c r="K405" s="117" t="n"/>
    </row>
    <row r="406">
      <c r="H406" s="117" t="n"/>
      <c r="I406" s="117" t="n"/>
      <c r="J406" s="117" t="n"/>
      <c r="K406" s="117" t="n"/>
    </row>
    <row r="407">
      <c r="H407" s="117" t="n"/>
      <c r="I407" s="117" t="n"/>
      <c r="J407" s="117" t="n"/>
      <c r="K407" s="117" t="n"/>
    </row>
    <row r="408">
      <c r="H408" s="117" t="n"/>
      <c r="I408" s="117" t="n"/>
      <c r="J408" s="117" t="n"/>
      <c r="K408" s="117" t="n"/>
    </row>
    <row r="409">
      <c r="H409" s="117" t="n"/>
      <c r="I409" s="117" t="n"/>
      <c r="J409" s="117" t="n"/>
      <c r="K409" s="117" t="n"/>
    </row>
    <row r="410">
      <c r="H410" s="117" t="n"/>
      <c r="I410" s="117" t="n"/>
      <c r="J410" s="117" t="n"/>
      <c r="K410" s="117" t="n"/>
    </row>
    <row r="411">
      <c r="H411" s="117" t="n"/>
      <c r="I411" s="117" t="n"/>
      <c r="J411" s="117" t="n"/>
      <c r="K411" s="117" t="n"/>
    </row>
    <row r="412">
      <c r="H412" s="117" t="n"/>
      <c r="I412" s="117" t="n"/>
      <c r="J412" s="117" t="n"/>
      <c r="K412" s="117" t="n"/>
    </row>
    <row r="413">
      <c r="H413" s="117" t="n"/>
      <c r="I413" s="117" t="n"/>
      <c r="J413" s="117" t="n"/>
      <c r="K413" s="117" t="n"/>
    </row>
    <row r="414">
      <c r="H414" s="117" t="n"/>
      <c r="I414" s="117" t="n"/>
      <c r="J414" s="117" t="n"/>
      <c r="K414" s="117" t="n"/>
    </row>
    <row r="415">
      <c r="H415" s="117" t="n"/>
      <c r="I415" s="117" t="n"/>
      <c r="J415" s="117" t="n"/>
      <c r="K415" s="117" t="n"/>
    </row>
    <row r="416">
      <c r="H416" s="117" t="n"/>
      <c r="I416" s="117" t="n"/>
      <c r="J416" s="117" t="n"/>
      <c r="K416" s="117" t="n"/>
    </row>
    <row r="417">
      <c r="H417" s="117" t="n"/>
      <c r="I417" s="117" t="n"/>
      <c r="J417" s="117" t="n"/>
      <c r="K417" s="117" t="n"/>
    </row>
    <row r="418">
      <c r="H418" s="117" t="n"/>
      <c r="I418" s="117" t="n"/>
      <c r="J418" s="117" t="n"/>
      <c r="K418" s="117" t="n"/>
    </row>
    <row r="419">
      <c r="H419" s="117" t="n"/>
      <c r="I419" s="117" t="n"/>
      <c r="J419" s="117" t="n"/>
      <c r="K419" s="117" t="n"/>
    </row>
  </sheetData>
  <conditionalFormatting sqref="E1:E1048576">
    <cfRule type="cellIs" priority="1" operator="lessThan" dxfId="22">
      <formula>0</formula>
    </cfRule>
    <cfRule type="cellIs" priority="2" operator="lessThan" dxfId="23">
      <formula>0</formula>
    </cfRule>
  </conditionalFormatting>
  <conditionalFormatting sqref="G1:G1048576">
    <cfRule type="cellIs" priority="3" operator="greaterThan" dxfId="22">
      <formula>0.2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5">
    <tabColor rgb="FF92D050"/>
    <outlinePr summaryBelow="1" summaryRight="1"/>
    <pageSetUpPr/>
  </sheetPr>
  <dimension ref="A1:XFD72"/>
  <sheetViews>
    <sheetView zoomScale="70" zoomScaleNormal="70" workbookViewId="0">
      <pane xSplit="1" topLeftCell="B1" activePane="topRight" state="frozen"/>
      <selection activeCell="I32" sqref="I32"/>
      <selection pane="topRight" activeCell="C21" sqref="C21"/>
    </sheetView>
  </sheetViews>
  <sheetFormatPr baseColWidth="8" defaultColWidth="10.25" defaultRowHeight="15"/>
  <cols>
    <col width="15.75" customWidth="1" style="73" min="1" max="1"/>
    <col width="14.58203125" customWidth="1" style="73" min="2" max="2"/>
    <col width="23.1640625" customWidth="1" style="73" min="3" max="3"/>
    <col width="34.83203125" customWidth="1" style="73" min="4" max="4"/>
    <col width="15.83203125" customWidth="1" style="73" min="5" max="5"/>
    <col width="21.58203125" bestFit="1" customWidth="1" style="73" min="6" max="6"/>
    <col width="10.25" customWidth="1" style="73" min="7" max="8"/>
    <col width="21.58203125" bestFit="1" customWidth="1" style="73" min="9" max="28"/>
    <col width="10.25" customWidth="1" style="73" min="29" max="31"/>
    <col width="10.25" customWidth="1" style="73" min="32" max="16384"/>
  </cols>
  <sheetData>
    <row r="1">
      <c r="A1" s="143" t="n"/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</row>
    <row r="2">
      <c r="A2" s="143" t="n"/>
      <c r="B2" s="144" t="inlineStr">
        <is>
          <t>VariableID</t>
        </is>
      </c>
      <c r="C2" s="144" t="inlineStr">
        <is>
          <t>Name</t>
        </is>
      </c>
      <c r="D2" s="144" t="inlineStr">
        <is>
          <t>Lable</t>
        </is>
      </c>
      <c r="E2" s="143" t="inlineStr">
        <is>
          <t>Factor1</t>
        </is>
      </c>
      <c r="F2" s="143" t="inlineStr">
        <is>
          <t>Factor2</t>
        </is>
      </c>
      <c r="G2" s="143" t="inlineStr">
        <is>
          <t>Factor3</t>
        </is>
      </c>
      <c r="H2" s="143" t="inlineStr">
        <is>
          <t>Factor4</t>
        </is>
      </c>
      <c r="I2" s="143" t="n"/>
      <c r="J2" s="143" t="n"/>
      <c r="K2" s="143" t="n"/>
      <c r="L2" s="143" t="n"/>
      <c r="M2" s="143" t="n"/>
      <c r="N2" s="143" t="n"/>
      <c r="O2" s="143" t="n"/>
      <c r="P2" s="143" t="n"/>
      <c r="Q2" s="143" t="n"/>
      <c r="R2" s="143" t="n"/>
      <c r="S2" s="143" t="n"/>
      <c r="T2" s="143" t="n"/>
      <c r="U2" s="143" t="n"/>
      <c r="V2" s="143" t="n"/>
      <c r="W2" s="143" t="n"/>
    </row>
    <row r="3">
      <c r="A3" s="145" t="n"/>
      <c r="B3" s="146" t="n">
        <v>1</v>
      </c>
      <c r="C3" s="146" t="inlineStr">
        <is>
          <t>instagram</t>
        </is>
      </c>
      <c r="D3" s="146" t="inlineStr">
        <is>
          <t>instagram</t>
        </is>
      </c>
      <c r="E3" s="200" t="n">
        <v>1</v>
      </c>
      <c r="F3" s="145" t="inlineStr"/>
      <c r="G3" s="145" t="inlineStr"/>
      <c r="H3" s="145" t="inlineStr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5" t="n"/>
      <c r="R3" s="145" t="n"/>
      <c r="S3" s="145" t="n"/>
      <c r="T3" s="145" t="n"/>
      <c r="U3" s="145" t="n"/>
      <c r="V3" s="145" t="n"/>
      <c r="W3" s="145" t="n"/>
    </row>
    <row r="4">
      <c r="A4" s="145" t="n"/>
      <c r="B4" s="146" t="n">
        <v>2</v>
      </c>
      <c r="C4" s="146" t="inlineStr">
        <is>
          <t>tiktok</t>
        </is>
      </c>
      <c r="D4" s="146" t="inlineStr">
        <is>
          <t>tiktok</t>
        </is>
      </c>
      <c r="E4" s="145" t="inlineStr"/>
      <c r="F4" s="200" t="n">
        <v>1</v>
      </c>
      <c r="G4" s="145" t="inlineStr"/>
      <c r="H4" s="145" t="inlineStr"/>
      <c r="I4" s="145" t="n"/>
      <c r="J4" s="145" t="n"/>
      <c r="K4" s="145" t="n"/>
      <c r="L4" s="145" t="n"/>
      <c r="M4" s="145" t="n"/>
      <c r="N4" s="145" t="n"/>
      <c r="O4" s="145" t="n"/>
      <c r="P4" s="145" t="n"/>
      <c r="Q4" s="145" t="n"/>
      <c r="R4" s="145" t="n"/>
      <c r="S4" s="145" t="n"/>
      <c r="T4" s="145" t="n"/>
      <c r="U4" s="145" t="n"/>
      <c r="V4" s="145" t="n"/>
      <c r="W4" s="145" t="n"/>
    </row>
    <row r="5">
      <c r="A5" s="145" t="n"/>
      <c r="B5" s="146" t="n">
        <v>3</v>
      </c>
      <c r="C5" s="146" t="inlineStr">
        <is>
          <t>youtube</t>
        </is>
      </c>
      <c r="D5" s="146" t="inlineStr">
        <is>
          <t>youtube</t>
        </is>
      </c>
      <c r="E5" s="145" t="inlineStr"/>
      <c r="F5" s="145" t="inlineStr"/>
      <c r="G5" s="200" t="n">
        <v>1</v>
      </c>
      <c r="H5" s="145" t="inlineStr"/>
      <c r="I5" s="145" t="n"/>
      <c r="J5" s="145" t="n"/>
      <c r="K5" s="145" t="n"/>
      <c r="L5" s="145" t="n"/>
      <c r="M5" s="145" t="n"/>
      <c r="N5" s="145" t="n"/>
      <c r="O5" s="145" t="n"/>
      <c r="P5" s="145" t="n"/>
      <c r="Q5" s="145" t="n"/>
      <c r="R5" s="145" t="n"/>
      <c r="S5" s="145" t="n"/>
      <c r="T5" s="145" t="n"/>
      <c r="U5" s="145" t="n"/>
      <c r="V5" s="145" t="n"/>
      <c r="W5" s="145" t="n"/>
    </row>
    <row r="6">
      <c r="A6" s="145" t="n"/>
      <c r="B6" s="146" t="n">
        <v>4</v>
      </c>
      <c r="C6" s="146" t="inlineStr">
        <is>
          <t>metro</t>
        </is>
      </c>
      <c r="D6" s="146" t="inlineStr">
        <is>
          <t>metro</t>
        </is>
      </c>
      <c r="E6" s="145" t="inlineStr"/>
      <c r="F6" s="145" t="inlineStr"/>
      <c r="G6" s="145" t="inlineStr"/>
      <c r="H6" s="200" t="n">
        <v>1</v>
      </c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</row>
    <row r="7">
      <c r="A7" s="145" t="n"/>
      <c r="B7" s="146" t="n"/>
      <c r="C7" s="146" t="n"/>
      <c r="D7" s="146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5" t="n"/>
      <c r="O7" s="145" t="n"/>
      <c r="P7" s="145" t="n"/>
      <c r="Q7" s="145" t="n"/>
      <c r="R7" s="145" t="n"/>
      <c r="S7" s="145" t="n"/>
      <c r="T7" s="145" t="n"/>
      <c r="U7" s="145" t="n"/>
      <c r="V7" s="145" t="n"/>
      <c r="W7" s="145" t="n"/>
    </row>
    <row r="8">
      <c r="A8" s="145" t="n"/>
      <c r="B8" s="146" t="n"/>
      <c r="C8" s="146" t="n"/>
      <c r="D8" s="146" t="n"/>
      <c r="E8" s="145" t="n"/>
      <c r="F8" s="145" t="n"/>
      <c r="G8" s="145" t="n"/>
      <c r="H8" s="145" t="n"/>
      <c r="I8" s="145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</row>
    <row r="9" customFormat="1" s="72">
      <c r="A9" s="145" t="n"/>
      <c r="B9" s="146" t="n"/>
      <c r="C9" s="146" t="n"/>
      <c r="D9" s="146" t="n"/>
      <c r="E9" s="145" t="n"/>
      <c r="F9" s="145" t="n"/>
      <c r="G9" s="145" t="n"/>
      <c r="H9" s="145" t="n"/>
      <c r="I9" s="145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FD9" s="73" t="n"/>
    </row>
    <row r="10" customFormat="1" s="72">
      <c r="A10" s="145" t="n"/>
      <c r="B10" s="146" t="n"/>
      <c r="C10" s="146" t="n"/>
      <c r="D10" s="146" t="n"/>
      <c r="E10" s="145" t="n"/>
      <c r="F10" s="145" t="n"/>
      <c r="G10" s="145" t="n"/>
      <c r="H10" s="145" t="n"/>
      <c r="I10" s="145" t="n"/>
      <c r="J10" s="145" t="n"/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</row>
    <row r="11" customFormat="1" s="72">
      <c r="A11" s="145" t="n"/>
      <c r="B11" s="146" t="n"/>
      <c r="C11" s="146" t="n"/>
      <c r="D11" s="146" t="n"/>
      <c r="E11" s="145" t="n"/>
      <c r="F11" s="145" t="n"/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</row>
    <row r="12" customFormat="1" s="72">
      <c r="A12" s="145" t="n"/>
      <c r="B12" s="146" t="n"/>
      <c r="C12" s="146" t="n"/>
      <c r="D12" s="146" t="n"/>
      <c r="E12" s="145" t="n"/>
      <c r="F12" s="145" t="n"/>
      <c r="G12" s="145" t="n"/>
      <c r="H12" s="145" t="n"/>
      <c r="I12" s="145" t="n"/>
      <c r="J12" s="145" t="n"/>
      <c r="K12" s="145" t="n"/>
      <c r="L12" s="145" t="n"/>
      <c r="M12" s="145" t="n"/>
      <c r="N12" s="145" t="n"/>
      <c r="O12" s="145" t="n"/>
      <c r="P12" s="145" t="n"/>
      <c r="Q12" s="145" t="n"/>
      <c r="R12" s="145" t="n"/>
      <c r="S12" s="145" t="n"/>
      <c r="T12" s="145" t="n"/>
      <c r="U12" s="145" t="n"/>
      <c r="V12" s="145" t="n"/>
      <c r="W12" s="145" t="n"/>
    </row>
    <row r="13" customFormat="1" s="72">
      <c r="A13" s="145" t="n"/>
      <c r="B13" s="146" t="n"/>
      <c r="C13" s="146" t="n"/>
      <c r="D13" s="146" t="n"/>
      <c r="E13" s="145" t="n"/>
      <c r="F13" s="145" t="n"/>
      <c r="G13" s="145" t="n"/>
      <c r="H13" s="145" t="n"/>
      <c r="I13" s="145" t="n"/>
      <c r="J13" s="145" t="n"/>
      <c r="K13" s="145" t="n"/>
      <c r="L13" s="145" t="n"/>
      <c r="M13" s="145" t="n"/>
      <c r="N13" s="145" t="n"/>
      <c r="O13" s="145" t="n"/>
      <c r="P13" s="145" t="n"/>
      <c r="Q13" s="145" t="n"/>
      <c r="R13" s="145" t="n"/>
      <c r="S13" s="145" t="n"/>
      <c r="T13" s="145" t="n"/>
      <c r="U13" s="145" t="n"/>
      <c r="V13" s="145" t="n"/>
      <c r="W13" s="145" t="n"/>
    </row>
    <row r="14" customFormat="1" s="72">
      <c r="A14" s="145" t="n"/>
      <c r="B14" s="146" t="n"/>
      <c r="C14" s="146" t="n"/>
      <c r="D14" s="146" t="n"/>
      <c r="E14" s="145" t="n"/>
      <c r="F14" s="145" t="n"/>
      <c r="G14" s="145" t="n"/>
      <c r="H14" s="145" t="n"/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</row>
    <row r="15" customFormat="1" s="72">
      <c r="A15" s="145" t="n"/>
      <c r="B15" s="146" t="n"/>
      <c r="C15" s="146" t="n"/>
      <c r="D15" s="146" t="n"/>
      <c r="E15" s="145" t="n"/>
      <c r="F15" s="145" t="n"/>
      <c r="G15" s="145" t="n"/>
      <c r="H15" s="145" t="n"/>
      <c r="I15" s="145" t="n"/>
      <c r="J15" s="145" t="n"/>
      <c r="K15" s="145" t="n"/>
      <c r="L15" s="145" t="n"/>
      <c r="M15" s="145" t="n"/>
      <c r="N15" s="145" t="n"/>
      <c r="O15" s="145" t="n"/>
      <c r="P15" s="145" t="n"/>
      <c r="Q15" s="145" t="n"/>
      <c r="R15" s="145" t="n"/>
      <c r="S15" s="145" t="n"/>
      <c r="T15" s="145" t="n"/>
      <c r="U15" s="145" t="n"/>
      <c r="V15" s="145" t="n"/>
      <c r="W15" s="145" t="n"/>
    </row>
    <row r="16" customFormat="1" s="72">
      <c r="A16" s="145" t="n"/>
      <c r="B16" s="146" t="n"/>
      <c r="C16" s="146" t="n"/>
      <c r="D16" s="146" t="n"/>
      <c r="E16" s="145" t="n"/>
      <c r="F16" s="145" t="n"/>
      <c r="G16" s="145" t="n"/>
      <c r="H16" s="145" t="n"/>
      <c r="I16" s="145" t="n"/>
      <c r="J16" s="145" t="n"/>
      <c r="K16" s="145" t="n"/>
      <c r="L16" s="145" t="n"/>
      <c r="M16" s="145" t="n"/>
      <c r="N16" s="145" t="n"/>
      <c r="O16" s="145" t="n"/>
      <c r="P16" s="145" t="n"/>
      <c r="Q16" s="145" t="n"/>
      <c r="R16" s="145" t="n"/>
      <c r="S16" s="145" t="n"/>
      <c r="T16" s="145" t="n"/>
      <c r="U16" s="145" t="n"/>
      <c r="V16" s="145" t="n"/>
      <c r="W16" s="145" t="n"/>
    </row>
    <row r="17" customFormat="1" s="72">
      <c r="A17" s="145" t="n"/>
      <c r="B17" s="146" t="n"/>
      <c r="C17" s="146" t="n"/>
      <c r="D17" s="146" t="n"/>
      <c r="E17" s="145" t="n"/>
      <c r="F17" s="145" t="n"/>
      <c r="G17" s="145" t="n"/>
      <c r="H17" s="145" t="n"/>
      <c r="I17" s="145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</row>
    <row r="18" customFormat="1" s="72">
      <c r="A18" s="145" t="n"/>
      <c r="B18" s="146" t="n"/>
      <c r="C18" s="146" t="n"/>
      <c r="D18" s="146" t="n"/>
      <c r="E18" s="145" t="n"/>
      <c r="F18" s="145" t="n"/>
      <c r="G18" s="145" t="n"/>
      <c r="H18" s="145" t="n"/>
      <c r="I18" s="145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</row>
    <row r="19" customFormat="1" s="72">
      <c r="A19" s="145" t="n"/>
      <c r="B19" s="146" t="n"/>
      <c r="C19" s="146" t="n"/>
      <c r="D19" s="146" t="n"/>
      <c r="E19" s="145" t="n"/>
      <c r="F19" s="145" t="n"/>
      <c r="G19" s="145" t="n"/>
      <c r="H19" s="145" t="n"/>
      <c r="I19" s="145" t="n"/>
      <c r="J19" s="145" t="n"/>
      <c r="K19" s="145" t="n"/>
      <c r="L19" s="145" t="n"/>
      <c r="M19" s="145" t="n"/>
      <c r="N19" s="145" t="n"/>
      <c r="O19" s="145" t="n"/>
      <c r="P19" s="145" t="n"/>
      <c r="Q19" s="145" t="n"/>
      <c r="R19" s="145" t="n"/>
      <c r="S19" s="145" t="n"/>
      <c r="T19" s="145" t="n"/>
      <c r="U19" s="145" t="n"/>
      <c r="V19" s="145" t="n"/>
      <c r="W19" s="145" t="n"/>
    </row>
    <row r="20" customFormat="1" s="72">
      <c r="A20" s="145" t="n"/>
      <c r="B20" s="146" t="n"/>
      <c r="C20" s="146" t="n"/>
      <c r="D20" s="146" t="n"/>
      <c r="E20" s="145" t="n"/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</row>
    <row r="21" customFormat="1" s="72">
      <c r="A21" s="145" t="n"/>
      <c r="B21" s="146" t="n"/>
      <c r="C21" s="146" t="n"/>
      <c r="D21" s="146" t="n"/>
      <c r="E21" s="145" t="n"/>
      <c r="F21" s="145" t="n"/>
      <c r="G21" s="145" t="n"/>
      <c r="H21" s="145" t="n"/>
      <c r="I21" s="145" t="n"/>
      <c r="J21" s="145" t="n"/>
      <c r="K21" s="145" t="n"/>
      <c r="L21" s="145" t="n"/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5" t="n"/>
      <c r="V21" s="145" t="n"/>
      <c r="W21" s="145" t="n"/>
    </row>
    <row r="22" customFormat="1" s="72">
      <c r="A22" s="145" t="n"/>
      <c r="B22" s="146" t="n"/>
      <c r="C22" s="146" t="n"/>
      <c r="D22" s="146" t="n"/>
    </row>
    <row r="23" customFormat="1" s="72">
      <c r="A23" s="145" t="n"/>
      <c r="B23" s="146" t="n"/>
      <c r="C23" s="146" t="n"/>
      <c r="D23" s="146" t="n"/>
    </row>
    <row r="24" customFormat="1" s="72">
      <c r="A24" s="145" t="n"/>
      <c r="B24" s="146" t="n"/>
      <c r="C24" s="146" t="n"/>
      <c r="D24" s="146" t="n"/>
    </row>
    <row r="25" customFormat="1" s="72">
      <c r="B25" s="146" t="n"/>
      <c r="C25" s="146" t="n"/>
      <c r="D25" s="146" t="n"/>
    </row>
    <row r="26" customFormat="1" s="72">
      <c r="B26" s="146" t="n"/>
      <c r="C26" s="146" t="n"/>
      <c r="D26" s="146" t="n"/>
    </row>
    <row r="27" customFormat="1" s="72">
      <c r="B27" s="146" t="n"/>
      <c r="C27" s="146" t="n"/>
      <c r="D27" s="146" t="n"/>
    </row>
    <row r="28" customFormat="1" s="72">
      <c r="B28" s="146" t="n"/>
      <c r="C28" s="146" t="n"/>
      <c r="D28" s="146" t="n"/>
    </row>
    <row r="29" customFormat="1" s="72">
      <c r="B29" s="146" t="n"/>
      <c r="C29" s="146" t="n"/>
      <c r="D29" s="146" t="n"/>
    </row>
    <row r="30" customFormat="1" s="72">
      <c r="B30" s="146" t="n"/>
      <c r="C30" s="146" t="n"/>
      <c r="D30" s="146" t="n"/>
    </row>
    <row r="31" customFormat="1" s="72">
      <c r="B31" s="146" t="n"/>
      <c r="C31" s="146" t="n"/>
      <c r="D31" s="146" t="n"/>
    </row>
    <row r="32" customFormat="1" s="72">
      <c r="B32" s="146" t="n"/>
      <c r="C32" s="146" t="n"/>
      <c r="D32" s="146" t="n"/>
    </row>
    <row r="33" customFormat="1" s="72">
      <c r="B33" s="146" t="n"/>
      <c r="C33" s="146" t="n"/>
      <c r="D33" s="146" t="n"/>
    </row>
    <row r="34" customFormat="1" s="72">
      <c r="B34" s="146" t="n"/>
      <c r="C34" s="146" t="n"/>
      <c r="D34" s="146" t="n"/>
    </row>
    <row r="35" customFormat="1" s="72">
      <c r="B35" s="146" t="n"/>
      <c r="C35" s="146" t="n"/>
      <c r="D35" s="146" t="n"/>
    </row>
    <row r="36" customFormat="1" s="72">
      <c r="B36" s="146" t="n"/>
      <c r="C36" s="146" t="n"/>
      <c r="D36" s="146" t="n"/>
    </row>
    <row r="37" customFormat="1" s="72">
      <c r="B37" s="146" t="n"/>
      <c r="C37" s="146" t="n"/>
      <c r="D37" s="146" t="n"/>
    </row>
    <row r="38" customFormat="1" s="72">
      <c r="B38" s="146" t="n"/>
      <c r="C38" s="146" t="n"/>
      <c r="D38" s="146" t="n"/>
    </row>
    <row r="39" customFormat="1" s="72">
      <c r="B39" s="146" t="n"/>
      <c r="C39" s="146" t="n"/>
      <c r="D39" s="146" t="n"/>
    </row>
    <row r="40" customFormat="1" s="72">
      <c r="B40" s="146" t="n"/>
      <c r="C40" s="146" t="n"/>
      <c r="D40" s="146" t="n"/>
    </row>
    <row r="41" customFormat="1" s="72">
      <c r="B41" s="146" t="n"/>
      <c r="C41" s="146" t="n"/>
      <c r="D41" s="146" t="n"/>
    </row>
    <row r="42" customFormat="1" s="72">
      <c r="B42" s="146" t="n"/>
      <c r="C42" s="146" t="n"/>
      <c r="D42" s="146" t="n"/>
    </row>
    <row r="43" customFormat="1" s="72">
      <c r="B43" s="146" t="n"/>
      <c r="C43" s="146" t="n"/>
      <c r="D43" s="146" t="n"/>
    </row>
    <row r="44" customFormat="1" s="72">
      <c r="B44" s="146" t="n"/>
      <c r="C44" s="146" t="n"/>
      <c r="D44" s="146" t="n"/>
    </row>
    <row r="45" customFormat="1" s="72">
      <c r="B45" s="146" t="n"/>
      <c r="C45" s="146" t="n"/>
      <c r="D45" s="146" t="n"/>
    </row>
    <row r="46" customFormat="1" s="72">
      <c r="B46" s="146" t="n"/>
      <c r="C46" s="146" t="n"/>
      <c r="D46" s="146" t="n"/>
    </row>
    <row r="47" customFormat="1" s="72">
      <c r="B47" s="146" t="n"/>
      <c r="C47" s="146" t="n"/>
      <c r="D47" s="146" t="n"/>
    </row>
    <row r="48" customFormat="1" s="72">
      <c r="B48" s="146" t="n"/>
      <c r="C48" s="146" t="n"/>
      <c r="D48" s="146" t="n"/>
    </row>
    <row r="49" customFormat="1" s="72">
      <c r="B49" s="146" t="n"/>
      <c r="C49" s="146" t="n"/>
      <c r="D49" s="146" t="n"/>
    </row>
    <row r="50" customFormat="1" s="72">
      <c r="B50" s="146" t="n"/>
      <c r="C50" s="146" t="n"/>
      <c r="D50" s="146" t="n"/>
    </row>
    <row r="51" customFormat="1" s="72">
      <c r="B51" s="146" t="n"/>
      <c r="C51" s="146" t="n"/>
      <c r="D51" s="146" t="n"/>
    </row>
    <row r="52" customFormat="1" s="72">
      <c r="B52" s="146" t="n"/>
      <c r="C52" s="146" t="n"/>
      <c r="D52" s="146" t="n"/>
    </row>
    <row r="53" customFormat="1" s="72">
      <c r="B53" s="146" t="n"/>
      <c r="C53" s="146" t="n"/>
      <c r="D53" s="146" t="n"/>
    </row>
    <row r="54" customFormat="1" s="72">
      <c r="B54" s="146" t="n"/>
      <c r="C54" s="146" t="n"/>
      <c r="D54" s="146" t="n"/>
    </row>
    <row r="55" customFormat="1" s="72">
      <c r="B55" s="146" t="n"/>
      <c r="C55" s="146" t="n"/>
      <c r="D55" s="146" t="n"/>
    </row>
    <row r="56" customFormat="1" s="72">
      <c r="B56" s="146" t="n"/>
      <c r="C56" s="146" t="n"/>
      <c r="D56" s="146" t="n"/>
    </row>
    <row r="57" customFormat="1" s="72">
      <c r="B57" s="146" t="n"/>
      <c r="C57" s="146" t="n"/>
      <c r="D57" s="146" t="n"/>
    </row>
    <row r="58" customFormat="1" s="72">
      <c r="B58" s="146" t="n"/>
      <c r="C58" s="146" t="n"/>
      <c r="D58" s="146" t="n"/>
    </row>
    <row r="59" customFormat="1" s="72">
      <c r="B59" s="146" t="n"/>
      <c r="C59" s="146" t="n"/>
      <c r="D59" s="146" t="n"/>
    </row>
    <row r="60" customFormat="1" s="72">
      <c r="B60" s="146" t="n"/>
      <c r="C60" s="146" t="n"/>
      <c r="D60" s="146" t="n"/>
    </row>
    <row r="61" customFormat="1" s="72">
      <c r="B61" s="146" t="n"/>
      <c r="C61" s="146" t="n"/>
      <c r="D61" s="146" t="n"/>
    </row>
    <row r="62" customFormat="1" s="72">
      <c r="B62" s="146" t="n"/>
      <c r="C62" s="146" t="n"/>
      <c r="D62" s="146" t="n"/>
    </row>
    <row r="63" customFormat="1" s="72">
      <c r="B63" s="146" t="n"/>
      <c r="C63" s="146" t="n"/>
      <c r="D63" s="146" t="n"/>
    </row>
    <row r="64" customFormat="1" s="72">
      <c r="B64" s="146" t="n"/>
      <c r="C64" s="146" t="n"/>
      <c r="D64" s="146" t="n"/>
    </row>
    <row r="65" customFormat="1" s="72">
      <c r="B65" s="146" t="n"/>
      <c r="C65" s="146" t="n"/>
      <c r="D65" s="146" t="n"/>
    </row>
    <row r="66" customFormat="1" s="72">
      <c r="B66" s="146" t="n"/>
      <c r="C66" s="146" t="n"/>
      <c r="D66" s="146" t="n"/>
    </row>
    <row r="67" customFormat="1" s="72">
      <c r="B67" s="146" t="n"/>
      <c r="C67" s="146" t="n"/>
      <c r="D67" s="146" t="n"/>
    </row>
    <row r="68" customFormat="1" s="72">
      <c r="B68" s="146" t="n"/>
      <c r="C68" s="146" t="n"/>
      <c r="D68" s="146" t="n"/>
    </row>
    <row r="69" customFormat="1" s="72">
      <c r="B69" s="146" t="n"/>
      <c r="C69" s="146" t="n"/>
      <c r="D69" s="146" t="n"/>
    </row>
    <row r="70" customFormat="1" s="72">
      <c r="B70" s="146" t="n"/>
      <c r="C70" s="146" t="n"/>
      <c r="D70" s="146" t="n"/>
    </row>
    <row r="71" customFormat="1" s="72">
      <c r="B71" s="146" t="n"/>
      <c r="C71" s="146" t="n"/>
      <c r="D71" s="146" t="n"/>
    </row>
    <row r="72" customFormat="1" s="72">
      <c r="B72" s="146" t="n"/>
      <c r="C72" s="146" t="n"/>
      <c r="D72" s="146" t="n"/>
    </row>
    <row r="73" customFormat="1" s="72"/>
    <row r="74" customFormat="1" s="72"/>
    <row r="75" customFormat="1" s="72"/>
    <row r="76" customFormat="1" s="72"/>
    <row r="77" customFormat="1" s="72"/>
    <row r="78" customFormat="1" s="72"/>
    <row r="79" customFormat="1" s="72"/>
    <row r="80" customFormat="1" s="72"/>
    <row r="81" customFormat="1" s="72"/>
    <row r="82" customFormat="1" s="72"/>
    <row r="83" customFormat="1" s="72"/>
    <row r="84" customFormat="1" s="72"/>
    <row r="85" customFormat="1" s="72"/>
    <row r="86" customFormat="1" s="72"/>
    <row r="87" customFormat="1" s="72"/>
    <row r="88" customFormat="1" s="72"/>
    <row r="89" customFormat="1" s="72"/>
    <row r="90" customFormat="1" s="72"/>
    <row r="91" customFormat="1" s="72"/>
    <row r="92" customFormat="1" s="72"/>
    <row r="93" customFormat="1" s="72"/>
    <row r="94" customFormat="1" s="72"/>
    <row r="95" customFormat="1" s="72"/>
    <row r="96" customFormat="1" s="72"/>
    <row r="97" customFormat="1" s="72"/>
    <row r="98" customFormat="1" s="72"/>
    <row r="99" customFormat="1" s="72"/>
    <row r="100" customFormat="1" s="72"/>
    <row r="101" customFormat="1" s="72"/>
    <row r="102" customFormat="1" s="72"/>
    <row r="103" customFormat="1" s="72"/>
    <row r="104" customFormat="1" s="72"/>
    <row r="105" customFormat="1" s="72"/>
    <row r="106" customFormat="1" s="72"/>
    <row r="107" customFormat="1" s="72"/>
    <row r="108" customFormat="1" s="72"/>
    <row r="109" customFormat="1" s="72"/>
    <row r="110" customFormat="1" s="72"/>
    <row r="111" customFormat="1" s="72"/>
    <row r="112" customFormat="1" s="72"/>
    <row r="113" customFormat="1" s="72"/>
    <row r="114" customFormat="1" s="72"/>
    <row r="115" customFormat="1" s="72"/>
    <row r="116" customFormat="1" s="72"/>
    <row r="117" customFormat="1" s="72"/>
    <row r="118" customFormat="1" s="72"/>
    <row r="119" customFormat="1" s="72"/>
    <row r="120" customFormat="1" s="72"/>
    <row r="121" customFormat="1" s="72"/>
    <row r="122" customFormat="1" s="72"/>
    <row r="123" customFormat="1" s="72"/>
    <row r="124" customFormat="1" s="72"/>
    <row r="125" customFormat="1" s="72"/>
    <row r="126" customFormat="1" s="72"/>
    <row r="127" customFormat="1" s="72"/>
    <row r="128" customFormat="1" s="72"/>
    <row r="129" customFormat="1" s="72"/>
    <row r="130" customFormat="1" s="72"/>
    <row r="131" customFormat="1" s="72"/>
    <row r="132" customFormat="1" s="72"/>
    <row r="133" customFormat="1" s="72"/>
    <row r="134" customFormat="1" s="72"/>
    <row r="135" customFormat="1" s="72"/>
    <row r="136" customFormat="1" s="72"/>
    <row r="137" customFormat="1" s="72"/>
    <row r="138" customFormat="1" s="72"/>
    <row r="139" customFormat="1" s="72"/>
    <row r="140" customFormat="1" s="72"/>
    <row r="141" customFormat="1" s="72"/>
    <row r="142" customFormat="1" s="72"/>
    <row r="143" customFormat="1" s="72"/>
    <row r="144" customFormat="1" s="72"/>
    <row r="145" customFormat="1" s="72"/>
    <row r="146" customFormat="1" s="72"/>
    <row r="147" customFormat="1" s="72"/>
    <row r="148" customFormat="1" s="72"/>
    <row r="149" customFormat="1" s="72"/>
    <row r="150" customFormat="1" s="72"/>
    <row r="151" customFormat="1" s="72"/>
    <row r="152" customFormat="1" s="72"/>
    <row r="153" customFormat="1" s="72"/>
    <row r="154" customFormat="1" s="72"/>
    <row r="155" customFormat="1" s="72"/>
    <row r="156" customFormat="1" s="72"/>
    <row r="157" customFormat="1" s="72"/>
    <row r="158" customFormat="1" s="72"/>
    <row r="159" customFormat="1" s="72"/>
    <row r="160" customFormat="1" s="72"/>
    <row r="161" customFormat="1" s="72"/>
    <row r="162" customFormat="1" s="72"/>
    <row r="163" customFormat="1" s="72"/>
    <row r="164" customFormat="1" s="72"/>
    <row r="165" customFormat="1" s="72"/>
    <row r="166" customFormat="1" s="72"/>
    <row r="167" customFormat="1" s="72"/>
    <row r="168" customFormat="1" s="72"/>
    <row r="169" customFormat="1" s="72"/>
    <row r="170" customFormat="1" s="72"/>
    <row r="171" customFormat="1" s="72"/>
    <row r="172" customFormat="1" s="72"/>
    <row r="173" customFormat="1" s="72"/>
    <row r="174" customFormat="1" s="72"/>
    <row r="175" customFormat="1" s="72"/>
    <row r="176" customFormat="1" s="72"/>
    <row r="177" customFormat="1" s="72"/>
    <row r="178" customFormat="1" s="72"/>
    <row r="179" customFormat="1" s="72"/>
    <row r="180" customFormat="1" s="72"/>
    <row r="181" customFormat="1" s="72"/>
    <row r="182" customFormat="1" s="72"/>
    <row r="183" customFormat="1" s="72"/>
    <row r="184" customFormat="1" s="72"/>
    <row r="185" customFormat="1" s="72"/>
    <row r="186" customFormat="1" s="72"/>
    <row r="187" customFormat="1" s="72"/>
    <row r="188" customFormat="1" s="72"/>
    <row r="189" customFormat="1" s="72"/>
    <row r="190" customFormat="1" s="72"/>
    <row r="191" customFormat="1" s="72"/>
    <row r="192" customFormat="1" s="72"/>
    <row r="193" customFormat="1" s="72"/>
    <row r="194" customFormat="1" s="72"/>
    <row r="195" customFormat="1" s="72"/>
    <row r="196" customFormat="1" s="72"/>
    <row r="197" customFormat="1" s="72"/>
    <row r="198" customFormat="1" s="72"/>
    <row r="199" customFormat="1" s="72"/>
    <row r="200" customFormat="1" s="72"/>
    <row r="201" customFormat="1" s="72"/>
    <row r="202" customFormat="1" s="72"/>
    <row r="203" customFormat="1" s="72"/>
    <row r="204" customFormat="1" s="72"/>
    <row r="205" customFormat="1" s="72"/>
    <row r="206" customFormat="1" s="72"/>
    <row r="207" customFormat="1" s="72"/>
    <row r="208" customFormat="1" s="72"/>
  </sheetData>
  <dataValidations count="4">
    <dataValidation sqref="D7:E7" showDropDown="0" showInputMessage="1" showErrorMessage="1" allowBlank="1" type="list">
      <formula1>",Updated by Following"</formula1>
    </dataValidation>
    <dataValidation sqref="C7" showDropDown="0" showInputMessage="1" showErrorMessage="1" allowBlank="1" type="list">
      <formula1>",New"</formula1>
    </dataValidation>
    <dataValidation sqref="C2" showDropDown="0" showInputMessage="1" showErrorMessage="1" allowBlank="1" type="whole">
      <formula1>2</formula1>
      <formula2>100</formula2>
    </dataValidation>
    <dataValidation sqref="C4" showDropDown="0" showInputMessage="1" showErrorMessage="1" allowBlank="1" type="list">
      <formula1>"Varimax Method, Procrustes Method"</formula1>
    </dataValidation>
  </dataValidation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 codeName="Sheet6">
    <tabColor rgb="FF92D050"/>
    <outlinePr summaryBelow="1" summaryRight="1"/>
    <pageSetUpPr/>
  </sheetPr>
  <dimension ref="A1:AD258"/>
  <sheetViews>
    <sheetView zoomScale="80" zoomScaleNormal="70" workbookViewId="0">
      <selection activeCell="E12" sqref="E12"/>
    </sheetView>
  </sheetViews>
  <sheetFormatPr baseColWidth="8" defaultColWidth="9.1640625" defaultRowHeight="15"/>
  <cols>
    <col width="20.83203125" customWidth="1" style="119" min="1" max="4"/>
    <col width="10.4140625" bestFit="1" customWidth="1" style="119" min="5" max="6"/>
    <col width="10.25" bestFit="1" customWidth="1" style="119" min="7" max="12"/>
    <col width="11.75" bestFit="1" customWidth="1" style="119" min="13" max="23"/>
    <col width="9.1640625" customWidth="1" style="119" min="24" max="24"/>
    <col width="29.75" customWidth="1" style="119" min="25" max="25"/>
    <col width="9.1640625" customWidth="1" style="119" min="26" max="37"/>
    <col width="9.1640625" customWidth="1" style="74" min="38" max="40"/>
    <col width="9.1640625" customWidth="1" style="74" min="41" max="16384"/>
  </cols>
  <sheetData>
    <row r="1" ht="15" customHeight="1" s="179">
      <c r="A1" s="118" t="inlineStr">
        <is>
          <t>Spend time = 00:00:02</t>
        </is>
      </c>
    </row>
    <row r="2" ht="15" customHeight="1" s="179">
      <c r="A2" s="118" t="inlineStr">
        <is>
          <t>Factor Result</t>
        </is>
      </c>
    </row>
    <row r="3" ht="15" customHeight="1" s="179">
      <c r="A3" s="118" t="inlineStr">
        <is>
          <t>TIME= 2026/08/20 11:07:51</t>
        </is>
      </c>
    </row>
    <row r="4" ht="15" customHeight="1" s="179">
      <c r="A4" s="118" t="inlineStr">
        <is>
          <t>Rotation Method= Procrustes Method</t>
        </is>
      </c>
    </row>
    <row r="5" ht="15" customHeight="1" s="179">
      <c r="A5" s="118" t="n"/>
    </row>
    <row r="6" ht="15" customHeight="1" s="179">
      <c r="A6" s="118" t="n"/>
    </row>
    <row r="7" ht="15" customHeight="1" s="179">
      <c r="A7" s="118" t="inlineStr">
        <is>
          <t>Total Variance Explained</t>
        </is>
      </c>
    </row>
    <row r="8">
      <c r="A8" t="inlineStr">
        <is>
          <t>Initial Eigenvalues</t>
        </is>
      </c>
    </row>
    <row r="9" ht="15" customHeight="1" s="179">
      <c r="A9" s="118" t="inlineStr">
        <is>
          <t>Extraction Method: Principal Component Analysis.</t>
        </is>
      </c>
      <c r="B9" s="118" t="n"/>
      <c r="C9" s="118" t="n"/>
      <c r="D9" s="118" t="n"/>
    </row>
    <row r="10" ht="15" customHeight="1" s="179">
      <c r="A10" s="118" t="n"/>
      <c r="B10" s="118" t="n"/>
    </row>
    <row r="11" ht="15" customHeight="1" s="179">
      <c r="A11" s="118" t="inlineStr">
        <is>
          <t>Component</t>
        </is>
      </c>
      <c r="B11" s="118" t="inlineStr">
        <is>
          <t>Total</t>
        </is>
      </c>
      <c r="C11" t="inlineStr">
        <is>
          <t>% of Variance</t>
        </is>
      </c>
      <c r="D11" s="201" t="inlineStr">
        <is>
          <t>Cumulative %</t>
        </is>
      </c>
      <c r="E11" s="121" t="n"/>
      <c r="F11" s="121" t="n"/>
    </row>
    <row r="12" ht="15" customHeight="1" s="179">
      <c r="A12" s="118" t="inlineStr">
        <is>
          <t>Factor1</t>
        </is>
      </c>
      <c r="B12" s="202" t="n">
        <v>1.914756179416365</v>
      </c>
      <c r="C12" s="203" t="n">
        <v>0.478689044854091</v>
      </c>
      <c r="D12" s="121" t="n">
        <v>0.478689044854091</v>
      </c>
      <c r="E12" s="121" t="n"/>
      <c r="F12" s="121" t="n"/>
    </row>
    <row r="13" ht="15" customHeight="1" s="179">
      <c r="A13" s="118" t="inlineStr">
        <is>
          <t>Factor2</t>
        </is>
      </c>
      <c r="B13" s="202" t="n">
        <v>0.8784193617348015</v>
      </c>
      <c r="C13" s="203" t="n">
        <v>0.2196048404337003</v>
      </c>
      <c r="D13" s="121" t="n">
        <v>0.6982938852877913</v>
      </c>
      <c r="E13" s="121" t="n"/>
      <c r="F13" s="121" t="n"/>
    </row>
    <row r="14" ht="15" customHeight="1" s="179">
      <c r="A14" s="118" t="inlineStr">
        <is>
          <t>Factor3</t>
        </is>
      </c>
      <c r="B14" s="202" t="n">
        <v>0.6535587680201266</v>
      </c>
      <c r="C14" s="203" t="n">
        <v>0.1633896920050316</v>
      </c>
      <c r="D14" s="121" t="n">
        <v>0.861683577292823</v>
      </c>
      <c r="E14" s="121" t="n"/>
      <c r="F14" s="121" t="n"/>
    </row>
    <row r="15" ht="15" customHeight="1" s="179">
      <c r="A15" s="118" t="inlineStr">
        <is>
          <t>Factor4</t>
        </is>
      </c>
      <c r="B15" s="202" t="n">
        <v>0.5532656908287078</v>
      </c>
      <c r="C15" s="203" t="n">
        <v>0.1383164227071769</v>
      </c>
      <c r="D15" s="121" t="n">
        <v>0.9999999999999999</v>
      </c>
      <c r="E15" s="121" t="n"/>
      <c r="F15" s="121" t="n"/>
    </row>
    <row r="16" ht="15" customHeight="1" s="179">
      <c r="A16" s="118" t="n"/>
      <c r="B16" s="118" t="n"/>
      <c r="D16" s="201" t="n"/>
      <c r="E16" s="121" t="n"/>
      <c r="F16" s="121" t="n"/>
    </row>
    <row r="17" ht="15" customHeight="1" s="179">
      <c r="A17" s="118" t="inlineStr">
        <is>
          <t>Component Matrix</t>
        </is>
      </c>
      <c r="B17" s="118" t="n"/>
      <c r="D17" s="201" t="n"/>
      <c r="E17" s="121" t="n"/>
      <c r="F17" s="121" t="n"/>
    </row>
    <row r="18" ht="15" customHeight="1" s="179">
      <c r="A18" s="118" t="inlineStr">
        <is>
          <t>Extraction Method: Principal Component Analysis.</t>
        </is>
      </c>
      <c r="B18" s="118" t="n"/>
      <c r="D18" s="201" t="n"/>
      <c r="E18" s="121" t="n"/>
      <c r="F18" s="121" t="n"/>
    </row>
    <row r="19" ht="15" customHeight="1" s="179">
      <c r="A19" s="118" t="n"/>
      <c r="B19" s="118" t="n"/>
      <c r="D19" s="201" t="n"/>
      <c r="E19" s="121" t="n"/>
      <c r="F19" s="121" t="n"/>
    </row>
    <row r="20" ht="15" customHeight="1" s="179">
      <c r="A20" s="118" t="inlineStr">
        <is>
          <t>VariableID</t>
        </is>
      </c>
      <c r="B20" s="118" t="inlineStr">
        <is>
          <t>Variable</t>
        </is>
      </c>
      <c r="C20" t="inlineStr">
        <is>
          <t>Lable</t>
        </is>
      </c>
      <c r="D20" s="201" t="inlineStr">
        <is>
          <t>Factor1</t>
        </is>
      </c>
      <c r="E20" s="121" t="inlineStr">
        <is>
          <t>Factor2</t>
        </is>
      </c>
      <c r="F20" s="121" t="inlineStr">
        <is>
          <t>Factor3</t>
        </is>
      </c>
      <c r="G20" t="inlineStr">
        <is>
          <t>Factor4</t>
        </is>
      </c>
    </row>
    <row r="21" ht="15" customHeight="1" s="179">
      <c r="A21" s="118" t="n">
        <v>1</v>
      </c>
      <c r="B21" s="118" t="inlineStr">
        <is>
          <t>instagram</t>
        </is>
      </c>
      <c r="C21" t="inlineStr">
        <is>
          <t>instagram</t>
        </is>
      </c>
      <c r="D21" s="204" t="n">
        <v>-0.6919280296945283</v>
      </c>
      <c r="E21" s="204" t="n">
        <v>-0.3512828571669175</v>
      </c>
      <c r="F21" s="204" t="n">
        <v>-0.6285696739499728</v>
      </c>
      <c r="G21" s="205" t="n">
        <v>0.05230794369998349</v>
      </c>
    </row>
    <row r="22" ht="15" customHeight="1" s="179">
      <c r="A22" s="118" t="n">
        <v>2</v>
      </c>
      <c r="B22" s="118" t="inlineStr">
        <is>
          <t>tiktok</t>
        </is>
      </c>
      <c r="C22" t="inlineStr">
        <is>
          <t>tiktok</t>
        </is>
      </c>
      <c r="D22" s="204" t="n">
        <v>-0.7119367304304313</v>
      </c>
      <c r="E22" s="204" t="n">
        <v>-0.3805371880476851</v>
      </c>
      <c r="F22" s="204" t="n">
        <v>0.4618488538738317</v>
      </c>
      <c r="G22" s="206" t="n">
        <v>0.367468606213126</v>
      </c>
    </row>
    <row r="23" ht="15" customHeight="1" s="179">
      <c r="A23" s="118" t="n">
        <v>3</v>
      </c>
      <c r="B23" s="118" t="inlineStr">
        <is>
          <t>youtube</t>
        </is>
      </c>
      <c r="C23" t="inlineStr">
        <is>
          <t>youtube</t>
        </is>
      </c>
      <c r="D23" s="204" t="n">
        <v>-0.7840089753253929</v>
      </c>
      <c r="E23" s="207" t="n">
        <v>0.1015887049964374</v>
      </c>
      <c r="F23" s="207" t="n">
        <v>0.1952810683192506</v>
      </c>
      <c r="G23" s="206" t="n">
        <v>-0.5804093090074171</v>
      </c>
    </row>
    <row r="24" ht="15" customHeight="1" s="179">
      <c r="A24" s="118" t="n">
        <v>4</v>
      </c>
      <c r="B24" s="118" t="inlineStr">
        <is>
          <t>metro</t>
        </is>
      </c>
      <c r="C24" t="inlineStr">
        <is>
          <t>metro</t>
        </is>
      </c>
      <c r="D24" s="204" t="n">
        <v>-0.5607742857983681</v>
      </c>
      <c r="E24" s="204" t="n">
        <v>0.7745262419862587</v>
      </c>
      <c r="F24" s="207" t="n">
        <v>-0.08378468560585561</v>
      </c>
      <c r="G24" s="205" t="n">
        <v>0.2803951271329488</v>
      </c>
    </row>
    <row r="25" ht="15" customHeight="1" s="179">
      <c r="A25" s="118" t="n"/>
      <c r="B25" s="118" t="n"/>
      <c r="D25" s="201" t="n"/>
      <c r="E25" s="121" t="n"/>
      <c r="F25" s="121" t="n"/>
    </row>
    <row r="26" ht="15" customHeight="1" s="179">
      <c r="A26" s="118" t="inlineStr">
        <is>
          <t>Rotated Component Matrix</t>
        </is>
      </c>
      <c r="B26" s="118" t="n"/>
      <c r="D26" s="201" t="n"/>
      <c r="E26" s="121" t="n"/>
      <c r="F26" s="121" t="n"/>
    </row>
    <row r="27" ht="15" customHeight="1" s="179">
      <c r="A27" s="118" t="inlineStr">
        <is>
          <t>Rotation Method: Procrustes with Kaiser Normalization.</t>
        </is>
      </c>
      <c r="B27" s="118" t="n"/>
      <c r="D27" s="201" t="n"/>
      <c r="E27" s="121" t="n"/>
      <c r="F27" s="121" t="n"/>
    </row>
    <row r="28" ht="15" customHeight="1" s="179">
      <c r="A28" s="118" t="n"/>
      <c r="B28" s="118" t="n"/>
      <c r="D28" s="201" t="n"/>
      <c r="E28" s="121" t="n"/>
      <c r="F28" s="121" t="n"/>
    </row>
    <row r="29" ht="15" customHeight="1" s="179">
      <c r="A29" s="118" t="inlineStr">
        <is>
          <t>VariableID</t>
        </is>
      </c>
      <c r="B29" s="118" t="inlineStr">
        <is>
          <t>Variable</t>
        </is>
      </c>
      <c r="C29" t="inlineStr">
        <is>
          <t>Lable</t>
        </is>
      </c>
      <c r="D29" s="201" t="inlineStr">
        <is>
          <t>Factor1</t>
        </is>
      </c>
      <c r="E29" s="121" t="inlineStr">
        <is>
          <t>Factor2</t>
        </is>
      </c>
      <c r="F29" s="121" t="inlineStr">
        <is>
          <t>Factor3</t>
        </is>
      </c>
      <c r="G29" t="inlineStr">
        <is>
          <t>Factor4</t>
        </is>
      </c>
    </row>
    <row r="30" ht="15" customHeight="1" s="179">
      <c r="A30" s="118" t="n">
        <v>1</v>
      </c>
      <c r="B30" s="118" t="inlineStr">
        <is>
          <t>instagram</t>
        </is>
      </c>
      <c r="C30" t="inlineStr">
        <is>
          <t>instagram</t>
        </is>
      </c>
      <c r="D30" s="208" t="n">
        <v>0.9700574532655607</v>
      </c>
      <c r="E30" s="207" t="n">
        <v>0.165369191854223</v>
      </c>
      <c r="F30" s="207" t="n">
        <v>0.1613081154977094</v>
      </c>
      <c r="G30" s="205" t="n">
        <v>0.07497506001327711</v>
      </c>
    </row>
    <row r="31" ht="15" customHeight="1" s="179">
      <c r="A31" s="118" t="n">
        <v>2</v>
      </c>
      <c r="B31" s="118" t="inlineStr">
        <is>
          <t>tiktok</t>
        </is>
      </c>
      <c r="C31" t="inlineStr">
        <is>
          <t>tiktok</t>
        </is>
      </c>
      <c r="D31" s="207" t="n">
        <v>0.1653691918542231</v>
      </c>
      <c r="E31" s="208" t="n">
        <v>0.9661868281033485</v>
      </c>
      <c r="F31" s="207" t="n">
        <v>0.186947739836414</v>
      </c>
      <c r="G31" s="205" t="n">
        <v>0.06470383416096173</v>
      </c>
    </row>
    <row r="32" ht="15" customHeight="1" s="179">
      <c r="A32" s="118" t="n">
        <v>3</v>
      </c>
      <c r="B32" s="118" t="inlineStr">
        <is>
          <t>youtube</t>
        </is>
      </c>
      <c r="C32" t="inlineStr">
        <is>
          <t>youtube</t>
        </is>
      </c>
      <c r="D32" s="207" t="n">
        <v>0.1613081154977094</v>
      </c>
      <c r="E32" s="207" t="n">
        <v>0.1869477398364141</v>
      </c>
      <c r="F32" s="208" t="n">
        <v>0.9552891040931811</v>
      </c>
      <c r="G32" s="205" t="n">
        <v>0.1626436658633906</v>
      </c>
    </row>
    <row r="33" ht="15" customHeight="1" s="179">
      <c r="A33" s="118" t="n">
        <v>4</v>
      </c>
      <c r="B33" s="118" t="inlineStr">
        <is>
          <t>metro</t>
        </is>
      </c>
      <c r="C33" t="inlineStr">
        <is>
          <t>metro</t>
        </is>
      </c>
      <c r="D33" s="207" t="n">
        <v>0.07497506001327701</v>
      </c>
      <c r="E33" s="207" t="n">
        <v>0.0647038341609618</v>
      </c>
      <c r="F33" s="207" t="n">
        <v>0.1626436658633905</v>
      </c>
      <c r="G33" s="209" t="n">
        <v>0.9817021911839638</v>
      </c>
    </row>
    <row r="34" ht="15" customHeight="1" s="179">
      <c r="A34" s="118" t="n"/>
      <c r="B34" s="118" t="n"/>
      <c r="D34" s="201" t="n"/>
      <c r="E34" s="121" t="n"/>
      <c r="F34" s="121" t="n"/>
    </row>
    <row r="35" ht="15" customHeight="1" s="179">
      <c r="A35" s="118" t="inlineStr">
        <is>
          <t>Available Rotation Rule Matrix</t>
        </is>
      </c>
      <c r="B35" s="118" t="n"/>
      <c r="D35" s="201" t="n"/>
      <c r="E35" s="121" t="n"/>
      <c r="F35" s="121" t="n"/>
    </row>
    <row r="36" ht="15" customHeight="1" s="179">
      <c r="A36" s="118" t="inlineStr">
        <is>
          <t>You can Copy this Matrix to Rotation Rule Sheet.</t>
        </is>
      </c>
      <c r="B36" s="118" t="n"/>
      <c r="D36" s="201" t="n"/>
      <c r="E36" s="121" t="n"/>
      <c r="F36" s="121" t="n"/>
    </row>
    <row r="37" ht="15" customHeight="1" s="179">
      <c r="D37" s="201" t="n"/>
      <c r="E37" s="121" t="n"/>
      <c r="F37" s="121" t="n"/>
    </row>
    <row r="38" ht="15" customHeight="1" s="179">
      <c r="A38" s="118" t="inlineStr">
        <is>
          <t>VariableID</t>
        </is>
      </c>
      <c r="B38" t="inlineStr">
        <is>
          <t>Variable</t>
        </is>
      </c>
      <c r="C38" t="inlineStr">
        <is>
          <t>Lable</t>
        </is>
      </c>
      <c r="D38" s="201" t="inlineStr">
        <is>
          <t>Factor1</t>
        </is>
      </c>
      <c r="E38" s="121" t="inlineStr">
        <is>
          <t>Factor2</t>
        </is>
      </c>
      <c r="F38" s="121" t="inlineStr">
        <is>
          <t>Factor3</t>
        </is>
      </c>
      <c r="G38" t="inlineStr">
        <is>
          <t>Factor4</t>
        </is>
      </c>
    </row>
    <row r="39" ht="15" customHeight="1" s="179">
      <c r="A39" s="118" t="n">
        <v>1</v>
      </c>
      <c r="B39" t="inlineStr">
        <is>
          <t>instagram</t>
        </is>
      </c>
      <c r="C39" t="inlineStr">
        <is>
          <t>instagram</t>
        </is>
      </c>
      <c r="D39" s="201" t="n">
        <v>1</v>
      </c>
      <c r="E39" s="121" t="inlineStr"/>
      <c r="F39" s="121" t="inlineStr"/>
      <c r="G39" t="inlineStr"/>
    </row>
    <row r="40" ht="15" customHeight="1" s="179">
      <c r="A40" t="n">
        <v>2</v>
      </c>
      <c r="B40" t="inlineStr">
        <is>
          <t>tiktok</t>
        </is>
      </c>
      <c r="C40" t="inlineStr">
        <is>
          <t>tiktok</t>
        </is>
      </c>
      <c r="D40" s="201" t="inlineStr"/>
      <c r="E40" s="121" t="n">
        <v>1</v>
      </c>
      <c r="F40" s="121" t="inlineStr"/>
      <c r="G40" t="inlineStr"/>
    </row>
    <row r="41" ht="15" customHeight="1" s="179">
      <c r="A41" s="118" t="n">
        <v>3</v>
      </c>
      <c r="B41" s="118" t="inlineStr">
        <is>
          <t>youtube</t>
        </is>
      </c>
      <c r="C41" t="inlineStr">
        <is>
          <t>youtube</t>
        </is>
      </c>
      <c r="D41" s="201" t="inlineStr"/>
      <c r="E41" s="121" t="inlineStr"/>
      <c r="F41" s="121" t="n">
        <v>1</v>
      </c>
      <c r="G41" s="118" t="inlineStr"/>
      <c r="H41" s="118" t="n"/>
      <c r="I41" s="118" t="n"/>
      <c r="J41" s="118" t="n"/>
      <c r="K41" s="118" t="n"/>
      <c r="L41" s="118" t="n"/>
      <c r="M41" s="118" t="n"/>
      <c r="N41" s="118" t="n"/>
      <c r="O41" s="118" t="n"/>
      <c r="P41" s="118" t="n"/>
      <c r="Q41" s="118" t="n"/>
      <c r="R41" s="118" t="n"/>
      <c r="S41" s="118" t="n"/>
      <c r="T41" s="118" t="n"/>
      <c r="U41" s="118" t="n"/>
      <c r="V41" s="118" t="n"/>
      <c r="W41" s="118" t="n"/>
      <c r="X41" s="118" t="n"/>
      <c r="Y41" s="118" t="n"/>
      <c r="Z41" s="118" t="n"/>
      <c r="AA41" s="118" t="n"/>
      <c r="AB41" s="118" t="n"/>
      <c r="AC41" s="118" t="n"/>
      <c r="AD41" s="118" t="n"/>
    </row>
    <row r="42" ht="15" customHeight="1" s="179">
      <c r="A42" s="118" t="n">
        <v>4</v>
      </c>
      <c r="B42" s="118" t="inlineStr">
        <is>
          <t>metro</t>
        </is>
      </c>
      <c r="C42" t="inlineStr">
        <is>
          <t>metro</t>
        </is>
      </c>
      <c r="D42" s="201" t="inlineStr"/>
      <c r="E42" s="121" t="inlineStr"/>
      <c r="F42" s="121" t="inlineStr"/>
      <c r="G42" s="118" t="n">
        <v>1</v>
      </c>
      <c r="H42" s="118" t="n"/>
      <c r="I42" s="118" t="n"/>
      <c r="J42" s="118" t="n"/>
      <c r="K42" s="118" t="n"/>
      <c r="L42" s="118" t="n"/>
      <c r="M42" s="118" t="n"/>
      <c r="N42" s="118" t="n"/>
      <c r="O42" s="118" t="n"/>
      <c r="P42" s="118" t="n"/>
      <c r="Q42" s="118" t="n"/>
      <c r="R42" s="118" t="n"/>
      <c r="S42" s="118" t="n"/>
      <c r="T42" s="118" t="n"/>
      <c r="U42" s="118" t="n"/>
      <c r="V42" s="118" t="n"/>
      <c r="W42" s="118" t="n"/>
      <c r="X42" s="118" t="n"/>
      <c r="Y42" s="118" t="n"/>
      <c r="Z42" s="118" t="n"/>
      <c r="AA42" s="118" t="n"/>
      <c r="AB42" s="118" t="n"/>
      <c r="AC42" s="118" t="n"/>
      <c r="AD42" s="118" t="n"/>
    </row>
    <row r="43" ht="15" customHeight="1" s="179">
      <c r="A43" s="118" t="n"/>
      <c r="B43" s="118" t="n"/>
      <c r="D43" s="201" t="n"/>
      <c r="E43" s="121" t="n"/>
      <c r="F43" s="121" t="n"/>
      <c r="G43" s="118" t="n"/>
      <c r="H43" s="118" t="n"/>
      <c r="I43" s="118" t="n"/>
      <c r="J43" s="118" t="n"/>
      <c r="K43" s="118" t="n"/>
      <c r="L43" s="118" t="n"/>
      <c r="M43" s="118" t="n"/>
      <c r="N43" s="118" t="n"/>
      <c r="O43" s="118" t="n"/>
      <c r="P43" s="118" t="n"/>
      <c r="Q43" s="118" t="n"/>
      <c r="R43" s="118" t="n"/>
      <c r="S43" s="118" t="n"/>
      <c r="T43" s="118" t="n"/>
      <c r="U43" s="118" t="n"/>
      <c r="V43" s="118" t="n"/>
      <c r="W43" s="118" t="n"/>
      <c r="X43" s="118" t="n"/>
      <c r="Y43" s="118" t="n"/>
      <c r="Z43" s="118" t="n"/>
      <c r="AA43" s="118" t="n"/>
      <c r="AB43" s="118" t="n"/>
      <c r="AC43" s="118" t="n"/>
      <c r="AD43" s="118" t="n"/>
    </row>
    <row r="44" ht="15" customHeight="1" s="179">
      <c r="A44" s="118" t="inlineStr">
        <is>
          <t>Component Score Coefficient Matrix</t>
        </is>
      </c>
      <c r="B44" s="118" t="n"/>
      <c r="D44" s="201" t="n"/>
      <c r="E44" s="121" t="n"/>
      <c r="F44" s="121" t="n"/>
      <c r="G44" s="118" t="n"/>
      <c r="H44" s="118" t="n"/>
      <c r="I44" s="118" t="n"/>
      <c r="J44" s="118" t="n"/>
      <c r="K44" s="118" t="n"/>
      <c r="L44" s="118" t="n"/>
      <c r="M44" s="118" t="n"/>
      <c r="N44" s="118" t="n"/>
      <c r="O44" s="118" t="n"/>
      <c r="P44" s="118" t="n"/>
      <c r="Q44" s="118" t="n"/>
      <c r="R44" s="118" t="n"/>
      <c r="S44" s="118" t="n"/>
      <c r="T44" s="118" t="n"/>
      <c r="U44" s="118" t="n"/>
      <c r="V44" s="118" t="n"/>
      <c r="W44" s="118" t="n"/>
      <c r="X44" s="118" t="n"/>
      <c r="Y44" s="118" t="n"/>
      <c r="Z44" s="118" t="n"/>
      <c r="AA44" s="118" t="n"/>
      <c r="AB44" s="118" t="n"/>
      <c r="AC44" s="118" t="n"/>
      <c r="AD44" s="118" t="n"/>
    </row>
    <row r="45" ht="15" customHeight="1" s="179">
      <c r="A45" s="118" t="n"/>
      <c r="B45" s="118" t="n"/>
      <c r="D45" s="201" t="n"/>
      <c r="E45" s="121" t="n"/>
      <c r="F45" s="121" t="n"/>
      <c r="G45" s="118" t="n"/>
      <c r="H45" s="118" t="n"/>
      <c r="I45" s="118" t="n"/>
      <c r="J45" s="118" t="n"/>
      <c r="K45" s="118" t="n"/>
      <c r="L45" s="118" t="n"/>
      <c r="M45" s="118" t="n"/>
      <c r="N45" s="118" t="n"/>
      <c r="O45" s="118" t="n"/>
      <c r="P45" s="118" t="n"/>
      <c r="Q45" s="118" t="n"/>
      <c r="R45" s="118" t="n"/>
      <c r="S45" s="118" t="n"/>
      <c r="T45" s="118" t="n"/>
      <c r="U45" s="118" t="n"/>
      <c r="V45" s="118" t="n"/>
      <c r="W45" s="118" t="n"/>
      <c r="X45" s="118" t="n"/>
      <c r="Y45" s="118" t="n"/>
      <c r="Z45" s="118" t="n"/>
      <c r="AA45" s="118" t="n"/>
      <c r="AB45" s="118" t="n"/>
      <c r="AC45" s="118" t="n"/>
      <c r="AD45" s="118" t="n"/>
    </row>
    <row r="46" ht="15" customHeight="1" s="179">
      <c r="A46" s="118" t="inlineStr">
        <is>
          <t>VariableID</t>
        </is>
      </c>
      <c r="B46" s="118" t="inlineStr">
        <is>
          <t>Variable</t>
        </is>
      </c>
      <c r="C46" s="118" t="inlineStr">
        <is>
          <t>Lable</t>
        </is>
      </c>
      <c r="D46" s="118" t="inlineStr">
        <is>
          <t>Factor1</t>
        </is>
      </c>
      <c r="E46" s="118" t="inlineStr">
        <is>
          <t>Factor2</t>
        </is>
      </c>
      <c r="F46" s="118" t="inlineStr">
        <is>
          <t>Factor3</t>
        </is>
      </c>
      <c r="G46" s="118" t="inlineStr">
        <is>
          <t>Factor4</t>
        </is>
      </c>
      <c r="H46" s="118" t="n"/>
      <c r="I46" s="118" t="n"/>
      <c r="J46" s="118" t="n"/>
      <c r="K46" s="118" t="n"/>
      <c r="L46" s="118" t="n"/>
      <c r="M46" s="118" t="n"/>
      <c r="N46" s="118" t="n"/>
      <c r="O46" s="118" t="n"/>
      <c r="P46" s="118" t="n"/>
      <c r="Q46" s="118" t="n"/>
      <c r="R46" s="118" t="n"/>
      <c r="S46" s="118" t="n"/>
      <c r="T46" s="118" t="n"/>
      <c r="U46" s="118" t="n"/>
      <c r="V46" s="118" t="n"/>
      <c r="W46" s="118" t="n"/>
      <c r="X46" s="118" t="n"/>
      <c r="Y46" s="118" t="n"/>
      <c r="Z46" s="118" t="n"/>
      <c r="AA46" s="118" t="n"/>
      <c r="AB46" s="118" t="n"/>
      <c r="AC46" s="118" t="n"/>
      <c r="AD46" s="118" t="n"/>
    </row>
    <row r="47" ht="15" customHeight="1" s="179">
      <c r="A47" s="118" t="n">
        <v>1</v>
      </c>
      <c r="B47" s="118" t="inlineStr">
        <is>
          <t>instagram</t>
        </is>
      </c>
      <c r="C47" s="118" t="inlineStr">
        <is>
          <t>instagram</t>
        </is>
      </c>
      <c r="D47" s="202" t="n">
        <v>1.085022342706719</v>
      </c>
      <c r="E47" s="202" t="n">
        <v>-0.1544492330286256</v>
      </c>
      <c r="F47" s="202" t="n">
        <v>-0.1446954614217875</v>
      </c>
      <c r="G47" s="202" t="n">
        <v>-0.04871371160219287</v>
      </c>
      <c r="H47" s="118" t="n"/>
      <c r="I47" s="118" t="n"/>
      <c r="J47" s="118" t="n"/>
      <c r="K47" s="118" t="n"/>
      <c r="L47" s="118" t="n"/>
      <c r="M47" s="118" t="n"/>
      <c r="N47" s="118" t="n"/>
      <c r="O47" s="118" t="n"/>
      <c r="P47" s="118" t="n"/>
      <c r="Q47" s="118" t="n"/>
      <c r="R47" s="118" t="n"/>
      <c r="S47" s="118" t="n"/>
      <c r="T47" s="118" t="n"/>
      <c r="U47" s="118" t="n"/>
      <c r="V47" s="118" t="n"/>
      <c r="W47" s="118" t="n"/>
      <c r="X47" s="118" t="n"/>
      <c r="Y47" s="118" t="n"/>
      <c r="Z47" s="118" t="n"/>
      <c r="AA47" s="118" t="n"/>
      <c r="AB47" s="118" t="n"/>
      <c r="AC47" s="118" t="n"/>
      <c r="AD47" s="118" t="n"/>
    </row>
    <row r="48" ht="15" customHeight="1" s="179">
      <c r="A48" s="118" t="n">
        <v>2</v>
      </c>
      <c r="B48" s="118" t="inlineStr">
        <is>
          <t>tiktok</t>
        </is>
      </c>
      <c r="C48" s="118" t="inlineStr">
        <is>
          <t>tiktok</t>
        </is>
      </c>
      <c r="D48" s="202" t="n">
        <v>-0.1544492330286253</v>
      </c>
      <c r="E48" s="202" t="n">
        <v>1.099027486443801</v>
      </c>
      <c r="F48" s="202" t="n">
        <v>-0.1838586501339471</v>
      </c>
      <c r="G48" s="202" t="n">
        <v>-0.03018023909232651</v>
      </c>
      <c r="H48" s="118" t="n"/>
      <c r="I48" s="118" t="n"/>
      <c r="J48" s="118" t="n"/>
      <c r="K48" s="118" t="n"/>
      <c r="L48" s="118" t="n"/>
      <c r="M48" s="118" t="n"/>
      <c r="N48" s="118" t="n"/>
      <c r="O48" s="118" t="n"/>
      <c r="P48" s="118" t="n"/>
      <c r="Q48" s="118" t="n"/>
      <c r="R48" s="118" t="n"/>
      <c r="S48" s="118" t="n"/>
      <c r="T48" s="118" t="n"/>
      <c r="U48" s="118" t="n"/>
      <c r="V48" s="118" t="n"/>
      <c r="W48" s="118" t="n"/>
      <c r="X48" s="118" t="n"/>
      <c r="Y48" s="118" t="n"/>
      <c r="Z48" s="118" t="n"/>
      <c r="AA48" s="118" t="n"/>
      <c r="AB48" s="118" t="n"/>
      <c r="AC48" s="118" t="n"/>
      <c r="AD48" s="118" t="n"/>
    </row>
    <row r="49" ht="15" customHeight="1" s="179">
      <c r="A49" s="118" t="n">
        <v>3</v>
      </c>
      <c r="B49" s="118" t="inlineStr">
        <is>
          <t>youtube</t>
        </is>
      </c>
      <c r="C49" s="118" t="inlineStr">
        <is>
          <t>youtube</t>
        </is>
      </c>
      <c r="D49" s="202" t="n">
        <v>-0.1446954614217876</v>
      </c>
      <c r="E49" s="202" t="n">
        <v>-0.183858650133947</v>
      </c>
      <c r="F49" s="202" t="n">
        <v>1.13529605284695</v>
      </c>
      <c r="G49" s="202" t="n">
        <v>-0.1649215035049802</v>
      </c>
      <c r="H49" s="118" t="n"/>
      <c r="I49" s="118" t="n"/>
      <c r="J49" s="118" t="n"/>
      <c r="K49" s="118" t="n"/>
      <c r="L49" s="118" t="n"/>
      <c r="M49" s="118" t="n"/>
      <c r="N49" s="118" t="n"/>
      <c r="O49" s="118" t="n"/>
      <c r="P49" s="118" t="n"/>
      <c r="Q49" s="118" t="n"/>
      <c r="R49" s="118" t="n"/>
      <c r="S49" s="118" t="n"/>
      <c r="T49" s="118" t="n"/>
      <c r="U49" s="118" t="n"/>
      <c r="V49" s="118" t="n"/>
      <c r="W49" s="118" t="n"/>
      <c r="X49" s="118" t="n"/>
      <c r="Y49" s="118" t="n"/>
      <c r="Z49" s="118" t="n"/>
      <c r="AA49" s="118" t="n"/>
      <c r="AB49" s="118" t="n"/>
      <c r="AC49" s="118" t="n"/>
      <c r="AD49" s="118" t="n"/>
    </row>
    <row r="50" ht="15" customHeight="1" s="179">
      <c r="A50" s="118" t="n">
        <v>4</v>
      </c>
      <c r="B50" s="118" t="inlineStr">
        <is>
          <t>metro</t>
        </is>
      </c>
      <c r="C50" t="inlineStr">
        <is>
          <t>metro</t>
        </is>
      </c>
      <c r="D50" s="202" t="n">
        <v>-0.04871371160219302</v>
      </c>
      <c r="E50" s="202" t="n">
        <v>-0.03018023909232635</v>
      </c>
      <c r="F50" s="202" t="n">
        <v>-0.1649215035049804</v>
      </c>
      <c r="G50" s="202" t="n">
        <v>1.05167181841636</v>
      </c>
      <c r="H50" s="118" t="n"/>
      <c r="I50" s="118" t="n"/>
      <c r="J50" s="118" t="n"/>
      <c r="K50" s="118" t="n"/>
      <c r="L50" s="118" t="n"/>
      <c r="M50" s="118" t="n"/>
      <c r="N50" s="118" t="n"/>
      <c r="O50" s="118" t="n"/>
      <c r="P50" s="118" t="n"/>
      <c r="Q50" s="118" t="n"/>
      <c r="R50" s="118" t="n"/>
      <c r="S50" s="118" t="n"/>
      <c r="T50" s="118" t="n"/>
      <c r="U50" s="118" t="n"/>
      <c r="V50" s="118" t="n"/>
      <c r="W50" s="118" t="n"/>
      <c r="X50" s="118" t="n"/>
      <c r="Y50" s="118" t="n"/>
      <c r="Z50" s="118" t="n"/>
      <c r="AA50" s="118" t="n"/>
      <c r="AB50" s="118" t="n"/>
      <c r="AC50" s="118" t="n"/>
      <c r="AD50" s="118" t="n"/>
    </row>
    <row r="51" ht="15" customHeight="1" s="179">
      <c r="A51" s="118" t="n"/>
      <c r="B51" s="118" t="n"/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118" t="n"/>
      <c r="O51" s="118" t="n"/>
      <c r="P51" s="118" t="n"/>
      <c r="Q51" s="118" t="n"/>
      <c r="R51" s="118" t="n"/>
      <c r="S51" s="118" t="n"/>
      <c r="T51" s="118" t="n"/>
      <c r="U51" s="118" t="n"/>
      <c r="V51" s="118" t="n"/>
      <c r="W51" s="118" t="n"/>
      <c r="X51" s="118" t="n"/>
      <c r="Y51" s="118" t="n"/>
      <c r="Z51" s="118" t="n"/>
      <c r="AA51" s="118" t="n"/>
      <c r="AB51" s="118" t="n"/>
      <c r="AC51" s="118" t="n"/>
      <c r="AD51" s="118" t="n"/>
    </row>
    <row r="52" ht="15" customHeight="1" s="179">
      <c r="A52" s="118" t="inlineStr">
        <is>
          <t>Unstandardized Component Score Coefficient Matrix</t>
        </is>
      </c>
      <c r="B52" s="118" t="n"/>
      <c r="C52" s="118" t="n"/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  <c r="R52" s="118" t="n"/>
      <c r="S52" s="118" t="n"/>
      <c r="T52" s="118" t="n"/>
      <c r="U52" s="118" t="n"/>
      <c r="V52" s="118" t="n"/>
      <c r="W52" s="118" t="n"/>
      <c r="X52" s="118" t="n"/>
      <c r="Y52" s="118" t="n"/>
      <c r="Z52" s="118" t="n"/>
      <c r="AA52" s="118" t="n"/>
      <c r="AB52" s="118" t="n"/>
      <c r="AC52" s="118" t="n"/>
      <c r="AD52" s="118" t="n"/>
    </row>
    <row r="53" ht="15" customHeight="1" s="179">
      <c r="X53" s="118" t="n"/>
      <c r="Y53" s="118" t="n"/>
      <c r="Z53" s="118" t="n"/>
      <c r="AA53" s="118" t="n"/>
      <c r="AB53" s="118" t="n"/>
      <c r="AC53" s="118" t="n"/>
      <c r="AD53" s="118" t="n"/>
    </row>
    <row r="54" ht="15" customHeight="1" s="179">
      <c r="A54" t="inlineStr">
        <is>
          <t>VariableID</t>
        </is>
      </c>
      <c r="B54" t="inlineStr">
        <is>
          <t>Variable</t>
        </is>
      </c>
      <c r="C54" t="inlineStr">
        <is>
          <t>Lable</t>
        </is>
      </c>
      <c r="D54" s="210" t="inlineStr">
        <is>
          <t>Factor1</t>
        </is>
      </c>
      <c r="E54" s="201" t="inlineStr">
        <is>
          <t>Factor2</t>
        </is>
      </c>
      <c r="F54" s="201" t="inlineStr">
        <is>
          <t>Factor3</t>
        </is>
      </c>
      <c r="G54" s="201" t="inlineStr">
        <is>
          <t>Factor4</t>
        </is>
      </c>
      <c r="H54" s="201" t="n"/>
      <c r="I54" s="201" t="n"/>
      <c r="J54" s="201" t="n"/>
      <c r="K54" s="201" t="n"/>
      <c r="L54" s="201" t="n"/>
      <c r="M54" s="201" t="n"/>
      <c r="N54" s="201" t="n"/>
      <c r="O54" s="201" t="n"/>
      <c r="P54" s="201" t="n"/>
      <c r="Q54" s="201" t="n"/>
      <c r="R54" s="201" t="n"/>
      <c r="S54" s="201" t="n"/>
      <c r="T54" s="201" t="n"/>
      <c r="U54" s="201" t="n"/>
      <c r="V54" s="201" t="n"/>
      <c r="W54" s="201" t="n"/>
      <c r="X54" s="118" t="n"/>
      <c r="Y54" s="118" t="n"/>
      <c r="Z54" s="118" t="n"/>
      <c r="AA54" s="118" t="n"/>
      <c r="AB54" s="118" t="n"/>
      <c r="AC54" s="118" t="n"/>
      <c r="AD54" s="118" t="n"/>
    </row>
    <row r="55" ht="15" customHeight="1" s="179">
      <c r="A55" t="n">
        <v>1</v>
      </c>
      <c r="B55" t="inlineStr">
        <is>
          <t>instagram</t>
        </is>
      </c>
      <c r="C55" t="inlineStr">
        <is>
          <t>instagram</t>
        </is>
      </c>
      <c r="D55" s="211" t="n">
        <v>3.401288808646329</v>
      </c>
      <c r="E55" s="207" t="n">
        <v>-0.4901980234327648</v>
      </c>
      <c r="F55" s="207" t="n">
        <v>-0.3690043613111662</v>
      </c>
      <c r="G55" s="207" t="n">
        <v>-0.1368711780327886</v>
      </c>
      <c r="H55" s="201" t="n"/>
      <c r="I55" s="201" t="n"/>
      <c r="J55" s="201" t="n"/>
      <c r="K55" s="201" t="n"/>
      <c r="L55" s="201" t="n"/>
      <c r="M55" s="201" t="n"/>
      <c r="N55" s="201" t="n"/>
      <c r="O55" s="210" t="n"/>
      <c r="P55" s="201" t="n"/>
      <c r="Q55" s="201" t="n"/>
      <c r="R55" s="201" t="n"/>
      <c r="S55" s="210" t="n"/>
      <c r="T55" s="201" t="n"/>
      <c r="U55" s="201" t="n"/>
      <c r="V55" s="201" t="n"/>
      <c r="W55" s="201" t="n"/>
      <c r="X55" s="118" t="n"/>
      <c r="Y55" s="118" t="n"/>
      <c r="Z55" s="118" t="n"/>
      <c r="AA55" s="118" t="n"/>
      <c r="AB55" s="118" t="n"/>
      <c r="AC55" s="118" t="n"/>
      <c r="AD55" s="118" t="n"/>
    </row>
    <row r="56" ht="15" customHeight="1" s="179">
      <c r="A56" t="n">
        <v>2</v>
      </c>
      <c r="B56" t="inlineStr">
        <is>
          <t>tiktok</t>
        </is>
      </c>
      <c r="C56" t="inlineStr">
        <is>
          <t>tiktok</t>
        </is>
      </c>
      <c r="D56" s="211" t="n">
        <v>-0.4841618712604409</v>
      </c>
      <c r="E56" s="207" t="n">
        <v>3.488143586010431</v>
      </c>
      <c r="F56" s="207" t="n">
        <v>-0.4688788652910341</v>
      </c>
      <c r="G56" s="207" t="n">
        <v>-0.08479758043507399</v>
      </c>
      <c r="H56" s="201" t="n"/>
      <c r="I56" s="201" t="n"/>
      <c r="J56" s="201" t="n"/>
      <c r="K56" s="201" t="n"/>
      <c r="L56" s="201" t="n"/>
      <c r="M56" s="201" t="n"/>
      <c r="N56" s="201" t="n"/>
      <c r="O56" s="201" t="n"/>
      <c r="P56" s="201" t="n"/>
      <c r="Q56" s="201" t="n"/>
      <c r="R56" s="201" t="n"/>
      <c r="S56" s="201" t="n"/>
      <c r="T56" s="210" t="n"/>
      <c r="U56" s="201" t="n"/>
      <c r="V56" s="201" t="n"/>
      <c r="W56" s="201" t="n"/>
      <c r="X56" s="118" t="n"/>
      <c r="Y56" s="118" t="n"/>
      <c r="Z56" s="118" t="n"/>
      <c r="AA56" s="118" t="n"/>
      <c r="AB56" s="118" t="n"/>
      <c r="AC56" s="118" t="n"/>
      <c r="AD56" s="118" t="n"/>
    </row>
    <row r="57" ht="15" customHeight="1" s="179">
      <c r="A57" t="n">
        <v>3</v>
      </c>
      <c r="B57" t="inlineStr">
        <is>
          <t>youtube</t>
        </is>
      </c>
      <c r="C57" t="inlineStr">
        <is>
          <t>youtube</t>
        </is>
      </c>
      <c r="D57" s="211" t="n">
        <v>-0.4535861006955053</v>
      </c>
      <c r="E57" s="207" t="n">
        <v>-0.5835389734177112</v>
      </c>
      <c r="F57" s="211" t="n">
        <v>2.895247651608763</v>
      </c>
      <c r="G57" s="207" t="n">
        <v>-0.4633808372476628</v>
      </c>
      <c r="H57" s="201" t="n"/>
      <c r="I57" s="201" t="n"/>
      <c r="J57" s="201" t="n"/>
      <c r="K57" s="201" t="n"/>
      <c r="L57" s="201" t="n"/>
      <c r="M57" s="201" t="n"/>
      <c r="N57" s="201" t="n"/>
      <c r="O57" s="201" t="n"/>
      <c r="P57" s="201" t="n"/>
      <c r="Q57" s="201" t="n"/>
      <c r="R57" s="201" t="n"/>
      <c r="S57" s="201" t="n"/>
      <c r="T57" s="201" t="n"/>
      <c r="U57" s="201" t="n"/>
      <c r="V57" s="201" t="n"/>
      <c r="W57" s="201" t="n"/>
      <c r="X57" s="118" t="n"/>
      <c r="Y57" s="118" t="n"/>
      <c r="Z57" s="118" t="n"/>
      <c r="AA57" s="118" t="n"/>
      <c r="AB57" s="118" t="n"/>
      <c r="AC57" s="118" t="n"/>
      <c r="AD57" s="118" t="n"/>
    </row>
    <row r="58" ht="15" customHeight="1" s="179">
      <c r="A58" t="n">
        <v>4</v>
      </c>
      <c r="B58" t="inlineStr">
        <is>
          <t>metro</t>
        </is>
      </c>
      <c r="C58" t="inlineStr">
        <is>
          <t>metro</t>
        </is>
      </c>
      <c r="D58" s="211" t="n">
        <v>-0.1527059817835933</v>
      </c>
      <c r="E58" s="207" t="n">
        <v>-0.09578741998054897</v>
      </c>
      <c r="F58" s="207" t="n">
        <v>-0.4205850927828</v>
      </c>
      <c r="G58" s="207" t="n">
        <v>2.954887976223359</v>
      </c>
      <c r="H58" s="201" t="n"/>
      <c r="I58" s="201" t="n"/>
      <c r="J58" s="201" t="n"/>
      <c r="K58" s="201" t="n"/>
      <c r="L58" s="201" t="n"/>
      <c r="M58" s="201" t="n"/>
      <c r="N58" s="201" t="n"/>
      <c r="O58" s="210" t="n"/>
      <c r="P58" s="201" t="n"/>
      <c r="Q58" s="201" t="n"/>
      <c r="R58" s="201" t="n"/>
      <c r="S58" s="201" t="n"/>
      <c r="T58" s="201" t="n"/>
      <c r="U58" s="201" t="n"/>
      <c r="V58" s="201" t="n"/>
      <c r="W58" s="201" t="n"/>
      <c r="X58" s="118" t="n"/>
      <c r="Y58" s="118" t="n"/>
      <c r="Z58" s="118" t="n"/>
      <c r="AA58" s="118" t="n"/>
      <c r="AB58" s="118" t="n"/>
      <c r="AC58" s="118" t="n"/>
      <c r="AD58" s="118" t="n"/>
    </row>
    <row r="59" ht="15" customHeight="1" s="179">
      <c r="D59" s="210" t="n"/>
      <c r="E59" s="210" t="n"/>
      <c r="F59" s="201" t="n"/>
      <c r="G59" s="201" t="n"/>
      <c r="H59" s="201" t="n"/>
      <c r="I59" s="201" t="n"/>
      <c r="J59" s="201" t="n"/>
      <c r="K59" s="201" t="n"/>
      <c r="L59" s="201" t="n"/>
      <c r="M59" s="201" t="n"/>
      <c r="N59" s="201" t="n"/>
      <c r="O59" s="201" t="n"/>
      <c r="P59" s="201" t="n"/>
      <c r="Q59" s="201" t="n"/>
      <c r="R59" s="201" t="n"/>
      <c r="S59" s="201" t="n"/>
      <c r="T59" s="201" t="n"/>
      <c r="U59" s="201" t="n"/>
      <c r="V59" s="201" t="n"/>
      <c r="W59" s="201" t="n"/>
      <c r="X59" s="118" t="n"/>
      <c r="Y59" s="118" t="n"/>
      <c r="Z59" s="118" t="n"/>
      <c r="AA59" s="118" t="n"/>
      <c r="AB59" s="118" t="n"/>
      <c r="AC59" s="118" t="n"/>
      <c r="AD59" s="118" t="n"/>
    </row>
    <row r="60" ht="15" customHeight="1" s="179">
      <c r="A60" t="inlineStr">
        <is>
          <t>SPSS Syntax</t>
        </is>
      </c>
      <c r="D60" s="210" t="n"/>
      <c r="E60" s="210" t="n"/>
      <c r="F60" s="201" t="n"/>
      <c r="G60" s="201" t="n"/>
      <c r="H60" s="201" t="n"/>
      <c r="I60" s="201" t="n"/>
      <c r="J60" s="201" t="n"/>
      <c r="K60" s="201" t="n"/>
      <c r="L60" s="201" t="n"/>
      <c r="M60" s="201" t="n"/>
      <c r="N60" s="201" t="n"/>
      <c r="O60" s="201" t="n"/>
      <c r="P60" s="210" t="n"/>
      <c r="Q60" s="201" t="n"/>
      <c r="R60" s="201" t="n"/>
      <c r="S60" s="201" t="n"/>
      <c r="T60" s="201" t="n"/>
      <c r="U60" s="201" t="n"/>
      <c r="V60" s="201" t="n"/>
      <c r="W60" s="201" t="n"/>
      <c r="X60" s="118" t="n"/>
      <c r="Y60" s="118" t="n"/>
      <c r="Z60" s="118" t="n"/>
      <c r="AA60" s="118" t="n"/>
      <c r="AB60" s="118" t="n"/>
      <c r="AC60" s="118" t="n"/>
      <c r="AD60" s="118" t="n"/>
    </row>
    <row r="61" ht="15" customHeight="1" s="179">
      <c r="D61" s="210" t="n"/>
      <c r="E61" s="201" t="n"/>
      <c r="F61" s="201" t="n"/>
      <c r="G61" s="201" t="n"/>
      <c r="H61" s="201" t="n"/>
      <c r="I61" s="201" t="n"/>
      <c r="J61" s="201" t="n"/>
      <c r="K61" s="210" t="n"/>
      <c r="L61" s="201" t="n"/>
      <c r="M61" s="201" t="n"/>
      <c r="N61" s="201" t="n"/>
      <c r="O61" s="201" t="n"/>
      <c r="P61" s="201" t="n"/>
      <c r="Q61" s="210" t="n"/>
      <c r="R61" s="201" t="n"/>
      <c r="S61" s="201" t="n"/>
      <c r="T61" s="201" t="n"/>
      <c r="U61" s="201" t="n"/>
      <c r="V61" s="201" t="n"/>
      <c r="W61" s="201" t="n"/>
      <c r="X61" s="118" t="n"/>
      <c r="Y61" s="118" t="n"/>
      <c r="Z61" s="118" t="n"/>
      <c r="AA61" s="118" t="n"/>
      <c r="AB61" s="118" t="n"/>
      <c r="AC61" s="118" t="n"/>
      <c r="AD61" s="118" t="n"/>
    </row>
    <row r="62" ht="15" customHeight="1" s="179">
      <c r="A62" t="inlineStr">
        <is>
          <t>Compute Factor1 = 3.4013*instagram-0.4902*tiktok-0.3690*youtube-0.1369*metro.</t>
        </is>
      </c>
      <c r="D62" s="210" t="n"/>
      <c r="E62" s="201" t="n"/>
      <c r="F62" s="201" t="n"/>
      <c r="G62" s="201" t="n"/>
      <c r="H62" s="201" t="n"/>
      <c r="I62" s="201" t="n"/>
      <c r="J62" s="210" t="n"/>
      <c r="K62" s="210" t="n"/>
      <c r="L62" s="201" t="n"/>
      <c r="M62" s="201" t="n"/>
      <c r="N62" s="201" t="n"/>
      <c r="O62" s="201" t="n"/>
      <c r="P62" s="201" t="n"/>
      <c r="Q62" s="201" t="n"/>
      <c r="R62" s="201" t="n"/>
      <c r="S62" s="201" t="n"/>
      <c r="T62" s="201" t="n"/>
      <c r="U62" s="201" t="n"/>
      <c r="V62" s="201" t="n"/>
      <c r="W62" s="201" t="n"/>
      <c r="X62" s="118" t="n"/>
      <c r="Y62" s="118" t="n"/>
      <c r="Z62" s="118" t="n"/>
      <c r="AA62" s="118" t="n"/>
      <c r="AB62" s="118" t="n"/>
      <c r="AC62" s="118" t="n"/>
      <c r="AD62" s="118" t="n"/>
    </row>
    <row r="63" ht="15" customHeight="1" s="179">
      <c r="A63" t="inlineStr">
        <is>
          <t>Compute Factor2 = -0.4842*instagram+3.4881*tiktok-0.4689*youtube-0.0848*metro.</t>
        </is>
      </c>
      <c r="D63" s="210" t="n"/>
      <c r="E63" s="201" t="n"/>
      <c r="F63" s="201" t="n"/>
      <c r="G63" s="201" t="n"/>
      <c r="H63" s="201" t="n"/>
      <c r="I63" s="201" t="n"/>
      <c r="J63" s="201" t="n"/>
      <c r="K63" s="201" t="n"/>
      <c r="L63" s="201" t="n"/>
      <c r="M63" s="201" t="n"/>
      <c r="N63" s="201" t="n"/>
      <c r="O63" s="201" t="n"/>
      <c r="P63" s="201" t="n"/>
      <c r="Q63" s="201" t="n"/>
      <c r="R63" s="201" t="n"/>
      <c r="S63" s="201" t="n"/>
      <c r="T63" s="201" t="n"/>
      <c r="U63" s="201" t="n"/>
      <c r="V63" s="201" t="n"/>
      <c r="W63" s="201" t="n"/>
      <c r="X63" s="118" t="n"/>
      <c r="Y63" s="118" t="n"/>
      <c r="Z63" s="118" t="n"/>
      <c r="AA63" s="118" t="n"/>
      <c r="AB63" s="118" t="n"/>
      <c r="AC63" s="118" t="n"/>
      <c r="AD63" s="118" t="n"/>
    </row>
    <row r="64" ht="15" customHeight="1" s="179">
      <c r="A64" t="inlineStr">
        <is>
          <t>Compute Factor3 = -0.4536*instagram-0.5835*tiktok+2.8952*youtube-0.4634*metro.</t>
        </is>
      </c>
      <c r="D64" s="210" t="n"/>
      <c r="E64" s="201" t="n"/>
      <c r="F64" s="201" t="n"/>
      <c r="G64" s="201" t="n"/>
      <c r="H64" s="201" t="n"/>
      <c r="I64" s="201" t="n"/>
      <c r="J64" s="201" t="n"/>
      <c r="K64" s="201" t="n"/>
      <c r="L64" s="201" t="n"/>
      <c r="M64" s="201" t="n"/>
      <c r="N64" s="201" t="n"/>
      <c r="O64" s="201" t="n"/>
      <c r="P64" s="201" t="n"/>
      <c r="Q64" s="201" t="n"/>
      <c r="R64" s="201" t="n"/>
      <c r="S64" s="201" t="n"/>
      <c r="T64" s="201" t="n"/>
      <c r="U64" s="201" t="n"/>
      <c r="V64" s="201" t="n"/>
      <c r="W64" s="201" t="n"/>
      <c r="X64" s="118" t="n"/>
      <c r="Y64" s="118" t="n"/>
      <c r="Z64" s="118" t="n"/>
      <c r="AA64" s="118" t="n"/>
      <c r="AB64" s="118" t="n"/>
      <c r="AC64" s="118" t="n"/>
      <c r="AD64" s="118" t="n"/>
    </row>
    <row r="65" ht="15" customHeight="1" s="179">
      <c r="A65" t="inlineStr">
        <is>
          <t>Compute Factor4 = -0.1527*instagram-0.0958*tiktok-0.4206*youtube+2.9549*metro.</t>
        </is>
      </c>
      <c r="D65" s="210" t="n"/>
      <c r="E65" s="201" t="n"/>
      <c r="F65" s="201" t="n"/>
      <c r="G65" s="201" t="n"/>
      <c r="H65" s="201" t="n"/>
      <c r="I65" s="201" t="n"/>
      <c r="J65" s="210" t="n"/>
      <c r="K65" s="201" t="n"/>
      <c r="L65" s="201" t="n"/>
      <c r="M65" s="201" t="n"/>
      <c r="N65" s="201" t="n"/>
      <c r="O65" s="201" t="n"/>
      <c r="P65" s="201" t="n"/>
      <c r="Q65" s="201" t="n"/>
      <c r="R65" s="201" t="n"/>
      <c r="S65" s="201" t="n"/>
      <c r="T65" s="201" t="n"/>
      <c r="U65" s="201" t="n"/>
      <c r="V65" s="201" t="n"/>
      <c r="W65" s="201" t="n"/>
      <c r="X65" s="118" t="n"/>
      <c r="Y65" s="118" t="n"/>
      <c r="Z65" s="118" t="n"/>
      <c r="AA65" s="118" t="n"/>
      <c r="AB65" s="118" t="n"/>
      <c r="AC65" s="118" t="n"/>
      <c r="AD65" s="118" t="n"/>
    </row>
    <row r="66" ht="15" customHeight="1" s="179">
      <c r="D66" s="210" t="n"/>
      <c r="E66" s="201" t="n"/>
      <c r="F66" s="210" t="n"/>
      <c r="G66" s="201" t="n"/>
      <c r="H66" s="201" t="n"/>
      <c r="I66" s="201" t="n"/>
      <c r="J66" s="201" t="n"/>
      <c r="K66" s="201" t="n"/>
      <c r="L66" s="201" t="n"/>
      <c r="M66" s="201" t="n"/>
      <c r="N66" s="201" t="n"/>
      <c r="O66" s="201" t="n"/>
      <c r="P66" s="201" t="n"/>
      <c r="Q66" s="201" t="n"/>
      <c r="R66" s="201" t="n"/>
      <c r="S66" s="201" t="n"/>
      <c r="T66" s="201" t="n"/>
      <c r="U66" s="201" t="n"/>
      <c r="V66" s="201" t="n"/>
      <c r="W66" s="201" t="n"/>
      <c r="X66" s="118" t="n"/>
      <c r="Y66" s="118" t="n"/>
      <c r="Z66" s="118" t="n"/>
      <c r="AA66" s="118" t="n"/>
      <c r="AB66" s="118" t="n"/>
      <c r="AC66" s="118" t="n"/>
      <c r="AD66" s="118" t="n"/>
    </row>
    <row r="67" ht="15" customHeight="1" s="179">
      <c r="D67" s="210" t="n"/>
      <c r="E67" s="201" t="n"/>
      <c r="F67" s="201" t="n"/>
      <c r="G67" s="201" t="n"/>
      <c r="H67" s="201" t="n"/>
      <c r="I67" s="201" t="n"/>
      <c r="J67" s="201" t="n"/>
      <c r="K67" s="201" t="n"/>
      <c r="L67" s="201" t="n"/>
      <c r="M67" s="201" t="n"/>
      <c r="N67" s="201" t="n"/>
      <c r="O67" s="201" t="n"/>
      <c r="P67" s="201" t="n"/>
      <c r="Q67" s="201" t="n"/>
      <c r="R67" s="201" t="n"/>
      <c r="S67" s="201" t="n"/>
      <c r="T67" s="201" t="n"/>
      <c r="U67" s="201" t="n"/>
      <c r="V67" s="201" t="n"/>
      <c r="W67" s="210" t="n"/>
      <c r="X67" s="118" t="n"/>
      <c r="Y67" s="118" t="n"/>
      <c r="Z67" s="118" t="n"/>
      <c r="AA67" s="118" t="n"/>
      <c r="AB67" s="118" t="n"/>
      <c r="AC67" s="118" t="n"/>
      <c r="AD67" s="118" t="n"/>
    </row>
    <row r="68" ht="15" customHeight="1" s="179">
      <c r="D68" s="210" t="n"/>
      <c r="E68" s="201" t="n"/>
      <c r="F68" s="210" t="n"/>
      <c r="G68" s="201" t="n"/>
      <c r="H68" s="210" t="n"/>
      <c r="I68" s="201" t="n"/>
      <c r="J68" s="201" t="n"/>
      <c r="K68" s="201" t="n"/>
      <c r="L68" s="201" t="n"/>
      <c r="M68" s="201" t="n"/>
      <c r="N68" s="201" t="n"/>
      <c r="O68" s="201" t="n"/>
      <c r="P68" s="201" t="n"/>
      <c r="Q68" s="201" t="n"/>
      <c r="R68" s="201" t="n"/>
      <c r="S68" s="210" t="n"/>
      <c r="T68" s="201" t="n"/>
      <c r="U68" s="201" t="n"/>
      <c r="V68" s="201" t="n"/>
      <c r="W68" s="201" t="n"/>
      <c r="X68" s="118" t="n"/>
      <c r="Y68" s="118" t="n"/>
      <c r="Z68" s="118" t="n"/>
      <c r="AA68" s="118" t="n"/>
      <c r="AB68" s="118" t="n"/>
      <c r="AC68" s="118" t="n"/>
      <c r="AD68" s="118" t="n"/>
    </row>
    <row r="69">
      <c r="D69" s="210" t="n"/>
      <c r="E69" s="201" t="n"/>
      <c r="F69" s="201" t="n"/>
      <c r="G69" s="201" t="n"/>
      <c r="H69" s="201" t="n"/>
      <c r="I69" s="201" t="n"/>
      <c r="J69" s="201" t="n"/>
      <c r="K69" s="201" t="n"/>
      <c r="L69" s="201" t="n"/>
      <c r="M69" s="201" t="n"/>
      <c r="N69" s="201" t="n"/>
      <c r="O69" s="201" t="n"/>
      <c r="P69" s="201" t="n"/>
      <c r="Q69" s="201" t="n"/>
      <c r="R69" s="201" t="n"/>
      <c r="S69" s="201" t="n"/>
      <c r="T69" s="201" t="n"/>
      <c r="U69" s="201" t="n"/>
      <c r="V69" s="201" t="n"/>
      <c r="W69" s="201" t="n"/>
    </row>
    <row r="70">
      <c r="D70" s="210" t="n"/>
      <c r="E70" s="201" t="n"/>
      <c r="F70" s="201" t="n"/>
      <c r="G70" s="201" t="n"/>
      <c r="H70" s="210" t="n"/>
      <c r="I70" s="201" t="n"/>
      <c r="J70" s="201" t="n"/>
      <c r="K70" s="201" t="n"/>
      <c r="L70" s="201" t="n"/>
      <c r="M70" s="201" t="n"/>
      <c r="N70" s="201" t="n"/>
      <c r="O70" s="201" t="n"/>
      <c r="P70" s="201" t="n"/>
      <c r="Q70" s="201" t="n"/>
      <c r="R70" s="201" t="n"/>
      <c r="S70" s="201" t="n"/>
      <c r="T70" s="201" t="n"/>
      <c r="U70" s="201" t="n"/>
      <c r="V70" s="201" t="n"/>
      <c r="W70" s="201" t="n"/>
    </row>
    <row r="71">
      <c r="D71" s="210" t="n"/>
      <c r="E71" s="201" t="n"/>
      <c r="F71" s="201" t="n"/>
      <c r="G71" s="201" t="n"/>
      <c r="H71" s="201" t="n"/>
      <c r="I71" s="201" t="n"/>
      <c r="J71" s="201" t="n"/>
      <c r="K71" s="201" t="n"/>
      <c r="L71" s="201" t="n"/>
      <c r="M71" s="201" t="n"/>
      <c r="N71" s="201" t="n"/>
      <c r="O71" s="201" t="n"/>
      <c r="P71" s="201" t="n"/>
      <c r="Q71" s="201" t="n"/>
      <c r="R71" s="201" t="n"/>
      <c r="S71" s="201" t="n"/>
      <c r="T71" s="201" t="n"/>
      <c r="U71" s="201" t="n"/>
      <c r="V71" s="201" t="n"/>
      <c r="W71" s="201" t="n"/>
    </row>
    <row r="72">
      <c r="D72" s="210" t="n"/>
      <c r="E72" s="201" t="n"/>
      <c r="F72" s="210" t="n"/>
      <c r="G72" s="201" t="n"/>
      <c r="H72" s="201" t="n"/>
      <c r="I72" s="201" t="n"/>
      <c r="J72" s="201" t="n"/>
      <c r="K72" s="201" t="n"/>
      <c r="L72" s="201" t="n"/>
      <c r="M72" s="201" t="n"/>
      <c r="N72" s="201" t="n"/>
      <c r="O72" s="201" t="n"/>
      <c r="P72" s="201" t="n"/>
      <c r="Q72" s="201" t="n"/>
      <c r="R72" s="201" t="n"/>
      <c r="S72" s="201" t="n"/>
      <c r="T72" s="201" t="n"/>
      <c r="U72" s="201" t="n"/>
      <c r="V72" s="201" t="n"/>
      <c r="W72" s="201" t="n"/>
    </row>
    <row r="73" ht="15" customHeight="1" s="179">
      <c r="D73" s="210" t="n"/>
      <c r="E73" s="201" t="n"/>
      <c r="F73" s="201" t="n"/>
      <c r="G73" s="201" t="n"/>
      <c r="H73" s="201" t="n"/>
      <c r="I73" s="201" t="n"/>
      <c r="J73" s="201" t="n"/>
      <c r="K73" s="201" t="n"/>
      <c r="L73" s="201" t="n"/>
      <c r="M73" s="201" t="n"/>
      <c r="N73" s="210" t="n"/>
      <c r="O73" s="201" t="n"/>
      <c r="P73" s="201" t="n"/>
      <c r="Q73" s="201" t="n"/>
      <c r="R73" s="201" t="n"/>
      <c r="S73" s="201" t="n"/>
      <c r="T73" s="201" t="n"/>
      <c r="U73" s="201" t="n"/>
      <c r="V73" s="201" t="n"/>
      <c r="W73" s="201" t="n"/>
      <c r="X73" s="118" t="n"/>
      <c r="Y73" s="118" t="n"/>
      <c r="Z73" s="118" t="n"/>
      <c r="AA73" s="118" t="n"/>
      <c r="AB73" s="118" t="n"/>
      <c r="AC73" s="118" t="n"/>
      <c r="AD73" s="118" t="n"/>
    </row>
    <row r="74" ht="15" customHeight="1" s="179">
      <c r="D74" s="212" t="n"/>
      <c r="E74" s="212" t="n"/>
      <c r="F74" s="212" t="n"/>
      <c r="G74" s="212" t="n"/>
      <c r="H74" s="212" t="n"/>
      <c r="I74" s="212" t="n"/>
      <c r="J74" s="212" t="n"/>
      <c r="K74" s="212" t="n"/>
      <c r="L74" s="212" t="n"/>
      <c r="M74" s="212" t="n"/>
      <c r="N74" s="212" t="n"/>
      <c r="O74" s="212" t="n"/>
      <c r="P74" s="212" t="n"/>
      <c r="Q74" s="212" t="n"/>
      <c r="R74" s="212" t="n"/>
      <c r="S74" s="212" t="n"/>
      <c r="T74" s="212" t="n"/>
      <c r="U74" s="212" t="n"/>
      <c r="V74" s="212" t="n"/>
      <c r="W74" s="212" t="n"/>
      <c r="X74" s="212" t="n"/>
      <c r="Y74" s="212" t="n"/>
      <c r="Z74" s="212" t="n"/>
      <c r="AA74" s="212" t="n"/>
      <c r="AB74" s="212" t="n"/>
      <c r="AC74" s="212" t="n"/>
      <c r="AD74" s="212" t="n"/>
    </row>
    <row r="75" ht="15" customHeight="1" s="179">
      <c r="D75" s="212" t="n"/>
      <c r="E75" s="212" t="n"/>
      <c r="F75" s="212" t="n"/>
      <c r="G75" s="212" t="n"/>
      <c r="H75" s="212" t="n"/>
      <c r="I75" s="212" t="n"/>
      <c r="J75" s="212" t="n"/>
      <c r="K75" s="212" t="n"/>
      <c r="L75" s="212" t="n"/>
      <c r="M75" s="212" t="n"/>
      <c r="N75" s="212" t="n"/>
      <c r="O75" s="212" t="n"/>
      <c r="P75" s="212" t="n"/>
      <c r="Q75" s="212" t="n"/>
      <c r="R75" s="212" t="n"/>
      <c r="S75" s="212" t="n"/>
      <c r="T75" s="212" t="n"/>
      <c r="U75" s="212" t="n"/>
      <c r="V75" s="212" t="n"/>
      <c r="W75" s="212" t="n"/>
      <c r="X75" s="212" t="n"/>
      <c r="Y75" s="212" t="n"/>
      <c r="Z75" s="212" t="n"/>
      <c r="AA75" s="212" t="n"/>
      <c r="AB75" s="212" t="n"/>
      <c r="AC75" s="212" t="n"/>
      <c r="AD75" s="212" t="n"/>
    </row>
    <row r="76" ht="15" customHeight="1" s="179">
      <c r="D76" s="212" t="n"/>
      <c r="E76" s="212" t="n"/>
      <c r="F76" s="212" t="n"/>
      <c r="G76" s="212" t="n"/>
      <c r="H76" s="212" t="n"/>
      <c r="I76" s="212" t="n"/>
      <c r="J76" s="212" t="n"/>
      <c r="K76" s="212" t="n"/>
      <c r="L76" s="212" t="n"/>
      <c r="M76" s="212" t="n"/>
      <c r="N76" s="212" t="n"/>
      <c r="O76" s="212" t="n"/>
      <c r="P76" s="212" t="n"/>
      <c r="Q76" s="212" t="n"/>
      <c r="R76" s="212" t="n"/>
      <c r="S76" s="212" t="n"/>
      <c r="T76" s="212" t="n"/>
      <c r="U76" s="212" t="n"/>
      <c r="V76" s="212" t="n"/>
      <c r="W76" s="212" t="n"/>
      <c r="X76" s="212" t="n"/>
      <c r="Y76" s="212" t="n"/>
      <c r="Z76" s="212" t="n"/>
      <c r="AA76" s="212" t="n"/>
      <c r="AB76" s="212" t="n"/>
      <c r="AC76" s="212" t="n"/>
      <c r="AD76" s="212" t="n"/>
    </row>
    <row r="77" ht="15" customHeight="1" s="179">
      <c r="D77" s="212" t="n"/>
      <c r="E77" s="212" t="n"/>
      <c r="F77" s="212" t="n"/>
      <c r="G77" s="212" t="n"/>
      <c r="H77" s="212" t="n"/>
      <c r="I77" s="212" t="n"/>
      <c r="J77" s="212" t="n"/>
      <c r="K77" s="212" t="n"/>
      <c r="L77" s="212" t="n"/>
      <c r="M77" s="212" t="n"/>
      <c r="N77" s="212" t="n"/>
      <c r="O77" s="212" t="n"/>
      <c r="P77" s="212" t="n"/>
      <c r="Q77" s="212" t="n"/>
      <c r="R77" s="212" t="n"/>
      <c r="S77" s="212" t="n"/>
      <c r="T77" s="212" t="n"/>
      <c r="U77" s="212" t="n"/>
      <c r="V77" s="212" t="n"/>
      <c r="W77" s="212" t="n"/>
      <c r="X77" s="212" t="n"/>
      <c r="Y77" s="212" t="n"/>
      <c r="Z77" s="212" t="n"/>
      <c r="AA77" s="212" t="n"/>
      <c r="AB77" s="212" t="n"/>
      <c r="AC77" s="212" t="n"/>
      <c r="AD77" s="212" t="n"/>
    </row>
    <row r="78" ht="15" customHeight="1" s="179">
      <c r="D78" s="212" t="n"/>
      <c r="E78" s="212" t="n"/>
      <c r="F78" s="212" t="n"/>
      <c r="G78" s="212" t="n"/>
      <c r="H78" s="212" t="n"/>
      <c r="I78" s="212" t="n"/>
      <c r="J78" s="212" t="n"/>
      <c r="K78" s="212" t="n"/>
      <c r="L78" s="212" t="n"/>
      <c r="M78" s="212" t="n"/>
      <c r="N78" s="212" t="n"/>
      <c r="O78" s="212" t="n"/>
      <c r="P78" s="212" t="n"/>
      <c r="Q78" s="212" t="n"/>
      <c r="R78" s="212" t="n"/>
      <c r="S78" s="212" t="n"/>
      <c r="T78" s="212" t="n"/>
      <c r="U78" s="212" t="n"/>
      <c r="V78" s="212" t="n"/>
      <c r="W78" s="212" t="n"/>
      <c r="X78" s="212" t="n"/>
      <c r="Y78" s="212" t="n"/>
      <c r="Z78" s="212" t="n"/>
      <c r="AA78" s="212" t="n"/>
      <c r="AB78" s="212" t="n"/>
      <c r="AC78" s="212" t="n"/>
      <c r="AD78" s="212" t="n"/>
    </row>
    <row r="79" ht="15" customHeight="1" s="179">
      <c r="D79" s="212" t="n"/>
      <c r="E79" s="212" t="n"/>
      <c r="F79" s="212" t="n"/>
      <c r="G79" s="212" t="n"/>
      <c r="H79" s="212" t="n"/>
      <c r="I79" s="212" t="n"/>
      <c r="J79" s="212" t="n"/>
      <c r="K79" s="212" t="n"/>
      <c r="L79" s="212" t="n"/>
      <c r="M79" s="212" t="n"/>
      <c r="N79" s="212" t="n"/>
      <c r="O79" s="212" t="n"/>
      <c r="P79" s="212" t="n"/>
      <c r="Q79" s="212" t="n"/>
      <c r="R79" s="212" t="n"/>
      <c r="S79" s="212" t="n"/>
      <c r="T79" s="212" t="n"/>
      <c r="U79" s="212" t="n"/>
      <c r="V79" s="212" t="n"/>
      <c r="W79" s="212" t="n"/>
      <c r="X79" s="212" t="n"/>
      <c r="Y79" s="212" t="n"/>
      <c r="Z79" s="212" t="n"/>
      <c r="AA79" s="212" t="n"/>
      <c r="AB79" s="212" t="n"/>
      <c r="AC79" s="212" t="n"/>
      <c r="AD79" s="212" t="n"/>
    </row>
    <row r="80" ht="15" customHeight="1" s="179">
      <c r="D80" s="212" t="n"/>
      <c r="E80" s="212" t="n"/>
      <c r="F80" s="212" t="n"/>
      <c r="G80" s="212" t="n"/>
      <c r="H80" s="212" t="n"/>
      <c r="I80" s="212" t="n"/>
      <c r="J80" s="212" t="n"/>
      <c r="K80" s="212" t="n"/>
      <c r="L80" s="212" t="n"/>
      <c r="M80" s="212" t="n"/>
      <c r="N80" s="212" t="n"/>
      <c r="O80" s="212" t="n"/>
      <c r="P80" s="212" t="n"/>
      <c r="Q80" s="212" t="n"/>
      <c r="R80" s="212" t="n"/>
      <c r="S80" s="212" t="n"/>
      <c r="T80" s="212" t="n"/>
      <c r="U80" s="212" t="n"/>
      <c r="V80" s="212" t="n"/>
      <c r="W80" s="212" t="n"/>
      <c r="X80" s="212" t="n"/>
      <c r="Y80" s="212" t="n"/>
      <c r="Z80" s="212" t="n"/>
      <c r="AA80" s="212" t="n"/>
      <c r="AB80" s="212" t="n"/>
      <c r="AC80" s="212" t="n"/>
      <c r="AD80" s="212" t="n"/>
    </row>
    <row r="81" ht="15" customHeight="1" s="179">
      <c r="D81" s="212" t="n"/>
      <c r="E81" s="212" t="n"/>
      <c r="F81" s="212" t="n"/>
      <c r="G81" s="212" t="n"/>
      <c r="H81" s="212" t="n"/>
      <c r="I81" s="212" t="n"/>
      <c r="J81" s="212" t="n"/>
      <c r="K81" s="212" t="n"/>
      <c r="L81" s="212" t="n"/>
      <c r="M81" s="212" t="n"/>
      <c r="N81" s="212" t="n"/>
      <c r="O81" s="212" t="n"/>
      <c r="P81" s="212" t="n"/>
      <c r="Q81" s="212" t="n"/>
      <c r="R81" s="212" t="n"/>
      <c r="S81" s="212" t="n"/>
      <c r="T81" s="212" t="n"/>
      <c r="U81" s="212" t="n"/>
      <c r="V81" s="212" t="n"/>
      <c r="W81" s="212" t="n"/>
      <c r="X81" s="212" t="n"/>
      <c r="Y81" s="212" t="n"/>
      <c r="Z81" s="212" t="n"/>
      <c r="AA81" s="212" t="n"/>
      <c r="AB81" s="212" t="n"/>
      <c r="AC81" s="212" t="n"/>
      <c r="AD81" s="212" t="n"/>
    </row>
    <row r="82" ht="15" customHeight="1" s="179">
      <c r="D82" s="212" t="n"/>
      <c r="E82" s="212" t="n"/>
      <c r="F82" s="212" t="n"/>
      <c r="G82" s="212" t="n"/>
      <c r="H82" s="212" t="n"/>
      <c r="I82" s="212" t="n"/>
      <c r="J82" s="212" t="n"/>
      <c r="K82" s="212" t="n"/>
      <c r="L82" s="212" t="n"/>
      <c r="M82" s="212" t="n"/>
      <c r="N82" s="212" t="n"/>
      <c r="O82" s="212" t="n"/>
      <c r="P82" s="212" t="n"/>
      <c r="Q82" s="212" t="n"/>
      <c r="R82" s="212" t="n"/>
      <c r="S82" s="212" t="n"/>
      <c r="T82" s="212" t="n"/>
      <c r="U82" s="212" t="n"/>
      <c r="V82" s="212" t="n"/>
      <c r="W82" s="212" t="n"/>
      <c r="X82" s="212" t="n"/>
      <c r="Y82" s="212" t="n"/>
      <c r="Z82" s="212" t="n"/>
      <c r="AA82" s="212" t="n"/>
      <c r="AB82" s="212" t="n"/>
      <c r="AC82" s="212" t="n"/>
      <c r="AD82" s="212" t="n"/>
    </row>
    <row r="83" ht="15" customHeight="1" s="179">
      <c r="D83" s="212" t="n"/>
      <c r="E83" s="212" t="n"/>
      <c r="F83" s="212" t="n"/>
      <c r="G83" s="212" t="n"/>
      <c r="H83" s="212" t="n"/>
      <c r="I83" s="212" t="n"/>
      <c r="J83" s="212" t="n"/>
      <c r="K83" s="212" t="n"/>
      <c r="L83" s="212" t="n"/>
      <c r="M83" s="212" t="n"/>
      <c r="N83" s="212" t="n"/>
      <c r="O83" s="212" t="n"/>
      <c r="P83" s="212" t="n"/>
      <c r="Q83" s="212" t="n"/>
      <c r="R83" s="212" t="n"/>
      <c r="S83" s="212" t="n"/>
      <c r="T83" s="212" t="n"/>
      <c r="U83" s="212" t="n"/>
      <c r="V83" s="212" t="n"/>
      <c r="W83" s="212" t="n"/>
      <c r="X83" s="212" t="n"/>
      <c r="Y83" s="212" t="n"/>
      <c r="Z83" s="212" t="n"/>
      <c r="AA83" s="212" t="n"/>
      <c r="AB83" s="212" t="n"/>
      <c r="AC83" s="212" t="n"/>
      <c r="AD83" s="212" t="n"/>
    </row>
    <row r="84" ht="15" customHeight="1" s="179">
      <c r="D84" s="212" t="n"/>
      <c r="E84" s="212" t="n"/>
      <c r="F84" s="212" t="n"/>
      <c r="G84" s="212" t="n"/>
      <c r="H84" s="212" t="n"/>
      <c r="I84" s="212" t="n"/>
      <c r="J84" s="212" t="n"/>
      <c r="K84" s="212" t="n"/>
      <c r="L84" s="212" t="n"/>
      <c r="M84" s="212" t="n"/>
      <c r="N84" s="212" t="n"/>
      <c r="O84" s="212" t="n"/>
      <c r="P84" s="212" t="n"/>
      <c r="Q84" s="212" t="n"/>
      <c r="R84" s="212" t="n"/>
      <c r="S84" s="212" t="n"/>
      <c r="T84" s="212" t="n"/>
      <c r="U84" s="212" t="n"/>
      <c r="V84" s="212" t="n"/>
      <c r="W84" s="212" t="n"/>
      <c r="X84" s="212" t="n"/>
      <c r="Y84" s="212" t="n"/>
      <c r="Z84" s="212" t="n"/>
      <c r="AA84" s="212" t="n"/>
      <c r="AB84" s="212" t="n"/>
      <c r="AC84" s="212" t="n"/>
      <c r="AD84" s="212" t="n"/>
    </row>
    <row r="85" ht="15" customHeight="1" s="179">
      <c r="D85" s="212" t="n"/>
      <c r="E85" s="212" t="n"/>
      <c r="F85" s="212" t="n"/>
      <c r="G85" s="212" t="n"/>
      <c r="H85" s="212" t="n"/>
      <c r="I85" s="212" t="n"/>
      <c r="J85" s="212" t="n"/>
      <c r="K85" s="212" t="n"/>
      <c r="L85" s="212" t="n"/>
      <c r="M85" s="212" t="n"/>
      <c r="N85" s="212" t="n"/>
      <c r="O85" s="212" t="n"/>
      <c r="P85" s="212" t="n"/>
      <c r="Q85" s="212" t="n"/>
      <c r="R85" s="212" t="n"/>
      <c r="S85" s="212" t="n"/>
      <c r="T85" s="212" t="n"/>
      <c r="U85" s="212" t="n"/>
      <c r="V85" s="212" t="n"/>
      <c r="W85" s="212" t="n"/>
      <c r="X85" s="212" t="n"/>
      <c r="Y85" s="212" t="n"/>
      <c r="Z85" s="212" t="n"/>
      <c r="AA85" s="212" t="n"/>
      <c r="AB85" s="212" t="n"/>
      <c r="AC85" s="212" t="n"/>
      <c r="AD85" s="212" t="n"/>
    </row>
    <row r="86" ht="15" customHeight="1" s="179">
      <c r="D86" s="212" t="n"/>
      <c r="E86" s="212" t="n"/>
      <c r="F86" s="212" t="n"/>
      <c r="G86" s="212" t="n"/>
      <c r="H86" s="212" t="n"/>
      <c r="I86" s="212" t="n"/>
      <c r="J86" s="212" t="n"/>
      <c r="K86" s="212" t="n"/>
      <c r="L86" s="212" t="n"/>
      <c r="M86" s="212" t="n"/>
      <c r="N86" s="212" t="n"/>
      <c r="O86" s="212" t="n"/>
      <c r="P86" s="212" t="n"/>
      <c r="Q86" s="212" t="n"/>
      <c r="R86" s="212" t="n"/>
      <c r="S86" s="212" t="n"/>
      <c r="T86" s="212" t="n"/>
      <c r="U86" s="212" t="n"/>
      <c r="V86" s="212" t="n"/>
      <c r="W86" s="212" t="n"/>
      <c r="X86" s="212" t="n"/>
      <c r="Y86" s="212" t="n"/>
      <c r="Z86" s="212" t="n"/>
      <c r="AA86" s="212" t="n"/>
      <c r="AB86" s="212" t="n"/>
      <c r="AC86" s="212" t="n"/>
      <c r="AD86" s="212" t="n"/>
    </row>
    <row r="87" ht="15" customHeight="1" s="179">
      <c r="D87" s="212" t="n"/>
      <c r="E87" s="212" t="n"/>
      <c r="F87" s="212" t="n"/>
      <c r="G87" s="212" t="n"/>
      <c r="H87" s="212" t="n"/>
      <c r="I87" s="212" t="n"/>
      <c r="J87" s="212" t="n"/>
      <c r="K87" s="212" t="n"/>
      <c r="L87" s="212" t="n"/>
      <c r="M87" s="212" t="n"/>
      <c r="N87" s="212" t="n"/>
      <c r="O87" s="212" t="n"/>
      <c r="P87" s="212" t="n"/>
      <c r="Q87" s="212" t="n"/>
      <c r="R87" s="212" t="n"/>
      <c r="S87" s="212" t="n"/>
      <c r="T87" s="212" t="n"/>
      <c r="U87" s="212" t="n"/>
      <c r="V87" s="212" t="n"/>
      <c r="W87" s="212" t="n"/>
      <c r="X87" s="212" t="n"/>
      <c r="Y87" s="212" t="n"/>
      <c r="Z87" s="212" t="n"/>
      <c r="AA87" s="212" t="n"/>
      <c r="AB87" s="212" t="n"/>
      <c r="AC87" s="212" t="n"/>
      <c r="AD87" s="212" t="n"/>
    </row>
    <row r="88" ht="15" customHeight="1" s="179">
      <c r="D88" s="212" t="n"/>
      <c r="E88" s="212" t="n"/>
      <c r="F88" s="212" t="n"/>
      <c r="G88" s="212" t="n"/>
      <c r="H88" s="212" t="n"/>
      <c r="I88" s="212" t="n"/>
      <c r="J88" s="212" t="n"/>
      <c r="K88" s="212" t="n"/>
      <c r="L88" s="212" t="n"/>
      <c r="M88" s="212" t="n"/>
      <c r="N88" s="212" t="n"/>
      <c r="O88" s="212" t="n"/>
      <c r="P88" s="212" t="n"/>
      <c r="Q88" s="212" t="n"/>
      <c r="R88" s="212" t="n"/>
      <c r="S88" s="212" t="n"/>
      <c r="T88" s="212" t="n"/>
      <c r="U88" s="212" t="n"/>
      <c r="V88" s="212" t="n"/>
      <c r="W88" s="212" t="n"/>
      <c r="X88" s="212" t="n"/>
      <c r="Y88" s="212" t="n"/>
      <c r="Z88" s="212" t="n"/>
      <c r="AA88" s="212" t="n"/>
      <c r="AB88" s="212" t="n"/>
      <c r="AC88" s="212" t="n"/>
      <c r="AD88" s="212" t="n"/>
    </row>
    <row r="89" ht="15" customHeight="1" s="179">
      <c r="A89" s="118" t="n"/>
      <c r="B89" s="118" t="n"/>
      <c r="C89" s="118" t="n"/>
      <c r="D89" s="212" t="n"/>
      <c r="E89" s="212" t="n"/>
      <c r="F89" s="212" t="n"/>
      <c r="G89" s="212" t="n"/>
      <c r="H89" s="212" t="n"/>
      <c r="I89" s="212" t="n"/>
      <c r="J89" s="212" t="n"/>
      <c r="K89" s="212" t="n"/>
      <c r="L89" s="212" t="n"/>
      <c r="M89" s="212" t="n"/>
      <c r="N89" s="212" t="n"/>
      <c r="O89" s="212" t="n"/>
      <c r="P89" s="212" t="n"/>
      <c r="Q89" s="212" t="n"/>
      <c r="R89" s="212" t="n"/>
      <c r="S89" s="212" t="n"/>
      <c r="T89" s="212" t="n"/>
      <c r="U89" s="212" t="n"/>
      <c r="V89" s="212" t="n"/>
      <c r="W89" s="212" t="n"/>
      <c r="X89" s="212" t="n"/>
      <c r="Y89" s="212" t="n"/>
      <c r="Z89" s="212" t="n"/>
      <c r="AA89" s="212" t="n"/>
      <c r="AB89" s="212" t="n"/>
      <c r="AC89" s="212" t="n"/>
      <c r="AD89" s="212" t="n"/>
    </row>
    <row r="90" ht="15" customHeight="1" s="179">
      <c r="A90" s="118" t="n"/>
      <c r="B90" s="118" t="n"/>
      <c r="C90" s="118" t="n"/>
      <c r="D90" s="212" t="n"/>
      <c r="E90" s="212" t="n"/>
      <c r="F90" s="212" t="n"/>
      <c r="G90" s="212" t="n"/>
      <c r="H90" s="212" t="n"/>
      <c r="I90" s="212" t="n"/>
      <c r="J90" s="212" t="n"/>
      <c r="K90" s="212" t="n"/>
      <c r="L90" s="212" t="n"/>
      <c r="M90" s="212" t="n"/>
      <c r="N90" s="212" t="n"/>
      <c r="O90" s="212" t="n"/>
      <c r="P90" s="212" t="n"/>
      <c r="Q90" s="212" t="n"/>
      <c r="R90" s="212" t="n"/>
      <c r="S90" s="212" t="n"/>
      <c r="T90" s="212" t="n"/>
      <c r="U90" s="212" t="n"/>
      <c r="V90" s="212" t="n"/>
      <c r="W90" s="212" t="n"/>
      <c r="X90" s="212" t="n"/>
      <c r="Y90" s="212" t="n"/>
      <c r="Z90" s="212" t="n"/>
      <c r="AA90" s="212" t="n"/>
      <c r="AB90" s="212" t="n"/>
      <c r="AC90" s="212" t="n"/>
      <c r="AD90" s="212" t="n"/>
    </row>
    <row r="91" ht="15" customHeight="1" s="179">
      <c r="A91" s="118" t="n"/>
      <c r="B91" s="118" t="n"/>
      <c r="C91" s="118" t="n"/>
      <c r="D91" s="212" t="n"/>
      <c r="E91" s="212" t="n"/>
      <c r="F91" s="212" t="n"/>
      <c r="G91" s="212" t="n"/>
      <c r="H91" s="212" t="n"/>
      <c r="I91" s="212" t="n"/>
      <c r="J91" s="212" t="n"/>
      <c r="K91" s="212" t="n"/>
      <c r="L91" s="212" t="n"/>
      <c r="M91" s="212" t="n"/>
      <c r="N91" s="212" t="n"/>
      <c r="O91" s="212" t="n"/>
      <c r="P91" s="212" t="n"/>
      <c r="Q91" s="212" t="n"/>
      <c r="R91" s="212" t="n"/>
      <c r="S91" s="212" t="n"/>
      <c r="T91" s="212" t="n"/>
      <c r="U91" s="212" t="n"/>
      <c r="V91" s="212" t="n"/>
      <c r="W91" s="212" t="n"/>
      <c r="X91" s="212" t="n"/>
      <c r="Y91" s="212" t="n"/>
      <c r="Z91" s="212" t="n"/>
      <c r="AA91" s="212" t="n"/>
      <c r="AB91" s="212" t="n"/>
      <c r="AC91" s="212" t="n"/>
      <c r="AD91" s="212" t="n"/>
    </row>
    <row r="92" ht="15" customHeight="1" s="179">
      <c r="A92" s="118" t="n"/>
      <c r="B92" s="118" t="n"/>
      <c r="C92" s="118" t="n"/>
      <c r="D92" s="212" t="n"/>
      <c r="E92" s="212" t="n"/>
      <c r="F92" s="212" t="n"/>
      <c r="G92" s="212" t="n"/>
      <c r="H92" s="212" t="n"/>
      <c r="I92" s="212" t="n"/>
      <c r="J92" s="212" t="n"/>
      <c r="K92" s="212" t="n"/>
      <c r="L92" s="212" t="n"/>
      <c r="M92" s="212" t="n"/>
      <c r="N92" s="212" t="n"/>
      <c r="O92" s="212" t="n"/>
      <c r="P92" s="212" t="n"/>
      <c r="Q92" s="212" t="n"/>
      <c r="R92" s="212" t="n"/>
      <c r="S92" s="212" t="n"/>
      <c r="T92" s="212" t="n"/>
      <c r="U92" s="212" t="n"/>
      <c r="V92" s="212" t="n"/>
      <c r="W92" s="212" t="n"/>
      <c r="X92" s="212" t="n"/>
      <c r="Y92" s="212" t="n"/>
      <c r="Z92" s="212" t="n"/>
      <c r="AA92" s="212" t="n"/>
      <c r="AB92" s="212" t="n"/>
      <c r="AC92" s="212" t="n"/>
      <c r="AD92" s="212" t="n"/>
    </row>
    <row r="93" ht="15" customHeight="1" s="179">
      <c r="A93" s="118" t="n"/>
      <c r="B93" s="118" t="n"/>
      <c r="D93" s="212" t="n"/>
      <c r="E93" s="212" t="n"/>
      <c r="F93" s="212" t="n"/>
      <c r="G93" s="212" t="n"/>
      <c r="H93" s="212" t="n"/>
      <c r="I93" s="212" t="n"/>
      <c r="J93" s="212" t="n"/>
      <c r="K93" s="212" t="n"/>
      <c r="L93" s="212" t="n"/>
      <c r="M93" s="212" t="n"/>
      <c r="N93" s="212" t="n"/>
      <c r="O93" s="212" t="n"/>
      <c r="P93" s="212" t="n"/>
      <c r="Q93" s="212" t="n"/>
      <c r="R93" s="212" t="n"/>
      <c r="S93" s="212" t="n"/>
      <c r="T93" s="212" t="n"/>
      <c r="U93" s="212" t="n"/>
      <c r="V93" s="212" t="n"/>
      <c r="W93" s="212" t="n"/>
      <c r="X93" s="212" t="n"/>
      <c r="Y93" s="212" t="n"/>
      <c r="Z93" s="212" t="n"/>
      <c r="AA93" s="212" t="n"/>
      <c r="AB93" s="212" t="n"/>
      <c r="AC93" s="212" t="n"/>
      <c r="AD93" s="212" t="n"/>
    </row>
    <row r="94" ht="15" customHeight="1" s="179">
      <c r="A94" s="118" t="n"/>
      <c r="B94" s="118" t="n"/>
      <c r="D94" s="212" t="n"/>
      <c r="E94" s="212" t="n"/>
      <c r="F94" s="212" t="n"/>
      <c r="G94" s="212" t="n"/>
      <c r="H94" s="212" t="n"/>
      <c r="I94" s="212" t="n"/>
      <c r="J94" s="212" t="n"/>
      <c r="K94" s="212" t="n"/>
      <c r="L94" s="212" t="n"/>
      <c r="M94" s="212" t="n"/>
      <c r="N94" s="212" t="n"/>
      <c r="O94" s="212" t="n"/>
      <c r="P94" s="212" t="n"/>
      <c r="Q94" s="212" t="n"/>
      <c r="R94" s="212" t="n"/>
      <c r="S94" s="212" t="n"/>
      <c r="T94" s="212" t="n"/>
      <c r="U94" s="212" t="n"/>
      <c r="V94" s="212" t="n"/>
      <c r="W94" s="212" t="n"/>
      <c r="X94" s="212" t="n"/>
      <c r="Y94" s="212" t="n"/>
      <c r="Z94" s="212" t="n"/>
      <c r="AA94" s="212" t="n"/>
      <c r="AB94" s="212" t="n"/>
      <c r="AC94" s="212" t="n"/>
      <c r="AD94" s="212" t="n"/>
    </row>
    <row r="95" ht="15" customHeight="1" s="179">
      <c r="A95" s="118" t="n"/>
      <c r="B95" s="118" t="n"/>
      <c r="C95" s="118" t="n"/>
      <c r="D95" s="212" t="n"/>
      <c r="E95" s="212" t="n"/>
      <c r="F95" s="212" t="n"/>
      <c r="G95" s="212" t="n"/>
      <c r="H95" s="212" t="n"/>
      <c r="I95" s="212" t="n"/>
      <c r="J95" s="212" t="n"/>
      <c r="K95" s="212" t="n"/>
      <c r="L95" s="212" t="n"/>
      <c r="M95" s="212" t="n"/>
      <c r="N95" s="212" t="n"/>
      <c r="O95" s="212" t="n"/>
      <c r="P95" s="212" t="n"/>
      <c r="Q95" s="212" t="n"/>
      <c r="R95" s="212" t="n"/>
      <c r="S95" s="212" t="n"/>
      <c r="T95" s="212" t="n"/>
      <c r="U95" s="212" t="n"/>
      <c r="V95" s="212" t="n"/>
      <c r="W95" s="212" t="n"/>
      <c r="X95" s="212" t="n"/>
      <c r="Y95" s="212" t="n"/>
      <c r="Z95" s="212" t="n"/>
      <c r="AA95" s="212" t="n"/>
      <c r="AB95" s="212" t="n"/>
      <c r="AC95" s="212" t="n"/>
      <c r="AD95" s="212" t="n"/>
    </row>
    <row r="96" ht="15" customHeight="1" s="179">
      <c r="D96" s="212" t="n"/>
      <c r="E96" s="212" t="n"/>
      <c r="F96" s="212" t="n"/>
      <c r="G96" s="212" t="n"/>
      <c r="H96" s="212" t="n"/>
      <c r="I96" s="212" t="n"/>
      <c r="J96" s="212" t="n"/>
      <c r="K96" s="212" t="n"/>
      <c r="L96" s="212" t="n"/>
      <c r="M96" s="212" t="n"/>
      <c r="N96" s="212" t="n"/>
      <c r="O96" s="212" t="n"/>
      <c r="P96" s="212" t="n"/>
      <c r="Q96" s="212" t="n"/>
      <c r="R96" s="212" t="n"/>
      <c r="S96" s="212" t="n"/>
      <c r="T96" s="212" t="n"/>
      <c r="U96" s="212" t="n"/>
      <c r="V96" s="212" t="n"/>
      <c r="W96" s="212" t="n"/>
      <c r="X96" s="212" t="n"/>
      <c r="Y96" s="212" t="n"/>
      <c r="Z96" s="212" t="n"/>
      <c r="AA96" s="212" t="n"/>
      <c r="AB96" s="212" t="n"/>
      <c r="AC96" s="212" t="n"/>
      <c r="AD96" s="212" t="n"/>
    </row>
    <row r="97" ht="15" customHeight="1" s="179">
      <c r="D97" s="212" t="n"/>
      <c r="E97" s="212" t="n"/>
      <c r="F97" s="212" t="n"/>
      <c r="G97" s="212" t="n"/>
      <c r="H97" s="212" t="n"/>
      <c r="I97" s="212" t="n"/>
      <c r="J97" s="212" t="n"/>
      <c r="K97" s="212" t="n"/>
      <c r="L97" s="212" t="n"/>
      <c r="M97" s="212" t="n"/>
      <c r="N97" s="212" t="n"/>
      <c r="O97" s="212" t="n"/>
      <c r="P97" s="212" t="n"/>
      <c r="Q97" s="212" t="n"/>
      <c r="R97" s="212" t="n"/>
      <c r="S97" s="212" t="n"/>
      <c r="T97" s="212" t="n"/>
      <c r="U97" s="212" t="n"/>
      <c r="V97" s="212" t="n"/>
      <c r="W97" s="212" t="n"/>
      <c r="X97" s="212" t="n"/>
      <c r="Y97" s="212" t="n"/>
      <c r="Z97" s="212" t="n"/>
      <c r="AA97" s="212" t="n"/>
      <c r="AB97" s="212" t="n"/>
      <c r="AC97" s="212" t="n"/>
      <c r="AD97" s="212" t="n"/>
    </row>
    <row r="98" ht="15" customHeight="1" s="179">
      <c r="D98" s="212" t="n"/>
      <c r="E98" s="212" t="n"/>
      <c r="F98" s="212" t="n"/>
      <c r="G98" s="212" t="n"/>
      <c r="H98" s="212" t="n"/>
      <c r="I98" s="212" t="n"/>
      <c r="J98" s="212" t="n"/>
      <c r="K98" s="212" t="n"/>
      <c r="L98" s="212" t="n"/>
      <c r="M98" s="212" t="n"/>
      <c r="N98" s="212" t="n"/>
      <c r="O98" s="212" t="n"/>
      <c r="P98" s="212" t="n"/>
      <c r="Q98" s="212" t="n"/>
      <c r="R98" s="212" t="n"/>
      <c r="S98" s="212" t="n"/>
      <c r="T98" s="212" t="n"/>
      <c r="U98" s="212" t="n"/>
      <c r="V98" s="212" t="n"/>
      <c r="W98" s="212" t="n"/>
      <c r="X98" s="212" t="n"/>
      <c r="Y98" s="212" t="n"/>
      <c r="Z98" s="212" t="n"/>
      <c r="AA98" s="212" t="n"/>
      <c r="AB98" s="212" t="n"/>
      <c r="AC98" s="212" t="n"/>
      <c r="AD98" s="212" t="n"/>
    </row>
    <row r="99" ht="15" customHeight="1" s="179">
      <c r="D99" s="212" t="n"/>
      <c r="E99" s="212" t="n"/>
      <c r="F99" s="212" t="n"/>
      <c r="G99" s="212" t="n"/>
      <c r="H99" s="212" t="n"/>
      <c r="I99" s="212" t="n"/>
      <c r="J99" s="212" t="n"/>
      <c r="K99" s="212" t="n"/>
      <c r="L99" s="212" t="n"/>
      <c r="M99" s="212" t="n"/>
      <c r="N99" s="212" t="n"/>
      <c r="O99" s="212" t="n"/>
      <c r="P99" s="212" t="n"/>
      <c r="Q99" s="212" t="n"/>
      <c r="R99" s="212" t="n"/>
      <c r="S99" s="212" t="n"/>
      <c r="T99" s="212" t="n"/>
      <c r="U99" s="212" t="n"/>
      <c r="V99" s="212" t="n"/>
      <c r="W99" s="212" t="n"/>
      <c r="X99" s="212" t="n"/>
      <c r="Y99" s="212" t="n"/>
      <c r="Z99" s="212" t="n"/>
      <c r="AA99" s="212" t="n"/>
      <c r="AB99" s="212" t="n"/>
      <c r="AC99" s="212" t="n"/>
      <c r="AD99" s="212" t="n"/>
    </row>
    <row r="100" ht="15" customHeight="1" s="179">
      <c r="D100" s="212" t="n"/>
      <c r="E100" s="212" t="n"/>
      <c r="F100" s="212" t="n"/>
      <c r="G100" s="212" t="n"/>
      <c r="H100" s="212" t="n"/>
      <c r="I100" s="212" t="n"/>
      <c r="J100" s="212" t="n"/>
      <c r="K100" s="212" t="n"/>
      <c r="L100" s="212" t="n"/>
      <c r="M100" s="212" t="n"/>
      <c r="N100" s="212" t="n"/>
      <c r="O100" s="212" t="n"/>
      <c r="P100" s="212" t="n"/>
      <c r="Q100" s="212" t="n"/>
      <c r="R100" s="212" t="n"/>
      <c r="S100" s="212" t="n"/>
      <c r="T100" s="212" t="n"/>
      <c r="U100" s="212" t="n"/>
      <c r="V100" s="212" t="n"/>
      <c r="W100" s="212" t="n"/>
      <c r="X100" s="212" t="n"/>
      <c r="Y100" s="212" t="n"/>
      <c r="Z100" s="212" t="n"/>
      <c r="AA100" s="212" t="n"/>
      <c r="AB100" s="212" t="n"/>
      <c r="AC100" s="212" t="n"/>
      <c r="AD100" s="212" t="n"/>
    </row>
    <row r="101">
      <c r="D101" s="124" t="n"/>
      <c r="E101" s="124" t="n"/>
      <c r="F101" s="126" t="n"/>
      <c r="G101" s="124" t="n"/>
      <c r="H101" s="123" t="n"/>
      <c r="I101" s="124" t="n"/>
      <c r="J101" s="124" t="n"/>
      <c r="K101" s="124" t="n"/>
      <c r="L101" s="124" t="n"/>
      <c r="M101" s="124" t="n"/>
      <c r="N101" s="124" t="n"/>
      <c r="O101" s="124" t="n"/>
      <c r="P101" s="124" t="n"/>
      <c r="Q101" s="126" t="n"/>
      <c r="R101" s="124" t="n"/>
      <c r="S101" s="124" t="n"/>
      <c r="T101" s="124" t="n"/>
      <c r="U101" s="124" t="n"/>
      <c r="V101" s="124" t="n"/>
      <c r="W101" s="126" t="n"/>
      <c r="X101" s="121" t="n"/>
      <c r="Y101" s="125" t="n"/>
    </row>
    <row r="102">
      <c r="D102" s="124" t="n"/>
      <c r="E102" s="124" t="n"/>
      <c r="F102" s="124" t="n"/>
      <c r="G102" s="124" t="n"/>
      <c r="H102" s="124" t="n"/>
      <c r="I102" s="123" t="n"/>
      <c r="J102" s="124" t="n"/>
      <c r="K102" s="124" t="n"/>
      <c r="L102" s="124" t="n"/>
      <c r="M102" s="124" t="n"/>
      <c r="N102" s="124" t="n"/>
      <c r="O102" s="126" t="n"/>
      <c r="P102" s="124" t="n"/>
      <c r="Q102" s="124" t="n"/>
      <c r="R102" s="124" t="n"/>
      <c r="S102" s="124" t="n"/>
      <c r="T102" s="124" t="n"/>
      <c r="U102" s="124" t="n"/>
      <c r="V102" s="124" t="n"/>
      <c r="W102" s="124" t="n"/>
      <c r="X102" s="121" t="n"/>
      <c r="Y102" s="125" t="n"/>
    </row>
    <row r="103">
      <c r="D103" s="124" t="n"/>
      <c r="E103" s="124" t="n"/>
      <c r="F103" s="124" t="n"/>
      <c r="G103" s="124" t="n"/>
      <c r="H103" s="124" t="n"/>
      <c r="I103" s="124" t="n"/>
      <c r="J103" s="123" t="n"/>
      <c r="K103" s="124" t="n"/>
      <c r="L103" s="124" t="n"/>
      <c r="M103" s="124" t="n"/>
      <c r="N103" s="124" t="n"/>
      <c r="O103" s="124" t="n"/>
      <c r="P103" s="124" t="n"/>
      <c r="Q103" s="124" t="n"/>
      <c r="R103" s="124" t="n"/>
      <c r="S103" s="124" t="n"/>
      <c r="T103" s="124" t="n"/>
      <c r="U103" s="124" t="n"/>
      <c r="V103" s="124" t="n"/>
      <c r="W103" s="124" t="n"/>
      <c r="X103" s="121" t="n"/>
      <c r="Y103" s="125" t="n"/>
    </row>
    <row r="104">
      <c r="D104" s="124" t="n"/>
      <c r="E104" s="124" t="n"/>
      <c r="F104" s="124" t="n"/>
      <c r="G104" s="124" t="n"/>
      <c r="H104" s="124" t="n"/>
      <c r="I104" s="124" t="n"/>
      <c r="J104" s="124" t="n"/>
      <c r="K104" s="123" t="n"/>
      <c r="L104" s="124" t="n"/>
      <c r="M104" s="124" t="n"/>
      <c r="N104" s="124" t="n"/>
      <c r="O104" s="124" t="n"/>
      <c r="P104" s="124" t="n"/>
      <c r="Q104" s="124" t="n"/>
      <c r="R104" s="124" t="n"/>
      <c r="S104" s="124" t="n"/>
      <c r="T104" s="124" t="n"/>
      <c r="U104" s="124" t="n"/>
      <c r="V104" s="124" t="n"/>
      <c r="W104" s="124" t="n"/>
      <c r="X104" s="121" t="n"/>
      <c r="Y104" s="125" t="n"/>
    </row>
    <row r="105" ht="15" customHeight="1" s="179">
      <c r="D105" s="124" t="n"/>
      <c r="E105" s="124" t="n"/>
      <c r="F105" s="124" t="n"/>
      <c r="G105" s="124" t="n"/>
      <c r="H105" s="124" t="n"/>
      <c r="I105" s="124" t="n"/>
      <c r="J105" s="124" t="n"/>
      <c r="K105" s="124" t="n"/>
      <c r="L105" s="123" t="n"/>
      <c r="M105" s="124" t="n"/>
      <c r="N105" s="124" t="n"/>
      <c r="O105" s="124" t="n"/>
      <c r="P105" s="124" t="n"/>
      <c r="Q105" s="124" t="n"/>
      <c r="R105" s="124" t="n"/>
      <c r="S105" s="124" t="n"/>
      <c r="T105" s="124" t="n"/>
      <c r="U105" s="124" t="n"/>
      <c r="V105" s="124" t="n"/>
      <c r="W105" s="124" t="n"/>
      <c r="X105" s="121" t="n"/>
      <c r="Y105" s="125" t="n"/>
      <c r="Z105" s="118" t="n"/>
      <c r="AA105" s="118" t="n"/>
      <c r="AB105" s="118" t="n"/>
      <c r="AC105" s="118" t="n"/>
      <c r="AD105" s="118" t="n"/>
    </row>
    <row r="106">
      <c r="D106" s="126" t="n"/>
      <c r="E106" s="124" t="n"/>
      <c r="F106" s="124" t="n"/>
      <c r="G106" s="124" t="n"/>
      <c r="H106" s="124" t="n"/>
      <c r="I106" s="124" t="n"/>
      <c r="J106" s="124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3" t="n"/>
      <c r="T106" s="124" t="n"/>
      <c r="U106" s="124" t="n"/>
      <c r="V106" s="124" t="n"/>
      <c r="W106" s="124" t="n"/>
      <c r="X106" s="121" t="n"/>
      <c r="Y106" s="125" t="n"/>
    </row>
    <row r="107">
      <c r="D107" s="124" t="n"/>
      <c r="E107" s="124" t="n"/>
      <c r="F107" s="124" t="n"/>
      <c r="G107" s="124" t="n"/>
      <c r="H107" s="124" t="n"/>
      <c r="I107" s="124" t="n"/>
      <c r="J107" s="124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  <c r="T107" s="123" t="n"/>
      <c r="U107" s="124" t="n"/>
      <c r="V107" s="124" t="n"/>
      <c r="W107" s="124" t="n"/>
      <c r="X107" s="121" t="n"/>
      <c r="Y107" s="125" t="n"/>
    </row>
    <row r="108">
      <c r="D108" s="124" t="n"/>
      <c r="E108" s="124" t="n"/>
      <c r="F108" s="126" t="n"/>
      <c r="G108" s="124" t="n"/>
      <c r="H108" s="124" t="n"/>
      <c r="I108" s="124" t="n"/>
      <c r="J108" s="124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  <c r="T108" s="124" t="n"/>
      <c r="U108" s="123" t="n"/>
      <c r="V108" s="124" t="n"/>
      <c r="W108" s="124" t="n"/>
      <c r="X108" s="121" t="n"/>
      <c r="Y108" s="125" t="n"/>
    </row>
    <row r="109">
      <c r="D109" s="124" t="n"/>
      <c r="E109" s="124" t="n"/>
      <c r="F109" s="124" t="n"/>
      <c r="G109" s="126" t="n"/>
      <c r="H109" s="124" t="n"/>
      <c r="I109" s="124" t="n"/>
      <c r="J109" s="124" t="n"/>
      <c r="K109" s="124" t="n"/>
      <c r="L109" s="124" t="n"/>
      <c r="M109" s="124" t="n"/>
      <c r="N109" s="124" t="n"/>
      <c r="O109" s="124" t="n"/>
      <c r="P109" s="124" t="n"/>
      <c r="Q109" s="124" t="n"/>
      <c r="R109" s="124" t="n"/>
      <c r="S109" s="124" t="n"/>
      <c r="T109" s="124" t="n"/>
      <c r="U109" s="124" t="n"/>
      <c r="V109" s="123" t="n"/>
      <c r="W109" s="124" t="n"/>
      <c r="X109" s="121" t="n"/>
      <c r="Y109" s="125" t="n"/>
    </row>
    <row r="110">
      <c r="D110" s="124" t="n"/>
      <c r="E110" s="124" t="n"/>
      <c r="F110" s="124" t="n"/>
      <c r="G110" s="124" t="n"/>
      <c r="H110" s="124" t="n"/>
      <c r="I110" s="124" t="n"/>
      <c r="J110" s="124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  <c r="T110" s="124" t="n"/>
      <c r="U110" s="124" t="n"/>
      <c r="V110" s="124" t="n"/>
      <c r="W110" s="123" t="n"/>
      <c r="X110" s="121" t="n"/>
      <c r="Y110" s="125" t="n"/>
    </row>
    <row r="111">
      <c r="D111" s="124" t="n"/>
      <c r="E111" s="124" t="n"/>
      <c r="F111" s="124" t="n"/>
      <c r="G111" s="124" t="n"/>
      <c r="H111" s="124" t="n"/>
      <c r="I111" s="124" t="n"/>
      <c r="J111" s="124" t="n"/>
      <c r="K111" s="124" t="n"/>
      <c r="L111" s="124" t="n"/>
      <c r="M111" s="123" t="n"/>
      <c r="N111" s="124" t="n"/>
      <c r="O111" s="124" t="n"/>
      <c r="P111" s="124" t="n"/>
      <c r="Q111" s="124" t="n"/>
      <c r="R111" s="124" t="n"/>
      <c r="S111" s="124" t="n"/>
      <c r="T111" s="124" t="n"/>
      <c r="U111" s="124" t="n"/>
      <c r="V111" s="124" t="n"/>
      <c r="W111" s="124" t="n"/>
      <c r="X111" s="121" t="n"/>
      <c r="Y111" s="125" t="n"/>
    </row>
    <row r="112">
      <c r="D112" s="123" t="n"/>
      <c r="E112" s="124" t="n"/>
      <c r="F112" s="124" t="n"/>
      <c r="G112" s="124" t="n"/>
      <c r="H112" s="124" t="n"/>
      <c r="I112" s="124" t="n"/>
      <c r="J112" s="124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  <c r="T112" s="124" t="n"/>
      <c r="U112" s="124" t="n"/>
      <c r="V112" s="124" t="n"/>
      <c r="W112" s="124" t="n"/>
      <c r="X112" s="121" t="n"/>
      <c r="Y112" s="125" t="n"/>
    </row>
    <row r="113">
      <c r="D113" s="124" t="n"/>
      <c r="E113" s="123" t="n"/>
      <c r="F113" s="124" t="n"/>
      <c r="G113" s="124" t="n"/>
      <c r="H113" s="124" t="n"/>
      <c r="I113" s="124" t="n"/>
      <c r="J113" s="124" t="n"/>
      <c r="K113" s="124" t="n"/>
      <c r="L113" s="124" t="n"/>
      <c r="M113" s="124" t="n"/>
      <c r="N113" s="124" t="n"/>
      <c r="O113" s="124" t="n"/>
      <c r="P113" s="124" t="n"/>
      <c r="Q113" s="124" t="n"/>
      <c r="R113" s="124" t="n"/>
      <c r="S113" s="124" t="n"/>
      <c r="T113" s="124" t="n"/>
      <c r="U113" s="124" t="n"/>
      <c r="V113" s="124" t="n"/>
      <c r="W113" s="124" t="n"/>
      <c r="X113" s="121" t="n"/>
      <c r="Y113" s="125" t="n"/>
    </row>
    <row r="114">
      <c r="D114" s="124" t="n"/>
      <c r="E114" s="124" t="n"/>
      <c r="F114" s="123" t="n"/>
      <c r="G114" s="124" t="n"/>
      <c r="H114" s="124" t="n"/>
      <c r="I114" s="124" t="n"/>
      <c r="J114" s="124" t="n"/>
      <c r="K114" s="124" t="n"/>
      <c r="L114" s="124" t="n"/>
      <c r="M114" s="124" t="n"/>
      <c r="N114" s="124" t="n"/>
      <c r="O114" s="124" t="n"/>
      <c r="P114" s="124" t="n"/>
      <c r="Q114" s="126" t="n"/>
      <c r="R114" s="124" t="n"/>
      <c r="S114" s="124" t="n"/>
      <c r="T114" s="124" t="n"/>
      <c r="U114" s="126" t="n"/>
      <c r="V114" s="124" t="n"/>
      <c r="W114" s="124" t="n"/>
      <c r="X114" s="121" t="n"/>
      <c r="Y114" s="125" t="n"/>
    </row>
    <row r="115">
      <c r="D115" s="124" t="n"/>
      <c r="E115" s="124" t="n"/>
      <c r="F115" s="124" t="n"/>
      <c r="G115" s="123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4" t="n"/>
      <c r="U115" s="124" t="n"/>
      <c r="V115" s="126" t="n"/>
      <c r="W115" s="124" t="n"/>
      <c r="X115" s="121" t="n"/>
      <c r="Y115" s="125" t="n"/>
    </row>
    <row r="116">
      <c r="D116" s="124" t="n"/>
      <c r="E116" s="124" t="n"/>
      <c r="F116" s="124" t="n"/>
      <c r="G116" s="124" t="n"/>
      <c r="H116" s="124" t="n"/>
      <c r="I116" s="124" t="n"/>
      <c r="J116" s="124" t="n"/>
      <c r="K116" s="124" t="n"/>
      <c r="L116" s="124" t="n"/>
      <c r="M116" s="124" t="n"/>
      <c r="N116" s="123" t="n"/>
      <c r="O116" s="124" t="n"/>
      <c r="P116" s="124" t="n"/>
      <c r="Q116" s="124" t="n"/>
      <c r="R116" s="124" t="n"/>
      <c r="S116" s="124" t="n"/>
      <c r="T116" s="124" t="n"/>
      <c r="U116" s="124" t="n"/>
      <c r="V116" s="124" t="n"/>
      <c r="W116" s="124" t="n"/>
      <c r="X116" s="121" t="n"/>
      <c r="Y116" s="125" t="n"/>
    </row>
    <row r="117">
      <c r="D117" s="124" t="n"/>
      <c r="E117" s="124" t="n"/>
      <c r="F117" s="124" t="n"/>
      <c r="G117" s="124" t="n"/>
      <c r="H117" s="123" t="n"/>
      <c r="I117" s="124" t="n"/>
      <c r="J117" s="124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  <c r="T117" s="124" t="n"/>
      <c r="U117" s="124" t="n"/>
      <c r="V117" s="124" t="n"/>
      <c r="W117" s="124" t="n"/>
      <c r="X117" s="121" t="n"/>
      <c r="Y117" s="125" t="n"/>
    </row>
    <row r="118">
      <c r="D118" s="123" t="n"/>
      <c r="E118" s="124" t="n"/>
      <c r="F118" s="124" t="n"/>
      <c r="G118" s="124" t="n"/>
      <c r="H118" s="124" t="n"/>
      <c r="I118" s="124" t="n"/>
      <c r="J118" s="124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6" t="n"/>
      <c r="T118" s="124" t="n"/>
      <c r="U118" s="124" t="n"/>
      <c r="V118" s="124" t="n"/>
      <c r="W118" s="124" t="n"/>
      <c r="X118" s="121" t="n"/>
      <c r="Y118" s="125" t="n"/>
    </row>
    <row r="119">
      <c r="D119" s="124" t="n"/>
      <c r="E119" s="123" t="n"/>
      <c r="F119" s="124" t="n"/>
      <c r="G119" s="124" t="n"/>
      <c r="H119" s="124" t="n"/>
      <c r="I119" s="124" t="n"/>
      <c r="J119" s="124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  <c r="T119" s="124" t="n"/>
      <c r="U119" s="124" t="n"/>
      <c r="V119" s="124" t="n"/>
      <c r="W119" s="124" t="n"/>
      <c r="X119" s="121" t="n"/>
      <c r="Y119" s="125" t="n"/>
    </row>
    <row r="120">
      <c r="D120" s="124" t="n"/>
      <c r="E120" s="124" t="n"/>
      <c r="F120" s="123" t="n"/>
      <c r="G120" s="124" t="n"/>
      <c r="H120" s="124" t="n"/>
      <c r="I120" s="124" t="n"/>
      <c r="J120" s="124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  <c r="T120" s="124" t="n"/>
      <c r="U120" s="126" t="n"/>
      <c r="V120" s="124" t="n"/>
      <c r="W120" s="124" t="n"/>
      <c r="X120" s="121" t="n"/>
      <c r="Y120" s="125" t="n"/>
    </row>
    <row r="121">
      <c r="D121" s="124" t="n"/>
      <c r="E121" s="124" t="n"/>
      <c r="F121" s="124" t="n"/>
      <c r="G121" s="123" t="n"/>
      <c r="H121" s="124" t="n"/>
      <c r="I121" s="124" t="n"/>
      <c r="J121" s="124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  <c r="T121" s="124" t="n"/>
      <c r="U121" s="124" t="n"/>
      <c r="V121" s="124" t="n"/>
      <c r="W121" s="124" t="n"/>
      <c r="X121" s="121" t="n"/>
      <c r="Y121" s="125" t="n"/>
    </row>
    <row r="122">
      <c r="D122" s="124" t="n"/>
      <c r="E122" s="124" t="n"/>
      <c r="F122" s="124" t="n"/>
      <c r="G122" s="124" t="n"/>
      <c r="H122" s="123" t="n"/>
      <c r="I122" s="124" t="n"/>
      <c r="J122" s="124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  <c r="T122" s="124" t="n"/>
      <c r="U122" s="124" t="n"/>
      <c r="V122" s="124" t="n"/>
      <c r="W122" s="124" t="n"/>
      <c r="X122" s="121" t="n"/>
      <c r="Y122" s="125" t="n"/>
    </row>
    <row r="123">
      <c r="D123" s="124" t="n"/>
      <c r="E123" s="124" t="n"/>
      <c r="F123" s="124" t="n"/>
      <c r="G123" s="124" t="n"/>
      <c r="H123" s="124" t="n"/>
      <c r="I123" s="126" t="n"/>
      <c r="J123" s="124" t="n"/>
      <c r="K123" s="124" t="n"/>
      <c r="L123" s="124" t="n"/>
      <c r="M123" s="124" t="n"/>
      <c r="N123" s="124" t="n"/>
      <c r="O123" s="123" t="n"/>
      <c r="P123" s="124" t="n"/>
      <c r="Q123" s="124" t="n"/>
      <c r="R123" s="124" t="n"/>
      <c r="S123" s="124" t="n"/>
      <c r="T123" s="124" t="n"/>
      <c r="U123" s="124" t="n"/>
      <c r="V123" s="124" t="n"/>
      <c r="W123" s="124" t="n"/>
      <c r="X123" s="121" t="n"/>
      <c r="Y123" s="125" t="n"/>
    </row>
    <row r="124">
      <c r="D124" s="124" t="n"/>
      <c r="E124" s="124" t="n"/>
      <c r="F124" s="124" t="n"/>
      <c r="G124" s="124" t="n"/>
      <c r="H124" s="124" t="n"/>
      <c r="I124" s="124" t="n"/>
      <c r="J124" s="124" t="n"/>
      <c r="K124" s="124" t="n"/>
      <c r="L124" s="124" t="n"/>
      <c r="M124" s="124" t="n"/>
      <c r="N124" s="124" t="n"/>
      <c r="O124" s="124" t="n"/>
      <c r="P124" s="123" t="n"/>
      <c r="Q124" s="124" t="n"/>
      <c r="R124" s="124" t="n"/>
      <c r="S124" s="124" t="n"/>
      <c r="T124" s="124" t="n"/>
      <c r="U124" s="124" t="n"/>
      <c r="V124" s="124" t="n"/>
      <c r="W124" s="124" t="n"/>
      <c r="X124" s="121" t="n"/>
      <c r="Y124" s="125" t="n"/>
    </row>
    <row r="125">
      <c r="D125" s="124" t="n"/>
      <c r="E125" s="124" t="n"/>
      <c r="F125" s="124" t="n"/>
      <c r="G125" s="124" t="n"/>
      <c r="H125" s="124" t="n"/>
      <c r="I125" s="124" t="n"/>
      <c r="J125" s="124" t="n"/>
      <c r="K125" s="124" t="n"/>
      <c r="L125" s="124" t="n"/>
      <c r="M125" s="124" t="n"/>
      <c r="N125" s="124" t="n"/>
      <c r="O125" s="124" t="n"/>
      <c r="P125" s="124" t="n"/>
      <c r="Q125" s="124" t="n"/>
      <c r="R125" s="124" t="n"/>
      <c r="S125" s="123" t="n"/>
      <c r="T125" s="124" t="n"/>
      <c r="U125" s="124" t="n"/>
      <c r="V125" s="124" t="n"/>
      <c r="W125" s="124" t="n"/>
      <c r="X125" s="121" t="n"/>
      <c r="Y125" s="125" t="n"/>
    </row>
    <row r="126">
      <c r="D126" s="124" t="n"/>
      <c r="E126" s="126" t="n"/>
      <c r="F126" s="124" t="n"/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3" t="n"/>
      <c r="U126" s="124" t="n"/>
      <c r="V126" s="124" t="n"/>
      <c r="W126" s="124" t="n"/>
      <c r="X126" s="121" t="n"/>
      <c r="Y126" s="125" t="n"/>
    </row>
    <row r="127">
      <c r="D127" s="124" t="n"/>
      <c r="E127" s="124" t="n"/>
      <c r="F127" s="126" t="n"/>
      <c r="G127" s="124" t="n"/>
      <c r="H127" s="124" t="n"/>
      <c r="I127" s="124" t="n"/>
      <c r="J127" s="124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  <c r="T127" s="124" t="n"/>
      <c r="U127" s="123" t="n"/>
      <c r="V127" s="124" t="n"/>
      <c r="W127" s="124" t="n"/>
      <c r="X127" s="121" t="n"/>
      <c r="Y127" s="125" t="n"/>
    </row>
    <row r="128" ht="15" customHeight="1" s="179">
      <c r="D128" s="124" t="n"/>
      <c r="E128" s="124" t="n"/>
      <c r="F128" s="124" t="n"/>
      <c r="G128" s="126" t="n"/>
      <c r="H128" s="124" t="n"/>
      <c r="I128" s="124" t="n"/>
      <c r="J128" s="124" t="n"/>
      <c r="K128" s="124" t="n"/>
      <c r="L128" s="124" t="n"/>
      <c r="M128" s="124" t="n"/>
      <c r="N128" s="124" t="n"/>
      <c r="O128" s="124" t="n"/>
      <c r="P128" s="124" t="n"/>
      <c r="Q128" s="124" t="n"/>
      <c r="R128" s="124" t="n"/>
      <c r="S128" s="124" t="n"/>
      <c r="T128" s="124" t="n"/>
      <c r="U128" s="124" t="n"/>
      <c r="V128" s="123" t="n"/>
      <c r="W128" s="124" t="n"/>
      <c r="X128" s="121" t="n"/>
      <c r="Y128" s="125" t="n"/>
      <c r="Z128" s="118" t="n"/>
    </row>
    <row r="129" ht="15" customHeight="1" s="179">
      <c r="D129" s="124" t="n"/>
      <c r="E129" s="124" t="n"/>
      <c r="F129" s="124" t="n"/>
      <c r="G129" s="124" t="n"/>
      <c r="H129" s="126" t="n"/>
      <c r="I129" s="124" t="n"/>
      <c r="J129" s="124" t="n"/>
      <c r="K129" s="124" t="n"/>
      <c r="L129" s="124" t="n"/>
      <c r="M129" s="124" t="n"/>
      <c r="N129" s="124" t="n"/>
      <c r="O129" s="124" t="n"/>
      <c r="P129" s="124" t="n"/>
      <c r="Q129" s="124" t="n"/>
      <c r="R129" s="124" t="n"/>
      <c r="S129" s="124" t="n"/>
      <c r="T129" s="124" t="n"/>
      <c r="U129" s="124" t="n"/>
      <c r="V129" s="124" t="n"/>
      <c r="W129" s="123" t="n"/>
      <c r="X129" s="121" t="n"/>
      <c r="Y129" s="125" t="n"/>
      <c r="AA129" s="118" t="n"/>
    </row>
    <row r="130" ht="15" customHeight="1" s="179">
      <c r="D130" s="124" t="n"/>
      <c r="E130" s="124" t="n"/>
      <c r="F130" s="124" t="n"/>
      <c r="G130" s="124" t="n"/>
      <c r="H130" s="124" t="n"/>
      <c r="I130" s="126" t="n"/>
      <c r="J130" s="124" t="n"/>
      <c r="K130" s="124" t="n"/>
      <c r="L130" s="124" t="n"/>
      <c r="M130" s="124" t="n"/>
      <c r="N130" s="124" t="n"/>
      <c r="O130" s="124" t="n"/>
      <c r="P130" s="124" t="n"/>
      <c r="Q130" s="123" t="n"/>
      <c r="R130" s="124" t="n"/>
      <c r="S130" s="124" t="n"/>
      <c r="T130" s="124" t="n"/>
      <c r="U130" s="124" t="n"/>
      <c r="V130" s="124" t="n"/>
      <c r="W130" s="124" t="n"/>
      <c r="X130" s="121" t="n"/>
      <c r="Y130" s="125" t="n"/>
      <c r="AB130" s="118" t="n"/>
    </row>
    <row r="131" ht="15" customHeight="1" s="179">
      <c r="D131" s="124" t="n"/>
      <c r="E131" s="124" t="n"/>
      <c r="F131" s="124" t="n"/>
      <c r="G131" s="124" t="n"/>
      <c r="H131" s="124" t="n"/>
      <c r="I131" s="124" t="n"/>
      <c r="J131" s="124" t="n"/>
      <c r="K131" s="124" t="n"/>
      <c r="L131" s="124" t="n"/>
      <c r="M131" s="124" t="n"/>
      <c r="N131" s="124" t="n"/>
      <c r="O131" s="124" t="n"/>
      <c r="P131" s="124" t="n"/>
      <c r="Q131" s="124" t="n"/>
      <c r="R131" s="123" t="n"/>
      <c r="S131" s="124" t="n"/>
      <c r="T131" s="124" t="n"/>
      <c r="U131" s="124" t="n"/>
      <c r="V131" s="124" t="n"/>
      <c r="W131" s="124" t="n"/>
      <c r="X131" s="121" t="n"/>
      <c r="Y131" s="125" t="n"/>
      <c r="AC131" s="118" t="n"/>
    </row>
    <row r="132" ht="15" customHeight="1" s="179">
      <c r="A132" s="118" t="n"/>
      <c r="B132" s="118" t="n"/>
      <c r="C132" s="118" t="n"/>
      <c r="AD132" s="118" t="n"/>
    </row>
    <row r="133"/>
    <row r="134" ht="15" customHeight="1" s="179">
      <c r="A134" s="118" t="n"/>
    </row>
    <row r="135"/>
    <row r="136" ht="15" customHeight="1" s="179">
      <c r="A136" s="118" t="n"/>
      <c r="B136" s="118" t="n"/>
      <c r="D136" s="118" t="n"/>
      <c r="E136" s="118" t="n"/>
      <c r="F136" s="118" t="n"/>
      <c r="G136" s="118" t="n"/>
      <c r="H136" s="118" t="n"/>
      <c r="I136" s="118" t="n"/>
      <c r="J136" s="118" t="n"/>
      <c r="K136" s="118" t="n"/>
      <c r="L136" s="118" t="n"/>
      <c r="M136" s="118" t="n"/>
      <c r="N136" s="118" t="n"/>
      <c r="O136" s="118" t="n"/>
      <c r="P136" s="118" t="n"/>
      <c r="Q136" s="118" t="n"/>
      <c r="R136" s="118" t="n"/>
      <c r="S136" s="118" t="n"/>
      <c r="T136" s="118" t="n"/>
      <c r="U136" s="118" t="n"/>
      <c r="V136" s="118" t="n"/>
      <c r="W136" s="118" t="n"/>
      <c r="X136" s="118" t="n"/>
      <c r="Y136" s="118" t="n"/>
      <c r="Z136" s="118" t="n"/>
      <c r="AA136" s="118" t="n"/>
      <c r="AB136" s="118" t="n"/>
      <c r="AC136" s="118" t="n"/>
      <c r="AD136" s="118" t="n"/>
    </row>
    <row r="137" ht="15" customHeight="1" s="179">
      <c r="A137" s="118" t="n"/>
      <c r="B137" s="118" t="n"/>
      <c r="D137" s="118" t="n"/>
      <c r="E137" s="118" t="n"/>
      <c r="F137" s="118" t="n"/>
      <c r="G137" s="118" t="n"/>
      <c r="H137" s="118" t="n"/>
      <c r="I137" s="118" t="n"/>
      <c r="J137" s="118" t="n"/>
      <c r="K137" s="118" t="n"/>
      <c r="L137" s="118" t="n"/>
      <c r="M137" s="118" t="n"/>
      <c r="N137" s="118" t="n"/>
      <c r="O137" s="118" t="n"/>
      <c r="P137" s="118" t="n"/>
      <c r="Q137" s="118" t="n"/>
      <c r="R137" s="118" t="n"/>
      <c r="S137" s="118" t="n"/>
      <c r="T137" s="118" t="n"/>
      <c r="U137" s="118" t="n"/>
      <c r="V137" s="118" t="n"/>
      <c r="W137" s="118" t="n"/>
      <c r="X137" s="118" t="n"/>
      <c r="Y137" s="118" t="n"/>
      <c r="Z137" s="118" t="n"/>
      <c r="AA137" s="118" t="n"/>
      <c r="AB137" s="118" t="n"/>
      <c r="AC137" s="118" t="n"/>
      <c r="AD137" s="118" t="n"/>
    </row>
    <row r="138" ht="15" customHeight="1" s="179">
      <c r="A138" s="118" t="n"/>
      <c r="B138" s="118" t="n"/>
      <c r="C138" s="118" t="n"/>
      <c r="D138" s="118" t="n"/>
      <c r="E138" s="118" t="n"/>
      <c r="F138" s="118" t="n"/>
      <c r="G138" s="118" t="n"/>
      <c r="H138" s="118" t="n"/>
      <c r="I138" s="118" t="n"/>
      <c r="J138" s="118" t="n"/>
      <c r="K138" s="118" t="n"/>
      <c r="L138" s="118" t="n"/>
      <c r="M138" s="118" t="n"/>
      <c r="N138" s="118" t="n"/>
      <c r="O138" s="118" t="n"/>
      <c r="P138" s="118" t="n"/>
      <c r="Q138" s="118" t="n"/>
      <c r="R138" s="118" t="n"/>
      <c r="S138" s="118" t="n"/>
      <c r="T138" s="118" t="n"/>
      <c r="U138" s="118" t="n"/>
      <c r="V138" s="118" t="n"/>
      <c r="W138" s="118" t="n"/>
      <c r="X138" s="118" t="n"/>
      <c r="Y138" s="118" t="n"/>
      <c r="Z138" s="118" t="n"/>
      <c r="AA138" s="118" t="n"/>
      <c r="AB138" s="118" t="n"/>
      <c r="AC138" s="118" t="n"/>
      <c r="AD138" s="118" t="n"/>
    </row>
    <row r="139" ht="15" customHeight="1" s="179">
      <c r="X139" s="118" t="n"/>
      <c r="Y139" s="118" t="n"/>
      <c r="Z139" s="118" t="n"/>
      <c r="AA139" s="118" t="n"/>
      <c r="AB139" s="118" t="n"/>
      <c r="AC139" s="118" t="n"/>
      <c r="AD139" s="118" t="n"/>
    </row>
    <row r="140" ht="15" customHeight="1" s="179">
      <c r="D140" s="127" t="n"/>
      <c r="X140" s="118" t="n"/>
      <c r="Y140" s="118" t="n"/>
      <c r="Z140" s="118" t="n"/>
      <c r="AA140" s="118" t="n"/>
      <c r="AB140" s="118" t="n"/>
      <c r="AC140" s="118" t="n"/>
      <c r="AD140" s="118" t="n"/>
    </row>
    <row r="141" ht="15" customHeight="1" s="179">
      <c r="E141" s="127" t="n"/>
      <c r="T141" s="127" t="n"/>
      <c r="U141" s="127" t="n"/>
      <c r="W141" s="127" t="n"/>
      <c r="X141" s="118" t="n"/>
      <c r="Y141" s="118" t="n"/>
      <c r="Z141" s="118" t="n"/>
      <c r="AA141" s="118" t="n"/>
      <c r="AB141" s="118" t="n"/>
      <c r="AC141" s="118" t="n"/>
      <c r="AD141" s="118" t="n"/>
    </row>
    <row r="142" ht="15" customHeight="1" s="179">
      <c r="F142" s="127" t="n"/>
      <c r="X142" s="118" t="n"/>
      <c r="Y142" s="118" t="n"/>
      <c r="Z142" s="118" t="n"/>
      <c r="AA142" s="118" t="n"/>
      <c r="AB142" s="118" t="n"/>
      <c r="AC142" s="118" t="n"/>
      <c r="AD142" s="118" t="n"/>
    </row>
    <row r="143" ht="15" customHeight="1" s="179">
      <c r="G143" s="127" t="n"/>
      <c r="V143" s="127" t="n"/>
      <c r="X143" s="118" t="n"/>
      <c r="Y143" s="118" t="n"/>
      <c r="Z143" s="118" t="n"/>
      <c r="AA143" s="118" t="n"/>
      <c r="AB143" s="118" t="n"/>
      <c r="AC143" s="118" t="n"/>
      <c r="AD143" s="118" t="n"/>
    </row>
    <row r="144" ht="15" customHeight="1" s="179">
      <c r="F144" s="127" t="n"/>
      <c r="H144" s="127" t="n"/>
      <c r="Q144" s="127" t="n"/>
      <c r="W144" s="127" t="n"/>
      <c r="X144" s="118" t="n"/>
      <c r="Y144" s="118" t="n"/>
      <c r="Z144" s="118" t="n"/>
      <c r="AA144" s="118" t="n"/>
      <c r="AB144" s="118" t="n"/>
      <c r="AC144" s="118" t="n"/>
      <c r="AD144" s="118" t="n"/>
    </row>
    <row r="145" ht="15" customHeight="1" s="179">
      <c r="I145" s="127" t="n"/>
      <c r="O145" s="127" t="n"/>
      <c r="X145" s="118" t="n"/>
      <c r="Y145" s="118" t="n"/>
      <c r="Z145" s="118" t="n"/>
      <c r="AA145" s="118" t="n"/>
      <c r="AB145" s="118" t="n"/>
      <c r="AC145" s="118" t="n"/>
      <c r="AD145" s="118" t="n"/>
    </row>
    <row r="146" ht="15" customHeight="1" s="179">
      <c r="J146" s="127" t="n"/>
      <c r="X146" s="118" t="n"/>
      <c r="Y146" s="118" t="n"/>
      <c r="Z146" s="118" t="n"/>
      <c r="AA146" s="118" t="n"/>
      <c r="AB146" s="118" t="n"/>
      <c r="AC146" s="118" t="n"/>
      <c r="AD146" s="118" t="n"/>
    </row>
    <row r="147" ht="15" customHeight="1" s="179">
      <c r="K147" s="127" t="n"/>
      <c r="X147" s="118" t="n"/>
      <c r="Y147" s="118" t="n"/>
      <c r="Z147" s="118" t="n"/>
      <c r="AA147" s="118" t="n"/>
      <c r="AB147" s="118" t="n"/>
      <c r="AC147" s="118" t="n"/>
      <c r="AD147" s="118" t="n"/>
    </row>
    <row r="148" ht="15" customHeight="1" s="179">
      <c r="L148" s="127" t="n"/>
      <c r="X148" s="118" t="n"/>
      <c r="Y148" s="118" t="n"/>
      <c r="Z148" s="118" t="n"/>
      <c r="AA148" s="118" t="n"/>
      <c r="AB148" s="118" t="n"/>
      <c r="AC148" s="118" t="n"/>
      <c r="AD148" s="118" t="n"/>
    </row>
    <row r="149" ht="15" customHeight="1" s="179">
      <c r="D149" s="127" t="n"/>
      <c r="S149" s="127" t="n"/>
      <c r="X149" s="118" t="n"/>
      <c r="Y149" s="118" t="n"/>
      <c r="Z149" s="118" t="n"/>
      <c r="AA149" s="118" t="n"/>
      <c r="AB149" s="118" t="n"/>
      <c r="AC149" s="118" t="n"/>
      <c r="AD149" s="118" t="n"/>
    </row>
    <row r="150" ht="15" customHeight="1" s="179">
      <c r="T150" s="127" t="n"/>
      <c r="X150" s="118" t="n"/>
      <c r="Y150" s="118" t="n"/>
      <c r="Z150" s="118" t="n"/>
      <c r="AA150" s="118" t="n"/>
      <c r="AB150" s="118" t="n"/>
      <c r="AC150" s="118" t="n"/>
      <c r="AD150" s="118" t="n"/>
    </row>
    <row r="151" ht="15" customHeight="1" s="179">
      <c r="F151" s="127" t="n"/>
      <c r="U151" s="127" t="n"/>
      <c r="X151" s="118" t="n"/>
      <c r="Y151" s="118" t="n"/>
      <c r="Z151" s="118" t="n"/>
      <c r="AA151" s="118" t="n"/>
      <c r="AB151" s="118" t="n"/>
      <c r="AC151" s="118" t="n"/>
      <c r="AD151" s="118" t="n"/>
    </row>
    <row r="152" ht="15" customHeight="1" s="179">
      <c r="G152" s="127" t="n"/>
      <c r="V152" s="127" t="n"/>
      <c r="X152" s="118" t="n"/>
      <c r="Y152" s="118" t="n"/>
      <c r="Z152" s="118" t="n"/>
      <c r="AA152" s="118" t="n"/>
      <c r="AB152" s="118" t="n"/>
      <c r="AC152" s="118" t="n"/>
      <c r="AD152" s="118" t="n"/>
    </row>
    <row r="153" ht="15" customHeight="1" s="179">
      <c r="W153" s="127" t="n"/>
      <c r="X153" s="118" t="n"/>
      <c r="Y153" s="118" t="n"/>
      <c r="Z153" s="118" t="n"/>
      <c r="AA153" s="118" t="n"/>
      <c r="AB153" s="118" t="n"/>
      <c r="AC153" s="118" t="n"/>
      <c r="AD153" s="118" t="n"/>
    </row>
    <row r="154" ht="15" customHeight="1" s="179">
      <c r="M154" s="127" t="n"/>
      <c r="X154" s="118" t="n"/>
      <c r="Y154" s="118" t="n"/>
      <c r="Z154" s="118" t="n"/>
      <c r="AA154" s="118" t="n"/>
      <c r="AB154" s="118" t="n"/>
      <c r="AC154" s="118" t="n"/>
      <c r="AD154" s="118" t="n"/>
    </row>
    <row r="155" ht="15" customHeight="1" s="179">
      <c r="D155" s="127" t="n"/>
      <c r="X155" s="118" t="n"/>
      <c r="Y155" s="118" t="n"/>
      <c r="Z155" s="118" t="n"/>
      <c r="AA155" s="118" t="n"/>
      <c r="AB155" s="118" t="n"/>
      <c r="AC155" s="118" t="n"/>
      <c r="AD155" s="118" t="n"/>
    </row>
    <row r="156" ht="15" customHeight="1" s="179">
      <c r="E156" s="127" t="n"/>
      <c r="X156" s="118" t="n"/>
      <c r="Y156" s="118" t="n"/>
      <c r="Z156" s="118" t="n"/>
      <c r="AA156" s="118" t="n"/>
      <c r="AB156" s="118" t="n"/>
      <c r="AC156" s="118" t="n"/>
      <c r="AD156" s="118" t="n"/>
    </row>
    <row r="157" ht="15" customHeight="1" s="179">
      <c r="F157" s="127" t="n"/>
      <c r="Q157" s="127" t="n"/>
      <c r="U157" s="127" t="n"/>
      <c r="X157" s="118" t="n"/>
      <c r="Y157" s="118" t="n"/>
      <c r="Z157" s="118" t="n"/>
      <c r="AA157" s="118" t="n"/>
      <c r="AB157" s="118" t="n"/>
      <c r="AC157" s="118" t="n"/>
      <c r="AD157" s="118" t="n"/>
    </row>
    <row r="158" ht="15" customHeight="1" s="179">
      <c r="G158" s="127" t="n"/>
      <c r="V158" s="127" t="n"/>
      <c r="X158" s="118" t="n"/>
      <c r="Y158" s="118" t="n"/>
      <c r="Z158" s="118" t="n"/>
      <c r="AA158" s="118" t="n"/>
      <c r="AB158" s="118" t="n"/>
      <c r="AC158" s="118" t="n"/>
      <c r="AD158" s="118" t="n"/>
    </row>
    <row r="159" ht="15" customHeight="1" s="179">
      <c r="N159" s="127" t="n"/>
      <c r="X159" s="118" t="n"/>
      <c r="Y159" s="118" t="n"/>
      <c r="Z159" s="118" t="n"/>
      <c r="AA159" s="118" t="n"/>
      <c r="AB159" s="118" t="n"/>
      <c r="AC159" s="118" t="n"/>
      <c r="AD159" s="118" t="n"/>
    </row>
    <row r="160" ht="15" customHeight="1" s="179">
      <c r="H160" s="127" t="n"/>
      <c r="X160" s="118" t="n"/>
      <c r="Y160" s="118" t="n"/>
      <c r="Z160" s="118" t="n"/>
      <c r="AA160" s="118" t="n"/>
      <c r="AB160" s="118" t="n"/>
      <c r="AC160" s="118" t="n"/>
      <c r="AD160" s="118" t="n"/>
    </row>
    <row r="161" ht="15" customHeight="1" s="179">
      <c r="D161" s="127" t="n"/>
      <c r="S161" s="127" t="n"/>
      <c r="X161" s="118" t="n"/>
      <c r="Y161" s="118" t="n"/>
      <c r="Z161" s="118" t="n"/>
      <c r="AA161" s="118" t="n"/>
      <c r="AB161" s="118" t="n"/>
      <c r="AC161" s="118" t="n"/>
      <c r="AD161" s="118" t="n"/>
    </row>
    <row r="162" ht="15" customHeight="1" s="179">
      <c r="E162" s="127" t="n"/>
      <c r="X162" s="118" t="n"/>
      <c r="Y162" s="118" t="n"/>
      <c r="Z162" s="118" t="n"/>
      <c r="AA162" s="118" t="n"/>
      <c r="AB162" s="118" t="n"/>
      <c r="AC162" s="118" t="n"/>
      <c r="AD162" s="118" t="n"/>
    </row>
    <row r="163" ht="15" customHeight="1" s="179">
      <c r="F163" s="127" t="n"/>
      <c r="U163" s="127" t="n"/>
      <c r="X163" s="118" t="n"/>
      <c r="Y163" s="118" t="n"/>
      <c r="Z163" s="118" t="n"/>
      <c r="AA163" s="118" t="n"/>
      <c r="AB163" s="118" t="n"/>
      <c r="AC163" s="118" t="n"/>
      <c r="AD163" s="118" t="n"/>
    </row>
    <row r="164">
      <c r="G164" s="127" t="n"/>
    </row>
    <row r="165">
      <c r="H165" s="127" t="n"/>
    </row>
    <row r="166">
      <c r="I166" s="127" t="n"/>
      <c r="O166" s="127" t="n"/>
    </row>
    <row r="167" ht="15" customHeight="1" s="179">
      <c r="P167" s="127" t="n"/>
      <c r="X167" s="118" t="n"/>
      <c r="Y167" s="118" t="n"/>
      <c r="Z167" s="118" t="n"/>
      <c r="AA167" s="118" t="n"/>
      <c r="AB167" s="118" t="n"/>
      <c r="AC167" s="118" t="n"/>
      <c r="AD167" s="118" t="n"/>
    </row>
    <row r="168" ht="15" customHeight="1" s="179">
      <c r="S168" s="127" t="n"/>
      <c r="X168" s="118" t="n"/>
      <c r="Y168" s="118" t="n"/>
      <c r="Z168" s="118" t="n"/>
      <c r="AA168" s="118" t="n"/>
      <c r="AB168" s="118" t="n"/>
      <c r="AC168" s="118" t="n"/>
      <c r="AD168" s="118" t="n"/>
    </row>
    <row r="169" ht="15" customHeight="1" s="179">
      <c r="E169" s="127" t="n"/>
      <c r="T169" s="127" t="n"/>
      <c r="X169" s="118" t="n"/>
      <c r="Y169" s="118" t="n"/>
      <c r="Z169" s="118" t="n"/>
      <c r="AA169" s="118" t="n"/>
      <c r="AB169" s="118" t="n"/>
      <c r="AC169" s="118" t="n"/>
      <c r="AD169" s="118" t="n"/>
    </row>
    <row r="170" ht="15" customHeight="1" s="179">
      <c r="F170" s="127" t="n"/>
      <c r="U170" s="127" t="n"/>
      <c r="X170" s="118" t="n"/>
      <c r="Y170" s="118" t="n"/>
      <c r="Z170" s="118" t="n"/>
      <c r="AA170" s="118" t="n"/>
      <c r="AB170" s="118" t="n"/>
      <c r="AC170" s="118" t="n"/>
      <c r="AD170" s="118" t="n"/>
    </row>
    <row r="171" ht="15" customHeight="1" s="179">
      <c r="G171" s="127" t="n"/>
      <c r="V171" s="127" t="n"/>
      <c r="X171" s="118" t="n"/>
      <c r="Y171" s="118" t="n"/>
      <c r="Z171" s="118" t="n"/>
      <c r="AA171" s="118" t="n"/>
      <c r="AB171" s="118" t="n"/>
      <c r="AC171" s="118" t="n"/>
      <c r="AD171" s="118" t="n"/>
    </row>
    <row r="172" ht="15" customHeight="1" s="179">
      <c r="H172" s="127" t="n"/>
      <c r="W172" s="127" t="n"/>
      <c r="X172" s="118" t="n"/>
      <c r="Y172" s="118" t="n"/>
      <c r="Z172" s="118" t="n"/>
      <c r="AA172" s="118" t="n"/>
      <c r="AB172" s="118" t="n"/>
      <c r="AC172" s="118" t="n"/>
      <c r="AD172" s="118" t="n"/>
    </row>
    <row r="173" ht="15" customHeight="1" s="179">
      <c r="I173" s="127" t="n"/>
      <c r="Q173" s="127" t="n"/>
      <c r="X173" s="118" t="n"/>
      <c r="Y173" s="118" t="n"/>
      <c r="Z173" s="118" t="n"/>
      <c r="AA173" s="118" t="n"/>
      <c r="AB173" s="118" t="n"/>
      <c r="AC173" s="118" t="n"/>
      <c r="AD173" s="118" t="n"/>
    </row>
    <row r="174" ht="15" customHeight="1" s="179">
      <c r="R174" s="127" t="n"/>
      <c r="X174" s="118" t="n"/>
      <c r="Y174" s="118" t="n"/>
      <c r="Z174" s="118" t="n"/>
      <c r="AA174" s="118" t="n"/>
      <c r="AB174" s="118" t="n"/>
      <c r="AC174" s="118" t="n"/>
      <c r="AD174" s="118" t="n"/>
    </row>
    <row r="175" ht="15" customHeight="1" s="179">
      <c r="A175" s="118" t="n"/>
      <c r="B175" s="118" t="n"/>
      <c r="C175" s="118" t="n"/>
      <c r="D175" s="118" t="n"/>
      <c r="E175" s="118" t="n"/>
      <c r="F175" s="118" t="n"/>
      <c r="G175" s="118" t="n"/>
      <c r="H175" s="118" t="n"/>
      <c r="I175" s="118" t="n"/>
      <c r="J175" s="118" t="n"/>
      <c r="K175" s="118" t="n"/>
      <c r="L175" s="118" t="n"/>
      <c r="M175" s="118" t="n"/>
      <c r="N175" s="118" t="n"/>
      <c r="O175" s="118" t="n"/>
      <c r="P175" s="118" t="n"/>
      <c r="Q175" s="118" t="n"/>
      <c r="R175" s="118" t="n"/>
      <c r="S175" s="118" t="n"/>
      <c r="T175" s="118" t="n"/>
      <c r="U175" s="118" t="n"/>
      <c r="V175" s="118" t="n"/>
      <c r="W175" s="118" t="n"/>
      <c r="X175" s="118" t="n"/>
      <c r="Y175" s="118" t="n"/>
      <c r="Z175" s="118" t="n"/>
      <c r="AA175" s="118" t="n"/>
      <c r="AB175" s="118" t="n"/>
      <c r="AC175" s="118" t="n"/>
      <c r="AD175" s="118" t="n"/>
    </row>
    <row r="176" ht="15" customHeight="1" s="179">
      <c r="A176" s="118" t="n"/>
      <c r="B176" s="118" t="n"/>
      <c r="C176" s="118" t="n"/>
      <c r="D176" s="118" t="n"/>
      <c r="E176" s="118" t="n"/>
      <c r="F176" s="118" t="n"/>
      <c r="G176" s="118" t="n"/>
      <c r="H176" s="118" t="n"/>
      <c r="I176" s="118" t="n"/>
      <c r="J176" s="118" t="n"/>
      <c r="K176" s="118" t="n"/>
      <c r="L176" s="118" t="n"/>
      <c r="M176" s="118" t="n"/>
      <c r="N176" s="118" t="n"/>
      <c r="O176" s="118" t="n"/>
      <c r="P176" s="118" t="n"/>
      <c r="Q176" s="118" t="n"/>
      <c r="R176" s="118" t="n"/>
      <c r="S176" s="118" t="n"/>
      <c r="T176" s="118" t="n"/>
      <c r="U176" s="118" t="n"/>
      <c r="V176" s="118" t="n"/>
      <c r="W176" s="118" t="n"/>
      <c r="X176" s="118" t="n"/>
      <c r="Y176" s="118" t="n"/>
      <c r="Z176" s="118" t="n"/>
      <c r="AA176" s="118" t="n"/>
      <c r="AB176" s="118" t="n"/>
      <c r="AC176" s="118" t="n"/>
      <c r="AD176" s="118" t="n"/>
    </row>
    <row r="177" ht="15" customHeight="1" s="179">
      <c r="A177" s="118" t="n"/>
      <c r="B177" s="118" t="n"/>
      <c r="C177" s="118" t="n"/>
      <c r="D177" s="118" t="n"/>
      <c r="E177" s="118" t="n"/>
      <c r="F177" s="118" t="n"/>
      <c r="G177" s="118" t="n"/>
      <c r="H177" s="118" t="n"/>
      <c r="I177" s="118" t="n"/>
      <c r="J177" s="118" t="n"/>
      <c r="K177" s="118" t="n"/>
      <c r="L177" s="118" t="n"/>
      <c r="M177" s="118" t="n"/>
      <c r="N177" s="118" t="n"/>
      <c r="O177" s="118" t="n"/>
      <c r="P177" s="118" t="n"/>
      <c r="Q177" s="118" t="n"/>
      <c r="R177" s="118" t="n"/>
      <c r="S177" s="118" t="n"/>
      <c r="T177" s="118" t="n"/>
      <c r="U177" s="118" t="n"/>
      <c r="V177" s="118" t="n"/>
      <c r="W177" s="118" t="n"/>
      <c r="X177" s="118" t="n"/>
      <c r="Y177" s="118" t="n"/>
      <c r="Z177" s="118" t="n"/>
      <c r="AA177" s="118" t="n"/>
      <c r="AB177" s="118" t="n"/>
      <c r="AC177" s="118" t="n"/>
      <c r="AD177" s="118" t="n"/>
    </row>
    <row r="178" ht="15" customHeight="1" s="179">
      <c r="A178" s="118" t="n"/>
      <c r="B178" s="118" t="n"/>
      <c r="C178" s="118" t="n"/>
      <c r="D178" s="118" t="n"/>
      <c r="E178" s="118" t="n"/>
      <c r="F178" s="118" t="n"/>
      <c r="G178" s="118" t="n"/>
      <c r="H178" s="118" t="n"/>
      <c r="I178" s="118" t="n"/>
      <c r="J178" s="118" t="n"/>
      <c r="K178" s="118" t="n"/>
      <c r="L178" s="118" t="n"/>
      <c r="M178" s="118" t="n"/>
      <c r="N178" s="118" t="n"/>
      <c r="O178" s="118" t="n"/>
      <c r="P178" s="118" t="n"/>
      <c r="Q178" s="118" t="n"/>
      <c r="R178" s="118" t="n"/>
      <c r="S178" s="118" t="n"/>
      <c r="T178" s="118" t="n"/>
      <c r="U178" s="118" t="n"/>
      <c r="V178" s="118" t="n"/>
      <c r="W178" s="118" t="n"/>
      <c r="X178" s="118" t="n"/>
      <c r="Y178" s="118" t="n"/>
      <c r="Z178" s="118" t="n"/>
      <c r="AA178" s="118" t="n"/>
      <c r="AB178" s="118" t="n"/>
      <c r="AC178" s="118" t="n"/>
      <c r="AD178" s="118" t="n"/>
    </row>
    <row r="179" ht="15" customHeight="1" s="179">
      <c r="A179" s="118" t="n"/>
      <c r="B179" s="118" t="n"/>
      <c r="D179" s="118" t="n"/>
      <c r="E179" s="118" t="n"/>
      <c r="F179" s="118" t="n"/>
      <c r="G179" s="118" t="n"/>
      <c r="H179" s="118" t="n"/>
      <c r="I179" s="118" t="n"/>
      <c r="J179" s="118" t="n"/>
      <c r="K179" s="118" t="n"/>
      <c r="L179" s="118" t="n"/>
      <c r="M179" s="118" t="n"/>
      <c r="N179" s="118" t="n"/>
      <c r="O179" s="118" t="n"/>
      <c r="P179" s="118" t="n"/>
      <c r="Q179" s="118" t="n"/>
      <c r="R179" s="118" t="n"/>
      <c r="S179" s="118" t="n"/>
      <c r="T179" s="118" t="n"/>
      <c r="U179" s="118" t="n"/>
      <c r="V179" s="118" t="n"/>
      <c r="W179" s="118" t="n"/>
      <c r="X179" s="118" t="n"/>
      <c r="Y179" s="118" t="n"/>
      <c r="Z179" s="118" t="n"/>
      <c r="AA179" s="118" t="n"/>
      <c r="AB179" s="118" t="n"/>
      <c r="AC179" s="118" t="n"/>
      <c r="AD179" s="118" t="n"/>
    </row>
    <row r="180" ht="15" customHeight="1" s="179">
      <c r="A180" s="118" t="n"/>
      <c r="B180" s="118" t="n"/>
      <c r="C180" s="118" t="n"/>
      <c r="D180" s="118" t="n"/>
      <c r="E180" s="118" t="n"/>
      <c r="F180" s="118" t="n"/>
      <c r="G180" s="118" t="n"/>
      <c r="H180" s="118" t="n"/>
      <c r="I180" s="118" t="n"/>
      <c r="J180" s="118" t="n"/>
      <c r="K180" s="118" t="n"/>
      <c r="L180" s="118" t="n"/>
      <c r="M180" s="118" t="n"/>
      <c r="N180" s="118" t="n"/>
      <c r="O180" s="118" t="n"/>
      <c r="P180" s="118" t="n"/>
      <c r="Q180" s="118" t="n"/>
      <c r="R180" s="118" t="n"/>
      <c r="S180" s="118" t="n"/>
      <c r="T180" s="118" t="n"/>
      <c r="U180" s="118" t="n"/>
      <c r="V180" s="118" t="n"/>
      <c r="W180" s="118" t="n"/>
      <c r="X180" s="118" t="n"/>
      <c r="Y180" s="118" t="n"/>
      <c r="Z180" s="118" t="n"/>
      <c r="AA180" s="118" t="n"/>
      <c r="AB180" s="118" t="n"/>
      <c r="AC180" s="118" t="n"/>
      <c r="AD180" s="118" t="n"/>
    </row>
    <row r="181" ht="15" customHeight="1" s="179">
      <c r="X181" s="118" t="n"/>
      <c r="Y181" s="118" t="n"/>
      <c r="Z181" s="118" t="n"/>
      <c r="AA181" s="118" t="n"/>
      <c r="AB181" s="118" t="n"/>
      <c r="AC181" s="118" t="n"/>
      <c r="AD181" s="118" t="n"/>
    </row>
    <row r="182" ht="15" customHeight="1" s="179">
      <c r="D182" s="201" t="n"/>
      <c r="E182" s="201" t="n"/>
      <c r="F182" s="201" t="n"/>
      <c r="G182" s="201" t="n"/>
      <c r="H182" s="201" t="n"/>
      <c r="I182" s="201" t="n"/>
      <c r="J182" s="201" t="n"/>
      <c r="K182" s="201" t="n"/>
      <c r="L182" s="201" t="n"/>
      <c r="M182" s="201" t="n"/>
      <c r="N182" s="201" t="n"/>
      <c r="O182" s="201" t="n"/>
      <c r="P182" s="201" t="n"/>
      <c r="Q182" s="201" t="n"/>
      <c r="R182" s="201" t="n"/>
      <c r="S182" s="201" t="n"/>
      <c r="T182" s="201" t="n"/>
      <c r="U182" s="201" t="n"/>
      <c r="V182" s="201" t="n"/>
      <c r="W182" s="201" t="n"/>
      <c r="X182" s="118" t="n"/>
      <c r="Y182" s="118" t="n"/>
      <c r="Z182" s="118" t="n"/>
      <c r="AA182" s="118" t="n"/>
      <c r="AB182" s="118" t="n"/>
      <c r="AC182" s="118" t="n"/>
      <c r="AD182" s="118" t="n"/>
    </row>
    <row r="183" ht="15" customHeight="1" s="179">
      <c r="D183" s="201" t="n"/>
      <c r="E183" s="201" t="n"/>
      <c r="F183" s="201" t="n"/>
      <c r="G183" s="201" t="n"/>
      <c r="H183" s="201" t="n"/>
      <c r="I183" s="201" t="n"/>
      <c r="J183" s="201" t="n"/>
      <c r="K183" s="201" t="n"/>
      <c r="L183" s="201" t="n"/>
      <c r="M183" s="201" t="n"/>
      <c r="N183" s="201" t="n"/>
      <c r="O183" s="201" t="n"/>
      <c r="P183" s="201" t="n"/>
      <c r="Q183" s="201" t="n"/>
      <c r="R183" s="201" t="n"/>
      <c r="S183" s="201" t="n"/>
      <c r="T183" s="201" t="n"/>
      <c r="U183" s="201" t="n"/>
      <c r="V183" s="201" t="n"/>
      <c r="W183" s="201" t="n"/>
      <c r="X183" s="118" t="n"/>
      <c r="Y183" s="118" t="n"/>
      <c r="Z183" s="118" t="n"/>
      <c r="AA183" s="118" t="n"/>
      <c r="AB183" s="118" t="n"/>
      <c r="AC183" s="118" t="n"/>
      <c r="AD183" s="118" t="n"/>
    </row>
    <row r="184" ht="15" customHeight="1" s="179">
      <c r="D184" s="201" t="n"/>
      <c r="E184" s="201" t="n"/>
      <c r="F184" s="201" t="n"/>
      <c r="G184" s="201" t="n"/>
      <c r="H184" s="201" t="n"/>
      <c r="I184" s="201" t="n"/>
      <c r="J184" s="201" t="n"/>
      <c r="K184" s="201" t="n"/>
      <c r="L184" s="201" t="n"/>
      <c r="M184" s="201" t="n"/>
      <c r="N184" s="201" t="n"/>
      <c r="O184" s="201" t="n"/>
      <c r="P184" s="201" t="n"/>
      <c r="Q184" s="201" t="n"/>
      <c r="R184" s="201" t="n"/>
      <c r="S184" s="201" t="n"/>
      <c r="T184" s="201" t="n"/>
      <c r="U184" s="201" t="n"/>
      <c r="V184" s="201" t="n"/>
      <c r="W184" s="201" t="n"/>
      <c r="X184" s="118" t="n"/>
      <c r="Y184" s="118" t="n"/>
      <c r="Z184" s="118" t="n"/>
      <c r="AA184" s="118" t="n"/>
      <c r="AB184" s="118" t="n"/>
      <c r="AC184" s="118" t="n"/>
      <c r="AD184" s="118" t="n"/>
    </row>
    <row r="185" ht="15" customHeight="1" s="179">
      <c r="D185" s="201" t="n"/>
      <c r="E185" s="201" t="n"/>
      <c r="F185" s="201" t="n"/>
      <c r="G185" s="201" t="n"/>
      <c r="H185" s="201" t="n"/>
      <c r="I185" s="201" t="n"/>
      <c r="J185" s="201" t="n"/>
      <c r="K185" s="201" t="n"/>
      <c r="L185" s="201" t="n"/>
      <c r="M185" s="201" t="n"/>
      <c r="N185" s="201" t="n"/>
      <c r="O185" s="201" t="n"/>
      <c r="P185" s="201" t="n"/>
      <c r="Q185" s="201" t="n"/>
      <c r="R185" s="201" t="n"/>
      <c r="S185" s="201" t="n"/>
      <c r="T185" s="201" t="n"/>
      <c r="U185" s="201" t="n"/>
      <c r="V185" s="201" t="n"/>
      <c r="W185" s="201" t="n"/>
      <c r="X185" s="118" t="n"/>
      <c r="Y185" s="118" t="n"/>
      <c r="Z185" s="118" t="n"/>
      <c r="AA185" s="118" t="n"/>
      <c r="AB185" s="118" t="n"/>
      <c r="AC185" s="118" t="n"/>
      <c r="AD185" s="118" t="n"/>
    </row>
    <row r="186" ht="15" customHeight="1" s="179">
      <c r="D186" s="201" t="n"/>
      <c r="E186" s="201" t="n"/>
      <c r="F186" s="201" t="n"/>
      <c r="G186" s="201" t="n"/>
      <c r="H186" s="201" t="n"/>
      <c r="I186" s="201" t="n"/>
      <c r="J186" s="201" t="n"/>
      <c r="K186" s="201" t="n"/>
      <c r="L186" s="201" t="n"/>
      <c r="M186" s="201" t="n"/>
      <c r="N186" s="201" t="n"/>
      <c r="O186" s="201" t="n"/>
      <c r="P186" s="201" t="n"/>
      <c r="Q186" s="201" t="n"/>
      <c r="R186" s="201" t="n"/>
      <c r="S186" s="201" t="n"/>
      <c r="T186" s="201" t="n"/>
      <c r="U186" s="201" t="n"/>
      <c r="V186" s="201" t="n"/>
      <c r="W186" s="201" t="n"/>
      <c r="X186" s="118" t="n"/>
      <c r="Y186" s="118" t="n"/>
      <c r="Z186" s="118" t="n"/>
      <c r="AA186" s="118" t="n"/>
      <c r="AB186" s="118" t="n"/>
      <c r="AC186" s="118" t="n"/>
      <c r="AD186" s="118" t="n"/>
    </row>
    <row r="187" ht="15" customHeight="1" s="179">
      <c r="D187" s="201" t="n"/>
      <c r="E187" s="201" t="n"/>
      <c r="F187" s="201" t="n"/>
      <c r="G187" s="201" t="n"/>
      <c r="H187" s="201" t="n"/>
      <c r="I187" s="201" t="n"/>
      <c r="J187" s="201" t="n"/>
      <c r="K187" s="201" t="n"/>
      <c r="L187" s="201" t="n"/>
      <c r="M187" s="201" t="n"/>
      <c r="N187" s="201" t="n"/>
      <c r="O187" s="201" t="n"/>
      <c r="P187" s="201" t="n"/>
      <c r="Q187" s="201" t="n"/>
      <c r="R187" s="201" t="n"/>
      <c r="S187" s="201" t="n"/>
      <c r="T187" s="201" t="n"/>
      <c r="U187" s="201" t="n"/>
      <c r="V187" s="201" t="n"/>
      <c r="W187" s="201" t="n"/>
      <c r="X187" s="118" t="n"/>
      <c r="Y187" s="118" t="n"/>
      <c r="Z187" s="118" t="n"/>
      <c r="AA187" s="118" t="n"/>
      <c r="AB187" s="118" t="n"/>
      <c r="AC187" s="118" t="n"/>
      <c r="AD187" s="118" t="n"/>
    </row>
    <row r="188" ht="15" customHeight="1" s="179">
      <c r="D188" s="201" t="n"/>
      <c r="E188" s="201" t="n"/>
      <c r="F188" s="201" t="n"/>
      <c r="G188" s="201" t="n"/>
      <c r="H188" s="201" t="n"/>
      <c r="I188" s="201" t="n"/>
      <c r="J188" s="201" t="n"/>
      <c r="K188" s="201" t="n"/>
      <c r="L188" s="201" t="n"/>
      <c r="M188" s="201" t="n"/>
      <c r="N188" s="201" t="n"/>
      <c r="O188" s="201" t="n"/>
      <c r="P188" s="201" t="n"/>
      <c r="Q188" s="201" t="n"/>
      <c r="R188" s="201" t="n"/>
      <c r="S188" s="201" t="n"/>
      <c r="T188" s="201" t="n"/>
      <c r="U188" s="201" t="n"/>
      <c r="V188" s="201" t="n"/>
      <c r="W188" s="201" t="n"/>
      <c r="X188" s="118" t="n"/>
      <c r="Y188" s="118" t="n"/>
      <c r="Z188" s="118" t="n"/>
      <c r="AA188" s="118" t="n"/>
      <c r="AB188" s="118" t="n"/>
      <c r="AC188" s="118" t="n"/>
      <c r="AD188" s="118" t="n"/>
    </row>
    <row r="189" ht="15" customHeight="1" s="179">
      <c r="D189" s="201" t="n"/>
      <c r="E189" s="201" t="n"/>
      <c r="F189" s="201" t="n"/>
      <c r="G189" s="201" t="n"/>
      <c r="H189" s="201" t="n"/>
      <c r="I189" s="201" t="n"/>
      <c r="J189" s="201" t="n"/>
      <c r="K189" s="201" t="n"/>
      <c r="L189" s="201" t="n"/>
      <c r="M189" s="201" t="n"/>
      <c r="N189" s="201" t="n"/>
      <c r="O189" s="201" t="n"/>
      <c r="P189" s="201" t="n"/>
      <c r="Q189" s="201" t="n"/>
      <c r="R189" s="201" t="n"/>
      <c r="S189" s="201" t="n"/>
      <c r="T189" s="201" t="n"/>
      <c r="U189" s="201" t="n"/>
      <c r="V189" s="201" t="n"/>
      <c r="W189" s="201" t="n"/>
      <c r="X189" s="118" t="n"/>
      <c r="Y189" s="118" t="n"/>
      <c r="Z189" s="118" t="n"/>
      <c r="AA189" s="118" t="n"/>
      <c r="AB189" s="118" t="n"/>
      <c r="AC189" s="118" t="n"/>
      <c r="AD189" s="118" t="n"/>
    </row>
    <row r="190" ht="15" customHeight="1" s="179">
      <c r="D190" s="201" t="n"/>
      <c r="E190" s="201" t="n"/>
      <c r="F190" s="201" t="n"/>
      <c r="G190" s="201" t="n"/>
      <c r="H190" s="201" t="n"/>
      <c r="I190" s="201" t="n"/>
      <c r="J190" s="201" t="n"/>
      <c r="K190" s="201" t="n"/>
      <c r="L190" s="201" t="n"/>
      <c r="M190" s="201" t="n"/>
      <c r="N190" s="201" t="n"/>
      <c r="O190" s="201" t="n"/>
      <c r="P190" s="201" t="n"/>
      <c r="Q190" s="201" t="n"/>
      <c r="R190" s="201" t="n"/>
      <c r="S190" s="201" t="n"/>
      <c r="T190" s="201" t="n"/>
      <c r="U190" s="201" t="n"/>
      <c r="V190" s="201" t="n"/>
      <c r="W190" s="201" t="n"/>
      <c r="X190" s="118" t="n"/>
      <c r="Y190" s="118" t="n"/>
      <c r="Z190" s="118" t="n"/>
      <c r="AA190" s="118" t="n"/>
      <c r="AB190" s="118" t="n"/>
      <c r="AC190" s="118" t="n"/>
      <c r="AD190" s="118" t="n"/>
    </row>
    <row r="191" ht="15" customHeight="1" s="179">
      <c r="D191" s="201" t="n"/>
      <c r="E191" s="201" t="n"/>
      <c r="F191" s="201" t="n"/>
      <c r="G191" s="201" t="n"/>
      <c r="H191" s="201" t="n"/>
      <c r="I191" s="201" t="n"/>
      <c r="J191" s="201" t="n"/>
      <c r="K191" s="201" t="n"/>
      <c r="L191" s="201" t="n"/>
      <c r="M191" s="201" t="n"/>
      <c r="N191" s="201" t="n"/>
      <c r="O191" s="201" t="n"/>
      <c r="P191" s="201" t="n"/>
      <c r="Q191" s="201" t="n"/>
      <c r="R191" s="201" t="n"/>
      <c r="S191" s="201" t="n"/>
      <c r="T191" s="201" t="n"/>
      <c r="U191" s="201" t="n"/>
      <c r="V191" s="201" t="n"/>
      <c r="W191" s="201" t="n"/>
      <c r="X191" s="118" t="n"/>
      <c r="Y191" s="118" t="n"/>
      <c r="Z191" s="118" t="n"/>
      <c r="AA191" s="118" t="n"/>
      <c r="AB191" s="118" t="n"/>
      <c r="AC191" s="118" t="n"/>
      <c r="AD191" s="118" t="n"/>
    </row>
    <row r="192" ht="15" customHeight="1" s="179">
      <c r="D192" s="201" t="n"/>
      <c r="E192" s="201" t="n"/>
      <c r="F192" s="201" t="n"/>
      <c r="G192" s="201" t="n"/>
      <c r="H192" s="201" t="n"/>
      <c r="I192" s="201" t="n"/>
      <c r="J192" s="201" t="n"/>
      <c r="K192" s="201" t="n"/>
      <c r="L192" s="201" t="n"/>
      <c r="M192" s="201" t="n"/>
      <c r="N192" s="201" t="n"/>
      <c r="O192" s="201" t="n"/>
      <c r="P192" s="201" t="n"/>
      <c r="Q192" s="201" t="n"/>
      <c r="R192" s="201" t="n"/>
      <c r="S192" s="201" t="n"/>
      <c r="T192" s="201" t="n"/>
      <c r="U192" s="201" t="n"/>
      <c r="V192" s="201" t="n"/>
      <c r="W192" s="201" t="n"/>
      <c r="X192" s="118" t="n"/>
      <c r="Y192" s="118" t="n"/>
      <c r="Z192" s="118" t="n"/>
      <c r="AA192" s="118" t="n"/>
      <c r="AB192" s="118" t="n"/>
      <c r="AC192" s="118" t="n"/>
      <c r="AD192" s="118" t="n"/>
    </row>
    <row r="193" ht="15" customHeight="1" s="179">
      <c r="D193" s="201" t="n"/>
      <c r="E193" s="201" t="n"/>
      <c r="F193" s="201" t="n"/>
      <c r="G193" s="201" t="n"/>
      <c r="H193" s="201" t="n"/>
      <c r="I193" s="201" t="n"/>
      <c r="J193" s="201" t="n"/>
      <c r="K193" s="201" t="n"/>
      <c r="L193" s="201" t="n"/>
      <c r="M193" s="201" t="n"/>
      <c r="N193" s="201" t="n"/>
      <c r="O193" s="201" t="n"/>
      <c r="P193" s="201" t="n"/>
      <c r="Q193" s="201" t="n"/>
      <c r="R193" s="201" t="n"/>
      <c r="S193" s="201" t="n"/>
      <c r="T193" s="201" t="n"/>
      <c r="U193" s="201" t="n"/>
      <c r="V193" s="201" t="n"/>
      <c r="W193" s="201" t="n"/>
      <c r="X193" s="118" t="n"/>
      <c r="Y193" s="118" t="n"/>
      <c r="Z193" s="118" t="n"/>
      <c r="AA193" s="118" t="n"/>
      <c r="AB193" s="118" t="n"/>
      <c r="AC193" s="118" t="n"/>
      <c r="AD193" s="118" t="n"/>
    </row>
    <row r="194" ht="15" customHeight="1" s="179">
      <c r="D194" s="201" t="n"/>
      <c r="E194" s="201" t="n"/>
      <c r="F194" s="201" t="n"/>
      <c r="G194" s="201" t="n"/>
      <c r="H194" s="201" t="n"/>
      <c r="I194" s="201" t="n"/>
      <c r="J194" s="201" t="n"/>
      <c r="K194" s="201" t="n"/>
      <c r="L194" s="201" t="n"/>
      <c r="M194" s="201" t="n"/>
      <c r="N194" s="201" t="n"/>
      <c r="O194" s="201" t="n"/>
      <c r="P194" s="201" t="n"/>
      <c r="Q194" s="201" t="n"/>
      <c r="R194" s="201" t="n"/>
      <c r="S194" s="201" t="n"/>
      <c r="T194" s="201" t="n"/>
      <c r="U194" s="201" t="n"/>
      <c r="V194" s="201" t="n"/>
      <c r="W194" s="201" t="n"/>
      <c r="X194" s="118" t="n"/>
      <c r="Y194" s="118" t="n"/>
      <c r="Z194" s="118" t="n"/>
      <c r="AA194" s="118" t="n"/>
      <c r="AB194" s="118" t="n"/>
      <c r="AC194" s="118" t="n"/>
      <c r="AD194" s="118" t="n"/>
    </row>
    <row r="195">
      <c r="D195" s="201" t="n"/>
      <c r="E195" s="201" t="n"/>
      <c r="F195" s="201" t="n"/>
      <c r="G195" s="201" t="n"/>
      <c r="H195" s="201" t="n"/>
      <c r="I195" s="201" t="n"/>
      <c r="J195" s="201" t="n"/>
      <c r="K195" s="201" t="n"/>
      <c r="L195" s="201" t="n"/>
      <c r="M195" s="201" t="n"/>
      <c r="N195" s="201" t="n"/>
      <c r="O195" s="201" t="n"/>
      <c r="P195" s="201" t="n"/>
      <c r="Q195" s="201" t="n"/>
      <c r="R195" s="201" t="n"/>
      <c r="S195" s="201" t="n"/>
      <c r="T195" s="201" t="n"/>
      <c r="U195" s="201" t="n"/>
      <c r="V195" s="201" t="n"/>
      <c r="W195" s="201" t="n"/>
    </row>
    <row r="196">
      <c r="D196" s="201" t="n"/>
      <c r="E196" s="201" t="n"/>
      <c r="F196" s="201" t="n"/>
      <c r="G196" s="201" t="n"/>
      <c r="H196" s="201" t="n"/>
      <c r="I196" s="201" t="n"/>
      <c r="J196" s="201" t="n"/>
      <c r="K196" s="201" t="n"/>
      <c r="L196" s="201" t="n"/>
      <c r="M196" s="201" t="n"/>
      <c r="N196" s="201" t="n"/>
      <c r="O196" s="201" t="n"/>
      <c r="P196" s="201" t="n"/>
      <c r="Q196" s="201" t="n"/>
      <c r="R196" s="201" t="n"/>
      <c r="S196" s="201" t="n"/>
      <c r="T196" s="201" t="n"/>
      <c r="U196" s="201" t="n"/>
      <c r="V196" s="201" t="n"/>
      <c r="W196" s="201" t="n"/>
    </row>
    <row r="197">
      <c r="D197" s="201" t="n"/>
      <c r="E197" s="201" t="n"/>
      <c r="F197" s="201" t="n"/>
      <c r="G197" s="201" t="n"/>
      <c r="H197" s="201" t="n"/>
      <c r="I197" s="201" t="n"/>
      <c r="J197" s="201" t="n"/>
      <c r="K197" s="201" t="n"/>
      <c r="L197" s="201" t="n"/>
      <c r="M197" s="201" t="n"/>
      <c r="N197" s="201" t="n"/>
      <c r="O197" s="201" t="n"/>
      <c r="P197" s="201" t="n"/>
      <c r="Q197" s="201" t="n"/>
      <c r="R197" s="201" t="n"/>
      <c r="S197" s="201" t="n"/>
      <c r="T197" s="201" t="n"/>
      <c r="U197" s="201" t="n"/>
      <c r="V197" s="201" t="n"/>
      <c r="W197" s="201" t="n"/>
    </row>
    <row r="198">
      <c r="D198" s="201" t="n"/>
      <c r="E198" s="201" t="n"/>
      <c r="F198" s="201" t="n"/>
      <c r="G198" s="201" t="n"/>
      <c r="H198" s="201" t="n"/>
      <c r="I198" s="201" t="n"/>
      <c r="J198" s="201" t="n"/>
      <c r="K198" s="201" t="n"/>
      <c r="L198" s="201" t="n"/>
      <c r="M198" s="201" t="n"/>
      <c r="N198" s="201" t="n"/>
      <c r="O198" s="201" t="n"/>
      <c r="P198" s="201" t="n"/>
      <c r="Q198" s="201" t="n"/>
      <c r="R198" s="201" t="n"/>
      <c r="S198" s="201" t="n"/>
      <c r="T198" s="201" t="n"/>
      <c r="U198" s="201" t="n"/>
      <c r="V198" s="201" t="n"/>
      <c r="W198" s="201" t="n"/>
    </row>
    <row r="199">
      <c r="D199" s="201" t="n"/>
      <c r="E199" s="201" t="n"/>
      <c r="F199" s="201" t="n"/>
      <c r="G199" s="201" t="n"/>
      <c r="H199" s="201" t="n"/>
      <c r="I199" s="201" t="n"/>
      <c r="J199" s="201" t="n"/>
      <c r="K199" s="201" t="n"/>
      <c r="L199" s="201" t="n"/>
      <c r="M199" s="201" t="n"/>
      <c r="N199" s="201" t="n"/>
      <c r="O199" s="201" t="n"/>
      <c r="P199" s="201" t="n"/>
      <c r="Q199" s="201" t="n"/>
      <c r="R199" s="201" t="n"/>
      <c r="S199" s="201" t="n"/>
      <c r="T199" s="201" t="n"/>
      <c r="U199" s="201" t="n"/>
      <c r="V199" s="201" t="n"/>
      <c r="W199" s="201" t="n"/>
    </row>
    <row r="200">
      <c r="D200" s="201" t="n"/>
      <c r="E200" s="201" t="n"/>
      <c r="F200" s="201" t="n"/>
      <c r="G200" s="201" t="n"/>
      <c r="H200" s="201" t="n"/>
      <c r="I200" s="201" t="n"/>
      <c r="J200" s="201" t="n"/>
      <c r="K200" s="201" t="n"/>
      <c r="L200" s="201" t="n"/>
      <c r="M200" s="201" t="n"/>
      <c r="N200" s="201" t="n"/>
      <c r="O200" s="201" t="n"/>
      <c r="P200" s="201" t="n"/>
      <c r="Q200" s="201" t="n"/>
      <c r="R200" s="201" t="n"/>
      <c r="S200" s="201" t="n"/>
      <c r="T200" s="201" t="n"/>
      <c r="U200" s="201" t="n"/>
      <c r="V200" s="201" t="n"/>
      <c r="W200" s="201" t="n"/>
    </row>
    <row r="201">
      <c r="D201" s="201" t="n"/>
      <c r="E201" s="201" t="n"/>
      <c r="F201" s="201" t="n"/>
      <c r="G201" s="201" t="n"/>
      <c r="H201" s="201" t="n"/>
      <c r="I201" s="201" t="n"/>
      <c r="J201" s="201" t="n"/>
      <c r="K201" s="201" t="n"/>
      <c r="L201" s="201" t="n"/>
      <c r="M201" s="201" t="n"/>
      <c r="N201" s="201" t="n"/>
      <c r="O201" s="201" t="n"/>
      <c r="P201" s="201" t="n"/>
      <c r="Q201" s="201" t="n"/>
      <c r="R201" s="201" t="n"/>
      <c r="S201" s="201" t="n"/>
      <c r="T201" s="201" t="n"/>
      <c r="U201" s="201" t="n"/>
      <c r="V201" s="201" t="n"/>
      <c r="W201" s="201" t="n"/>
    </row>
    <row r="202">
      <c r="D202" s="201" t="n"/>
      <c r="E202" s="201" t="n"/>
      <c r="F202" s="201" t="n"/>
      <c r="G202" s="201" t="n"/>
      <c r="H202" s="201" t="n"/>
      <c r="I202" s="201" t="n"/>
      <c r="J202" s="201" t="n"/>
      <c r="K202" s="201" t="n"/>
      <c r="L202" s="201" t="n"/>
      <c r="M202" s="201" t="n"/>
      <c r="N202" s="201" t="n"/>
      <c r="O202" s="201" t="n"/>
      <c r="P202" s="201" t="n"/>
      <c r="Q202" s="201" t="n"/>
      <c r="R202" s="201" t="n"/>
      <c r="S202" s="201" t="n"/>
      <c r="T202" s="201" t="n"/>
      <c r="U202" s="201" t="n"/>
      <c r="V202" s="201" t="n"/>
      <c r="W202" s="201" t="n"/>
    </row>
    <row r="203">
      <c r="D203" s="201" t="n"/>
      <c r="E203" s="201" t="n"/>
      <c r="F203" s="201" t="n"/>
      <c r="G203" s="201" t="n"/>
      <c r="H203" s="201" t="n"/>
      <c r="I203" s="201" t="n"/>
      <c r="J203" s="201" t="n"/>
      <c r="K203" s="201" t="n"/>
      <c r="L203" s="201" t="n"/>
      <c r="M203" s="201" t="n"/>
      <c r="N203" s="201" t="n"/>
      <c r="O203" s="201" t="n"/>
      <c r="P203" s="201" t="n"/>
      <c r="Q203" s="201" t="n"/>
      <c r="R203" s="201" t="n"/>
      <c r="S203" s="201" t="n"/>
      <c r="T203" s="201" t="n"/>
      <c r="U203" s="201" t="n"/>
      <c r="V203" s="201" t="n"/>
      <c r="W203" s="201" t="n"/>
    </row>
    <row r="204">
      <c r="D204" s="201" t="n"/>
      <c r="E204" s="201" t="n"/>
      <c r="F204" s="201" t="n"/>
      <c r="G204" s="201" t="n"/>
      <c r="H204" s="201" t="n"/>
      <c r="I204" s="201" t="n"/>
      <c r="J204" s="201" t="n"/>
      <c r="K204" s="201" t="n"/>
      <c r="L204" s="201" t="n"/>
      <c r="M204" s="201" t="n"/>
      <c r="N204" s="201" t="n"/>
      <c r="O204" s="201" t="n"/>
      <c r="P204" s="201" t="n"/>
      <c r="Q204" s="201" t="n"/>
      <c r="R204" s="201" t="n"/>
      <c r="S204" s="201" t="n"/>
      <c r="T204" s="201" t="n"/>
      <c r="U204" s="201" t="n"/>
      <c r="V204" s="201" t="n"/>
      <c r="W204" s="201" t="n"/>
    </row>
    <row r="205">
      <c r="D205" s="201" t="n"/>
      <c r="E205" s="201" t="n"/>
      <c r="F205" s="201" t="n"/>
      <c r="G205" s="201" t="n"/>
      <c r="H205" s="201" t="n"/>
      <c r="I205" s="201" t="n"/>
      <c r="J205" s="201" t="n"/>
      <c r="K205" s="201" t="n"/>
      <c r="L205" s="201" t="n"/>
      <c r="M205" s="201" t="n"/>
      <c r="N205" s="201" t="n"/>
      <c r="O205" s="201" t="n"/>
      <c r="P205" s="201" t="n"/>
      <c r="Q205" s="201" t="n"/>
      <c r="R205" s="201" t="n"/>
      <c r="S205" s="201" t="n"/>
      <c r="T205" s="201" t="n"/>
      <c r="U205" s="201" t="n"/>
      <c r="V205" s="201" t="n"/>
      <c r="W205" s="201" t="n"/>
    </row>
    <row r="206">
      <c r="D206" s="201" t="n"/>
      <c r="E206" s="201" t="n"/>
      <c r="F206" s="201" t="n"/>
      <c r="G206" s="201" t="n"/>
      <c r="H206" s="201" t="n"/>
      <c r="I206" s="201" t="n"/>
      <c r="J206" s="201" t="n"/>
      <c r="K206" s="201" t="n"/>
      <c r="L206" s="201" t="n"/>
      <c r="M206" s="201" t="n"/>
      <c r="N206" s="201" t="n"/>
      <c r="O206" s="201" t="n"/>
      <c r="P206" s="201" t="n"/>
      <c r="Q206" s="201" t="n"/>
      <c r="R206" s="201" t="n"/>
      <c r="S206" s="201" t="n"/>
      <c r="T206" s="201" t="n"/>
      <c r="U206" s="201" t="n"/>
      <c r="V206" s="201" t="n"/>
      <c r="W206" s="201" t="n"/>
    </row>
    <row r="207">
      <c r="D207" s="201" t="n"/>
      <c r="E207" s="201" t="n"/>
      <c r="F207" s="201" t="n"/>
      <c r="G207" s="201" t="n"/>
      <c r="H207" s="201" t="n"/>
      <c r="I207" s="201" t="n"/>
      <c r="J207" s="201" t="n"/>
      <c r="K207" s="201" t="n"/>
      <c r="L207" s="201" t="n"/>
      <c r="M207" s="201" t="n"/>
      <c r="N207" s="201" t="n"/>
      <c r="O207" s="201" t="n"/>
      <c r="P207" s="201" t="n"/>
      <c r="Q207" s="201" t="n"/>
      <c r="R207" s="201" t="n"/>
      <c r="S207" s="201" t="n"/>
      <c r="T207" s="201" t="n"/>
      <c r="U207" s="201" t="n"/>
      <c r="V207" s="201" t="n"/>
      <c r="W207" s="201" t="n"/>
    </row>
    <row r="208">
      <c r="D208" s="201" t="n"/>
      <c r="E208" s="201" t="n"/>
      <c r="F208" s="201" t="n"/>
      <c r="G208" s="201" t="n"/>
      <c r="H208" s="201" t="n"/>
      <c r="I208" s="201" t="n"/>
      <c r="J208" s="201" t="n"/>
      <c r="K208" s="201" t="n"/>
      <c r="L208" s="201" t="n"/>
      <c r="M208" s="201" t="n"/>
      <c r="N208" s="201" t="n"/>
      <c r="O208" s="201" t="n"/>
      <c r="P208" s="201" t="n"/>
      <c r="Q208" s="201" t="n"/>
      <c r="R208" s="201" t="n"/>
      <c r="S208" s="201" t="n"/>
      <c r="T208" s="201" t="n"/>
      <c r="U208" s="201" t="n"/>
      <c r="V208" s="201" t="n"/>
      <c r="W208" s="201" t="n"/>
    </row>
    <row r="209">
      <c r="D209" s="201" t="n"/>
      <c r="E209" s="201" t="n"/>
      <c r="F209" s="201" t="n"/>
      <c r="G209" s="201" t="n"/>
      <c r="H209" s="201" t="n"/>
      <c r="I209" s="201" t="n"/>
      <c r="J209" s="201" t="n"/>
      <c r="K209" s="201" t="n"/>
      <c r="L209" s="201" t="n"/>
      <c r="M209" s="201" t="n"/>
      <c r="N209" s="201" t="n"/>
      <c r="O209" s="201" t="n"/>
      <c r="P209" s="201" t="n"/>
      <c r="Q209" s="201" t="n"/>
      <c r="R209" s="201" t="n"/>
      <c r="S209" s="201" t="n"/>
      <c r="T209" s="201" t="n"/>
      <c r="U209" s="201" t="n"/>
      <c r="V209" s="201" t="n"/>
      <c r="W209" s="201" t="n"/>
    </row>
    <row r="210">
      <c r="D210" s="201" t="n"/>
      <c r="E210" s="201" t="n"/>
      <c r="F210" s="201" t="n"/>
      <c r="G210" s="201" t="n"/>
      <c r="H210" s="201" t="n"/>
      <c r="I210" s="201" t="n"/>
      <c r="J210" s="201" t="n"/>
      <c r="K210" s="201" t="n"/>
      <c r="L210" s="201" t="n"/>
      <c r="M210" s="201" t="n"/>
      <c r="N210" s="201" t="n"/>
      <c r="O210" s="201" t="n"/>
      <c r="P210" s="201" t="n"/>
      <c r="Q210" s="201" t="n"/>
      <c r="R210" s="201" t="n"/>
      <c r="S210" s="201" t="n"/>
      <c r="T210" s="201" t="n"/>
      <c r="U210" s="201" t="n"/>
      <c r="V210" s="201" t="n"/>
      <c r="W210" s="201" t="n"/>
    </row>
    <row r="211">
      <c r="D211" s="201" t="n"/>
      <c r="E211" s="201" t="n"/>
      <c r="F211" s="201" t="n"/>
      <c r="G211" s="201" t="n"/>
      <c r="H211" s="201" t="n"/>
      <c r="I211" s="201" t="n"/>
      <c r="J211" s="201" t="n"/>
      <c r="K211" s="201" t="n"/>
      <c r="L211" s="201" t="n"/>
      <c r="M211" s="201" t="n"/>
      <c r="N211" s="201" t="n"/>
      <c r="O211" s="201" t="n"/>
      <c r="P211" s="201" t="n"/>
      <c r="Q211" s="201" t="n"/>
      <c r="R211" s="201" t="n"/>
      <c r="S211" s="201" t="n"/>
      <c r="T211" s="201" t="n"/>
      <c r="U211" s="201" t="n"/>
      <c r="V211" s="201" t="n"/>
      <c r="W211" s="201" t="n"/>
    </row>
    <row r="212">
      <c r="D212" s="201" t="n"/>
      <c r="E212" s="201" t="n"/>
      <c r="F212" s="201" t="n"/>
      <c r="G212" s="201" t="n"/>
      <c r="H212" s="201" t="n"/>
      <c r="I212" s="201" t="n"/>
      <c r="J212" s="201" t="n"/>
      <c r="K212" s="201" t="n"/>
      <c r="L212" s="201" t="n"/>
      <c r="M212" s="201" t="n"/>
      <c r="N212" s="201" t="n"/>
      <c r="O212" s="201" t="n"/>
      <c r="P212" s="201" t="n"/>
      <c r="Q212" s="201" t="n"/>
      <c r="R212" s="201" t="n"/>
      <c r="S212" s="201" t="n"/>
      <c r="T212" s="201" t="n"/>
      <c r="U212" s="201" t="n"/>
      <c r="V212" s="201" t="n"/>
      <c r="W212" s="201" t="n"/>
    </row>
    <row r="213">
      <c r="D213" s="201" t="n"/>
      <c r="E213" s="201" t="n"/>
      <c r="F213" s="201" t="n"/>
      <c r="G213" s="201" t="n"/>
      <c r="H213" s="201" t="n"/>
      <c r="I213" s="201" t="n"/>
      <c r="J213" s="201" t="n"/>
      <c r="K213" s="201" t="n"/>
      <c r="L213" s="201" t="n"/>
      <c r="M213" s="201" t="n"/>
      <c r="N213" s="201" t="n"/>
      <c r="O213" s="201" t="n"/>
      <c r="P213" s="201" t="n"/>
      <c r="Q213" s="201" t="n"/>
      <c r="R213" s="201" t="n"/>
      <c r="S213" s="201" t="n"/>
      <c r="T213" s="201" t="n"/>
      <c r="U213" s="201" t="n"/>
      <c r="V213" s="201" t="n"/>
      <c r="W213" s="201" t="n"/>
    </row>
    <row r="214">
      <c r="D214" s="201" t="n"/>
      <c r="E214" s="201" t="n"/>
      <c r="F214" s="201" t="n"/>
      <c r="G214" s="201" t="n"/>
      <c r="H214" s="201" t="n"/>
      <c r="I214" s="201" t="n"/>
      <c r="J214" s="201" t="n"/>
      <c r="K214" s="201" t="n"/>
      <c r="L214" s="201" t="n"/>
      <c r="M214" s="201" t="n"/>
      <c r="N214" s="201" t="n"/>
      <c r="O214" s="201" t="n"/>
      <c r="P214" s="201" t="n"/>
      <c r="Q214" s="201" t="n"/>
      <c r="R214" s="201" t="n"/>
      <c r="S214" s="201" t="n"/>
      <c r="T214" s="201" t="n"/>
      <c r="U214" s="201" t="n"/>
      <c r="V214" s="201" t="n"/>
      <c r="W214" s="201" t="n"/>
    </row>
    <row r="215">
      <c r="D215" s="201" t="n"/>
      <c r="E215" s="201" t="n"/>
      <c r="F215" s="201" t="n"/>
      <c r="G215" s="201" t="n"/>
      <c r="H215" s="201" t="n"/>
      <c r="I215" s="201" t="n"/>
      <c r="J215" s="201" t="n"/>
      <c r="K215" s="201" t="n"/>
      <c r="L215" s="201" t="n"/>
      <c r="M215" s="201" t="n"/>
      <c r="N215" s="201" t="n"/>
      <c r="O215" s="201" t="n"/>
      <c r="P215" s="201" t="n"/>
      <c r="Q215" s="201" t="n"/>
      <c r="R215" s="201" t="n"/>
      <c r="S215" s="201" t="n"/>
      <c r="T215" s="201" t="n"/>
      <c r="U215" s="201" t="n"/>
      <c r="V215" s="201" t="n"/>
      <c r="W215" s="201" t="n"/>
    </row>
    <row r="216" ht="15" customHeight="1" s="179">
      <c r="D216" s="201" t="n"/>
      <c r="E216" s="201" t="n"/>
      <c r="F216" s="201" t="n"/>
      <c r="G216" s="201" t="n"/>
      <c r="H216" s="201" t="n"/>
      <c r="I216" s="201" t="n"/>
      <c r="J216" s="201" t="n"/>
      <c r="K216" s="201" t="n"/>
      <c r="L216" s="201" t="n"/>
      <c r="M216" s="201" t="n"/>
      <c r="N216" s="201" t="n"/>
      <c r="O216" s="201" t="n"/>
      <c r="P216" s="201" t="n"/>
      <c r="Q216" s="201" t="n"/>
      <c r="R216" s="201" t="n"/>
      <c r="S216" s="201" t="n"/>
      <c r="T216" s="201" t="n"/>
      <c r="U216" s="201" t="n"/>
      <c r="V216" s="201" t="n"/>
      <c r="W216" s="201" t="n"/>
    </row>
    <row r="217" ht="15" customHeight="1" s="179">
      <c r="A217" s="118" t="n"/>
    </row>
    <row r="218" ht="15" customHeight="1" s="179">
      <c r="A218" s="118" t="n"/>
    </row>
    <row r="219" ht="15" customHeight="1" s="179">
      <c r="A219" s="118" t="n"/>
    </row>
    <row r="220" ht="15" customHeight="1" s="179">
      <c r="A220" s="118" t="n"/>
    </row>
    <row r="221" ht="15" customHeight="1" s="179">
      <c r="A221" s="118" t="n"/>
    </row>
    <row r="222" ht="15" customHeight="1" s="179">
      <c r="A222" s="118" t="n"/>
    </row>
    <row r="223" ht="15" customHeight="1" s="179"/>
    <row r="224">
      <c r="D224" s="201" t="n"/>
      <c r="E224" s="201" t="n"/>
      <c r="F224" s="201" t="n"/>
      <c r="G224" s="201" t="n"/>
      <c r="H224" s="201" t="n"/>
      <c r="I224" s="201" t="n"/>
      <c r="J224" s="201" t="n"/>
      <c r="K224" s="201" t="n"/>
      <c r="L224" s="201" t="n"/>
      <c r="M224" s="201" t="n"/>
      <c r="N224" s="201" t="n"/>
      <c r="O224" s="201" t="n"/>
      <c r="P224" s="201" t="n"/>
      <c r="Q224" s="201" t="n"/>
      <c r="R224" s="201" t="n"/>
      <c r="S224" s="201" t="n"/>
      <c r="T224" s="201" t="n"/>
      <c r="U224" s="201" t="n"/>
      <c r="V224" s="201" t="n"/>
      <c r="W224" s="201" t="n"/>
    </row>
    <row r="225">
      <c r="D225" s="201" t="n"/>
      <c r="E225" s="201" t="n"/>
      <c r="F225" s="201" t="n"/>
      <c r="G225" s="201" t="n"/>
      <c r="H225" s="201" t="n"/>
      <c r="I225" s="201" t="n"/>
      <c r="J225" s="201" t="n"/>
      <c r="K225" s="201" t="n"/>
      <c r="L225" s="201" t="n"/>
      <c r="M225" s="201" t="n"/>
      <c r="N225" s="201" t="n"/>
      <c r="O225" s="201" t="n"/>
      <c r="P225" s="201" t="n"/>
      <c r="Q225" s="201" t="n"/>
      <c r="R225" s="201" t="n"/>
      <c r="S225" s="201" t="n"/>
      <c r="T225" s="201" t="n"/>
      <c r="U225" s="201" t="n"/>
      <c r="V225" s="201" t="n"/>
      <c r="W225" s="201" t="n"/>
    </row>
    <row r="226">
      <c r="D226" s="201" t="n"/>
      <c r="E226" s="201" t="n"/>
      <c r="F226" s="201" t="n"/>
      <c r="G226" s="201" t="n"/>
      <c r="H226" s="201" t="n"/>
      <c r="I226" s="201" t="n"/>
      <c r="J226" s="201" t="n"/>
      <c r="K226" s="201" t="n"/>
      <c r="L226" s="201" t="n"/>
      <c r="M226" s="201" t="n"/>
      <c r="N226" s="201" t="n"/>
      <c r="O226" s="201" t="n"/>
      <c r="P226" s="201" t="n"/>
      <c r="Q226" s="201" t="n"/>
      <c r="R226" s="201" t="n"/>
      <c r="S226" s="201" t="n"/>
      <c r="T226" s="201" t="n"/>
      <c r="U226" s="201" t="n"/>
      <c r="V226" s="201" t="n"/>
      <c r="W226" s="201" t="n"/>
    </row>
    <row r="227">
      <c r="D227" s="201" t="n"/>
      <c r="E227" s="201" t="n"/>
      <c r="F227" s="201" t="n"/>
      <c r="G227" s="201" t="n"/>
      <c r="H227" s="201" t="n"/>
      <c r="I227" s="201" t="n"/>
      <c r="J227" s="201" t="n"/>
      <c r="K227" s="201" t="n"/>
      <c r="L227" s="201" t="n"/>
      <c r="M227" s="201" t="n"/>
      <c r="N227" s="201" t="n"/>
      <c r="O227" s="201" t="n"/>
      <c r="P227" s="201" t="n"/>
      <c r="Q227" s="201" t="n"/>
      <c r="R227" s="201" t="n"/>
      <c r="S227" s="201" t="n"/>
      <c r="T227" s="201" t="n"/>
      <c r="U227" s="201" t="n"/>
      <c r="V227" s="201" t="n"/>
      <c r="W227" s="201" t="n"/>
    </row>
    <row r="228">
      <c r="D228" s="201" t="n"/>
      <c r="E228" s="201" t="n"/>
      <c r="F228" s="201" t="n"/>
      <c r="G228" s="201" t="n"/>
      <c r="H228" s="201" t="n"/>
      <c r="I228" s="201" t="n"/>
      <c r="J228" s="201" t="n"/>
      <c r="K228" s="201" t="n"/>
      <c r="L228" s="201" t="n"/>
      <c r="M228" s="201" t="n"/>
      <c r="N228" s="201" t="n"/>
      <c r="O228" s="201" t="n"/>
      <c r="P228" s="201" t="n"/>
      <c r="Q228" s="201" t="n"/>
      <c r="R228" s="201" t="n"/>
      <c r="S228" s="201" t="n"/>
      <c r="T228" s="201" t="n"/>
      <c r="U228" s="201" t="n"/>
      <c r="V228" s="201" t="n"/>
      <c r="W228" s="201" t="n"/>
    </row>
    <row r="229">
      <c r="D229" s="201" t="n"/>
      <c r="E229" s="201" t="n"/>
      <c r="F229" s="201" t="n"/>
      <c r="G229" s="201" t="n"/>
      <c r="H229" s="201" t="n"/>
      <c r="I229" s="201" t="n"/>
      <c r="J229" s="201" t="n"/>
      <c r="K229" s="201" t="n"/>
      <c r="L229" s="201" t="n"/>
      <c r="M229" s="201" t="n"/>
      <c r="N229" s="201" t="n"/>
      <c r="O229" s="201" t="n"/>
      <c r="P229" s="201" t="n"/>
      <c r="Q229" s="201" t="n"/>
      <c r="R229" s="201" t="n"/>
      <c r="S229" s="201" t="n"/>
      <c r="T229" s="201" t="n"/>
      <c r="U229" s="201" t="n"/>
      <c r="V229" s="201" t="n"/>
      <c r="W229" s="201" t="n"/>
    </row>
    <row r="230">
      <c r="D230" s="201" t="n"/>
      <c r="E230" s="201" t="n"/>
      <c r="F230" s="201" t="n"/>
      <c r="G230" s="201" t="n"/>
      <c r="H230" s="201" t="n"/>
      <c r="I230" s="201" t="n"/>
      <c r="J230" s="201" t="n"/>
      <c r="K230" s="201" t="n"/>
      <c r="L230" s="201" t="n"/>
      <c r="M230" s="201" t="n"/>
      <c r="N230" s="201" t="n"/>
      <c r="O230" s="201" t="n"/>
      <c r="P230" s="201" t="n"/>
      <c r="Q230" s="201" t="n"/>
      <c r="R230" s="201" t="n"/>
      <c r="S230" s="201" t="n"/>
      <c r="T230" s="201" t="n"/>
      <c r="U230" s="201" t="n"/>
      <c r="V230" s="201" t="n"/>
      <c r="W230" s="201" t="n"/>
    </row>
    <row r="231">
      <c r="D231" s="201" t="n"/>
      <c r="E231" s="201" t="n"/>
      <c r="F231" s="201" t="n"/>
      <c r="G231" s="201" t="n"/>
      <c r="H231" s="201" t="n"/>
      <c r="I231" s="201" t="n"/>
      <c r="J231" s="201" t="n"/>
      <c r="K231" s="201" t="n"/>
      <c r="L231" s="201" t="n"/>
      <c r="M231" s="201" t="n"/>
      <c r="N231" s="201" t="n"/>
      <c r="O231" s="201" t="n"/>
      <c r="P231" s="201" t="n"/>
      <c r="Q231" s="201" t="n"/>
      <c r="R231" s="201" t="n"/>
      <c r="S231" s="201" t="n"/>
      <c r="T231" s="201" t="n"/>
      <c r="U231" s="201" t="n"/>
      <c r="V231" s="201" t="n"/>
      <c r="W231" s="201" t="n"/>
    </row>
    <row r="232">
      <c r="D232" s="201" t="n"/>
      <c r="E232" s="201" t="n"/>
      <c r="F232" s="201" t="n"/>
      <c r="G232" s="201" t="n"/>
      <c r="H232" s="201" t="n"/>
      <c r="I232" s="201" t="n"/>
      <c r="J232" s="201" t="n"/>
      <c r="K232" s="201" t="n"/>
      <c r="L232" s="201" t="n"/>
      <c r="M232" s="201" t="n"/>
      <c r="N232" s="201" t="n"/>
      <c r="O232" s="201" t="n"/>
      <c r="P232" s="201" t="n"/>
      <c r="Q232" s="201" t="n"/>
      <c r="R232" s="201" t="n"/>
      <c r="S232" s="201" t="n"/>
      <c r="T232" s="201" t="n"/>
      <c r="U232" s="201" t="n"/>
      <c r="V232" s="201" t="n"/>
      <c r="W232" s="201" t="n"/>
    </row>
    <row r="233">
      <c r="D233" s="201" t="n"/>
      <c r="E233" s="201" t="n"/>
      <c r="F233" s="201" t="n"/>
      <c r="G233" s="201" t="n"/>
      <c r="H233" s="201" t="n"/>
      <c r="I233" s="201" t="n"/>
      <c r="J233" s="201" t="n"/>
      <c r="K233" s="201" t="n"/>
      <c r="L233" s="201" t="n"/>
      <c r="M233" s="201" t="n"/>
      <c r="N233" s="201" t="n"/>
      <c r="O233" s="201" t="n"/>
      <c r="P233" s="201" t="n"/>
      <c r="Q233" s="201" t="n"/>
      <c r="R233" s="201" t="n"/>
      <c r="S233" s="201" t="n"/>
      <c r="T233" s="201" t="n"/>
      <c r="U233" s="201" t="n"/>
      <c r="V233" s="201" t="n"/>
      <c r="W233" s="201" t="n"/>
    </row>
    <row r="234">
      <c r="D234" s="201" t="n"/>
      <c r="E234" s="201" t="n"/>
      <c r="F234" s="201" t="n"/>
      <c r="G234" s="201" t="n"/>
      <c r="H234" s="201" t="n"/>
      <c r="I234" s="201" t="n"/>
      <c r="J234" s="201" t="n"/>
      <c r="K234" s="201" t="n"/>
      <c r="L234" s="201" t="n"/>
      <c r="M234" s="201" t="n"/>
      <c r="N234" s="201" t="n"/>
      <c r="O234" s="201" t="n"/>
      <c r="P234" s="201" t="n"/>
      <c r="Q234" s="201" t="n"/>
      <c r="R234" s="201" t="n"/>
      <c r="S234" s="201" t="n"/>
      <c r="T234" s="201" t="n"/>
      <c r="U234" s="201" t="n"/>
      <c r="V234" s="201" t="n"/>
      <c r="W234" s="201" t="n"/>
    </row>
    <row r="235">
      <c r="D235" s="201" t="n"/>
      <c r="E235" s="201" t="n"/>
      <c r="F235" s="201" t="n"/>
      <c r="G235" s="201" t="n"/>
      <c r="H235" s="201" t="n"/>
      <c r="I235" s="201" t="n"/>
      <c r="J235" s="201" t="n"/>
      <c r="K235" s="201" t="n"/>
      <c r="L235" s="201" t="n"/>
      <c r="M235" s="201" t="n"/>
      <c r="N235" s="201" t="n"/>
      <c r="O235" s="201" t="n"/>
      <c r="P235" s="201" t="n"/>
      <c r="Q235" s="201" t="n"/>
      <c r="R235" s="201" t="n"/>
      <c r="S235" s="201" t="n"/>
      <c r="T235" s="201" t="n"/>
      <c r="U235" s="201" t="n"/>
      <c r="V235" s="201" t="n"/>
      <c r="W235" s="201" t="n"/>
    </row>
    <row r="236">
      <c r="D236" s="201" t="n"/>
      <c r="E236" s="201" t="n"/>
      <c r="F236" s="201" t="n"/>
      <c r="G236" s="201" t="n"/>
      <c r="H236" s="201" t="n"/>
      <c r="I236" s="201" t="n"/>
      <c r="J236" s="201" t="n"/>
      <c r="K236" s="201" t="n"/>
      <c r="L236" s="201" t="n"/>
      <c r="M236" s="201" t="n"/>
      <c r="N236" s="201" t="n"/>
      <c r="O236" s="201" t="n"/>
      <c r="P236" s="201" t="n"/>
      <c r="Q236" s="201" t="n"/>
      <c r="R236" s="201" t="n"/>
      <c r="S236" s="201" t="n"/>
      <c r="T236" s="201" t="n"/>
      <c r="U236" s="201" t="n"/>
      <c r="V236" s="201" t="n"/>
      <c r="W236" s="201" t="n"/>
    </row>
    <row r="237">
      <c r="D237" s="201" t="n"/>
      <c r="E237" s="201" t="n"/>
      <c r="F237" s="201" t="n"/>
      <c r="G237" s="201" t="n"/>
      <c r="H237" s="201" t="n"/>
      <c r="I237" s="201" t="n"/>
      <c r="J237" s="201" t="n"/>
      <c r="K237" s="201" t="n"/>
      <c r="L237" s="201" t="n"/>
      <c r="M237" s="201" t="n"/>
      <c r="N237" s="201" t="n"/>
      <c r="O237" s="201" t="n"/>
      <c r="P237" s="201" t="n"/>
      <c r="Q237" s="201" t="n"/>
      <c r="R237" s="201" t="n"/>
      <c r="S237" s="201" t="n"/>
      <c r="T237" s="201" t="n"/>
      <c r="U237" s="201" t="n"/>
      <c r="V237" s="201" t="n"/>
      <c r="W237" s="201" t="n"/>
    </row>
    <row r="238">
      <c r="D238" s="201" t="n"/>
      <c r="E238" s="201" t="n"/>
      <c r="F238" s="201" t="n"/>
      <c r="G238" s="201" t="n"/>
      <c r="H238" s="201" t="n"/>
      <c r="I238" s="201" t="n"/>
      <c r="J238" s="201" t="n"/>
      <c r="K238" s="201" t="n"/>
      <c r="L238" s="201" t="n"/>
      <c r="M238" s="201" t="n"/>
      <c r="N238" s="201" t="n"/>
      <c r="O238" s="201" t="n"/>
      <c r="P238" s="201" t="n"/>
      <c r="Q238" s="201" t="n"/>
      <c r="R238" s="201" t="n"/>
      <c r="S238" s="201" t="n"/>
      <c r="T238" s="201" t="n"/>
      <c r="U238" s="201" t="n"/>
      <c r="V238" s="201" t="n"/>
      <c r="W238" s="201" t="n"/>
    </row>
    <row r="239">
      <c r="D239" s="201" t="n"/>
      <c r="E239" s="201" t="n"/>
      <c r="F239" s="201" t="n"/>
      <c r="G239" s="201" t="n"/>
      <c r="H239" s="201" t="n"/>
      <c r="I239" s="201" t="n"/>
      <c r="J239" s="201" t="n"/>
      <c r="K239" s="201" t="n"/>
      <c r="L239" s="201" t="n"/>
      <c r="M239" s="201" t="n"/>
      <c r="N239" s="201" t="n"/>
      <c r="O239" s="201" t="n"/>
      <c r="P239" s="201" t="n"/>
      <c r="Q239" s="201" t="n"/>
      <c r="R239" s="201" t="n"/>
      <c r="S239" s="201" t="n"/>
      <c r="T239" s="201" t="n"/>
      <c r="U239" s="201" t="n"/>
      <c r="V239" s="201" t="n"/>
      <c r="W239" s="201" t="n"/>
    </row>
    <row r="240">
      <c r="D240" s="201" t="n"/>
      <c r="E240" s="201" t="n"/>
      <c r="F240" s="201" t="n"/>
      <c r="G240" s="201" t="n"/>
      <c r="H240" s="201" t="n"/>
      <c r="I240" s="201" t="n"/>
      <c r="J240" s="201" t="n"/>
      <c r="K240" s="201" t="n"/>
      <c r="L240" s="201" t="n"/>
      <c r="M240" s="201" t="n"/>
      <c r="N240" s="201" t="n"/>
      <c r="O240" s="201" t="n"/>
      <c r="P240" s="201" t="n"/>
      <c r="Q240" s="201" t="n"/>
      <c r="R240" s="201" t="n"/>
      <c r="S240" s="201" t="n"/>
      <c r="T240" s="201" t="n"/>
      <c r="U240" s="201" t="n"/>
      <c r="V240" s="201" t="n"/>
      <c r="W240" s="201" t="n"/>
    </row>
    <row r="241">
      <c r="D241" s="201" t="n"/>
      <c r="E241" s="201" t="n"/>
      <c r="F241" s="201" t="n"/>
      <c r="G241" s="201" t="n"/>
      <c r="H241" s="201" t="n"/>
      <c r="I241" s="201" t="n"/>
      <c r="J241" s="201" t="n"/>
      <c r="K241" s="201" t="n"/>
      <c r="L241" s="201" t="n"/>
      <c r="M241" s="201" t="n"/>
      <c r="N241" s="201" t="n"/>
      <c r="O241" s="201" t="n"/>
      <c r="P241" s="201" t="n"/>
      <c r="Q241" s="201" t="n"/>
      <c r="R241" s="201" t="n"/>
      <c r="S241" s="201" t="n"/>
      <c r="T241" s="201" t="n"/>
      <c r="U241" s="201" t="n"/>
      <c r="V241" s="201" t="n"/>
      <c r="W241" s="201" t="n"/>
    </row>
    <row r="242">
      <c r="D242" s="201" t="n"/>
      <c r="E242" s="201" t="n"/>
      <c r="F242" s="201" t="n"/>
      <c r="G242" s="201" t="n"/>
      <c r="H242" s="201" t="n"/>
      <c r="I242" s="201" t="n"/>
      <c r="J242" s="201" t="n"/>
      <c r="K242" s="201" t="n"/>
      <c r="L242" s="201" t="n"/>
      <c r="M242" s="201" t="n"/>
      <c r="N242" s="201" t="n"/>
      <c r="O242" s="201" t="n"/>
      <c r="P242" s="201" t="n"/>
      <c r="Q242" s="201" t="n"/>
      <c r="R242" s="201" t="n"/>
      <c r="S242" s="201" t="n"/>
      <c r="T242" s="201" t="n"/>
      <c r="U242" s="201" t="n"/>
      <c r="V242" s="201" t="n"/>
      <c r="W242" s="201" t="n"/>
    </row>
    <row r="243">
      <c r="D243" s="201" t="n"/>
      <c r="E243" s="201" t="n"/>
      <c r="F243" s="201" t="n"/>
      <c r="G243" s="201" t="n"/>
      <c r="H243" s="201" t="n"/>
      <c r="I243" s="201" t="n"/>
      <c r="J243" s="201" t="n"/>
      <c r="K243" s="201" t="n"/>
      <c r="L243" s="201" t="n"/>
      <c r="M243" s="201" t="n"/>
      <c r="N243" s="201" t="n"/>
      <c r="O243" s="201" t="n"/>
      <c r="P243" s="201" t="n"/>
      <c r="Q243" s="201" t="n"/>
      <c r="R243" s="201" t="n"/>
      <c r="S243" s="201" t="n"/>
      <c r="T243" s="201" t="n"/>
      <c r="U243" s="201" t="n"/>
      <c r="V243" s="201" t="n"/>
      <c r="W243" s="201" t="n"/>
    </row>
    <row r="244">
      <c r="D244" s="201" t="n"/>
      <c r="E244" s="201" t="n"/>
      <c r="F244" s="201" t="n"/>
      <c r="G244" s="201" t="n"/>
      <c r="H244" s="201" t="n"/>
      <c r="I244" s="201" t="n"/>
      <c r="J244" s="201" t="n"/>
      <c r="K244" s="201" t="n"/>
      <c r="L244" s="201" t="n"/>
      <c r="M244" s="201" t="n"/>
      <c r="N244" s="201" t="n"/>
      <c r="O244" s="201" t="n"/>
      <c r="P244" s="201" t="n"/>
      <c r="Q244" s="201" t="n"/>
      <c r="R244" s="201" t="n"/>
      <c r="S244" s="201" t="n"/>
      <c r="T244" s="201" t="n"/>
      <c r="U244" s="201" t="n"/>
      <c r="V244" s="201" t="n"/>
      <c r="W244" s="201" t="n"/>
    </row>
    <row r="245">
      <c r="D245" s="201" t="n"/>
      <c r="E245" s="201" t="n"/>
      <c r="F245" s="201" t="n"/>
      <c r="G245" s="201" t="n"/>
      <c r="H245" s="201" t="n"/>
      <c r="I245" s="201" t="n"/>
      <c r="J245" s="201" t="n"/>
      <c r="K245" s="201" t="n"/>
      <c r="L245" s="201" t="n"/>
      <c r="M245" s="201" t="n"/>
      <c r="N245" s="201" t="n"/>
      <c r="O245" s="201" t="n"/>
      <c r="P245" s="201" t="n"/>
      <c r="Q245" s="201" t="n"/>
      <c r="R245" s="201" t="n"/>
      <c r="S245" s="201" t="n"/>
      <c r="T245" s="201" t="n"/>
      <c r="U245" s="201" t="n"/>
      <c r="V245" s="201" t="n"/>
      <c r="W245" s="201" t="n"/>
    </row>
    <row r="246">
      <c r="D246" s="201" t="n"/>
      <c r="E246" s="201" t="n"/>
      <c r="F246" s="201" t="n"/>
      <c r="G246" s="201" t="n"/>
      <c r="H246" s="201" t="n"/>
      <c r="I246" s="201" t="n"/>
      <c r="J246" s="201" t="n"/>
      <c r="K246" s="201" t="n"/>
      <c r="L246" s="201" t="n"/>
      <c r="M246" s="201" t="n"/>
      <c r="N246" s="201" t="n"/>
      <c r="O246" s="201" t="n"/>
      <c r="P246" s="201" t="n"/>
      <c r="Q246" s="201" t="n"/>
      <c r="R246" s="201" t="n"/>
      <c r="S246" s="201" t="n"/>
      <c r="T246" s="201" t="n"/>
      <c r="U246" s="201" t="n"/>
      <c r="V246" s="201" t="n"/>
      <c r="W246" s="201" t="n"/>
    </row>
    <row r="247">
      <c r="D247" s="201" t="n"/>
      <c r="E247" s="201" t="n"/>
      <c r="F247" s="201" t="n"/>
      <c r="G247" s="201" t="n"/>
      <c r="H247" s="201" t="n"/>
      <c r="I247" s="201" t="n"/>
      <c r="J247" s="201" t="n"/>
      <c r="K247" s="201" t="n"/>
      <c r="L247" s="201" t="n"/>
      <c r="M247" s="201" t="n"/>
      <c r="N247" s="201" t="n"/>
      <c r="O247" s="201" t="n"/>
      <c r="P247" s="201" t="n"/>
      <c r="Q247" s="201" t="n"/>
      <c r="R247" s="201" t="n"/>
      <c r="S247" s="201" t="n"/>
      <c r="T247" s="201" t="n"/>
      <c r="U247" s="201" t="n"/>
      <c r="V247" s="201" t="n"/>
      <c r="W247" s="201" t="n"/>
    </row>
    <row r="248">
      <c r="D248" s="201" t="n"/>
      <c r="E248" s="201" t="n"/>
      <c r="F248" s="201" t="n"/>
      <c r="G248" s="201" t="n"/>
      <c r="H248" s="201" t="n"/>
      <c r="I248" s="201" t="n"/>
      <c r="J248" s="201" t="n"/>
      <c r="K248" s="201" t="n"/>
      <c r="L248" s="201" t="n"/>
      <c r="M248" s="201" t="n"/>
      <c r="N248" s="201" t="n"/>
      <c r="O248" s="201" t="n"/>
      <c r="P248" s="201" t="n"/>
      <c r="Q248" s="201" t="n"/>
      <c r="R248" s="201" t="n"/>
      <c r="S248" s="201" t="n"/>
      <c r="T248" s="201" t="n"/>
      <c r="U248" s="201" t="n"/>
      <c r="V248" s="201" t="n"/>
      <c r="W248" s="201" t="n"/>
    </row>
    <row r="249">
      <c r="D249" s="201" t="n"/>
      <c r="E249" s="201" t="n"/>
      <c r="F249" s="201" t="n"/>
      <c r="G249" s="201" t="n"/>
      <c r="H249" s="201" t="n"/>
      <c r="I249" s="201" t="n"/>
      <c r="J249" s="201" t="n"/>
      <c r="K249" s="201" t="n"/>
      <c r="L249" s="201" t="n"/>
      <c r="M249" s="201" t="n"/>
      <c r="N249" s="201" t="n"/>
      <c r="O249" s="201" t="n"/>
      <c r="P249" s="201" t="n"/>
      <c r="Q249" s="201" t="n"/>
      <c r="R249" s="201" t="n"/>
      <c r="S249" s="201" t="n"/>
      <c r="T249" s="201" t="n"/>
      <c r="U249" s="201" t="n"/>
      <c r="V249" s="201" t="n"/>
      <c r="W249" s="201" t="n"/>
    </row>
    <row r="250">
      <c r="D250" s="201" t="n"/>
      <c r="E250" s="201" t="n"/>
      <c r="F250" s="201" t="n"/>
      <c r="G250" s="201" t="n"/>
      <c r="H250" s="201" t="n"/>
      <c r="I250" s="201" t="n"/>
      <c r="J250" s="201" t="n"/>
      <c r="K250" s="201" t="n"/>
      <c r="L250" s="201" t="n"/>
      <c r="M250" s="201" t="n"/>
      <c r="N250" s="201" t="n"/>
      <c r="O250" s="201" t="n"/>
      <c r="P250" s="201" t="n"/>
      <c r="Q250" s="201" t="n"/>
      <c r="R250" s="201" t="n"/>
      <c r="S250" s="201" t="n"/>
      <c r="T250" s="201" t="n"/>
      <c r="U250" s="201" t="n"/>
      <c r="V250" s="201" t="n"/>
      <c r="W250" s="201" t="n"/>
    </row>
    <row r="251">
      <c r="D251" s="201" t="n"/>
      <c r="E251" s="201" t="n"/>
      <c r="F251" s="201" t="n"/>
      <c r="G251" s="201" t="n"/>
      <c r="H251" s="201" t="n"/>
      <c r="I251" s="201" t="n"/>
      <c r="J251" s="201" t="n"/>
      <c r="K251" s="201" t="n"/>
      <c r="L251" s="201" t="n"/>
      <c r="M251" s="201" t="n"/>
      <c r="N251" s="201" t="n"/>
      <c r="O251" s="201" t="n"/>
      <c r="P251" s="201" t="n"/>
      <c r="Q251" s="201" t="n"/>
      <c r="R251" s="201" t="n"/>
      <c r="S251" s="201" t="n"/>
      <c r="T251" s="201" t="n"/>
      <c r="U251" s="201" t="n"/>
      <c r="V251" s="201" t="n"/>
      <c r="W251" s="201" t="n"/>
    </row>
    <row r="252">
      <c r="D252" s="201" t="n"/>
      <c r="E252" s="201" t="n"/>
      <c r="F252" s="201" t="n"/>
      <c r="G252" s="201" t="n"/>
      <c r="H252" s="201" t="n"/>
      <c r="I252" s="201" t="n"/>
      <c r="J252" s="201" t="n"/>
      <c r="K252" s="201" t="n"/>
      <c r="L252" s="201" t="n"/>
      <c r="M252" s="201" t="n"/>
      <c r="N252" s="201" t="n"/>
      <c r="O252" s="201" t="n"/>
      <c r="P252" s="201" t="n"/>
      <c r="Q252" s="201" t="n"/>
      <c r="R252" s="201" t="n"/>
      <c r="S252" s="201" t="n"/>
      <c r="T252" s="201" t="n"/>
      <c r="U252" s="201" t="n"/>
      <c r="V252" s="201" t="n"/>
      <c r="W252" s="201" t="n"/>
    </row>
    <row r="253">
      <c r="D253" s="201" t="n"/>
      <c r="E253" s="201" t="n"/>
      <c r="F253" s="201" t="n"/>
      <c r="G253" s="201" t="n"/>
      <c r="H253" s="201" t="n"/>
      <c r="I253" s="201" t="n"/>
      <c r="J253" s="201" t="n"/>
      <c r="K253" s="201" t="n"/>
      <c r="L253" s="201" t="n"/>
      <c r="M253" s="201" t="n"/>
      <c r="N253" s="201" t="n"/>
      <c r="O253" s="201" t="n"/>
      <c r="P253" s="201" t="n"/>
      <c r="Q253" s="201" t="n"/>
      <c r="R253" s="201" t="n"/>
      <c r="S253" s="201" t="n"/>
      <c r="T253" s="201" t="n"/>
      <c r="U253" s="201" t="n"/>
      <c r="V253" s="201" t="n"/>
      <c r="W253" s="201" t="n"/>
    </row>
    <row r="254">
      <c r="D254" s="201" t="n"/>
      <c r="E254" s="201" t="n"/>
      <c r="F254" s="201" t="n"/>
      <c r="G254" s="201" t="n"/>
      <c r="H254" s="201" t="n"/>
      <c r="I254" s="201" t="n"/>
      <c r="J254" s="201" t="n"/>
      <c r="K254" s="201" t="n"/>
      <c r="L254" s="201" t="n"/>
      <c r="M254" s="201" t="n"/>
      <c r="N254" s="201" t="n"/>
      <c r="O254" s="201" t="n"/>
      <c r="P254" s="201" t="n"/>
      <c r="Q254" s="201" t="n"/>
      <c r="R254" s="201" t="n"/>
      <c r="S254" s="201" t="n"/>
      <c r="T254" s="201" t="n"/>
      <c r="U254" s="201" t="n"/>
      <c r="V254" s="201" t="n"/>
      <c r="W254" s="201" t="n"/>
    </row>
    <row r="255">
      <c r="D255" s="201" t="n"/>
      <c r="E255" s="201" t="n"/>
      <c r="F255" s="201" t="n"/>
      <c r="G255" s="201" t="n"/>
      <c r="H255" s="201" t="n"/>
      <c r="I255" s="201" t="n"/>
      <c r="J255" s="201" t="n"/>
      <c r="K255" s="201" t="n"/>
      <c r="L255" s="201" t="n"/>
      <c r="M255" s="201" t="n"/>
      <c r="N255" s="201" t="n"/>
      <c r="O255" s="201" t="n"/>
      <c r="P255" s="201" t="n"/>
      <c r="Q255" s="201" t="n"/>
      <c r="R255" s="201" t="n"/>
      <c r="S255" s="201" t="n"/>
      <c r="T255" s="201" t="n"/>
      <c r="U255" s="201" t="n"/>
      <c r="V255" s="201" t="n"/>
      <c r="W255" s="201" t="n"/>
    </row>
    <row r="256">
      <c r="D256" s="201" t="n"/>
      <c r="E256" s="201" t="n"/>
      <c r="F256" s="201" t="n"/>
      <c r="G256" s="201" t="n"/>
      <c r="H256" s="201" t="n"/>
      <c r="I256" s="201" t="n"/>
      <c r="J256" s="201" t="n"/>
      <c r="K256" s="201" t="n"/>
      <c r="L256" s="201" t="n"/>
      <c r="M256" s="201" t="n"/>
      <c r="N256" s="201" t="n"/>
      <c r="O256" s="201" t="n"/>
      <c r="P256" s="201" t="n"/>
      <c r="Q256" s="201" t="n"/>
      <c r="R256" s="201" t="n"/>
      <c r="S256" s="201" t="n"/>
      <c r="T256" s="201" t="n"/>
      <c r="U256" s="201" t="n"/>
      <c r="V256" s="201" t="n"/>
      <c r="W256" s="201" t="n"/>
    </row>
    <row r="257">
      <c r="D257" s="201" t="n"/>
      <c r="E257" s="201" t="n"/>
      <c r="F257" s="201" t="n"/>
      <c r="G257" s="201" t="n"/>
      <c r="H257" s="201" t="n"/>
      <c r="I257" s="201" t="n"/>
      <c r="J257" s="201" t="n"/>
      <c r="K257" s="201" t="n"/>
      <c r="L257" s="201" t="n"/>
      <c r="M257" s="201" t="n"/>
      <c r="N257" s="201" t="n"/>
      <c r="O257" s="201" t="n"/>
      <c r="P257" s="201" t="n"/>
      <c r="Q257" s="201" t="n"/>
      <c r="R257" s="201" t="n"/>
      <c r="S257" s="201" t="n"/>
      <c r="T257" s="201" t="n"/>
      <c r="U257" s="201" t="n"/>
      <c r="V257" s="201" t="n"/>
      <c r="W257" s="201" t="n"/>
    </row>
    <row r="258" ht="15" customHeight="1" s="179">
      <c r="D258" s="201" t="n"/>
      <c r="E258" s="201" t="n"/>
      <c r="F258" s="201" t="n"/>
      <c r="G258" s="201" t="n"/>
      <c r="H258" s="201" t="n"/>
      <c r="I258" s="201" t="n"/>
      <c r="J258" s="201" t="n"/>
      <c r="K258" s="201" t="n"/>
      <c r="L258" s="201" t="n"/>
      <c r="M258" s="201" t="n"/>
      <c r="N258" s="201" t="n"/>
      <c r="O258" s="201" t="n"/>
      <c r="P258" s="201" t="n"/>
      <c r="Q258" s="201" t="n"/>
      <c r="R258" s="201" t="n"/>
      <c r="S258" s="201" t="n"/>
      <c r="T258" s="201" t="n"/>
      <c r="U258" s="201" t="n"/>
      <c r="V258" s="201" t="n"/>
      <c r="W258" s="20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7">
    <tabColor rgb="FF92D050"/>
    <outlinePr summaryBelow="1" summaryRight="1"/>
    <pageSetUpPr/>
  </sheetPr>
  <dimension ref="A1:G198"/>
  <sheetViews>
    <sheetView zoomScale="85" zoomScaleNormal="85" workbookViewId="0">
      <selection activeCell="F9" sqref="F9"/>
    </sheetView>
  </sheetViews>
  <sheetFormatPr baseColWidth="8" defaultRowHeight="14"/>
  <cols>
    <col width="20" customWidth="1" style="1" min="1" max="1"/>
    <col width="19" customWidth="1" style="1" min="2" max="5"/>
    <col width="5" customWidth="1" style="179" min="3" max="3"/>
    <col width="5" customWidth="1" style="179" min="4" max="4"/>
    <col width="20" customWidth="1" style="179" min="5" max="5"/>
    <col width="20" customWidth="1" style="1" min="6" max="6"/>
    <col width="2" customWidth="1" style="14" min="7" max="8"/>
  </cols>
  <sheetData>
    <row r="1" ht="18" customHeight="1" s="179">
      <c r="A1" s="130" t="inlineStr">
        <is>
          <t>Original KPIs</t>
        </is>
      </c>
      <c r="B1" s="130" t="n"/>
      <c r="C1" s="130" t="n"/>
      <c r="D1" s="130" t="n"/>
      <c r="E1" s="130" t="n"/>
      <c r="F1" s="130" t="n"/>
    </row>
    <row r="2" ht="30.75" customHeight="1" s="179">
      <c r="A2" s="128" t="inlineStr">
        <is>
          <t>Variable</t>
        </is>
      </c>
      <c r="B2" s="128" t="inlineStr">
        <is>
          <t>N</t>
        </is>
      </c>
      <c r="C2" s="128" t="inlineStr">
        <is>
          <t>Min</t>
        </is>
      </c>
      <c r="D2" s="128" t="inlineStr">
        <is>
          <t>Max</t>
        </is>
      </c>
      <c r="E2" s="128" t="inlineStr">
        <is>
          <t>Mean</t>
        </is>
      </c>
      <c r="F2" s="128" t="inlineStr">
        <is>
          <t>Std</t>
        </is>
      </c>
    </row>
    <row r="3" ht="15.5" customHeight="1" s="179">
      <c r="A3" s="129" t="inlineStr">
        <is>
          <t>K301</t>
        </is>
      </c>
      <c r="B3" s="213" t="n">
        <v>1090.003122422138</v>
      </c>
      <c r="C3" s="214" t="n">
        <v>0</v>
      </c>
      <c r="D3" s="214" t="n">
        <v>1</v>
      </c>
      <c r="E3" s="213" t="n">
        <v>0.5206007705002113</v>
      </c>
      <c r="F3" s="213" t="n">
        <v>0.4995754279934088</v>
      </c>
      <c r="G3" s="29" t="n"/>
    </row>
    <row r="4" ht="18" customHeight="1" s="179">
      <c r="A4" s="129" t="inlineStr">
        <is>
          <t>OEK1K2001</t>
        </is>
      </c>
      <c r="B4" s="213" t="n">
        <v>1090.003122422138</v>
      </c>
      <c r="C4" s="214" t="n">
        <v>0</v>
      </c>
      <c r="D4" s="214" t="n">
        <v>1</v>
      </c>
      <c r="E4" s="213" t="n">
        <v>0.2165422801204853</v>
      </c>
      <c r="F4" s="213" t="n">
        <v>0.4118879957472742</v>
      </c>
      <c r="G4" s="29" t="n"/>
    </row>
    <row r="5" ht="13.5" customHeight="1" s="179">
      <c r="A5" s="129" t="inlineStr">
        <is>
          <t>K801</t>
        </is>
      </c>
      <c r="B5" s="213" t="n">
        <v>1090.003122422138</v>
      </c>
      <c r="C5" s="214" t="n">
        <v>0</v>
      </c>
      <c r="D5" s="214" t="n">
        <v>1</v>
      </c>
      <c r="E5" s="213" t="n">
        <v>0.1247945763387204</v>
      </c>
      <c r="F5" s="213" t="n">
        <v>0.3304858394170009</v>
      </c>
      <c r="G5" s="29" t="n"/>
    </row>
    <row r="6" ht="13.5" customHeight="1" s="179">
      <c r="A6" s="129" t="inlineStr">
        <is>
          <t>IM1_Flip_V1_Slice06</t>
        </is>
      </c>
      <c r="B6" s="213" t="n">
        <v>567.4564653806011</v>
      </c>
      <c r="C6" s="215" t="n">
        <v>0</v>
      </c>
      <c r="D6" s="215" t="n">
        <v>1</v>
      </c>
      <c r="E6" s="216" t="n">
        <v>0.2677680826304953</v>
      </c>
      <c r="F6" s="216" t="n">
        <v>0.442796043969324</v>
      </c>
      <c r="G6" s="29" t="n"/>
    </row>
    <row r="7" ht="13.5" customHeight="1" s="179">
      <c r="A7" s="136" t="inlineStr">
        <is>
          <t>IM1_Flip_V1_Slice04</t>
        </is>
      </c>
      <c r="B7" s="217" t="n">
        <v>567.4564653806011</v>
      </c>
      <c r="C7" s="218" t="n">
        <v>0</v>
      </c>
      <c r="D7" s="218" t="n">
        <v>1</v>
      </c>
      <c r="E7" s="217" t="n">
        <v>0.264381388467595</v>
      </c>
      <c r="F7" s="217" t="n">
        <v>0.4410032538423516</v>
      </c>
      <c r="G7" s="29" t="n"/>
    </row>
    <row r="8" ht="18" customHeight="1" s="179">
      <c r="A8" s="130" t="inlineStr">
        <is>
          <t>bumo</t>
        </is>
      </c>
      <c r="B8" s="219" t="n">
        <v>1090.003122422138</v>
      </c>
      <c r="C8" s="220" t="n">
        <v>0</v>
      </c>
      <c r="D8" s="220" t="n">
        <v>1</v>
      </c>
      <c r="E8" s="219" t="n">
        <v>0.03479149139307359</v>
      </c>
      <c r="F8" s="219" t="n">
        <v>0.1832513124638382</v>
      </c>
      <c r="G8" s="29" t="n"/>
    </row>
    <row r="9" ht="13.5" customHeight="1" s="179">
      <c r="A9" s="128" t="inlineStr">
        <is>
          <t>Valid N (listwise)</t>
        </is>
      </c>
      <c r="B9" s="221" t="n">
        <v>567.4564653806011</v>
      </c>
      <c r="C9" s="128" t="inlineStr"/>
      <c r="D9" s="128" t="inlineStr"/>
      <c r="E9" s="128" t="inlineStr"/>
      <c r="F9" s="128" t="inlineStr"/>
      <c r="G9" s="29" t="n"/>
    </row>
    <row r="10" ht="13.5" customHeight="1" s="179">
      <c r="A10" s="129" t="n"/>
      <c r="B10" s="222" t="n"/>
      <c r="C10" s="222" t="n"/>
      <c r="D10" s="222" t="n"/>
      <c r="E10" s="223" t="n"/>
      <c r="F10" s="224" t="n"/>
      <c r="G10" s="29" t="n"/>
    </row>
    <row r="11" ht="13.5" customHeight="1" s="179">
      <c r="A11" s="129" t="inlineStr">
        <is>
          <t>Recoded KPIs</t>
        </is>
      </c>
      <c r="B11" s="222" t="n"/>
      <c r="C11" s="222" t="n"/>
      <c r="D11" s="222" t="n"/>
      <c r="E11" s="223" t="n"/>
      <c r="F11" s="224" t="n"/>
      <c r="G11" s="29" t="n"/>
    </row>
    <row r="12" ht="13.5" customHeight="1" s="179">
      <c r="A12" s="129" t="inlineStr">
        <is>
          <t>Variable</t>
        </is>
      </c>
      <c r="B12" s="222" t="inlineStr">
        <is>
          <t>N</t>
        </is>
      </c>
      <c r="C12" s="222" t="inlineStr">
        <is>
          <t>Min</t>
        </is>
      </c>
      <c r="D12" s="222" t="inlineStr">
        <is>
          <t>Max</t>
        </is>
      </c>
      <c r="E12" s="223" t="inlineStr">
        <is>
          <t>Mean</t>
        </is>
      </c>
      <c r="F12" s="224" t="inlineStr">
        <is>
          <t>Std</t>
        </is>
      </c>
      <c r="G12" s="29" t="n"/>
    </row>
    <row r="13" ht="13.5" customHeight="1" s="179">
      <c r="A13" s="129" t="inlineStr">
        <is>
          <t>dK301</t>
        </is>
      </c>
      <c r="B13" s="213" t="n">
        <v>1090.003122422138</v>
      </c>
      <c r="C13" s="214" t="n">
        <v>0</v>
      </c>
      <c r="D13" s="214" t="n">
        <v>1</v>
      </c>
      <c r="E13" s="213" t="n">
        <v>0.5206007705002113</v>
      </c>
      <c r="F13" s="213" t="n">
        <v>0.4995754279934088</v>
      </c>
      <c r="G13" s="29" t="n"/>
    </row>
    <row r="14" ht="13.5" customHeight="1" s="179">
      <c r="A14" s="129" t="inlineStr">
        <is>
          <t>dOEK1K2001</t>
        </is>
      </c>
      <c r="B14" s="213" t="n">
        <v>1090.003122422138</v>
      </c>
      <c r="C14" s="214" t="n">
        <v>0</v>
      </c>
      <c r="D14" s="214" t="n">
        <v>1</v>
      </c>
      <c r="E14" s="213" t="n">
        <v>0.2165422801204853</v>
      </c>
      <c r="F14" s="213" t="n">
        <v>0.4118879957472742</v>
      </c>
      <c r="G14" s="29" t="n"/>
    </row>
    <row r="15" ht="13.5" customHeight="1" s="179">
      <c r="A15" s="129" t="inlineStr">
        <is>
          <t>dK801</t>
        </is>
      </c>
      <c r="B15" s="213" t="n">
        <v>1090.003122422138</v>
      </c>
      <c r="C15" s="214" t="n">
        <v>0</v>
      </c>
      <c r="D15" s="214" t="n">
        <v>1</v>
      </c>
      <c r="E15" s="213" t="n">
        <v>0.1247945763387204</v>
      </c>
      <c r="F15" s="213" t="n">
        <v>0.3304858394170009</v>
      </c>
      <c r="G15" s="29" t="n"/>
    </row>
    <row r="16" ht="13.5" customHeight="1" s="179">
      <c r="A16" s="129" t="inlineStr">
        <is>
          <t>dIM1_Flip_V1_Slice06</t>
        </is>
      </c>
      <c r="B16" s="213" t="n">
        <v>1090.003122422138</v>
      </c>
      <c r="C16" s="214" t="n">
        <v>0</v>
      </c>
      <c r="D16" s="214" t="n">
        <v>1</v>
      </c>
      <c r="E16" s="213" t="n">
        <v>0.1394002701328001</v>
      </c>
      <c r="F16" s="213" t="n">
        <v>0.3463637319635277</v>
      </c>
      <c r="G16" s="28" t="n"/>
    </row>
    <row r="17" ht="13.5" customHeight="1" s="179">
      <c r="A17" s="129" t="inlineStr">
        <is>
          <t>dIM1_Flip_V1_Slice04</t>
        </is>
      </c>
      <c r="B17" s="213" t="n">
        <v>1090.003122422138</v>
      </c>
      <c r="C17" s="214" t="n">
        <v>0</v>
      </c>
      <c r="D17" s="214" t="n">
        <v>1</v>
      </c>
      <c r="E17" s="213" t="n">
        <v>0.1376371545421456</v>
      </c>
      <c r="F17" s="213" t="n">
        <v>0.34451874873755</v>
      </c>
      <c r="G17" s="28" t="n"/>
    </row>
    <row r="18" ht="15.5" customHeight="1" s="179">
      <c r="A18" s="129" t="inlineStr">
        <is>
          <t>dbumo</t>
        </is>
      </c>
      <c r="B18" s="213" t="n">
        <v>1090.003122422138</v>
      </c>
      <c r="C18" s="214" t="n">
        <v>0</v>
      </c>
      <c r="D18" s="214" t="n">
        <v>1</v>
      </c>
      <c r="E18" s="213" t="n">
        <v>0.03479149139307359</v>
      </c>
      <c r="F18" s="213" t="n">
        <v>0.1832513124638382</v>
      </c>
      <c r="G18" s="28" t="n"/>
    </row>
    <row r="19" ht="15.5" customHeight="1" s="179">
      <c r="A19" s="129" t="inlineStr">
        <is>
          <t>Valid N (listwise)</t>
        </is>
      </c>
      <c r="B19" s="213" t="n">
        <v>1090.003122422138</v>
      </c>
      <c r="C19" s="222" t="inlineStr"/>
      <c r="D19" s="222" t="inlineStr"/>
      <c r="E19" s="223" t="inlineStr"/>
      <c r="F19" s="224" t="inlineStr"/>
      <c r="G19" s="50" t="n"/>
    </row>
    <row r="20" ht="15.5" customHeight="1" s="179">
      <c r="A20" s="129" t="n"/>
      <c r="B20" s="222" t="n"/>
      <c r="C20" s="222" t="n"/>
      <c r="D20" s="222" t="n"/>
      <c r="E20" s="223" t="n"/>
      <c r="F20" s="224" t="n"/>
      <c r="G20" s="50" t="n"/>
    </row>
    <row r="21" ht="15.5" customHeight="1" s="179">
      <c r="A21" s="119" t="inlineStr">
        <is>
          <t>Original Channels</t>
        </is>
      </c>
      <c r="B21" s="222" t="n"/>
      <c r="C21" s="222" t="n"/>
      <c r="D21" s="222" t="n"/>
      <c r="E21" s="223" t="n"/>
      <c r="F21" s="224" t="n"/>
      <c r="G21" s="50" t="n"/>
    </row>
    <row r="22" ht="15.5" customHeight="1" s="179">
      <c r="A22" s="118" t="inlineStr">
        <is>
          <t>Variable</t>
        </is>
      </c>
      <c r="B22" s="222" t="inlineStr">
        <is>
          <t>N</t>
        </is>
      </c>
      <c r="C22" s="222" t="inlineStr">
        <is>
          <t>Min</t>
        </is>
      </c>
      <c r="D22" s="222" t="inlineStr">
        <is>
          <t>Max</t>
        </is>
      </c>
      <c r="E22" s="223" t="inlineStr">
        <is>
          <t>Mean</t>
        </is>
      </c>
      <c r="F22" s="224" t="inlineStr">
        <is>
          <t>Std</t>
        </is>
      </c>
      <c r="G22" s="50" t="n"/>
    </row>
    <row r="23" ht="15.5" customHeight="1" s="179">
      <c r="A23" s="119" t="inlineStr">
        <is>
          <t>instagram</t>
        </is>
      </c>
      <c r="B23" s="213" t="n">
        <v>1090.003122422138</v>
      </c>
      <c r="C23" s="214" t="n">
        <v>0</v>
      </c>
      <c r="D23" s="214" t="n">
        <v>1</v>
      </c>
      <c r="E23" s="213" t="n">
        <v>0.1149845499890877</v>
      </c>
      <c r="F23" s="213" t="n">
        <v>0.3190032966175972</v>
      </c>
      <c r="G23" s="28" t="n"/>
    </row>
    <row r="24" ht="15.5" customHeight="1" s="179">
      <c r="A24" s="119" t="inlineStr">
        <is>
          <t>youtube</t>
        </is>
      </c>
      <c r="B24" s="213" t="n">
        <v>1090.003122422138</v>
      </c>
      <c r="C24" s="214" t="n">
        <v>0</v>
      </c>
      <c r="D24" s="214" t="n">
        <v>1</v>
      </c>
      <c r="E24" s="213" t="n">
        <v>0.189776244098597</v>
      </c>
      <c r="F24" s="213" t="n">
        <v>0.3921239871194144</v>
      </c>
      <c r="G24" s="28" t="n"/>
    </row>
    <row r="25" ht="15.5" customHeight="1" s="179">
      <c r="A25" s="119" t="inlineStr">
        <is>
          <t>tiktok</t>
        </is>
      </c>
      <c r="B25" s="213" t="n">
        <v>1090.003122422138</v>
      </c>
      <c r="C25" s="214" t="n">
        <v>0</v>
      </c>
      <c r="D25" s="214" t="n">
        <v>1</v>
      </c>
      <c r="E25" s="213" t="n">
        <v>0.1117634385362346</v>
      </c>
      <c r="F25" s="213" t="n">
        <v>0.3150751852221815</v>
      </c>
      <c r="G25" s="28" t="n"/>
    </row>
    <row r="26" ht="15.5" customHeight="1" s="179">
      <c r="A26" s="119" t="inlineStr">
        <is>
          <t>metro</t>
        </is>
      </c>
      <c r="B26" s="213" t="n">
        <v>1090.003122422138</v>
      </c>
      <c r="C26" s="214" t="n">
        <v>0</v>
      </c>
      <c r="D26" s="214" t="n">
        <v>1</v>
      </c>
      <c r="E26" s="213" t="n">
        <v>0.1488182227068803</v>
      </c>
      <c r="F26" s="213" t="n">
        <v>0.3559092009168148</v>
      </c>
      <c r="G26" s="28" t="n"/>
    </row>
    <row r="27" ht="15.5" customHeight="1" s="179">
      <c r="A27" s="119" t="inlineStr">
        <is>
          <t>Valid N (listwise)</t>
        </is>
      </c>
      <c r="B27" s="213" t="n">
        <v>1090.003122422138</v>
      </c>
      <c r="C27" s="222" t="inlineStr"/>
      <c r="D27" s="222" t="inlineStr"/>
      <c r="E27" s="223" t="inlineStr"/>
      <c r="F27" s="224" t="inlineStr"/>
      <c r="G27" s="28" t="n"/>
    </row>
    <row r="28" ht="15.5" customHeight="1" s="179">
      <c r="A28" s="119" t="n"/>
      <c r="B28" s="222" t="n"/>
      <c r="C28" s="222" t="n"/>
      <c r="D28" s="222" t="n"/>
      <c r="E28" s="223" t="n"/>
      <c r="F28" s="224" t="n"/>
      <c r="G28" s="28" t="n"/>
    </row>
    <row r="29" ht="15.5" customHeight="1" s="179">
      <c r="A29" s="119" t="inlineStr">
        <is>
          <t>Recoded Channels</t>
        </is>
      </c>
      <c r="B29" s="222" t="n"/>
      <c r="C29" s="222" t="n"/>
      <c r="D29" s="222" t="n"/>
      <c r="E29" s="223" t="n"/>
      <c r="F29" s="224" t="n"/>
      <c r="G29" s="28" t="n"/>
    </row>
    <row r="30" ht="15.5" customHeight="1" s="179">
      <c r="A30" s="119" t="inlineStr">
        <is>
          <t>Variable</t>
        </is>
      </c>
      <c r="B30" s="222" t="inlineStr">
        <is>
          <t>N</t>
        </is>
      </c>
      <c r="C30" s="222" t="inlineStr">
        <is>
          <t>Min</t>
        </is>
      </c>
      <c r="D30" s="222" t="inlineStr">
        <is>
          <t>Max</t>
        </is>
      </c>
      <c r="E30" s="223" t="inlineStr">
        <is>
          <t>Mean</t>
        </is>
      </c>
      <c r="F30" s="224" t="inlineStr">
        <is>
          <t>Std</t>
        </is>
      </c>
      <c r="G30" s="28" t="n"/>
    </row>
    <row r="31" ht="15.5" customHeight="1" s="179">
      <c r="A31" s="119" t="inlineStr">
        <is>
          <t>dAdloopTVC_V2_A51</t>
        </is>
      </c>
      <c r="B31" s="213" t="n">
        <v>1090.003122422138</v>
      </c>
      <c r="C31" s="214" t="n">
        <v>0</v>
      </c>
      <c r="D31" s="214" t="n">
        <v>1</v>
      </c>
      <c r="E31" s="213" t="n">
        <v>0.08098978945607391</v>
      </c>
      <c r="F31" s="213" t="n">
        <v>0.2728194338018</v>
      </c>
      <c r="G31" s="28" t="n"/>
    </row>
    <row r="32" ht="15.5" customHeight="1" s="179">
      <c r="A32" s="119" t="inlineStr">
        <is>
          <t>dAdloopTVC_V1_A51</t>
        </is>
      </c>
      <c r="B32" s="213" t="n">
        <v>1090.003122422138</v>
      </c>
      <c r="C32" s="214" t="n">
        <v>0</v>
      </c>
      <c r="D32" s="214" t="n">
        <v>1</v>
      </c>
      <c r="E32" s="213" t="n">
        <v>0.06964321105792286</v>
      </c>
      <c r="F32" s="213" t="n">
        <v>0.2545447587585815</v>
      </c>
      <c r="G32" s="28" t="n"/>
    </row>
    <row r="33" ht="15.5" customHeight="1" s="179">
      <c r="A33" s="119" t="inlineStr">
        <is>
          <t>dAdloopTVC_V2_A52</t>
        </is>
      </c>
      <c r="B33" s="213" t="n">
        <v>1090.003122422138</v>
      </c>
      <c r="C33" s="214" t="n">
        <v>0</v>
      </c>
      <c r="D33" s="214" t="n">
        <v>1</v>
      </c>
      <c r="E33" s="213" t="n">
        <v>0.1272437741348571</v>
      </c>
      <c r="F33" s="213" t="n">
        <v>0.3332458493046456</v>
      </c>
      <c r="G33" s="28" t="n"/>
    </row>
    <row r="34" ht="15.5" customHeight="1" s="179">
      <c r="A34" s="119" t="inlineStr">
        <is>
          <t>dAdloopTVC_V1_A52</t>
        </is>
      </c>
      <c r="B34" s="213" t="n">
        <v>1090.003122422138</v>
      </c>
      <c r="C34" s="214" t="n">
        <v>0</v>
      </c>
      <c r="D34" s="214" t="n">
        <v>1</v>
      </c>
      <c r="E34" s="213" t="n">
        <v>0.136389951573393</v>
      </c>
      <c r="F34" s="213" t="n">
        <v>0.3432021746481227</v>
      </c>
      <c r="G34" s="28" t="n"/>
    </row>
    <row r="35" ht="15.5" customHeight="1" s="179">
      <c r="A35" s="119" t="inlineStr">
        <is>
          <t>dAdloopTVC_V2_A53</t>
        </is>
      </c>
      <c r="B35" s="213" t="n">
        <v>1090.003122422138</v>
      </c>
      <c r="C35" s="214" t="n">
        <v>0</v>
      </c>
      <c r="D35" s="214" t="n">
        <v>1</v>
      </c>
      <c r="E35" s="213" t="n">
        <v>0.07732434700034926</v>
      </c>
      <c r="F35" s="213" t="n">
        <v>0.2671053956050286</v>
      </c>
      <c r="G35" s="28" t="n"/>
    </row>
    <row r="36" ht="15.5" customHeight="1" s="179">
      <c r="A36" s="119" t="inlineStr">
        <is>
          <t>dAdloopTVC_V1_A53</t>
        </is>
      </c>
      <c r="B36" s="213" t="n">
        <v>1090.003122422138</v>
      </c>
      <c r="C36" s="214" t="n">
        <v>0</v>
      </c>
      <c r="D36" s="214" t="n">
        <v>1</v>
      </c>
      <c r="E36" s="213" t="n">
        <v>0.06978957362333278</v>
      </c>
      <c r="F36" s="213" t="n">
        <v>0.2547920505761633</v>
      </c>
      <c r="G36" s="28" t="n"/>
    </row>
    <row r="37" ht="15.5" customHeight="1" s="179">
      <c r="A37" s="119" t="inlineStr">
        <is>
          <t>dAdloopKV_V4_A55</t>
        </is>
      </c>
      <c r="B37" s="213" t="n">
        <v>1090.003122422138</v>
      </c>
      <c r="C37" s="214" t="n">
        <v>0</v>
      </c>
      <c r="D37" s="214" t="n">
        <v>1</v>
      </c>
      <c r="E37" s="213" t="n">
        <v>0.1488182227068803</v>
      </c>
      <c r="F37" s="213" t="n">
        <v>0.3559092009168148</v>
      </c>
      <c r="G37" s="28" t="n"/>
    </row>
    <row r="38" ht="15.5" customHeight="1" s="179">
      <c r="A38" s="119" t="inlineStr">
        <is>
          <t>Valid N (listwise)</t>
        </is>
      </c>
      <c r="B38" s="213" t="n">
        <v>1090.003122422138</v>
      </c>
      <c r="C38" s="222" t="inlineStr"/>
      <c r="D38" s="222" t="inlineStr"/>
      <c r="E38" s="223" t="inlineStr"/>
      <c r="F38" s="224" t="inlineStr"/>
      <c r="G38" s="28" t="n"/>
    </row>
    <row r="39" ht="15.5" customHeight="1" s="179">
      <c r="A39" s="119" t="n"/>
      <c r="B39" s="222" t="n"/>
      <c r="C39" s="222" t="n"/>
      <c r="D39" s="222" t="n"/>
      <c r="E39" s="223" t="n"/>
      <c r="F39" s="224" t="n"/>
      <c r="G39" s="28" t="n"/>
    </row>
    <row r="40" ht="15.5" customHeight="1" s="179">
      <c r="A40" s="119" t="n"/>
      <c r="B40" s="222" t="n"/>
      <c r="C40" s="222" t="n"/>
      <c r="D40" s="222" t="n"/>
      <c r="E40" s="223" t="n"/>
      <c r="F40" s="224" t="n"/>
      <c r="G40" s="28" t="n"/>
    </row>
    <row r="41" ht="15.5" customHeight="1" s="179">
      <c r="A41" s="119" t="n"/>
      <c r="B41" s="222" t="n"/>
      <c r="C41" s="222" t="n"/>
      <c r="D41" s="222" t="n"/>
      <c r="E41" s="223" t="n"/>
      <c r="F41" s="224" t="n"/>
      <c r="G41" s="28" t="n"/>
    </row>
    <row r="42" ht="15.5" customHeight="1" s="179">
      <c r="A42" s="119" t="n"/>
      <c r="B42" s="222" t="n"/>
      <c r="C42" s="222" t="n"/>
      <c r="D42" s="222" t="n"/>
      <c r="E42" s="223" t="n"/>
      <c r="F42" s="224" t="n"/>
      <c r="G42" s="28" t="n"/>
    </row>
    <row r="43" ht="15.5" customHeight="1" s="179">
      <c r="A43" s="119" t="n"/>
      <c r="B43" s="222" t="n"/>
      <c r="C43" s="222" t="n"/>
      <c r="D43" s="222" t="n"/>
      <c r="E43" s="223" t="n"/>
      <c r="F43" s="224" t="n"/>
      <c r="G43" s="21" t="n"/>
    </row>
    <row r="44" ht="15" customHeight="1" s="179">
      <c r="A44" s="148" t="n"/>
      <c r="B44" s="225" t="n"/>
      <c r="C44" s="150" t="n"/>
      <c r="D44" s="150" t="n"/>
      <c r="E44" s="150" t="n"/>
      <c r="F44" s="151" t="n"/>
      <c r="G44" s="21" t="n"/>
    </row>
    <row r="45" ht="15.5" customHeight="1" s="179">
      <c r="A45" s="119" t="n"/>
      <c r="B45" s="222" t="n"/>
      <c r="C45" s="129" t="n"/>
      <c r="D45" s="129" t="n"/>
      <c r="E45" s="129" t="n"/>
      <c r="F45" s="129" t="n"/>
      <c r="G45" s="21" t="n"/>
    </row>
    <row r="46" ht="15.75" customHeight="1" s="179">
      <c r="A46" s="119" t="n"/>
      <c r="B46" s="136" t="n"/>
      <c r="C46" s="136" t="n"/>
      <c r="D46" s="136" t="n"/>
      <c r="E46" s="136" t="n"/>
      <c r="F46" s="136" t="n"/>
      <c r="G46" s="21" t="n"/>
    </row>
    <row r="47" ht="18" customHeight="1" s="179">
      <c r="A47" s="119" t="n"/>
      <c r="B47" s="130" t="n"/>
      <c r="C47" s="130" t="n"/>
      <c r="D47" s="130" t="n"/>
      <c r="E47" s="130" t="n"/>
      <c r="F47" s="130" t="n"/>
      <c r="G47" s="21" t="n"/>
    </row>
    <row r="48" ht="30.75" customHeight="1" s="179">
      <c r="A48" s="128" t="n"/>
      <c r="B48" s="128" t="n"/>
      <c r="C48" s="128" t="n"/>
      <c r="D48" s="128" t="n"/>
      <c r="E48" s="128" t="n"/>
      <c r="F48" s="128" t="n"/>
      <c r="G48" s="21" t="n"/>
    </row>
    <row r="49" ht="30" customHeight="1" s="179">
      <c r="A49" s="129" t="n"/>
      <c r="B49" s="222" t="n"/>
      <c r="C49" s="222" t="n"/>
      <c r="D49" s="222" t="n"/>
      <c r="E49" s="223" t="n"/>
      <c r="F49" s="224" t="n"/>
      <c r="G49" s="29" t="n"/>
    </row>
    <row r="50" ht="15.5" customHeight="1" s="179">
      <c r="A50" s="129" t="n"/>
      <c r="B50" s="222" t="n"/>
      <c r="C50" s="129" t="n"/>
      <c r="D50" s="129" t="n"/>
      <c r="E50" s="129" t="n"/>
      <c r="F50" s="129" t="n"/>
      <c r="G50" s="29" t="n"/>
    </row>
    <row r="51" ht="15.75" customHeight="1" s="179">
      <c r="A51" s="136" t="n"/>
      <c r="B51" s="136" t="n"/>
      <c r="C51" s="136" t="n"/>
      <c r="D51" s="136" t="n"/>
      <c r="E51" s="136" t="n"/>
      <c r="F51" s="136" t="n"/>
      <c r="G51" s="29" t="n"/>
    </row>
    <row r="52" ht="15.75" customHeight="1" s="179">
      <c r="A52" s="136" t="n"/>
      <c r="B52" s="136" t="n"/>
      <c r="C52" s="136" t="n"/>
      <c r="D52" s="136" t="n"/>
      <c r="E52" s="136" t="n"/>
      <c r="F52" s="136" t="n"/>
      <c r="G52" s="29" t="n"/>
    </row>
    <row r="53" ht="15.75" customHeight="1" s="179">
      <c r="A53" s="136" t="n"/>
      <c r="B53" s="136" t="n"/>
      <c r="C53" s="136" t="n"/>
      <c r="D53" s="136" t="n"/>
      <c r="E53" s="136" t="n"/>
      <c r="F53" s="136" t="n"/>
      <c r="G53" s="21" t="n"/>
    </row>
    <row r="54" ht="15.75" customHeight="1" s="179">
      <c r="A54" s="136" t="n"/>
      <c r="B54" s="136" t="n"/>
      <c r="C54" s="136" t="n"/>
      <c r="D54" s="136" t="n"/>
      <c r="E54" s="136" t="n"/>
      <c r="F54" s="136" t="n"/>
      <c r="G54" s="21" t="n"/>
    </row>
    <row r="55" ht="15.75" customHeight="1" s="179">
      <c r="A55" s="136" t="n"/>
      <c r="B55" s="136" t="n"/>
      <c r="C55" s="136" t="n"/>
      <c r="D55" s="136" t="n"/>
      <c r="E55" s="136" t="n"/>
      <c r="F55" s="136" t="n"/>
      <c r="G55" s="21" t="n"/>
    </row>
    <row r="56" ht="15.75" customHeight="1" s="179">
      <c r="A56" s="136" t="n"/>
      <c r="B56" s="136" t="n"/>
      <c r="C56" s="136" t="n"/>
      <c r="D56" s="136" t="n"/>
      <c r="E56" s="136" t="n"/>
      <c r="F56" s="136" t="n"/>
      <c r="G56" s="21" t="n"/>
    </row>
    <row r="57" ht="15.75" customHeight="1" s="179">
      <c r="A57" s="136" t="n"/>
      <c r="B57" s="136" t="n"/>
      <c r="C57" s="136" t="n"/>
      <c r="D57" s="136" t="n"/>
      <c r="E57" s="136" t="n"/>
      <c r="F57" s="136" t="n"/>
      <c r="G57" s="21" t="n"/>
    </row>
    <row r="58" ht="15.75" customHeight="1" s="179">
      <c r="A58" s="136" t="n"/>
      <c r="B58" s="136" t="n"/>
      <c r="C58" s="136" t="n"/>
      <c r="D58" s="136" t="n"/>
      <c r="E58" s="136" t="n"/>
      <c r="F58" s="136" t="n"/>
      <c r="G58" s="21" t="n"/>
    </row>
    <row r="59" ht="15.75" customHeight="1" s="179">
      <c r="A59" s="136" t="n"/>
      <c r="B59" s="136" t="n"/>
      <c r="C59" s="136" t="n"/>
      <c r="D59" s="136" t="n"/>
      <c r="E59" s="136" t="n"/>
      <c r="F59" s="136" t="n"/>
      <c r="G59" s="21" t="n"/>
    </row>
    <row r="60" ht="15.75" customHeight="1" s="179">
      <c r="A60" s="136" t="n"/>
      <c r="B60" s="136" t="n"/>
      <c r="C60" s="136" t="n"/>
      <c r="D60" s="136" t="n"/>
      <c r="E60" s="136" t="n"/>
      <c r="F60" s="136" t="n"/>
      <c r="G60" s="21" t="n"/>
    </row>
    <row r="61" ht="15.75" customHeight="1" s="179">
      <c r="A61" s="136" t="n"/>
      <c r="B61" s="136" t="n"/>
      <c r="C61" s="136" t="n"/>
      <c r="D61" s="136" t="n"/>
      <c r="E61" s="136" t="n"/>
      <c r="F61" s="136" t="n"/>
      <c r="G61" s="21" t="n"/>
    </row>
    <row r="62" ht="15.75" customHeight="1" s="179">
      <c r="A62" s="136" t="n"/>
      <c r="B62" s="136" t="n"/>
      <c r="C62" s="136" t="n"/>
      <c r="D62" s="136" t="n"/>
      <c r="E62" s="136" t="n"/>
      <c r="F62" s="136" t="n"/>
      <c r="G62" s="21" t="n"/>
    </row>
    <row r="63" ht="15.75" customHeight="1" s="179">
      <c r="A63" s="136" t="n"/>
      <c r="B63" s="136" t="n"/>
      <c r="C63" s="136" t="n"/>
      <c r="D63" s="136" t="n"/>
      <c r="E63" s="136" t="n"/>
      <c r="F63" s="136" t="n"/>
      <c r="G63" s="21" t="n"/>
    </row>
    <row r="64" ht="15.75" customHeight="1" s="179">
      <c r="A64" s="136" t="n"/>
      <c r="B64" s="136" t="n"/>
      <c r="C64" s="136" t="n"/>
      <c r="D64" s="136" t="n"/>
      <c r="E64" s="136" t="n"/>
      <c r="F64" s="136" t="n"/>
      <c r="G64" s="21" t="n"/>
    </row>
    <row r="65" ht="15.75" customHeight="1" s="179">
      <c r="A65" s="136" t="n"/>
      <c r="B65" s="136" t="n"/>
      <c r="C65" s="136" t="n"/>
      <c r="D65" s="136" t="n"/>
      <c r="E65" s="136" t="n"/>
      <c r="F65" s="136" t="n"/>
      <c r="G65" s="21" t="n"/>
    </row>
    <row r="66" ht="15.75" customHeight="1" s="179">
      <c r="A66" s="136" t="n"/>
      <c r="B66" s="136" t="n"/>
      <c r="C66" s="136" t="n"/>
      <c r="D66" s="136" t="n"/>
      <c r="E66" s="136" t="n"/>
      <c r="F66" s="136" t="n"/>
      <c r="G66" s="21" t="n"/>
    </row>
    <row r="67" ht="15.75" customHeight="1" s="179">
      <c r="A67" s="136" t="n"/>
      <c r="B67" s="136" t="n"/>
      <c r="C67" s="136" t="n"/>
      <c r="D67" s="136" t="n"/>
      <c r="E67" s="136" t="n"/>
      <c r="F67" s="136" t="n"/>
      <c r="G67" s="21" t="n"/>
    </row>
    <row r="68" ht="15.75" customHeight="1" s="179">
      <c r="A68" s="136" t="n"/>
      <c r="B68" s="136" t="n"/>
      <c r="C68" s="136" t="n"/>
      <c r="D68" s="136" t="n"/>
      <c r="E68" s="136" t="n"/>
      <c r="F68" s="136" t="n"/>
      <c r="G68" s="21" t="n"/>
    </row>
    <row r="69" ht="15.75" customHeight="1" s="179">
      <c r="A69" s="136" t="n"/>
      <c r="B69" s="136" t="n"/>
      <c r="C69" s="136" t="n"/>
      <c r="D69" s="136" t="n"/>
      <c r="E69" s="136" t="n"/>
      <c r="F69" s="136" t="n"/>
      <c r="G69" s="21" t="n"/>
    </row>
    <row r="70" ht="15.75" customHeight="1" s="179">
      <c r="A70" s="136" t="n"/>
      <c r="B70" s="136" t="n"/>
      <c r="C70" s="136" t="n"/>
      <c r="D70" s="136" t="n"/>
      <c r="E70" s="136" t="n"/>
      <c r="F70" s="136" t="n"/>
      <c r="G70" s="21" t="n"/>
    </row>
    <row r="71" ht="15.75" customHeight="1" s="179">
      <c r="A71" s="136" t="n"/>
      <c r="B71" s="136" t="n"/>
      <c r="C71" s="136" t="n"/>
      <c r="D71" s="136" t="n"/>
      <c r="E71" s="136" t="n"/>
      <c r="F71" s="136" t="n"/>
      <c r="G71" s="21" t="n"/>
    </row>
    <row r="72" ht="15.75" customHeight="1" s="179">
      <c r="A72" s="136" t="n"/>
      <c r="B72" s="136" t="n"/>
      <c r="C72" s="136" t="n"/>
      <c r="D72" s="136" t="n"/>
      <c r="E72" s="136" t="n"/>
      <c r="F72" s="136" t="n"/>
      <c r="G72" s="21" t="n"/>
    </row>
    <row r="73" ht="15.75" customHeight="1" s="179">
      <c r="A73" s="136" t="n"/>
      <c r="B73" s="136" t="n"/>
      <c r="C73" s="136" t="n"/>
      <c r="D73" s="136" t="n"/>
      <c r="E73" s="136" t="n"/>
      <c r="F73" s="136" t="n"/>
      <c r="G73" s="21" t="n"/>
    </row>
    <row r="74" ht="15.75" customHeight="1" s="179">
      <c r="A74" s="136" t="n"/>
      <c r="B74" s="136" t="n"/>
      <c r="C74" s="136" t="n"/>
      <c r="D74" s="136" t="n"/>
      <c r="E74" s="136" t="n"/>
      <c r="F74" s="136" t="n"/>
      <c r="G74" s="21" t="n"/>
    </row>
    <row r="75" ht="15.75" customHeight="1" s="179">
      <c r="A75" s="136" t="n"/>
      <c r="B75" s="136" t="n"/>
      <c r="C75" s="136" t="n"/>
      <c r="D75" s="136" t="n"/>
      <c r="E75" s="136" t="n"/>
      <c r="F75" s="136" t="n"/>
      <c r="G75" s="21" t="n"/>
    </row>
    <row r="76" ht="15.75" customHeight="1" s="179">
      <c r="A76" s="136" t="n"/>
      <c r="B76" s="136" t="n"/>
      <c r="C76" s="136" t="n"/>
      <c r="D76" s="136" t="n"/>
      <c r="E76" s="136" t="n"/>
      <c r="F76" s="136" t="n"/>
      <c r="G76" s="21" t="n"/>
    </row>
    <row r="77" ht="15.75" customHeight="1" s="179">
      <c r="A77" s="136" t="n"/>
      <c r="B77" s="136" t="n"/>
      <c r="C77" s="136" t="n"/>
      <c r="D77" s="136" t="n"/>
      <c r="E77" s="136" t="n"/>
      <c r="F77" s="136" t="n"/>
      <c r="G77" s="21" t="n"/>
    </row>
    <row r="78" ht="15.75" customHeight="1" s="179">
      <c r="A78" s="136" t="n"/>
      <c r="B78" s="136" t="n"/>
      <c r="C78" s="136" t="n"/>
      <c r="D78" s="136" t="n"/>
      <c r="E78" s="136" t="n"/>
      <c r="F78" s="136" t="n"/>
      <c r="G78" s="21" t="n"/>
    </row>
    <row r="79" ht="15.75" customHeight="1" s="179">
      <c r="A79" s="136" t="n"/>
      <c r="B79" s="136" t="n"/>
      <c r="C79" s="136" t="n"/>
      <c r="D79" s="136" t="n"/>
      <c r="E79" s="136" t="n"/>
      <c r="F79" s="136" t="n"/>
      <c r="G79" s="21" t="n"/>
    </row>
    <row r="80" ht="15.75" customHeight="1" s="179">
      <c r="A80" s="136" t="n"/>
      <c r="B80" s="136" t="n"/>
      <c r="C80" s="136" t="n"/>
      <c r="D80" s="136" t="n"/>
      <c r="E80" s="136" t="n"/>
      <c r="F80" s="136" t="n"/>
      <c r="G80" s="21" t="n"/>
    </row>
    <row r="81" ht="15.75" customHeight="1" s="179">
      <c r="A81" s="136" t="n"/>
      <c r="B81" s="136" t="n"/>
      <c r="C81" s="136" t="n"/>
      <c r="D81" s="136" t="n"/>
      <c r="E81" s="136" t="n"/>
      <c r="F81" s="136" t="n"/>
      <c r="G81" s="21" t="n"/>
    </row>
    <row r="82" ht="15.75" customHeight="1" s="179">
      <c r="A82" s="136" t="n"/>
      <c r="B82" s="136" t="n"/>
      <c r="C82" s="136" t="n"/>
      <c r="D82" s="136" t="n"/>
      <c r="E82" s="136" t="n"/>
      <c r="F82" s="136" t="n"/>
      <c r="G82" s="21" t="n"/>
    </row>
    <row r="83" ht="15.75" customHeight="1" s="179">
      <c r="A83" s="136" t="n"/>
      <c r="B83" s="136" t="n"/>
      <c r="C83" s="136" t="n"/>
      <c r="D83" s="136" t="n"/>
      <c r="E83" s="136" t="n"/>
      <c r="F83" s="136" t="n"/>
      <c r="G83" s="21" t="n"/>
    </row>
    <row r="84" ht="15.75" customHeight="1" s="179">
      <c r="A84" s="136" t="n"/>
      <c r="B84" s="136" t="n"/>
      <c r="C84" s="136" t="n"/>
      <c r="D84" s="136" t="n"/>
      <c r="E84" s="136" t="n"/>
      <c r="F84" s="136" t="n"/>
      <c r="G84" s="21" t="n"/>
    </row>
    <row r="85" ht="15.75" customHeight="1" s="179">
      <c r="A85" s="136" t="n"/>
      <c r="B85" s="136" t="n"/>
      <c r="C85" s="136" t="n"/>
      <c r="D85" s="136" t="n"/>
      <c r="E85" s="136" t="n"/>
      <c r="F85" s="136" t="n"/>
      <c r="G85" s="21" t="n"/>
    </row>
    <row r="86" ht="15.75" customHeight="1" s="179">
      <c r="A86" s="136" t="n"/>
      <c r="B86" s="136" t="n"/>
      <c r="C86" s="136" t="n"/>
      <c r="D86" s="136" t="n"/>
      <c r="E86" s="136" t="n"/>
      <c r="F86" s="136" t="n"/>
      <c r="G86" s="21" t="n"/>
    </row>
    <row r="87" ht="15.75" customHeight="1" s="179">
      <c r="A87" s="136" t="n"/>
      <c r="B87" s="136" t="n"/>
      <c r="C87" s="136" t="n"/>
      <c r="D87" s="136" t="n"/>
      <c r="E87" s="136" t="n"/>
      <c r="F87" s="136" t="n"/>
      <c r="G87" s="21" t="n"/>
    </row>
    <row r="88" ht="15.75" customHeight="1" s="179">
      <c r="A88" s="136" t="n"/>
      <c r="B88" s="136" t="n"/>
      <c r="C88" s="136" t="n"/>
      <c r="D88" s="136" t="n"/>
      <c r="E88" s="136" t="n"/>
      <c r="F88" s="136" t="n"/>
    </row>
    <row r="89" ht="15.75" customHeight="1" s="179">
      <c r="A89" s="136" t="n"/>
      <c r="B89" s="136" t="n"/>
      <c r="C89" s="136" t="n"/>
      <c r="D89" s="136" t="n"/>
      <c r="E89" s="136" t="n"/>
      <c r="F89" s="136" t="n"/>
      <c r="G89" s="21" t="n"/>
    </row>
    <row r="90" ht="15.75" customHeight="1" s="179">
      <c r="A90" s="136" t="n"/>
      <c r="B90" s="136" t="n"/>
      <c r="C90" s="136" t="n"/>
      <c r="D90" s="136" t="n"/>
      <c r="E90" s="136" t="n"/>
      <c r="F90" s="136" t="n"/>
      <c r="G90" s="21" t="n"/>
    </row>
    <row r="91" ht="15.75" customHeight="1" s="179">
      <c r="A91" s="136" t="n"/>
      <c r="B91" s="136" t="n"/>
      <c r="C91" s="136" t="n"/>
      <c r="D91" s="136" t="n"/>
      <c r="E91" s="136" t="n"/>
      <c r="F91" s="136" t="n"/>
      <c r="G91" s="21" t="n"/>
    </row>
    <row r="92" ht="15.75" customHeight="1" s="179">
      <c r="A92" s="136" t="n"/>
      <c r="B92" s="136" t="n"/>
      <c r="C92" s="136" t="n"/>
      <c r="D92" s="136" t="n"/>
      <c r="E92" s="136" t="n"/>
      <c r="F92" s="136" t="n"/>
      <c r="G92" s="21" t="n"/>
    </row>
    <row r="93" ht="15.75" customHeight="1" s="179">
      <c r="A93" s="136" t="n"/>
      <c r="B93" s="136" t="n"/>
      <c r="C93" s="136" t="n"/>
      <c r="D93" s="136" t="n"/>
      <c r="E93" s="136" t="n"/>
      <c r="F93" s="136" t="n"/>
      <c r="G93" s="21" t="n"/>
    </row>
    <row r="94" ht="15.75" customHeight="1" s="179">
      <c r="A94" s="136" t="n"/>
      <c r="B94" s="136" t="n"/>
      <c r="C94" s="136" t="n"/>
      <c r="D94" s="136" t="n"/>
      <c r="E94" s="136" t="n"/>
      <c r="F94" s="136" t="n"/>
      <c r="G94" s="21" t="n"/>
    </row>
    <row r="95" ht="15.75" customHeight="1" s="179">
      <c r="A95" s="136" t="n"/>
      <c r="B95" s="136" t="n"/>
      <c r="C95" s="136" t="n"/>
      <c r="D95" s="136" t="n"/>
      <c r="E95" s="136" t="n"/>
      <c r="F95" s="136" t="n"/>
      <c r="G95" s="21" t="n"/>
    </row>
    <row r="96" ht="15.75" customHeight="1" s="179">
      <c r="A96" s="136" t="n"/>
      <c r="B96" s="136" t="n"/>
      <c r="C96" s="136" t="n"/>
      <c r="D96" s="136" t="n"/>
      <c r="E96" s="136" t="n"/>
      <c r="F96" s="136" t="n"/>
      <c r="G96" s="21" t="n"/>
    </row>
    <row r="97" ht="15.75" customHeight="1" s="179">
      <c r="A97" s="136" t="n"/>
      <c r="B97" s="136" t="n"/>
      <c r="C97" s="136" t="n"/>
      <c r="D97" s="136" t="n"/>
      <c r="E97" s="136" t="n"/>
      <c r="F97" s="136" t="n"/>
      <c r="G97" s="21" t="n"/>
    </row>
    <row r="98" ht="15.75" customHeight="1" s="179">
      <c r="A98" s="136" t="n"/>
      <c r="B98" s="136" t="n"/>
      <c r="C98" s="136" t="n"/>
      <c r="D98" s="136" t="n"/>
      <c r="E98" s="136" t="n"/>
      <c r="F98" s="136" t="n"/>
      <c r="G98" s="21" t="n"/>
    </row>
    <row r="99" ht="15.75" customHeight="1" s="179">
      <c r="A99" s="136" t="n"/>
      <c r="B99" s="136" t="n"/>
      <c r="C99" s="136" t="n"/>
      <c r="D99" s="136" t="n"/>
      <c r="E99" s="136" t="n"/>
      <c r="F99" s="136" t="n"/>
      <c r="G99" s="21" t="n"/>
    </row>
    <row r="100" ht="15.75" customHeight="1" s="179">
      <c r="A100" s="136" t="n"/>
      <c r="B100" s="136" t="n"/>
      <c r="C100" s="136" t="n"/>
      <c r="D100" s="136" t="n"/>
      <c r="E100" s="136" t="n"/>
      <c r="F100" s="136" t="n"/>
      <c r="G100" s="21" t="n"/>
    </row>
    <row r="101" ht="15.75" customHeight="1" s="179">
      <c r="A101" s="136" t="n"/>
      <c r="B101" s="136" t="n"/>
      <c r="C101" s="136" t="n"/>
      <c r="D101" s="136" t="n"/>
      <c r="E101" s="136" t="n"/>
      <c r="F101" s="136" t="n"/>
      <c r="G101" s="21" t="n"/>
    </row>
    <row r="102" ht="15.75" customHeight="1" s="179">
      <c r="A102" s="136" t="n"/>
      <c r="B102" s="136" t="n"/>
      <c r="C102" s="136" t="n"/>
      <c r="D102" s="136" t="n"/>
      <c r="E102" s="136" t="n"/>
      <c r="F102" s="136" t="n"/>
      <c r="G102" s="21" t="n"/>
    </row>
    <row r="103" ht="15.75" customHeight="1" s="179">
      <c r="A103" s="136" t="n"/>
      <c r="B103" s="136" t="n"/>
      <c r="C103" s="136" t="n"/>
      <c r="D103" s="136" t="n"/>
      <c r="E103" s="136" t="n"/>
      <c r="F103" s="136" t="n"/>
      <c r="G103" s="21" t="n"/>
    </row>
    <row r="104" ht="15.75" customHeight="1" s="179">
      <c r="A104" s="136" t="n"/>
      <c r="B104" s="136" t="n"/>
      <c r="C104" s="136" t="n"/>
      <c r="D104" s="136" t="n"/>
      <c r="E104" s="136" t="n"/>
      <c r="F104" s="136" t="n"/>
      <c r="G104" s="21" t="n"/>
    </row>
    <row r="105" ht="15.75" customHeight="1" s="179">
      <c r="A105" s="136" t="n"/>
      <c r="B105" s="136" t="n"/>
      <c r="C105" s="136" t="n"/>
      <c r="D105" s="136" t="n"/>
      <c r="E105" s="136" t="n"/>
      <c r="F105" s="136" t="n"/>
    </row>
    <row r="106" ht="15.75" customHeight="1" s="179">
      <c r="A106" s="136" t="n"/>
      <c r="B106" s="136" t="n"/>
      <c r="C106" s="136" t="n"/>
      <c r="D106" s="136" t="n"/>
      <c r="E106" s="136" t="n"/>
      <c r="F106" s="136" t="n"/>
      <c r="G106" s="21" t="n"/>
    </row>
    <row r="107" ht="15.75" customHeight="1" s="179">
      <c r="A107" s="136" t="n"/>
      <c r="B107" s="136" t="n"/>
      <c r="C107" s="136" t="n"/>
      <c r="D107" s="136" t="n"/>
      <c r="E107" s="136" t="n"/>
      <c r="F107" s="136" t="n"/>
      <c r="G107" s="21" t="n"/>
    </row>
    <row r="108" ht="15.75" customHeight="1" s="179">
      <c r="A108" s="136" t="n"/>
      <c r="B108" s="136" t="n"/>
      <c r="C108" s="136" t="n"/>
      <c r="D108" s="136" t="n"/>
      <c r="E108" s="136" t="n"/>
      <c r="F108" s="136" t="n"/>
      <c r="G108" s="21" t="n"/>
    </row>
    <row r="109" ht="15.75" customHeight="1" s="179">
      <c r="A109" s="136" t="n"/>
      <c r="B109" s="136" t="n"/>
      <c r="C109" s="136" t="n"/>
      <c r="D109" s="136" t="n"/>
      <c r="E109" s="136" t="n"/>
      <c r="F109" s="136" t="n"/>
      <c r="G109" s="21" t="n"/>
    </row>
    <row r="110" ht="15.75" customHeight="1" s="179">
      <c r="A110" s="136" t="n"/>
      <c r="B110" s="136" t="n"/>
      <c r="C110" s="136" t="n"/>
      <c r="D110" s="136" t="n"/>
      <c r="E110" s="136" t="n"/>
      <c r="F110" s="136" t="n"/>
      <c r="G110" s="21" t="n"/>
    </row>
    <row r="111" ht="15.75" customHeight="1" s="179">
      <c r="A111" s="136" t="n"/>
      <c r="B111" s="136" t="n"/>
      <c r="C111" s="136" t="n"/>
      <c r="D111" s="136" t="n"/>
      <c r="E111" s="136" t="n"/>
      <c r="F111" s="136" t="n"/>
      <c r="G111" s="21" t="n"/>
    </row>
    <row r="112" ht="15.75" customHeight="1" s="179">
      <c r="A112" s="136" t="n"/>
      <c r="B112" s="136" t="n"/>
      <c r="C112" s="136" t="n"/>
      <c r="D112" s="136" t="n"/>
      <c r="E112" s="136" t="n"/>
      <c r="F112" s="136" t="n"/>
      <c r="G112" s="21" t="n"/>
    </row>
    <row r="113" ht="15.75" customHeight="1" s="179">
      <c r="A113" s="136" t="n"/>
      <c r="B113" s="136" t="n"/>
      <c r="C113" s="136" t="n"/>
      <c r="D113" s="136" t="n"/>
      <c r="E113" s="136" t="n"/>
      <c r="F113" s="136" t="n"/>
      <c r="G113" s="21" t="n"/>
    </row>
    <row r="114" ht="15.75" customHeight="1" s="179">
      <c r="A114" s="136" t="n"/>
      <c r="B114" s="136" t="n"/>
      <c r="C114" s="136" t="n"/>
      <c r="D114" s="136" t="n"/>
      <c r="E114" s="136" t="n"/>
      <c r="F114" s="136" t="n"/>
      <c r="G114" s="21" t="n"/>
    </row>
    <row r="115" ht="15.75" customHeight="1" s="179">
      <c r="A115" s="136" t="n"/>
      <c r="B115" s="136" t="n"/>
      <c r="C115" s="136" t="n"/>
      <c r="D115" s="136" t="n"/>
      <c r="E115" s="136" t="n"/>
      <c r="F115" s="136" t="n"/>
      <c r="G115" s="21" t="n"/>
    </row>
    <row r="116" ht="15.75" customHeight="1" s="179">
      <c r="A116" s="136" t="n"/>
      <c r="B116" s="136" t="n"/>
      <c r="C116" s="136" t="n"/>
      <c r="D116" s="136" t="n"/>
      <c r="E116" s="136" t="n"/>
      <c r="F116" s="136" t="n"/>
      <c r="G116" s="21" t="n"/>
    </row>
    <row r="117" ht="15.75" customHeight="1" s="179">
      <c r="A117" s="136" t="n"/>
      <c r="B117" s="136" t="n"/>
      <c r="C117" s="136" t="n"/>
      <c r="D117" s="136" t="n"/>
      <c r="E117" s="136" t="n"/>
      <c r="F117" s="136" t="n"/>
      <c r="G117" s="21" t="n"/>
    </row>
    <row r="118" ht="15.75" customHeight="1" s="179">
      <c r="A118" s="136" t="n"/>
      <c r="B118" s="136" t="n"/>
      <c r="C118" s="136" t="n"/>
      <c r="D118" s="136" t="n"/>
      <c r="E118" s="136" t="n"/>
      <c r="F118" s="136" t="n"/>
      <c r="G118" s="21" t="n"/>
    </row>
    <row r="119" ht="15.75" customHeight="1" s="179">
      <c r="A119" s="136" t="n"/>
      <c r="B119" s="136" t="n"/>
      <c r="C119" s="136" t="n"/>
      <c r="D119" s="136" t="n"/>
      <c r="E119" s="136" t="n"/>
      <c r="F119" s="136" t="n"/>
      <c r="G119" s="21" t="n"/>
    </row>
    <row r="120" ht="15.75" customHeight="1" s="179">
      <c r="A120" s="136" t="n"/>
      <c r="B120" s="136" t="n"/>
      <c r="C120" s="136" t="n"/>
      <c r="D120" s="136" t="n"/>
      <c r="E120" s="136" t="n"/>
      <c r="F120" s="136" t="n"/>
      <c r="G120" s="21" t="n"/>
    </row>
    <row r="121" ht="15.75" customHeight="1" s="179">
      <c r="A121" s="136" t="n"/>
      <c r="B121" s="136" t="n"/>
      <c r="C121" s="136" t="n"/>
      <c r="D121" s="136" t="n"/>
      <c r="E121" s="136" t="n"/>
      <c r="F121" s="136" t="n"/>
      <c r="G121" s="21" t="n"/>
    </row>
    <row r="122" ht="15.75" customHeight="1" s="179">
      <c r="A122" s="136" t="n"/>
      <c r="B122" s="136" t="n"/>
      <c r="C122" s="136" t="n"/>
      <c r="D122" s="136" t="n"/>
      <c r="E122" s="136" t="n"/>
      <c r="F122" s="136" t="n"/>
    </row>
    <row r="123" ht="15.75" customHeight="1" s="179">
      <c r="A123" s="136" t="n"/>
      <c r="B123" s="136" t="n"/>
      <c r="C123" s="136" t="n"/>
      <c r="D123" s="136" t="n"/>
      <c r="E123" s="136" t="n"/>
      <c r="F123" s="136" t="n"/>
      <c r="G123" s="21" t="n"/>
    </row>
    <row r="124" ht="15.75" customHeight="1" s="179">
      <c r="A124" s="136" t="n"/>
      <c r="B124" s="136" t="n"/>
      <c r="C124" s="136" t="n"/>
      <c r="D124" s="136" t="n"/>
      <c r="E124" s="136" t="n"/>
      <c r="F124" s="136" t="n"/>
      <c r="G124" s="21" t="n"/>
    </row>
    <row r="125" ht="15.75" customHeight="1" s="179">
      <c r="A125" s="136" t="n"/>
      <c r="B125" s="136" t="n"/>
      <c r="C125" s="136" t="n"/>
      <c r="D125" s="136" t="n"/>
      <c r="E125" s="136" t="n"/>
      <c r="F125" s="136" t="n"/>
      <c r="G125" s="21" t="n"/>
    </row>
    <row r="126" ht="15.75" customHeight="1" s="179">
      <c r="A126" s="136" t="n"/>
      <c r="B126" s="136" t="n"/>
      <c r="C126" s="136" t="n"/>
      <c r="D126" s="136" t="n"/>
      <c r="E126" s="136" t="n"/>
      <c r="F126" s="136" t="n"/>
      <c r="G126" s="21" t="n"/>
    </row>
    <row r="127" ht="15.75" customHeight="1" s="179">
      <c r="A127" s="136" t="n"/>
      <c r="B127" s="136" t="n"/>
      <c r="C127" s="136" t="n"/>
      <c r="D127" s="136" t="n"/>
      <c r="E127" s="136" t="n"/>
      <c r="F127" s="136" t="n"/>
      <c r="G127" s="21" t="n"/>
    </row>
    <row r="128" ht="15.75" customHeight="1" s="179">
      <c r="A128" s="136" t="n"/>
      <c r="B128" s="136" t="n"/>
      <c r="C128" s="136" t="n"/>
      <c r="D128" s="136" t="n"/>
      <c r="E128" s="136" t="n"/>
      <c r="F128" s="136" t="n"/>
      <c r="G128" s="21" t="n"/>
    </row>
    <row r="129" ht="15.75" customHeight="1" s="179">
      <c r="A129" s="136" t="n"/>
      <c r="B129" s="136" t="n"/>
      <c r="C129" s="136" t="n"/>
      <c r="D129" s="136" t="n"/>
      <c r="E129" s="136" t="n"/>
      <c r="F129" s="136" t="n"/>
      <c r="G129" s="21" t="n"/>
    </row>
    <row r="130" ht="15.75" customHeight="1" s="179">
      <c r="A130" s="136" t="n"/>
      <c r="B130" s="136" t="n"/>
      <c r="C130" s="136" t="n"/>
      <c r="D130" s="136" t="n"/>
      <c r="E130" s="136" t="n"/>
      <c r="F130" s="136" t="n"/>
      <c r="G130" s="21" t="n"/>
    </row>
    <row r="131" ht="15.75" customHeight="1" s="179">
      <c r="A131" s="136" t="n"/>
      <c r="B131" s="136" t="n"/>
      <c r="C131" s="136" t="n"/>
      <c r="D131" s="136" t="n"/>
      <c r="E131" s="136" t="n"/>
      <c r="F131" s="136" t="n"/>
      <c r="G131" s="21" t="n"/>
    </row>
    <row r="132" ht="15.75" customHeight="1" s="179">
      <c r="A132" s="136" t="n"/>
      <c r="B132" s="136" t="n"/>
      <c r="C132" s="136" t="n"/>
      <c r="D132" s="136" t="n"/>
      <c r="E132" s="136" t="n"/>
      <c r="F132" s="136" t="n"/>
      <c r="G132" s="21" t="n"/>
    </row>
    <row r="133" ht="15.75" customHeight="1" s="179">
      <c r="A133" s="136" t="n"/>
      <c r="B133" s="136" t="n"/>
      <c r="C133" s="136" t="n"/>
      <c r="D133" s="136" t="n"/>
      <c r="E133" s="136" t="n"/>
      <c r="F133" s="136" t="n"/>
      <c r="G133" s="21" t="n"/>
    </row>
    <row r="134" ht="15.75" customHeight="1" s="179">
      <c r="A134" s="136" t="n"/>
      <c r="B134" s="136" t="n"/>
      <c r="C134" s="136" t="n"/>
      <c r="D134" s="136" t="n"/>
      <c r="E134" s="136" t="n"/>
      <c r="F134" s="136" t="n"/>
      <c r="G134" s="21" t="n"/>
    </row>
    <row r="135" ht="15.75" customHeight="1" s="179">
      <c r="A135" s="136" t="n"/>
      <c r="B135" s="136" t="n"/>
      <c r="C135" s="136" t="n"/>
      <c r="D135" s="136" t="n"/>
      <c r="E135" s="136" t="n"/>
      <c r="F135" s="136" t="n"/>
      <c r="G135" s="21" t="n"/>
    </row>
    <row r="136" ht="15.75" customHeight="1" s="179">
      <c r="A136" s="136" t="n"/>
      <c r="B136" s="136" t="n"/>
      <c r="C136" s="136" t="n"/>
      <c r="D136" s="136" t="n"/>
      <c r="E136" s="136" t="n"/>
      <c r="F136" s="136" t="n"/>
      <c r="G136" s="21" t="n"/>
    </row>
    <row r="137" ht="15.75" customHeight="1" s="179">
      <c r="A137" s="136" t="n"/>
      <c r="B137" s="136" t="n"/>
      <c r="C137" s="136" t="n"/>
      <c r="D137" s="136" t="n"/>
      <c r="E137" s="136" t="n"/>
      <c r="F137" s="136" t="n"/>
      <c r="G137" s="21" t="n"/>
    </row>
    <row r="138" ht="15.75" customHeight="1" s="179">
      <c r="A138" s="136" t="n"/>
      <c r="B138" s="136" t="n"/>
      <c r="C138" s="136" t="n"/>
      <c r="D138" s="136" t="n"/>
      <c r="E138" s="136" t="n"/>
      <c r="F138" s="136" t="n"/>
      <c r="G138" s="21" t="n"/>
    </row>
    <row r="139" ht="15.75" customHeight="1" s="179">
      <c r="A139" s="136" t="n"/>
      <c r="B139" s="136" t="n"/>
      <c r="C139" s="136" t="n"/>
      <c r="D139" s="136" t="n"/>
      <c r="E139" s="136" t="n"/>
      <c r="F139" s="136" t="n"/>
    </row>
    <row r="140" ht="15.75" customHeight="1" s="179">
      <c r="A140" s="136" t="n"/>
      <c r="B140" s="136" t="n"/>
      <c r="C140" s="136" t="n"/>
      <c r="D140" s="136" t="n"/>
      <c r="E140" s="136" t="n"/>
      <c r="F140" s="136" t="n"/>
      <c r="G140" s="21" t="n"/>
    </row>
    <row r="141" ht="15.75" customHeight="1" s="179">
      <c r="A141" s="136" t="n"/>
      <c r="B141" s="136" t="n"/>
      <c r="C141" s="136" t="n"/>
      <c r="D141" s="136" t="n"/>
      <c r="E141" s="136" t="n"/>
      <c r="F141" s="136" t="n"/>
      <c r="G141" s="21" t="n"/>
    </row>
    <row r="142" ht="15.75" customHeight="1" s="179">
      <c r="A142" s="136" t="n"/>
      <c r="B142" s="136" t="n"/>
      <c r="C142" s="136" t="n"/>
      <c r="D142" s="136" t="n"/>
      <c r="E142" s="136" t="n"/>
      <c r="F142" s="136" t="n"/>
      <c r="G142" s="21" t="n"/>
    </row>
    <row r="143" ht="15.75" customHeight="1" s="179">
      <c r="A143" s="136" t="n"/>
      <c r="B143" s="136" t="n"/>
      <c r="C143" s="136" t="n"/>
      <c r="D143" s="136" t="n"/>
      <c r="E143" s="136" t="n"/>
      <c r="F143" s="136" t="n"/>
      <c r="G143" s="21" t="n"/>
    </row>
    <row r="144" ht="15.75" customHeight="1" s="179">
      <c r="A144" s="136" t="n"/>
      <c r="B144" s="136" t="n"/>
      <c r="C144" s="136" t="n"/>
      <c r="D144" s="136" t="n"/>
      <c r="E144" s="136" t="n"/>
      <c r="F144" s="136" t="n"/>
      <c r="G144" s="21" t="n"/>
    </row>
    <row r="145" ht="15.75" customHeight="1" s="179">
      <c r="A145" s="136" t="n"/>
      <c r="B145" s="136" t="n"/>
      <c r="C145" s="136" t="n"/>
      <c r="D145" s="136" t="n"/>
      <c r="E145" s="136" t="n"/>
      <c r="F145" s="136" t="n"/>
      <c r="G145" s="21" t="n"/>
    </row>
    <row r="146" ht="15.75" customHeight="1" s="179">
      <c r="A146" s="136" t="n"/>
      <c r="B146" s="136" t="n"/>
      <c r="C146" s="136" t="n"/>
      <c r="D146" s="136" t="n"/>
      <c r="E146" s="136" t="n"/>
      <c r="F146" s="136" t="n"/>
      <c r="G146" s="21" t="n"/>
    </row>
    <row r="147" ht="15.75" customHeight="1" s="179">
      <c r="A147" s="136" t="n"/>
      <c r="B147" s="136" t="n"/>
      <c r="C147" s="136" t="n"/>
      <c r="D147" s="136" t="n"/>
      <c r="E147" s="136" t="n"/>
      <c r="F147" s="136" t="n"/>
      <c r="G147" s="21" t="n"/>
    </row>
    <row r="148" ht="15.75" customHeight="1" s="179">
      <c r="A148" s="136" t="n"/>
      <c r="B148" s="136" t="n"/>
      <c r="C148" s="136" t="n"/>
      <c r="D148" s="136" t="n"/>
      <c r="E148" s="136" t="n"/>
      <c r="F148" s="136" t="n"/>
      <c r="G148" s="21" t="n"/>
    </row>
    <row r="149" ht="15.75" customHeight="1" s="179">
      <c r="A149" s="136" t="n"/>
      <c r="B149" s="136" t="n"/>
      <c r="C149" s="136" t="n"/>
      <c r="D149" s="136" t="n"/>
      <c r="E149" s="136" t="n"/>
      <c r="F149" s="136" t="n"/>
      <c r="G149" s="21" t="n"/>
    </row>
    <row r="150" ht="15.75" customHeight="1" s="179">
      <c r="A150" s="136" t="n"/>
      <c r="B150" s="136" t="n"/>
      <c r="C150" s="136" t="n"/>
      <c r="D150" s="136" t="n"/>
      <c r="E150" s="136" t="n"/>
      <c r="F150" s="136" t="n"/>
      <c r="G150" s="21" t="n"/>
    </row>
    <row r="151" ht="15.75" customHeight="1" s="179">
      <c r="A151" s="136" t="n"/>
      <c r="B151" s="136" t="n"/>
      <c r="C151" s="136" t="n"/>
      <c r="D151" s="136" t="n"/>
      <c r="E151" s="136" t="n"/>
      <c r="F151" s="136" t="n"/>
      <c r="G151" s="21" t="n"/>
    </row>
    <row r="152" ht="15.75" customHeight="1" s="179">
      <c r="A152" s="136" t="n"/>
      <c r="B152" s="136" t="n"/>
      <c r="C152" s="136" t="n"/>
      <c r="D152" s="136" t="n"/>
      <c r="E152" s="136" t="n"/>
      <c r="F152" s="136" t="n"/>
      <c r="G152" s="21" t="n"/>
    </row>
    <row r="153" ht="15.75" customHeight="1" s="179">
      <c r="A153" s="136" t="n"/>
      <c r="B153" s="136" t="n"/>
      <c r="C153" s="136" t="n"/>
      <c r="D153" s="136" t="n"/>
      <c r="E153" s="136" t="n"/>
      <c r="F153" s="136" t="n"/>
      <c r="G153" s="21" t="n"/>
    </row>
    <row r="154" ht="15.75" customHeight="1" s="179">
      <c r="A154" s="136" t="n"/>
      <c r="B154" s="136" t="n"/>
      <c r="C154" s="136" t="n"/>
      <c r="D154" s="136" t="n"/>
      <c r="E154" s="136" t="n"/>
      <c r="F154" s="136" t="n"/>
      <c r="G154" s="21" t="n"/>
    </row>
    <row r="155" ht="15.75" customHeight="1" s="179">
      <c r="A155" s="136" t="n"/>
      <c r="B155" s="136" t="n"/>
      <c r="C155" s="136" t="n"/>
      <c r="D155" s="136" t="n"/>
      <c r="E155" s="136" t="n"/>
      <c r="F155" s="136" t="n"/>
      <c r="G155" s="21" t="n"/>
    </row>
    <row r="156" ht="15.75" customHeight="1" s="179">
      <c r="A156" s="136" t="n"/>
      <c r="B156" s="136" t="n"/>
      <c r="C156" s="136" t="n"/>
      <c r="D156" s="136" t="n"/>
      <c r="E156" s="136" t="n"/>
      <c r="F156" s="136" t="n"/>
    </row>
    <row r="157" ht="15.75" customHeight="1" s="179">
      <c r="A157" s="136" t="n"/>
      <c r="B157" s="136" t="n"/>
      <c r="C157" s="136" t="n"/>
      <c r="D157" s="136" t="n"/>
      <c r="E157" s="136" t="n"/>
      <c r="F157" s="136" t="n"/>
    </row>
    <row r="158" ht="15.75" customHeight="1" s="179">
      <c r="A158" s="136" t="n"/>
      <c r="B158" s="136" t="n"/>
      <c r="C158" s="136" t="n"/>
      <c r="D158" s="136" t="n"/>
      <c r="E158" s="136" t="n"/>
      <c r="F158" s="136" t="n"/>
    </row>
    <row r="159" ht="15.75" customHeight="1" s="179">
      <c r="A159" s="136" t="n"/>
      <c r="B159" s="136" t="n"/>
      <c r="C159" s="136" t="n"/>
      <c r="D159" s="136" t="n"/>
      <c r="E159" s="136" t="n"/>
      <c r="F159" s="136" t="n"/>
    </row>
    <row r="160" ht="15.75" customHeight="1" s="179">
      <c r="A160" s="136" t="n"/>
      <c r="B160" s="136" t="n"/>
      <c r="C160" s="136" t="n"/>
      <c r="D160" s="136" t="n"/>
      <c r="E160" s="136" t="n"/>
      <c r="F160" s="136" t="n"/>
    </row>
    <row r="161" ht="15.75" customHeight="1" s="179">
      <c r="A161" s="136" t="n"/>
      <c r="B161" s="136" t="n"/>
      <c r="C161" s="136" t="n"/>
      <c r="D161" s="136" t="n"/>
      <c r="E161" s="136" t="n"/>
      <c r="F161" s="136" t="n"/>
    </row>
    <row r="162" ht="15.75" customHeight="1" s="179">
      <c r="A162" s="136" t="n"/>
      <c r="B162" s="136" t="n"/>
      <c r="C162" s="136" t="n"/>
      <c r="D162" s="136" t="n"/>
      <c r="E162" s="136" t="n"/>
      <c r="F162" s="136" t="n"/>
    </row>
    <row r="163" ht="15.75" customHeight="1" s="179">
      <c r="A163" s="136" t="n"/>
      <c r="B163" s="136" t="n"/>
      <c r="C163" s="136" t="n"/>
      <c r="D163" s="136" t="n"/>
      <c r="E163" s="136" t="n"/>
      <c r="F163" s="136" t="n"/>
    </row>
    <row r="164" ht="15.75" customHeight="1" s="179">
      <c r="A164" s="136" t="n"/>
      <c r="B164" s="136" t="n"/>
      <c r="C164" s="136" t="n"/>
      <c r="D164" s="136" t="n"/>
      <c r="E164" s="136" t="n"/>
      <c r="F164" s="136" t="n"/>
    </row>
    <row r="165" ht="15.75" customHeight="1" s="179">
      <c r="A165" s="136" t="n"/>
      <c r="B165" s="136" t="n"/>
      <c r="C165" s="136" t="n"/>
      <c r="D165" s="136" t="n"/>
      <c r="E165" s="136" t="n"/>
      <c r="F165" s="136" t="n"/>
    </row>
    <row r="166" ht="15.75" customHeight="1" s="179">
      <c r="A166" s="136" t="n"/>
      <c r="B166" s="136" t="n"/>
      <c r="C166" s="136" t="n"/>
      <c r="D166" s="136" t="n"/>
      <c r="E166" s="136" t="n"/>
      <c r="F166" s="136" t="n"/>
    </row>
    <row r="167" ht="15.75" customHeight="1" s="179">
      <c r="A167" s="136" t="n"/>
      <c r="B167" s="136" t="n"/>
      <c r="C167" s="136" t="n"/>
      <c r="D167" s="136" t="n"/>
      <c r="E167" s="136" t="n"/>
      <c r="F167" s="136" t="n"/>
    </row>
    <row r="168" ht="15.75" customHeight="1" s="179">
      <c r="A168" s="136" t="n"/>
      <c r="B168" s="136" t="n"/>
      <c r="C168" s="136" t="n"/>
      <c r="D168" s="136" t="n"/>
      <c r="E168" s="136" t="n"/>
      <c r="F168" s="136" t="n"/>
    </row>
    <row r="169" ht="15.75" customHeight="1" s="179">
      <c r="A169" s="136" t="n"/>
      <c r="B169" s="136" t="n"/>
      <c r="C169" s="136" t="n"/>
      <c r="D169" s="136" t="n"/>
      <c r="E169" s="136" t="n"/>
      <c r="F169" s="136" t="n"/>
    </row>
    <row r="170" ht="15.75" customHeight="1" s="179">
      <c r="A170" s="136" t="n"/>
      <c r="B170" s="136" t="n"/>
      <c r="C170" s="136" t="n"/>
      <c r="D170" s="136" t="n"/>
      <c r="E170" s="136" t="n"/>
      <c r="F170" s="136" t="n"/>
    </row>
    <row r="171" ht="15.75" customHeight="1" s="179">
      <c r="A171" s="136" t="n"/>
      <c r="B171" s="136" t="n"/>
      <c r="C171" s="136" t="n"/>
      <c r="D171" s="136" t="n"/>
      <c r="E171" s="136" t="n"/>
      <c r="F171" s="136" t="n"/>
    </row>
    <row r="172" ht="15.75" customHeight="1" s="179">
      <c r="A172" s="136" t="n"/>
      <c r="B172" s="136" t="n"/>
      <c r="C172" s="136" t="n"/>
      <c r="D172" s="136" t="n"/>
      <c r="E172" s="136" t="n"/>
      <c r="F172" s="136" t="n"/>
    </row>
    <row r="173" ht="15.75" customHeight="1" s="179">
      <c r="A173" s="136" t="n"/>
      <c r="B173" s="136" t="n"/>
      <c r="C173" s="136" t="n"/>
      <c r="D173" s="136" t="n"/>
      <c r="E173" s="136" t="n"/>
      <c r="F173" s="136" t="n"/>
    </row>
    <row r="174" ht="15.75" customHeight="1" s="179">
      <c r="A174" s="136" t="n"/>
      <c r="B174" s="136" t="n"/>
      <c r="C174" s="136" t="n"/>
      <c r="D174" s="136" t="n"/>
      <c r="E174" s="136" t="n"/>
      <c r="F174" s="136" t="n"/>
    </row>
    <row r="175" ht="15.75" customHeight="1" s="179">
      <c r="A175" s="136" t="n"/>
      <c r="B175" s="136" t="n"/>
      <c r="C175" s="136" t="n"/>
      <c r="D175" s="136" t="n"/>
      <c r="E175" s="136" t="n"/>
      <c r="F175" s="136" t="n"/>
    </row>
    <row r="176" ht="15.75" customHeight="1" s="179">
      <c r="A176" s="136" t="n"/>
      <c r="B176" s="136" t="n"/>
      <c r="C176" s="136" t="n"/>
      <c r="D176" s="136" t="n"/>
      <c r="E176" s="136" t="n"/>
      <c r="F176" s="136" t="n"/>
    </row>
    <row r="177" ht="15.75" customHeight="1" s="179">
      <c r="A177" s="136" t="n"/>
      <c r="B177" s="136" t="n"/>
      <c r="C177" s="136" t="n"/>
      <c r="D177" s="136" t="n"/>
      <c r="E177" s="136" t="n"/>
      <c r="F177" s="136" t="n"/>
    </row>
    <row r="178" ht="15.75" customHeight="1" s="179">
      <c r="A178" s="136" t="n"/>
      <c r="B178" s="136" t="n"/>
      <c r="C178" s="136" t="n"/>
      <c r="D178" s="136" t="n"/>
      <c r="E178" s="136" t="n"/>
      <c r="F178" s="136" t="n"/>
    </row>
    <row r="179" ht="15.75" customHeight="1" s="179">
      <c r="A179" s="136" t="n"/>
      <c r="B179" s="136" t="n"/>
      <c r="C179" s="136" t="n"/>
      <c r="D179" s="136" t="n"/>
      <c r="E179" s="136" t="n"/>
      <c r="F179" s="136" t="n"/>
    </row>
    <row r="180" ht="15.75" customHeight="1" s="179">
      <c r="A180" s="136" t="n"/>
      <c r="B180" s="136" t="n"/>
      <c r="C180" s="136" t="n"/>
      <c r="D180" s="136" t="n"/>
      <c r="E180" s="136" t="n"/>
      <c r="F180" s="136" t="n"/>
    </row>
    <row r="181" ht="15.75" customHeight="1" s="179">
      <c r="A181" s="136" t="n"/>
      <c r="B181" s="136" t="n"/>
      <c r="C181" s="136" t="n"/>
      <c r="D181" s="136" t="n"/>
      <c r="E181" s="136" t="n"/>
      <c r="F181" s="136" t="n"/>
    </row>
    <row r="182" ht="15.75" customHeight="1" s="179">
      <c r="A182" s="136" t="n"/>
      <c r="B182" s="136" t="n"/>
      <c r="C182" s="136" t="n"/>
      <c r="D182" s="136" t="n"/>
      <c r="E182" s="136" t="n"/>
      <c r="F182" s="136" t="n"/>
    </row>
    <row r="183" ht="15.75" customHeight="1" s="179">
      <c r="A183" s="136" t="n"/>
      <c r="B183" s="136" t="n"/>
      <c r="C183" s="136" t="n"/>
      <c r="D183" s="136" t="n"/>
      <c r="E183" s="136" t="n"/>
      <c r="F183" s="136" t="n"/>
    </row>
    <row r="184" ht="15.75" customHeight="1" s="179">
      <c r="A184" s="136" t="n"/>
      <c r="B184" s="136" t="n"/>
      <c r="C184" s="136" t="n"/>
      <c r="D184" s="136" t="n"/>
      <c r="E184" s="136" t="n"/>
      <c r="F184" s="136" t="n"/>
    </row>
    <row r="185" ht="15.75" customHeight="1" s="179">
      <c r="A185" s="136" t="n"/>
      <c r="B185" s="136" t="n"/>
      <c r="C185" s="136" t="n"/>
      <c r="D185" s="136" t="n"/>
      <c r="E185" s="136" t="n"/>
      <c r="F185" s="136" t="n"/>
    </row>
    <row r="186" ht="15.75" customHeight="1" s="179">
      <c r="A186" s="136" t="n"/>
      <c r="B186" s="136" t="n"/>
      <c r="C186" s="136" t="n"/>
      <c r="D186" s="136" t="n"/>
      <c r="E186" s="136" t="n"/>
      <c r="F186" s="136" t="n"/>
    </row>
    <row r="187" ht="15.75" customHeight="1" s="179">
      <c r="A187" s="136" t="n"/>
      <c r="B187" s="136" t="n"/>
      <c r="C187" s="136" t="n"/>
      <c r="D187" s="136" t="n"/>
      <c r="E187" s="136" t="n"/>
      <c r="F187" s="136" t="n"/>
    </row>
    <row r="188" ht="15.75" customHeight="1" s="179">
      <c r="A188" s="136" t="n"/>
      <c r="B188" s="136" t="n"/>
      <c r="C188" s="136" t="n"/>
      <c r="D188" s="136" t="n"/>
      <c r="E188" s="136" t="n"/>
      <c r="F188" s="136" t="n"/>
    </row>
    <row r="189" ht="15.75" customHeight="1" s="179">
      <c r="A189" s="136" t="n"/>
      <c r="B189" s="136" t="n"/>
      <c r="C189" s="136" t="n"/>
      <c r="D189" s="136" t="n"/>
      <c r="E189" s="136" t="n"/>
      <c r="F189" s="136" t="n"/>
    </row>
    <row r="190" ht="15.75" customHeight="1" s="179">
      <c r="A190" s="136" t="n"/>
      <c r="B190" s="136" t="n"/>
      <c r="C190" s="136" t="n"/>
      <c r="D190" s="136" t="n"/>
      <c r="E190" s="136" t="n"/>
      <c r="F190" s="136" t="n"/>
    </row>
    <row r="191" ht="15.75" customHeight="1" s="179">
      <c r="A191" s="136" t="n"/>
      <c r="B191" s="136" t="n"/>
      <c r="C191" s="136" t="n"/>
      <c r="D191" s="136" t="n"/>
      <c r="E191" s="136" t="n"/>
      <c r="F191" s="136" t="n"/>
    </row>
    <row r="192" ht="15.75" customHeight="1" s="179">
      <c r="A192" s="136" t="n"/>
      <c r="B192" s="136" t="n"/>
      <c r="C192" s="136" t="n"/>
      <c r="D192" s="136" t="n"/>
      <c r="E192" s="136" t="n"/>
      <c r="F192" s="136" t="n"/>
    </row>
    <row r="193" ht="15.75" customHeight="1" s="179">
      <c r="A193" s="136" t="n"/>
      <c r="B193" s="136" t="n"/>
      <c r="C193" s="136" t="n"/>
      <c r="D193" s="136" t="n"/>
      <c r="E193" s="136" t="n"/>
      <c r="F193" s="136" t="n"/>
    </row>
    <row r="194" ht="15.75" customHeight="1" s="179">
      <c r="A194" s="136" t="n"/>
      <c r="B194" s="136" t="n"/>
      <c r="C194" s="136" t="n"/>
      <c r="D194" s="136" t="n"/>
      <c r="E194" s="136" t="n"/>
      <c r="F194" s="136" t="n"/>
    </row>
    <row r="195" ht="15.75" customHeight="1" s="179">
      <c r="A195" s="136" t="n"/>
      <c r="B195" s="136" t="n"/>
      <c r="C195" s="136" t="n"/>
      <c r="D195" s="136" t="n"/>
      <c r="E195" s="136" t="n"/>
      <c r="F195" s="136" t="n"/>
    </row>
    <row r="196" ht="15.75" customHeight="1" s="179">
      <c r="A196" s="136" t="n"/>
      <c r="B196" s="136" t="n"/>
      <c r="C196" s="136" t="n"/>
      <c r="D196" s="136" t="n"/>
      <c r="E196" s="136" t="n"/>
      <c r="F196" s="136" t="n"/>
    </row>
    <row r="197" ht="15.75" customHeight="1" s="179">
      <c r="A197" s="136" t="n"/>
      <c r="B197" s="136" t="n"/>
      <c r="C197" s="136" t="n"/>
      <c r="D197" s="136" t="n"/>
      <c r="E197" s="136" t="n"/>
      <c r="F197" s="136" t="n"/>
    </row>
    <row r="198" ht="15.75" customHeight="1" s="179">
      <c r="A198" s="136" t="n"/>
      <c r="B198" s="136" t="n"/>
      <c r="C198" s="136" t="n"/>
      <c r="D198" s="136" t="n"/>
      <c r="E198" s="136" t="n"/>
      <c r="F198" s="136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Sheet8">
    <tabColor theme="1" tint="0.0499893185216834"/>
    <outlinePr summaryBelow="1" summaryRight="1"/>
    <pageSetUpPr/>
  </sheetPr>
  <dimension ref="A1:H52"/>
  <sheetViews>
    <sheetView tabSelected="1" zoomScale="85" workbookViewId="0">
      <selection activeCell="D15" sqref="D15"/>
    </sheetView>
  </sheetViews>
  <sheetFormatPr baseColWidth="8" defaultRowHeight="14"/>
  <cols>
    <col width="40" customWidth="1" style="179" min="1" max="1"/>
    <col width="23.4140625" customWidth="1" style="179" min="2" max="2"/>
    <col width="14.5" customWidth="1" style="179" min="3" max="3"/>
    <col width="22.83203125" customWidth="1" style="179" min="4" max="4"/>
    <col width="39.4140625" customWidth="1" style="179" min="7" max="7"/>
    <col width="26.6640625" customWidth="1" style="179" min="8" max="8"/>
    <col width="15.9140625" customWidth="1" style="179" min="9" max="9"/>
  </cols>
  <sheetData>
    <row r="1">
      <c r="A1" s="77" t="inlineStr">
        <is>
          <t>2A Regression结果Table中对应的不同KPI</t>
        </is>
      </c>
      <c r="B1" s="77" t="n"/>
      <c r="C1" s="77" t="n"/>
      <c r="D1" s="77" t="inlineStr">
        <is>
          <t>手写</t>
        </is>
      </c>
      <c r="G1" t="inlineStr">
        <is>
          <t>ind Variable</t>
        </is>
      </c>
      <c r="H1" s="157" t="inlineStr">
        <is>
          <t>变量名称</t>
        </is>
      </c>
    </row>
    <row r="2">
      <c r="A2" t="inlineStr">
        <is>
          <t>第几个table</t>
        </is>
      </c>
      <c r="B2" t="inlineStr">
        <is>
          <t>Dependent Variable</t>
        </is>
      </c>
      <c r="C2" t="inlineStr">
        <is>
          <t>模型Base</t>
        </is>
      </c>
      <c r="D2" s="157" t="inlineStr">
        <is>
          <t>变量名称</t>
        </is>
      </c>
      <c r="G2" s="168" t="inlineStr">
        <is>
          <t>instagram</t>
        </is>
      </c>
      <c r="H2" s="168" t="inlineStr">
        <is>
          <t>instagram</t>
        </is>
      </c>
    </row>
    <row r="3">
      <c r="A3" t="n">
        <v>1</v>
      </c>
      <c r="B3">
        <f t="array" ref="B3">IF($A3="","",_xlfn.LET(
    _xlpm.n,$A3,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  <c r="C3" t="inlineStr">
        <is>
          <t>Total</t>
        </is>
      </c>
      <c r="D3" t="inlineStr">
        <is>
          <t>Brand Awareness</t>
        </is>
      </c>
      <c r="G3" s="168" t="inlineStr">
        <is>
          <t>youtube</t>
        </is>
      </c>
      <c r="H3" s="168" t="inlineStr">
        <is>
          <t>youtube</t>
        </is>
      </c>
    </row>
    <row r="4">
      <c r="A4" t="n">
        <v>2</v>
      </c>
      <c r="B4">
        <f t="array" ref="B4">IF($A4="","",_xlfn.LET(
    _xlpm.n,$A4,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  <c r="C4" t="inlineStr">
        <is>
          <t>Total</t>
        </is>
      </c>
      <c r="D4" t="inlineStr">
        <is>
          <t>Brand Familiarity</t>
        </is>
      </c>
      <c r="G4" s="168" t="inlineStr">
        <is>
          <t>tiktok</t>
        </is>
      </c>
      <c r="H4" s="168" t="inlineStr">
        <is>
          <t>tiktok</t>
        </is>
      </c>
    </row>
    <row r="5">
      <c r="A5" t="n">
        <v>3</v>
      </c>
      <c r="B5">
        <f t="array" ref="B5">IF($A5="","",_xlfn.LET(
    _xlpm.n,$A5,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  <c r="C5" t="inlineStr">
        <is>
          <t>Total</t>
        </is>
      </c>
      <c r="D5" t="inlineStr">
        <is>
          <t>Brand Consideration</t>
        </is>
      </c>
      <c r="G5" s="168" t="inlineStr">
        <is>
          <t>metro</t>
        </is>
      </c>
      <c r="H5" s="168" t="inlineStr">
        <is>
          <t>metro</t>
        </is>
      </c>
    </row>
    <row r="6">
      <c r="A6" t="n">
        <v>4</v>
      </c>
      <c r="B6">
        <f t="array" ref="B6">IF($A6="","",_xlfn.LET(
    _xlpm.n,$A6,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  <c r="C6" t="inlineStr">
        <is>
          <t>Total</t>
        </is>
      </c>
      <c r="D6" t="inlineStr">
        <is>
          <t>Outstanding performance in taking portraits</t>
        </is>
      </c>
    </row>
    <row r="7">
      <c r="A7" t="n">
        <v>5</v>
      </c>
      <c r="B7">
        <f t="array" ref="B7">IF($A7="","",_xlfn.LET(
    _xlpm.n,$A7,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  <c r="C7" t="inlineStr">
        <is>
          <t>Total</t>
        </is>
      </c>
    </row>
    <row r="8">
      <c r="A8" t="n">
        <v>6</v>
      </c>
      <c r="B8">
        <f t="array" ref="B8">IF($A8="","",_xlfn.LET(
    _xlpm.n,$A8,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  <c r="C8" t="inlineStr">
        <is>
          <t>Total</t>
        </is>
      </c>
    </row>
    <row r="9">
      <c r="A9" t="n">
        <v>7</v>
      </c>
      <c r="B9">
        <f t="array" ref="B9">IF($A9="","",_xlfn.LET(
    _xlpm.n,$A9,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  <c r="C9" t="inlineStr">
        <is>
          <t>Total</t>
        </is>
      </c>
    </row>
    <row r="10">
      <c r="A10" t="n">
        <v>8</v>
      </c>
      <c r="B10">
        <f t="array" ref="B10">IF($A10="","",_xlfn.LET(
    _xlpm.n,$A10,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  <c r="C10" t="inlineStr">
        <is>
          <t>Total</t>
        </is>
      </c>
    </row>
    <row r="11">
      <c r="A11" t="n">
        <v>9</v>
      </c>
      <c r="B11">
        <f t="array" ref="B11">IF($A11="","",_xlfn.LET(
    _xlpm.n,$A11,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12">
      <c r="A12" t="n">
        <v>10</v>
      </c>
      <c r="B12">
        <f t="array" ref="B12">IF($A12="","",_xlfn.LET(
    _xlpm.n,$A12,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13">
      <c r="A13" t="n">
        <v>11</v>
      </c>
      <c r="B13">
        <f t="array" ref="B13">IF($A13="","",_xlfn.LET(
    _xlpm.n,$A13,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14">
      <c r="A14" t="n">
        <v>12</v>
      </c>
      <c r="B14">
        <f t="array" ref="B14">IF($A14="","",_xlfn.LET(
    _xlpm.n,$A14,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15">
      <c r="A15" t="n">
        <v>13</v>
      </c>
      <c r="B15">
        <f t="array" ref="B15">IF($A15="","",_xlfn.LET(
    _xlpm.n,$A15,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16">
      <c r="A16" t="n">
        <v>14</v>
      </c>
      <c r="B16">
        <f t="array" ref="B16">IF($A16="","",_xlfn.LET(
    _xlpm.n,$A16,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17">
      <c r="A17" t="n">
        <v>15</v>
      </c>
      <c r="B17">
        <f t="array" ref="B17">IF($A17="","",_xlfn.LET(
    _xlpm.n,$A17,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18">
      <c r="A18" t="n">
        <v>16</v>
      </c>
      <c r="B18">
        <f t="array" ref="B18">IF($A18="","",_xlfn.LET(
    _xlpm.n,$A18,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19">
      <c r="A19" t="n">
        <v>17</v>
      </c>
      <c r="B19">
        <f t="array" ref="B19">IF($A19="","",_xlfn.LET(
    _xlpm.n,$A19,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20">
      <c r="A20" t="n">
        <v>18</v>
      </c>
      <c r="B20">
        <f t="array" ref="B20">IF($A20="","",_xlfn.LET(
    _xlpm.n,$A20,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21">
      <c r="A21" t="n">
        <v>19</v>
      </c>
      <c r="B21">
        <f t="array" ref="B21">IF($A21="","",_xlfn.LET(
    _xlpm.n,$A21,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22">
      <c r="A22" t="n">
        <v>20</v>
      </c>
      <c r="B22">
        <f t="array" ref="B22">IF($A22="","",_xlfn.LET(
    _xlpm.n,$A22,
    _xlpm.allRows,'2A Regression'!$A:$A,
    _xlpm.matches,IF(LEFT(_xlpm.allRows,19)="Dependent Variable:",ROW(_xlpm.allRows),""),
    _xlpm.nthRow,SMALL(IF(_xlpm.matches&lt;&gt;"",_xlpm.matches),_xlpm.n),
    _xlpm.result,INDEX(_xlpm.allRows,_xlpm.nthRow),
    IFERROR(SUBSTITUTE(_xlpm.result,"Dependent Variable: ",""),"")
))</f>
        <v/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9">
    <tabColor theme="1" tint="0.0499893185216834"/>
    <outlinePr summaryBelow="1" summaryRight="1"/>
    <pageSetUpPr/>
  </sheetPr>
  <dimension ref="A1:BD171"/>
  <sheetViews>
    <sheetView zoomScale="48" zoomScaleNormal="80" workbookViewId="0">
      <selection activeCell="B12" sqref="B12"/>
    </sheetView>
  </sheetViews>
  <sheetFormatPr baseColWidth="8" defaultRowHeight="14"/>
  <cols>
    <col width="22.58203125" customWidth="1" style="179" min="1" max="1"/>
    <col width="6.83203125" bestFit="1" customWidth="1" style="179" min="2" max="2"/>
    <col width="27.83203125" bestFit="1" customWidth="1" style="179" min="3" max="3"/>
    <col width="29.4140625" bestFit="1" customWidth="1" style="5" min="4" max="4"/>
    <col width="9.1640625" bestFit="1" customWidth="1" style="179" min="5" max="5"/>
    <col width="12.83203125" customWidth="1" style="179" min="6" max="6"/>
    <col width="9.1640625" customWidth="1" style="179" min="7" max="7"/>
    <col width="10.1640625" customWidth="1" style="179" min="8" max="24"/>
    <col width="13.1640625" bestFit="1" customWidth="1" style="179" min="25" max="25"/>
    <col width="15.4140625" bestFit="1" customWidth="1" style="179" min="26" max="26"/>
    <col width="9.83203125" customWidth="1" style="179" min="27" max="32"/>
  </cols>
  <sheetData>
    <row r="1" ht="30" customHeight="1" s="179">
      <c r="A1" s="80" t="n"/>
      <c r="B1" s="81" t="n"/>
      <c r="C1" s="82" t="n"/>
      <c r="D1" s="88" t="inlineStr">
        <is>
          <t>模型Base的样本</t>
        </is>
      </c>
      <c r="E1" s="89">
        <f t="array" ref="E1:X1">TRANSPOSE('2D Mapping'!C3:C22)</f>
        <v/>
      </c>
      <c r="F1" s="89" t="inlineStr">
        <is>
          <t>Total</t>
        </is>
      </c>
      <c r="G1" s="89" t="inlineStr">
        <is>
          <t>Total</t>
        </is>
      </c>
      <c r="H1" s="89" t="inlineStr">
        <is>
          <t>Total</t>
        </is>
      </c>
      <c r="I1" s="89" t="inlineStr">
        <is>
          <t>Total</t>
        </is>
      </c>
      <c r="J1" s="89" t="inlineStr">
        <is>
          <t>Total</t>
        </is>
      </c>
      <c r="K1" s="89" t="inlineStr">
        <is>
          <t>Total</t>
        </is>
      </c>
      <c r="L1" s="89" t="inlineStr">
        <is>
          <t>Total</t>
        </is>
      </c>
      <c r="M1" s="89" t="n">
        <v>0</v>
      </c>
      <c r="N1" s="89" t="n">
        <v>0</v>
      </c>
      <c r="O1" s="89" t="n">
        <v>0</v>
      </c>
      <c r="P1" s="89" t="n">
        <v>0</v>
      </c>
      <c r="Q1" s="89" t="n">
        <v>0</v>
      </c>
      <c r="R1" s="89" t="n">
        <v>0</v>
      </c>
      <c r="S1" s="89" t="n">
        <v>0</v>
      </c>
      <c r="T1" s="89" t="n">
        <v>0</v>
      </c>
      <c r="U1" s="89" t="n">
        <v>0</v>
      </c>
      <c r="V1" s="89" t="n">
        <v>0</v>
      </c>
      <c r="W1" s="89" t="n">
        <v>0</v>
      </c>
      <c r="X1" s="89" t="n">
        <v>0</v>
      </c>
      <c r="Y1" s="89">
        <f t="array" ref="Y1">TRANSPOSE('2D Mapping'!D3:D22)</f>
        <v/>
      </c>
      <c r="Z1" s="89">
        <f t="array" ref="Z1">TRANSPOSE('2D Mapping'!E3:E22)</f>
        <v/>
      </c>
      <c r="AA1" s="89">
        <f t="array" ref="AA1">TRANSPOSE('2D Mapping'!F3:F22)</f>
        <v/>
      </c>
      <c r="AB1" s="89">
        <f t="array" ref="AB1">TRANSPOSE('2D Mapping'!G3:G22)</f>
        <v/>
      </c>
      <c r="AC1" s="89">
        <f t="array" ref="AC1">TRANSPOSE('2D Mapping'!H3:H22)</f>
        <v/>
      </c>
      <c r="AD1" s="89">
        <f t="array" ref="AD1">TRANSPOSE('2D Mapping'!I3:I22)</f>
        <v/>
      </c>
      <c r="AE1" s="89">
        <f t="array" ref="AE1">TRANSPOSE('2D Mapping'!J3:J22)</f>
        <v/>
      </c>
      <c r="AF1" s="89">
        <f t="array" ref="AF1">TRANSPOSE('2D Mapping'!K3:K22)</f>
        <v/>
      </c>
      <c r="AG1" s="89">
        <f t="array" ref="AG1">TRANSPOSE('2D Mapping'!L3:L22)</f>
        <v/>
      </c>
      <c r="AH1" s="89">
        <f t="array" ref="AH1">TRANSPOSE('2D Mapping'!M3:M22)</f>
        <v/>
      </c>
      <c r="AI1" s="89">
        <f t="array" ref="AI1">TRANSPOSE('2D Mapping'!N3:N22)</f>
        <v/>
      </c>
      <c r="AJ1" s="89">
        <f t="array" ref="AJ1">TRANSPOSE('2D Mapping'!O3:O22)</f>
        <v/>
      </c>
      <c r="AK1" s="89">
        <f t="array" ref="AK1">TRANSPOSE('2D Mapping'!P3:P22)</f>
        <v/>
      </c>
      <c r="AL1" s="89">
        <f t="array" ref="AL1">TRANSPOSE('2D Mapping'!Q3:Q22)</f>
        <v/>
      </c>
      <c r="AM1" s="89">
        <f t="array" ref="AM1">TRANSPOSE('2D Mapping'!R3:R22)</f>
        <v/>
      </c>
      <c r="AN1" s="89">
        <f t="array" ref="AN1">TRANSPOSE('2D Mapping'!S3:S22)</f>
        <v/>
      </c>
      <c r="AO1" s="89">
        <f t="array" ref="AO1">TRANSPOSE('2D Mapping'!T3:T22)</f>
        <v/>
      </c>
      <c r="AP1" s="89">
        <f t="array" ref="AP1">TRANSPOSE('2D Mapping'!U3:U22)</f>
        <v/>
      </c>
      <c r="AQ1" s="89">
        <f t="array" ref="AQ1">TRANSPOSE('2D Mapping'!V3:V22)</f>
        <v/>
      </c>
      <c r="AR1" s="89">
        <f t="array" ref="AR1">TRANSPOSE('2D Mapping'!W3:W22)</f>
        <v/>
      </c>
      <c r="AS1" s="89">
        <f t="array" ref="AS1">TRANSPOSE('2D Mapping'!X3:X22)</f>
        <v/>
      </c>
      <c r="AT1" s="89">
        <f t="array" ref="AT1">TRANSPOSE('2D Mapping'!Y3:Y22)</f>
        <v/>
      </c>
      <c r="AU1" s="89">
        <f t="array" ref="AU1">TRANSPOSE('2D Mapping'!Z3:Z22)</f>
        <v/>
      </c>
      <c r="AV1" s="89">
        <f t="array" ref="AV1">TRANSPOSE('2D Mapping'!AA3:AA22)</f>
        <v/>
      </c>
      <c r="AW1" s="89">
        <f t="array" ref="AW1">TRANSPOSE('2D Mapping'!AB3:AB22)</f>
        <v/>
      </c>
      <c r="AX1" s="89">
        <f t="array" ref="AX1">TRANSPOSE('2D Mapping'!AC3:AC22)</f>
        <v/>
      </c>
      <c r="AY1" s="89">
        <f t="array" ref="AY1">TRANSPOSE('2D Mapping'!AD3:AD22)</f>
        <v/>
      </c>
      <c r="AZ1" s="89">
        <f t="array" ref="AZ1">TRANSPOSE('2D Mapping'!AE3:AE22)</f>
        <v/>
      </c>
      <c r="BA1" s="89">
        <f t="array" ref="BA1">TRANSPOSE('2D Mapping'!AF3:AF22)</f>
        <v/>
      </c>
      <c r="BB1" s="89">
        <f t="array" ref="BB1">TRANSPOSE('2D Mapping'!AG3:AG22)</f>
        <v/>
      </c>
    </row>
    <row r="2" ht="65.25" customFormat="1" customHeight="1" s="175">
      <c r="A2" s="83" t="inlineStr">
        <is>
          <t>&gt;&gt;请输入：</t>
        </is>
      </c>
      <c r="B2" s="82" t="n"/>
      <c r="C2" s="1" t="n"/>
      <c r="D2" s="19" t="inlineStr">
        <is>
          <t>标准化系数（回归模型结果）</t>
        </is>
      </c>
      <c r="E2" s="79">
        <f t="array" ref="E2:BB2">TRANSPOSE('2D Mapping'!B3:B52)</f>
        <v/>
      </c>
      <c r="F2" s="79" t="str"/>
      <c r="G2" s="79" t="str"/>
      <c r="H2" s="79" t="str"/>
      <c r="I2" s="79" t="str"/>
      <c r="J2" s="79" t="str"/>
      <c r="K2" s="79" t="str"/>
      <c r="L2" s="79" t="str"/>
      <c r="M2" s="79" t="str"/>
      <c r="N2" s="79" t="str"/>
      <c r="O2" s="79" t="str"/>
      <c r="P2" s="79" t="str"/>
      <c r="Q2" s="79" t="str"/>
      <c r="R2" s="79" t="str"/>
      <c r="S2" s="79" t="str"/>
      <c r="T2" s="79" t="str"/>
      <c r="U2" s="79" t="str"/>
      <c r="V2" s="79" t="str"/>
      <c r="W2" s="79" t="str"/>
      <c r="X2" s="79" t="str"/>
      <c r="Y2" s="79" t="n">
        <v>0</v>
      </c>
      <c r="Z2" s="79" t="n">
        <v>0</v>
      </c>
      <c r="AA2" s="79" t="n">
        <v>0</v>
      </c>
      <c r="AB2" s="79" t="n">
        <v>0</v>
      </c>
      <c r="AC2" s="79" t="n">
        <v>0</v>
      </c>
      <c r="AD2" s="79" t="n">
        <v>0</v>
      </c>
      <c r="AE2" s="79" t="n">
        <v>0</v>
      </c>
      <c r="AF2" s="79" t="n">
        <v>0</v>
      </c>
      <c r="AG2" s="79" t="n">
        <v>0</v>
      </c>
      <c r="AH2" s="79" t="n">
        <v>0</v>
      </c>
      <c r="AI2" s="79" t="n">
        <v>0</v>
      </c>
      <c r="AJ2" s="79" t="n">
        <v>0</v>
      </c>
      <c r="AK2" s="79" t="n">
        <v>0</v>
      </c>
      <c r="AL2" s="79" t="n">
        <v>0</v>
      </c>
      <c r="AM2" s="79" t="n">
        <v>0</v>
      </c>
      <c r="AN2" s="79" t="n">
        <v>0</v>
      </c>
      <c r="AO2" s="79" t="n">
        <v>0</v>
      </c>
      <c r="AP2" s="79" t="n">
        <v>0</v>
      </c>
      <c r="AQ2" s="79" t="n">
        <v>0</v>
      </c>
      <c r="AR2" s="79" t="n">
        <v>0</v>
      </c>
      <c r="AS2" s="79" t="n">
        <v>0</v>
      </c>
      <c r="AT2" s="79" t="n">
        <v>0</v>
      </c>
      <c r="AU2" s="79" t="n">
        <v>0</v>
      </c>
      <c r="AV2" s="79" t="n">
        <v>0</v>
      </c>
      <c r="AW2" s="79" t="n">
        <v>0</v>
      </c>
      <c r="AX2" s="79" t="n">
        <v>0</v>
      </c>
      <c r="AY2" s="79" t="n">
        <v>0</v>
      </c>
      <c r="AZ2" s="79" t="n">
        <v>0</v>
      </c>
      <c r="BA2" s="79" t="n">
        <v>0</v>
      </c>
      <c r="BB2" s="79" t="n">
        <v>0</v>
      </c>
    </row>
    <row r="3" ht="13" customHeight="1" s="179">
      <c r="A3" s="94" t="n"/>
      <c r="B3" s="95" t="n"/>
      <c r="C3" s="1" t="n"/>
      <c r="D3" s="78" t="inlineStr">
        <is>
          <t>Factor1</t>
        </is>
      </c>
      <c r="E3" s="226">
        <f t="array" ref="E3">_xlfn.LET(
    _xlpm.kpiName, E$2,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" s="226">
        <f t="array" ref="F3">_xlfn.LET(
    _xlpm.kpiName, F$2,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" s="226">
        <f t="array" ref="G3">_xlfn.LET(
    _xlpm.kpiName, G$2,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" s="226">
        <f t="array" ref="H3">_xlfn.LET(
    _xlpm.kpiName, H$2,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" s="226">
        <f t="array" ref="I3">_xlfn.LET(
    _xlpm.kpiName, I$2,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" s="226">
        <f t="array" ref="J3">_xlfn.LET(
    _xlpm.kpiName, J$2,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" s="226">
        <f t="array" ref="K3">_xlfn.LET(
    _xlpm.kpiName, K$2,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" s="226">
        <f t="array" ref="L3">_xlfn.LET(
    _xlpm.kpiName, L$2,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" s="226">
        <f t="array" ref="M3">_xlfn.LET(
    _xlpm.kpiName, M$2,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" s="226">
        <f t="array" ref="N3">_xlfn.LET(
    _xlpm.kpiName, N$2,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" s="226">
        <f t="array" ref="O3">_xlfn.LET(
    _xlpm.kpiName, O$2,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" s="226">
        <f t="array" ref="P3">_xlfn.LET(
    _xlpm.kpiName, P$2,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" s="226">
        <f t="array" ref="Q3">_xlfn.LET(
    _xlpm.kpiName, Q$2,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" s="226">
        <f t="array" ref="R3">_xlfn.LET(
    _xlpm.kpiName, R$2,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" s="226">
        <f t="array" ref="S3">_xlfn.LET(
    _xlpm.kpiName, S$2,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" s="226">
        <f t="array" ref="T3">_xlfn.LET(
    _xlpm.kpiName, T$2,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" s="226">
        <f t="array" ref="U3">_xlfn.LET(
    _xlpm.kpiName, U$2,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" s="226">
        <f t="array" ref="V3">_xlfn.LET(
    _xlpm.kpiName, V$2,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" s="226">
        <f t="array" ref="W3">_xlfn.LET(
    _xlpm.kpiName, W$2,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" s="226">
        <f t="array" ref="X3">_xlfn.LET(
    _xlpm.kpiName, X$2,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" s="226">
        <f t="array" ref="Y3">_xlfn.LET(
    _xlpm.kpiName, Y$2,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" s="226">
        <f t="array" ref="Z3">_xlfn.LET(
    _xlpm.kpiName, Z$2,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" s="226">
        <f t="array" ref="AA3">_xlfn.LET(
    _xlpm.kpiName, AA$2,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" s="226">
        <f t="array" ref="AB3">_xlfn.LET(
    _xlpm.kpiName, AB$2,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" s="226">
        <f t="array" ref="AC3">_xlfn.LET(
    _xlpm.kpiName, AC$2,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" s="226">
        <f t="array" ref="AD3">_xlfn.LET(
    _xlpm.kpiName, AD$2,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" s="226">
        <f t="array" ref="AE3">_xlfn.LET(
    _xlpm.kpiName, AE$2,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" s="226">
        <f t="array" ref="AF3">_xlfn.LET(
    _xlpm.kpiName, AF$2,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" s="226">
        <f t="array" ref="AG3">_xlfn.LET(
    _xlpm.kpiName, AG$2,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" s="226">
        <f t="array" ref="AH3">_xlfn.LET(
    _xlpm.kpiName, AH$2,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" s="226">
        <f t="array" ref="AI3">_xlfn.LET(
    _xlpm.kpiName, AI$2,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" s="226">
        <f t="array" ref="AJ3">_xlfn.LET(
    _xlpm.kpiName, AJ$2,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" s="226">
        <f t="array" ref="AK3">_xlfn.LET(
    _xlpm.kpiName, AK$2,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" s="226">
        <f t="array" ref="AL3">_xlfn.LET(
    _xlpm.kpiName, AL$2,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" s="226">
        <f t="array" ref="AM3">_xlfn.LET(
    _xlpm.kpiName, AM$2,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" s="226">
        <f t="array" ref="AN3">_xlfn.LET(
    _xlpm.kpiName, AN$2,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" s="226">
        <f t="array" ref="AO3">_xlfn.LET(
    _xlpm.kpiName, AO$2,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" s="226">
        <f t="array" ref="AP3">_xlfn.LET(
    _xlpm.kpiName, AP$2,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" s="226">
        <f t="array" ref="AQ3">_xlfn.LET(
    _xlpm.kpiName, AQ$2,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" s="226">
        <f t="array" ref="AR3">_xlfn.LET(
    _xlpm.kpiName, AR$2,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" s="226">
        <f t="array" ref="AS3">_xlfn.LET(
    _xlpm.kpiName, AS$2,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" s="226">
        <f t="array" ref="AT3">_xlfn.LET(
    _xlpm.kpiName, AT$2,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" s="226">
        <f t="array" ref="AU3">_xlfn.LET(
    _xlpm.kpiName, AU$2,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" s="226">
        <f t="array" ref="AV3">_xlfn.LET(
    _xlpm.kpiName, AV$2,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" s="226">
        <f t="array" ref="AW3">_xlfn.LET(
    _xlpm.kpiName, AW$2,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" s="226">
        <f t="array" ref="AX3">_xlfn.LET(
    _xlpm.kpiName, AX$2,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" s="226">
        <f t="array" ref="AY3">_xlfn.LET(
    _xlpm.kpiName, AY$2,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" s="226">
        <f t="array" ref="AZ3">_xlfn.LET(
    _xlpm.kpiName, AZ$2,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" s="226">
        <f t="array" ref="BA3">_xlfn.LET(
    _xlpm.kpiName, BA$2,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" s="226">
        <f t="array" ref="BB3">_xlfn.LET(
    _xlpm.kpiName, BB$2,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4" ht="13" customHeight="1" s="179">
      <c r="A4" s="169" t="inlineStr">
        <is>
          <t>是否有brand dispo信息（Yes：1，No：0）</t>
        </is>
      </c>
      <c r="B4" s="173" t="n">
        <v>1</v>
      </c>
      <c r="C4" s="1" t="n"/>
      <c r="D4" s="78" t="inlineStr">
        <is>
          <t>Factor2</t>
        </is>
      </c>
      <c r="E4" s="226">
        <f t="array" ref="E4">_xlfn.LET(
    _xlpm.kpiName, E$2,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4" s="226">
        <f t="array" ref="F4">_xlfn.LET(
    _xlpm.kpiName, F$2,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4" s="226">
        <f t="array" ref="G4">_xlfn.LET(
    _xlpm.kpiName, G$2,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4" s="226">
        <f t="array" ref="H4">_xlfn.LET(
    _xlpm.kpiName, H$2,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4" s="226">
        <f t="array" ref="I4">_xlfn.LET(
    _xlpm.kpiName, I$2,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4" s="226">
        <f t="array" ref="J4">_xlfn.LET(
    _xlpm.kpiName, J$2,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4" s="226">
        <f t="array" ref="K4">_xlfn.LET(
    _xlpm.kpiName, K$2,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4" s="226">
        <f t="array" ref="L4">_xlfn.LET(
    _xlpm.kpiName, L$2,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4" s="226">
        <f t="array" ref="M4">_xlfn.LET(
    _xlpm.kpiName, M$2,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4" s="226">
        <f t="array" ref="N4">_xlfn.LET(
    _xlpm.kpiName, N$2,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4" s="226">
        <f t="array" ref="O4">_xlfn.LET(
    _xlpm.kpiName, O$2,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4" s="226">
        <f t="array" ref="P4">_xlfn.LET(
    _xlpm.kpiName, P$2,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4" s="226">
        <f t="array" ref="Q4">_xlfn.LET(
    _xlpm.kpiName, Q$2,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4" s="226">
        <f t="array" ref="R4">_xlfn.LET(
    _xlpm.kpiName, R$2,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4" s="226">
        <f t="array" ref="S4">_xlfn.LET(
    _xlpm.kpiName, S$2,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4" s="226">
        <f t="array" ref="T4">_xlfn.LET(
    _xlpm.kpiName, T$2,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4" s="226">
        <f t="array" ref="U4">_xlfn.LET(
    _xlpm.kpiName, U$2,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4" s="226">
        <f t="array" ref="V4">_xlfn.LET(
    _xlpm.kpiName, V$2,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4" s="226">
        <f t="array" ref="W4">_xlfn.LET(
    _xlpm.kpiName, W$2,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4" s="226">
        <f t="array" ref="X4">_xlfn.LET(
    _xlpm.kpiName, X$2,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4" s="226">
        <f t="array" ref="Y4">_xlfn.LET(
    _xlpm.kpiName, Y$2,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4" s="226">
        <f t="array" ref="Z4">_xlfn.LET(
    _xlpm.kpiName, Z$2,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4" s="226">
        <f t="array" ref="AA4">_xlfn.LET(
    _xlpm.kpiName, AA$2,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4" s="226">
        <f t="array" ref="AB4">_xlfn.LET(
    _xlpm.kpiName, AB$2,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4" s="226">
        <f t="array" ref="AC4">_xlfn.LET(
    _xlpm.kpiName, AC$2,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4" s="226">
        <f t="array" ref="AD4">_xlfn.LET(
    _xlpm.kpiName, AD$2,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4" s="226">
        <f t="array" ref="AE4">_xlfn.LET(
    _xlpm.kpiName, AE$2,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4" s="226">
        <f t="array" ref="AF4">_xlfn.LET(
    _xlpm.kpiName, AF$2,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4" s="226">
        <f t="array" ref="AG4">_xlfn.LET(
    _xlpm.kpiName, AG$2,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4" s="226">
        <f t="array" ref="AH4">_xlfn.LET(
    _xlpm.kpiName, AH$2,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4" s="226">
        <f t="array" ref="AI4">_xlfn.LET(
    _xlpm.kpiName, AI$2,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4" s="226">
        <f t="array" ref="AJ4">_xlfn.LET(
    _xlpm.kpiName, AJ$2,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4" s="226">
        <f t="array" ref="AK4">_xlfn.LET(
    _xlpm.kpiName, AK$2,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4" s="226">
        <f t="array" ref="AL4">_xlfn.LET(
    _xlpm.kpiName, AL$2,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4" s="226">
        <f t="array" ref="AM4">_xlfn.LET(
    _xlpm.kpiName, AM$2,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4" s="226">
        <f t="array" ref="AN4">_xlfn.LET(
    _xlpm.kpiName, AN$2,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4" s="226">
        <f t="array" ref="AO4">_xlfn.LET(
    _xlpm.kpiName, AO$2,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4" s="226">
        <f t="array" ref="AP4">_xlfn.LET(
    _xlpm.kpiName, AP$2,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4" s="226">
        <f t="array" ref="AQ4">_xlfn.LET(
    _xlpm.kpiName, AQ$2,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4" s="226">
        <f t="array" ref="AR4">_xlfn.LET(
    _xlpm.kpiName, AR$2,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4" s="226">
        <f t="array" ref="AS4">_xlfn.LET(
    _xlpm.kpiName, AS$2,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4" s="226">
        <f t="array" ref="AT4">_xlfn.LET(
    _xlpm.kpiName, AT$2,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4" s="226">
        <f t="array" ref="AU4">_xlfn.LET(
    _xlpm.kpiName, AU$2,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4" s="226">
        <f t="array" ref="AV4">_xlfn.LET(
    _xlpm.kpiName, AV$2,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4" s="226">
        <f t="array" ref="AW4">_xlfn.LET(
    _xlpm.kpiName, AW$2,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4" s="226">
        <f t="array" ref="AX4">_xlfn.LET(
    _xlpm.kpiName, AX$2,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4" s="226">
        <f t="array" ref="AY4">_xlfn.LET(
    _xlpm.kpiName, AY$2,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4" s="226">
        <f t="array" ref="AZ4">_xlfn.LET(
    _xlpm.kpiName, AZ$2,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4" s="226">
        <f t="array" ref="BA4">_xlfn.LET(
    _xlpm.kpiName, BA$2,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4" s="226">
        <f t="array" ref="BB4">_xlfn.LET(
    _xlpm.kpiName, BB$2,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5" ht="13" customHeight="1" s="179">
      <c r="A5" s="170" t="n"/>
      <c r="B5" s="170" t="n"/>
      <c r="C5" s="1" t="n"/>
      <c r="D5" s="78" t="inlineStr">
        <is>
          <t>Factor3</t>
        </is>
      </c>
      <c r="E5" s="226">
        <f t="array" ref="E5">_xlfn.LET(
    _xlpm.kpiName, E$2,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5" s="226">
        <f t="array" ref="F5">_xlfn.LET(
    _xlpm.kpiName, F$2,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5" s="226">
        <f t="array" ref="G5">_xlfn.LET(
    _xlpm.kpiName, G$2,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5" s="226">
        <f t="array" ref="H5">_xlfn.LET(
    _xlpm.kpiName, H$2,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5" s="226">
        <f t="array" ref="I5">_xlfn.LET(
    _xlpm.kpiName, I$2,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5" s="226">
        <f t="array" ref="J5">_xlfn.LET(
    _xlpm.kpiName, J$2,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5" s="226">
        <f t="array" ref="K5">_xlfn.LET(
    _xlpm.kpiName, K$2,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5" s="226">
        <f t="array" ref="L5">_xlfn.LET(
    _xlpm.kpiName, L$2,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5" s="226">
        <f t="array" ref="M5">_xlfn.LET(
    _xlpm.kpiName, M$2,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5" s="226">
        <f t="array" ref="N5">_xlfn.LET(
    _xlpm.kpiName, N$2,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5" s="226">
        <f t="array" ref="O5">_xlfn.LET(
    _xlpm.kpiName, O$2,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5" s="226">
        <f t="array" ref="P5">_xlfn.LET(
    _xlpm.kpiName, P$2,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5" s="226">
        <f t="array" ref="Q5">_xlfn.LET(
    _xlpm.kpiName, Q$2,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5" s="226">
        <f t="array" ref="R5">_xlfn.LET(
    _xlpm.kpiName, R$2,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5" s="226">
        <f t="array" ref="S5">_xlfn.LET(
    _xlpm.kpiName, S$2,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5" s="226">
        <f t="array" ref="T5">_xlfn.LET(
    _xlpm.kpiName, T$2,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5" s="226">
        <f t="array" ref="U5">_xlfn.LET(
    _xlpm.kpiName, U$2,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5" s="226">
        <f t="array" ref="V5">_xlfn.LET(
    _xlpm.kpiName, V$2,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5" s="226">
        <f t="array" ref="W5">_xlfn.LET(
    _xlpm.kpiName, W$2,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5" s="226">
        <f t="array" ref="X5">_xlfn.LET(
    _xlpm.kpiName, X$2,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5" s="226">
        <f t="array" ref="Y5">_xlfn.LET(
    _xlpm.kpiName, Y$2,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5" s="226">
        <f t="array" ref="Z5">_xlfn.LET(
    _xlpm.kpiName, Z$2,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5" s="226">
        <f t="array" ref="AA5">_xlfn.LET(
    _xlpm.kpiName, AA$2,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5" s="226">
        <f t="array" ref="AB5">_xlfn.LET(
    _xlpm.kpiName, AB$2,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5" s="226">
        <f t="array" ref="AC5">_xlfn.LET(
    _xlpm.kpiName, AC$2,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5" s="226">
        <f t="array" ref="AD5">_xlfn.LET(
    _xlpm.kpiName, AD$2,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5" s="226">
        <f t="array" ref="AE5">_xlfn.LET(
    _xlpm.kpiName, AE$2,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5" s="226">
        <f t="array" ref="AF5">_xlfn.LET(
    _xlpm.kpiName, AF$2,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5" s="226">
        <f t="array" ref="AG5">_xlfn.LET(
    _xlpm.kpiName, AG$2,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5" s="226">
        <f t="array" ref="AH5">_xlfn.LET(
    _xlpm.kpiName, AH$2,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5" s="226">
        <f t="array" ref="AI5">_xlfn.LET(
    _xlpm.kpiName, AI$2,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5" s="226">
        <f t="array" ref="AJ5">_xlfn.LET(
    _xlpm.kpiName, AJ$2,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5" s="226">
        <f t="array" ref="AK5">_xlfn.LET(
    _xlpm.kpiName, AK$2,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5" s="226">
        <f t="array" ref="AL5">_xlfn.LET(
    _xlpm.kpiName, AL$2,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5" s="226">
        <f t="array" ref="AM5">_xlfn.LET(
    _xlpm.kpiName, AM$2,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5" s="226">
        <f t="array" ref="AN5">_xlfn.LET(
    _xlpm.kpiName, AN$2,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5" s="226">
        <f t="array" ref="AO5">_xlfn.LET(
    _xlpm.kpiName, AO$2,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5" s="226">
        <f t="array" ref="AP5">_xlfn.LET(
    _xlpm.kpiName, AP$2,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5" s="226">
        <f t="array" ref="AQ5">_xlfn.LET(
    _xlpm.kpiName, AQ$2,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5" s="226">
        <f t="array" ref="AR5">_xlfn.LET(
    _xlpm.kpiName, AR$2,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5" s="226">
        <f t="array" ref="AS5">_xlfn.LET(
    _xlpm.kpiName, AS$2,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5" s="226">
        <f t="array" ref="AT5">_xlfn.LET(
    _xlpm.kpiName, AT$2,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5" s="226">
        <f t="array" ref="AU5">_xlfn.LET(
    _xlpm.kpiName, AU$2,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5" s="226">
        <f t="array" ref="AV5">_xlfn.LET(
    _xlpm.kpiName, AV$2,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5" s="226">
        <f t="array" ref="AW5">_xlfn.LET(
    _xlpm.kpiName, AW$2,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5" s="226">
        <f t="array" ref="AX5">_xlfn.LET(
    _xlpm.kpiName, AX$2,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5" s="226">
        <f t="array" ref="AY5">_xlfn.LET(
    _xlpm.kpiName, AY$2,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5" s="226">
        <f t="array" ref="AZ5">_xlfn.LET(
    _xlpm.kpiName, AZ$2,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5" s="226">
        <f t="array" ref="BA5">_xlfn.LET(
    _xlpm.kpiName, BA$2,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5" s="226">
        <f t="array" ref="BB5">_xlfn.LET(
    _xlpm.kpiName, BB$2,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6" ht="13" customHeight="1" s="179">
      <c r="A6" s="170" t="n"/>
      <c r="B6" s="170" t="n"/>
      <c r="C6" s="66" t="n"/>
      <c r="D6" s="78" t="inlineStr">
        <is>
          <t>Factor4</t>
        </is>
      </c>
      <c r="E6" s="226">
        <f t="array" ref="E6">_xlfn.LET(
    _xlpm.kpiName, E$2,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6" s="226">
        <f t="array" ref="F6">_xlfn.LET(
    _xlpm.kpiName, F$2,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6" s="226">
        <f t="array" ref="G6">_xlfn.LET(
    _xlpm.kpiName, G$2,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6" s="226">
        <f t="array" ref="H6">_xlfn.LET(
    _xlpm.kpiName, H$2,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6" s="226">
        <f t="array" ref="I6">_xlfn.LET(
    _xlpm.kpiName, I$2,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6" s="226">
        <f t="array" ref="J6">_xlfn.LET(
    _xlpm.kpiName, J$2,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6" s="226">
        <f t="array" ref="K6">_xlfn.LET(
    _xlpm.kpiName, K$2,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6" s="226">
        <f t="array" ref="L6">_xlfn.LET(
    _xlpm.kpiName, L$2,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6" s="226">
        <f t="array" ref="M6">_xlfn.LET(
    _xlpm.kpiName, M$2,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6" s="226">
        <f t="array" ref="N6">_xlfn.LET(
    _xlpm.kpiName, N$2,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6" s="226">
        <f t="array" ref="O6">_xlfn.LET(
    _xlpm.kpiName, O$2,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6" s="226">
        <f t="array" ref="P6">_xlfn.LET(
    _xlpm.kpiName, P$2,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6" s="226">
        <f t="array" ref="Q6">_xlfn.LET(
    _xlpm.kpiName, Q$2,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6" s="226">
        <f t="array" ref="R6">_xlfn.LET(
    _xlpm.kpiName, R$2,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6" s="226">
        <f t="array" ref="S6">_xlfn.LET(
    _xlpm.kpiName, S$2,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6" s="226">
        <f t="array" ref="T6">_xlfn.LET(
    _xlpm.kpiName, T$2,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6" s="226">
        <f t="array" ref="U6">_xlfn.LET(
    _xlpm.kpiName, U$2,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6" s="226">
        <f t="array" ref="V6">_xlfn.LET(
    _xlpm.kpiName, V$2,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6" s="226">
        <f t="array" ref="W6">_xlfn.LET(
    _xlpm.kpiName, W$2,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6" s="226">
        <f t="array" ref="X6">_xlfn.LET(
    _xlpm.kpiName, X$2,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6" s="226">
        <f t="array" ref="Y6">_xlfn.LET(
    _xlpm.kpiName, Y$2,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6" s="226">
        <f t="array" ref="Z6">_xlfn.LET(
    _xlpm.kpiName, Z$2,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6" s="226">
        <f t="array" ref="AA6">_xlfn.LET(
    _xlpm.kpiName, AA$2,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6" s="226">
        <f t="array" ref="AB6">_xlfn.LET(
    _xlpm.kpiName, AB$2,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6" s="226">
        <f t="array" ref="AC6">_xlfn.LET(
    _xlpm.kpiName, AC$2,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6" s="226">
        <f t="array" ref="AD6">_xlfn.LET(
    _xlpm.kpiName, AD$2,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6" s="226">
        <f t="array" ref="AE6">_xlfn.LET(
    _xlpm.kpiName, AE$2,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6" s="226">
        <f t="array" ref="AF6">_xlfn.LET(
    _xlpm.kpiName, AF$2,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6" s="226">
        <f t="array" ref="AG6">_xlfn.LET(
    _xlpm.kpiName, AG$2,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6" s="226">
        <f t="array" ref="AH6">_xlfn.LET(
    _xlpm.kpiName, AH$2,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6" s="226">
        <f t="array" ref="AI6">_xlfn.LET(
    _xlpm.kpiName, AI$2,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6" s="226">
        <f t="array" ref="AJ6">_xlfn.LET(
    _xlpm.kpiName, AJ$2,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6" s="226">
        <f t="array" ref="AK6">_xlfn.LET(
    _xlpm.kpiName, AK$2,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6" s="226">
        <f t="array" ref="AL6">_xlfn.LET(
    _xlpm.kpiName, AL$2,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6" s="226">
        <f t="array" ref="AM6">_xlfn.LET(
    _xlpm.kpiName, AM$2,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6" s="226">
        <f t="array" ref="AN6">_xlfn.LET(
    _xlpm.kpiName, AN$2,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6" s="226">
        <f t="array" ref="AO6">_xlfn.LET(
    _xlpm.kpiName, AO$2,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6" s="226">
        <f t="array" ref="AP6">_xlfn.LET(
    _xlpm.kpiName, AP$2,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6" s="226">
        <f t="array" ref="AQ6">_xlfn.LET(
    _xlpm.kpiName, AQ$2,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6" s="226">
        <f t="array" ref="AR6">_xlfn.LET(
    _xlpm.kpiName, AR$2,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6" s="226">
        <f t="array" ref="AS6">_xlfn.LET(
    _xlpm.kpiName, AS$2,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6" s="226">
        <f t="array" ref="AT6">_xlfn.LET(
    _xlpm.kpiName, AT$2,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6" s="226">
        <f t="array" ref="AU6">_xlfn.LET(
    _xlpm.kpiName, AU$2,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6" s="226">
        <f t="array" ref="AV6">_xlfn.LET(
    _xlpm.kpiName, AV$2,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6" s="226">
        <f t="array" ref="AW6">_xlfn.LET(
    _xlpm.kpiName, AW$2,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6" s="226">
        <f t="array" ref="AX6">_xlfn.LET(
    _xlpm.kpiName, AX$2,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6" s="226">
        <f t="array" ref="AY6">_xlfn.LET(
    _xlpm.kpiName, AY$2,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6" s="226">
        <f t="array" ref="AZ6">_xlfn.LET(
    _xlpm.kpiName, AZ$2,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6" s="226">
        <f t="array" ref="BA6">_xlfn.LET(
    _xlpm.kpiName, BA$2,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6" s="226">
        <f t="array" ref="BB6">_xlfn.LET(
    _xlpm.kpiName, BB$2,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7" ht="13" customHeight="1" s="179">
      <c r="A7" s="171" t="n"/>
      <c r="B7" s="171" t="n"/>
      <c r="C7" s="66" t="n"/>
      <c r="D7" s="78" t="inlineStr">
        <is>
          <t>Factor5</t>
        </is>
      </c>
      <c r="E7" s="226">
        <f t="array" ref="E7">_xlfn.LET(
    _xlpm.kpiName, E$2,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7" s="226">
        <f t="array" ref="F7">_xlfn.LET(
    _xlpm.kpiName, F$2,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7" s="226">
        <f t="array" ref="G7">_xlfn.LET(
    _xlpm.kpiName, G$2,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7" s="226">
        <f t="array" ref="H7">_xlfn.LET(
    _xlpm.kpiName, H$2,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7" s="226">
        <f t="array" ref="I7">_xlfn.LET(
    _xlpm.kpiName, I$2,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7" s="226">
        <f t="array" ref="J7">_xlfn.LET(
    _xlpm.kpiName, J$2,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7" s="226">
        <f t="array" ref="K7">_xlfn.LET(
    _xlpm.kpiName, K$2,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7" s="226">
        <f t="array" ref="L7">_xlfn.LET(
    _xlpm.kpiName, L$2,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7" s="226">
        <f t="array" ref="M7">_xlfn.LET(
    _xlpm.kpiName, M$2,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7" s="226">
        <f t="array" ref="N7">_xlfn.LET(
    _xlpm.kpiName, N$2,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7" s="226">
        <f t="array" ref="O7">_xlfn.LET(
    _xlpm.kpiName, O$2,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7" s="226">
        <f t="array" ref="P7">_xlfn.LET(
    _xlpm.kpiName, P$2,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7" s="226">
        <f t="array" ref="Q7">_xlfn.LET(
    _xlpm.kpiName, Q$2,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7" s="226">
        <f t="array" ref="R7">_xlfn.LET(
    _xlpm.kpiName, R$2,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7" s="226">
        <f t="array" ref="S7">_xlfn.LET(
    _xlpm.kpiName, S$2,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7" s="226">
        <f t="array" ref="T7">_xlfn.LET(
    _xlpm.kpiName, T$2,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7" s="226">
        <f t="array" ref="U7">_xlfn.LET(
    _xlpm.kpiName, U$2,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7" s="226">
        <f t="array" ref="V7">_xlfn.LET(
    _xlpm.kpiName, V$2,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7" s="226">
        <f t="array" ref="W7">_xlfn.LET(
    _xlpm.kpiName, W$2,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7" s="226">
        <f t="array" ref="X7">_xlfn.LET(
    _xlpm.kpiName, X$2,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7" s="226">
        <f t="array" ref="Y7">_xlfn.LET(
    _xlpm.kpiName, Y$2,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7" s="226">
        <f t="array" ref="Z7">_xlfn.LET(
    _xlpm.kpiName, Z$2,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7" s="226">
        <f t="array" ref="AA7">_xlfn.LET(
    _xlpm.kpiName, AA$2,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7" s="226">
        <f t="array" ref="AB7">_xlfn.LET(
    _xlpm.kpiName, AB$2,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7" s="226">
        <f t="array" ref="AC7">_xlfn.LET(
    _xlpm.kpiName, AC$2,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7" s="226">
        <f t="array" ref="AD7">_xlfn.LET(
    _xlpm.kpiName, AD$2,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7" s="226">
        <f t="array" ref="AE7">_xlfn.LET(
    _xlpm.kpiName, AE$2,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7" s="226">
        <f t="array" ref="AF7">_xlfn.LET(
    _xlpm.kpiName, AF$2,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7" s="226">
        <f t="array" ref="AG7">_xlfn.LET(
    _xlpm.kpiName, AG$2,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7" s="226">
        <f t="array" ref="AH7">_xlfn.LET(
    _xlpm.kpiName, AH$2,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7" s="226">
        <f t="array" ref="AI7">_xlfn.LET(
    _xlpm.kpiName, AI$2,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7" s="226">
        <f t="array" ref="AJ7">_xlfn.LET(
    _xlpm.kpiName, AJ$2,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7" s="226">
        <f t="array" ref="AK7">_xlfn.LET(
    _xlpm.kpiName, AK$2,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7" s="226">
        <f t="array" ref="AL7">_xlfn.LET(
    _xlpm.kpiName, AL$2,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7" s="226">
        <f t="array" ref="AM7">_xlfn.LET(
    _xlpm.kpiName, AM$2,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7" s="226">
        <f t="array" ref="AN7">_xlfn.LET(
    _xlpm.kpiName, AN$2,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7" s="226">
        <f t="array" ref="AO7">_xlfn.LET(
    _xlpm.kpiName, AO$2,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7" s="226">
        <f t="array" ref="AP7">_xlfn.LET(
    _xlpm.kpiName, AP$2,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7" s="226">
        <f t="array" ref="AQ7">_xlfn.LET(
    _xlpm.kpiName, AQ$2,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7" s="226">
        <f t="array" ref="AR7">_xlfn.LET(
    _xlpm.kpiName, AR$2,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7" s="226">
        <f t="array" ref="AS7">_xlfn.LET(
    _xlpm.kpiName, AS$2,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7" s="226">
        <f t="array" ref="AT7">_xlfn.LET(
    _xlpm.kpiName, AT$2,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7" s="226">
        <f t="array" ref="AU7">_xlfn.LET(
    _xlpm.kpiName, AU$2,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7" s="226">
        <f t="array" ref="AV7">_xlfn.LET(
    _xlpm.kpiName, AV$2,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7" s="226">
        <f t="array" ref="AW7">_xlfn.LET(
    _xlpm.kpiName, AW$2,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7" s="226">
        <f t="array" ref="AX7">_xlfn.LET(
    _xlpm.kpiName, AX$2,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7" s="226">
        <f t="array" ref="AY7">_xlfn.LET(
    _xlpm.kpiName, AY$2,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7" s="226">
        <f t="array" ref="AZ7">_xlfn.LET(
    _xlpm.kpiName, AZ$2,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7" s="226">
        <f t="array" ref="BA7">_xlfn.LET(
    _xlpm.kpiName, BA$2,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7" s="226">
        <f t="array" ref="BB7">_xlfn.LET(
    _xlpm.kpiName, BB$2,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8" ht="13" customHeight="1" s="179">
      <c r="A8" s="169" t="inlineStr">
        <is>
          <t>如果是，请输入Brand dispo对应的在sav数据中的变量信息</t>
        </is>
      </c>
      <c r="B8" s="172" t="inlineStr">
        <is>
          <t>bumo</t>
        </is>
      </c>
      <c r="C8" s="66" t="n"/>
      <c r="D8" s="78" t="inlineStr">
        <is>
          <t>Factor6</t>
        </is>
      </c>
      <c r="E8" s="226">
        <f t="array" ref="E8">_xlfn.LET(
    _xlpm.kpiName, E$2,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8" s="226">
        <f t="array" ref="F8">_xlfn.LET(
    _xlpm.kpiName, F$2,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8" s="226">
        <f t="array" ref="G8">_xlfn.LET(
    _xlpm.kpiName, G$2,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8" s="226">
        <f t="array" ref="H8">_xlfn.LET(
    _xlpm.kpiName, H$2,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8" s="226">
        <f t="array" ref="I8">_xlfn.LET(
    _xlpm.kpiName, I$2,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8" s="226">
        <f t="array" ref="J8">_xlfn.LET(
    _xlpm.kpiName, J$2,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8" s="226">
        <f t="array" ref="K8">_xlfn.LET(
    _xlpm.kpiName, K$2,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8" s="226">
        <f t="array" ref="L8">_xlfn.LET(
    _xlpm.kpiName, L$2,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8" s="226">
        <f t="array" ref="M8">_xlfn.LET(
    _xlpm.kpiName, M$2,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8" s="226">
        <f t="array" ref="N8">_xlfn.LET(
    _xlpm.kpiName, N$2,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8" s="226">
        <f t="array" ref="O8">_xlfn.LET(
    _xlpm.kpiName, O$2,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8" s="226">
        <f t="array" ref="P8">_xlfn.LET(
    _xlpm.kpiName, P$2,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8" s="226">
        <f t="array" ref="Q8">_xlfn.LET(
    _xlpm.kpiName, Q$2,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8" s="226">
        <f t="array" ref="R8">_xlfn.LET(
    _xlpm.kpiName, R$2,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8" s="226">
        <f t="array" ref="S8">_xlfn.LET(
    _xlpm.kpiName, S$2,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8" s="226">
        <f t="array" ref="T8">_xlfn.LET(
    _xlpm.kpiName, T$2,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8" s="226">
        <f t="array" ref="U8">_xlfn.LET(
    _xlpm.kpiName, U$2,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8" s="226">
        <f t="array" ref="V8">_xlfn.LET(
    _xlpm.kpiName, V$2,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8" s="226">
        <f t="array" ref="W8">_xlfn.LET(
    _xlpm.kpiName, W$2,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8" s="226">
        <f t="array" ref="X8">_xlfn.LET(
    _xlpm.kpiName, X$2,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8" s="226">
        <f t="array" ref="Y8">_xlfn.LET(
    _xlpm.kpiName, Y$2,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8" s="226">
        <f t="array" ref="Z8">_xlfn.LET(
    _xlpm.kpiName, Z$2,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8" s="226">
        <f t="array" ref="AA8">_xlfn.LET(
    _xlpm.kpiName, AA$2,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8" s="226">
        <f t="array" ref="AB8">_xlfn.LET(
    _xlpm.kpiName, AB$2,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8" s="226">
        <f t="array" ref="AC8">_xlfn.LET(
    _xlpm.kpiName, AC$2,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8" s="226">
        <f t="array" ref="AD8">_xlfn.LET(
    _xlpm.kpiName, AD$2,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8" s="226">
        <f t="array" ref="AE8">_xlfn.LET(
    _xlpm.kpiName, AE$2,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8" s="226">
        <f t="array" ref="AF8">_xlfn.LET(
    _xlpm.kpiName, AF$2,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8" s="226">
        <f t="array" ref="AG8">_xlfn.LET(
    _xlpm.kpiName, AG$2,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8" s="226">
        <f t="array" ref="AH8">_xlfn.LET(
    _xlpm.kpiName, AH$2,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8" s="226">
        <f t="array" ref="AI8">_xlfn.LET(
    _xlpm.kpiName, AI$2,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8" s="226">
        <f t="array" ref="AJ8">_xlfn.LET(
    _xlpm.kpiName, AJ$2,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8" s="226">
        <f t="array" ref="AK8">_xlfn.LET(
    _xlpm.kpiName, AK$2,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8" s="226">
        <f t="array" ref="AL8">_xlfn.LET(
    _xlpm.kpiName, AL$2,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8" s="226">
        <f t="array" ref="AM8">_xlfn.LET(
    _xlpm.kpiName, AM$2,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8" s="226">
        <f t="array" ref="AN8">_xlfn.LET(
    _xlpm.kpiName, AN$2,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8" s="226">
        <f t="array" ref="AO8">_xlfn.LET(
    _xlpm.kpiName, AO$2,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8" s="226">
        <f t="array" ref="AP8">_xlfn.LET(
    _xlpm.kpiName, AP$2,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8" s="226">
        <f t="array" ref="AQ8">_xlfn.LET(
    _xlpm.kpiName, AQ$2,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8" s="226">
        <f t="array" ref="AR8">_xlfn.LET(
    _xlpm.kpiName, AR$2,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8" s="226">
        <f t="array" ref="AS8">_xlfn.LET(
    _xlpm.kpiName, AS$2,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8" s="226">
        <f t="array" ref="AT8">_xlfn.LET(
    _xlpm.kpiName, AT$2,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8" s="226">
        <f t="array" ref="AU8">_xlfn.LET(
    _xlpm.kpiName, AU$2,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8" s="226">
        <f t="array" ref="AV8">_xlfn.LET(
    _xlpm.kpiName, AV$2,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8" s="226">
        <f t="array" ref="AW8">_xlfn.LET(
    _xlpm.kpiName, AW$2,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8" s="226">
        <f t="array" ref="AX8">_xlfn.LET(
    _xlpm.kpiName, AX$2,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8" s="226">
        <f t="array" ref="AY8">_xlfn.LET(
    _xlpm.kpiName, AY$2,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8" s="226">
        <f t="array" ref="AZ8">_xlfn.LET(
    _xlpm.kpiName, AZ$2,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8" s="226">
        <f t="array" ref="BA8">_xlfn.LET(
    _xlpm.kpiName, BA$2,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8" s="226">
        <f t="array" ref="BB8">_xlfn.LET(
    _xlpm.kpiName, BB$2,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9" ht="13" customHeight="1" s="179">
      <c r="A9" s="170" t="n"/>
      <c r="B9" s="170" t="n"/>
      <c r="C9" s="1" t="n"/>
      <c r="D9" s="78" t="inlineStr">
        <is>
          <t>Factor7</t>
        </is>
      </c>
      <c r="E9" s="226">
        <f t="array" ref="E9">_xlfn.LET(
    _xlpm.kpiName, E$2,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9" s="226">
        <f t="array" ref="F9">_xlfn.LET(
    _xlpm.kpiName, F$2,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9" s="226">
        <f t="array" ref="G9">_xlfn.LET(
    _xlpm.kpiName, G$2,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9" s="226">
        <f t="array" ref="H9">_xlfn.LET(
    _xlpm.kpiName, H$2,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9" s="226">
        <f t="array" ref="I9">_xlfn.LET(
    _xlpm.kpiName, I$2,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9" s="226">
        <f t="array" ref="J9">_xlfn.LET(
    _xlpm.kpiName, J$2,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9" s="226">
        <f t="array" ref="K9">_xlfn.LET(
    _xlpm.kpiName, K$2,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9" s="226">
        <f t="array" ref="L9">_xlfn.LET(
    _xlpm.kpiName, L$2,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9" s="226">
        <f t="array" ref="M9">_xlfn.LET(
    _xlpm.kpiName, M$2,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9" s="226">
        <f t="array" ref="N9">_xlfn.LET(
    _xlpm.kpiName, N$2,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9" s="226">
        <f t="array" ref="O9">_xlfn.LET(
    _xlpm.kpiName, O$2,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9" s="226">
        <f t="array" ref="P9">_xlfn.LET(
    _xlpm.kpiName, P$2,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9" s="226">
        <f t="array" ref="Q9">_xlfn.LET(
    _xlpm.kpiName, Q$2,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9" s="226">
        <f t="array" ref="R9">_xlfn.LET(
    _xlpm.kpiName, R$2,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9" s="226">
        <f t="array" ref="S9">_xlfn.LET(
    _xlpm.kpiName, S$2,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9" s="226">
        <f t="array" ref="T9">_xlfn.LET(
    _xlpm.kpiName, T$2,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9" s="226">
        <f t="array" ref="U9">_xlfn.LET(
    _xlpm.kpiName, U$2,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9" s="226">
        <f t="array" ref="V9">_xlfn.LET(
    _xlpm.kpiName, V$2,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9" s="226">
        <f t="array" ref="W9">_xlfn.LET(
    _xlpm.kpiName, W$2,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9" s="226">
        <f t="array" ref="X9">_xlfn.LET(
    _xlpm.kpiName, X$2,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9" s="226">
        <f t="array" ref="Y9">_xlfn.LET(
    _xlpm.kpiName, Y$2,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9" s="226">
        <f t="array" ref="Z9">_xlfn.LET(
    _xlpm.kpiName, Z$2,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9" s="226">
        <f t="array" ref="AA9">_xlfn.LET(
    _xlpm.kpiName, AA$2,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9" s="226">
        <f t="array" ref="AB9">_xlfn.LET(
    _xlpm.kpiName, AB$2,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9" s="226">
        <f t="array" ref="AC9">_xlfn.LET(
    _xlpm.kpiName, AC$2,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9" s="226">
        <f t="array" ref="AD9">_xlfn.LET(
    _xlpm.kpiName, AD$2,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9" s="226">
        <f t="array" ref="AE9">_xlfn.LET(
    _xlpm.kpiName, AE$2,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9" s="226">
        <f t="array" ref="AF9">_xlfn.LET(
    _xlpm.kpiName, AF$2,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9" s="226">
        <f t="array" ref="AG9">_xlfn.LET(
    _xlpm.kpiName, AG$2,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9" s="226">
        <f t="array" ref="AH9">_xlfn.LET(
    _xlpm.kpiName, AH$2,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9" s="226">
        <f t="array" ref="AI9">_xlfn.LET(
    _xlpm.kpiName, AI$2,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9" s="226">
        <f t="array" ref="AJ9">_xlfn.LET(
    _xlpm.kpiName, AJ$2,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9" s="226">
        <f t="array" ref="AK9">_xlfn.LET(
    _xlpm.kpiName, AK$2,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9" s="226">
        <f t="array" ref="AL9">_xlfn.LET(
    _xlpm.kpiName, AL$2,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9" s="226">
        <f t="array" ref="AM9">_xlfn.LET(
    _xlpm.kpiName, AM$2,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9" s="226">
        <f t="array" ref="AN9">_xlfn.LET(
    _xlpm.kpiName, AN$2,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9" s="226">
        <f t="array" ref="AO9">_xlfn.LET(
    _xlpm.kpiName, AO$2,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9" s="226">
        <f t="array" ref="AP9">_xlfn.LET(
    _xlpm.kpiName, AP$2,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9" s="226">
        <f t="array" ref="AQ9">_xlfn.LET(
    _xlpm.kpiName, AQ$2,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9" s="226">
        <f t="array" ref="AR9">_xlfn.LET(
    _xlpm.kpiName, AR$2,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9" s="226">
        <f t="array" ref="AS9">_xlfn.LET(
    _xlpm.kpiName, AS$2,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9" s="226">
        <f t="array" ref="AT9">_xlfn.LET(
    _xlpm.kpiName, AT$2,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9" s="226">
        <f t="array" ref="AU9">_xlfn.LET(
    _xlpm.kpiName, AU$2,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9" s="226">
        <f t="array" ref="AV9">_xlfn.LET(
    _xlpm.kpiName, AV$2,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9" s="226">
        <f t="array" ref="AW9">_xlfn.LET(
    _xlpm.kpiName, AW$2,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9" s="226">
        <f t="array" ref="AX9">_xlfn.LET(
    _xlpm.kpiName, AX$2,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9" s="226">
        <f t="array" ref="AY9">_xlfn.LET(
    _xlpm.kpiName, AY$2,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9" s="226">
        <f t="array" ref="AZ9">_xlfn.LET(
    _xlpm.kpiName, AZ$2,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9" s="226">
        <f t="array" ref="BA9">_xlfn.LET(
    _xlpm.kpiName, BA$2,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9" s="226">
        <f t="array" ref="BB9">_xlfn.LET(
    _xlpm.kpiName, BB$2,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0" ht="13" customHeight="1" s="179">
      <c r="A10" s="170" t="n"/>
      <c r="B10" s="170" t="n"/>
      <c r="C10" s="1" t="n"/>
      <c r="D10" s="78" t="inlineStr">
        <is>
          <t>Factor8</t>
        </is>
      </c>
      <c r="E10" s="226">
        <f t="array" ref="E10">_xlfn.LET(
    _xlpm.kpiName, E$2,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0" s="226">
        <f t="array" ref="F10">_xlfn.LET(
    _xlpm.kpiName, F$2,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0" s="226">
        <f t="array" ref="G10">_xlfn.LET(
    _xlpm.kpiName, G$2,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0" s="226">
        <f t="array" ref="H10">_xlfn.LET(
    _xlpm.kpiName, H$2,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0" s="226">
        <f t="array" ref="I10">_xlfn.LET(
    _xlpm.kpiName, I$2,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0" s="226">
        <f t="array" ref="J10">_xlfn.LET(
    _xlpm.kpiName, J$2,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0" s="226">
        <f t="array" ref="K10">_xlfn.LET(
    _xlpm.kpiName, K$2,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0" s="226">
        <f t="array" ref="L10">_xlfn.LET(
    _xlpm.kpiName, L$2,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0" s="226">
        <f t="array" ref="M10">_xlfn.LET(
    _xlpm.kpiName, M$2,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0" s="226">
        <f t="array" ref="N10">_xlfn.LET(
    _xlpm.kpiName, N$2,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0" s="226">
        <f t="array" ref="O10">_xlfn.LET(
    _xlpm.kpiName, O$2,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0" s="226">
        <f t="array" ref="P10">_xlfn.LET(
    _xlpm.kpiName, P$2,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0" s="226">
        <f t="array" ref="Q10">_xlfn.LET(
    _xlpm.kpiName, Q$2,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0" s="226">
        <f t="array" ref="R10">_xlfn.LET(
    _xlpm.kpiName, R$2,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0" s="226">
        <f t="array" ref="S10">_xlfn.LET(
    _xlpm.kpiName, S$2,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0" s="226">
        <f t="array" ref="T10">_xlfn.LET(
    _xlpm.kpiName, T$2,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0" s="226">
        <f t="array" ref="U10">_xlfn.LET(
    _xlpm.kpiName, U$2,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0" s="226">
        <f t="array" ref="V10">_xlfn.LET(
    _xlpm.kpiName, V$2,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0" s="226">
        <f t="array" ref="W10">_xlfn.LET(
    _xlpm.kpiName, W$2,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0" s="226">
        <f t="array" ref="X10">_xlfn.LET(
    _xlpm.kpiName, X$2,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0" s="226">
        <f t="array" ref="Y10">_xlfn.LET(
    _xlpm.kpiName, Y$2,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0" s="226">
        <f t="array" ref="Z10">_xlfn.LET(
    _xlpm.kpiName, Z$2,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0" s="226">
        <f t="array" ref="AA10">_xlfn.LET(
    _xlpm.kpiName, AA$2,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0" s="226">
        <f t="array" ref="AB10">_xlfn.LET(
    _xlpm.kpiName, AB$2,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0" s="226">
        <f t="array" ref="AC10">_xlfn.LET(
    _xlpm.kpiName, AC$2,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0" s="226">
        <f t="array" ref="AD10">_xlfn.LET(
    _xlpm.kpiName, AD$2,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0" s="226">
        <f t="array" ref="AE10">_xlfn.LET(
    _xlpm.kpiName, AE$2,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0" s="226">
        <f t="array" ref="AF10">_xlfn.LET(
    _xlpm.kpiName, AF$2,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0" s="226">
        <f t="array" ref="AG10">_xlfn.LET(
    _xlpm.kpiName, AG$2,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0" s="226">
        <f t="array" ref="AH10">_xlfn.LET(
    _xlpm.kpiName, AH$2,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0" s="226">
        <f t="array" ref="AI10">_xlfn.LET(
    _xlpm.kpiName, AI$2,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0" s="226">
        <f t="array" ref="AJ10">_xlfn.LET(
    _xlpm.kpiName, AJ$2,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0" s="226">
        <f t="array" ref="AK10">_xlfn.LET(
    _xlpm.kpiName, AK$2,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0" s="226">
        <f t="array" ref="AL10">_xlfn.LET(
    _xlpm.kpiName, AL$2,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0" s="226">
        <f t="array" ref="AM10">_xlfn.LET(
    _xlpm.kpiName, AM$2,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0" s="226">
        <f t="array" ref="AN10">_xlfn.LET(
    _xlpm.kpiName, AN$2,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0" s="226">
        <f t="array" ref="AO10">_xlfn.LET(
    _xlpm.kpiName, AO$2,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0" s="226">
        <f t="array" ref="AP10">_xlfn.LET(
    _xlpm.kpiName, AP$2,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0" s="226">
        <f t="array" ref="AQ10">_xlfn.LET(
    _xlpm.kpiName, AQ$2,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0" s="226">
        <f t="array" ref="AR10">_xlfn.LET(
    _xlpm.kpiName, AR$2,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0" s="226">
        <f t="array" ref="AS10">_xlfn.LET(
    _xlpm.kpiName, AS$2,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0" s="226">
        <f t="array" ref="AT10">_xlfn.LET(
    _xlpm.kpiName, AT$2,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0" s="226">
        <f t="array" ref="AU10">_xlfn.LET(
    _xlpm.kpiName, AU$2,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0" s="226">
        <f t="array" ref="AV10">_xlfn.LET(
    _xlpm.kpiName, AV$2,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0" s="226">
        <f t="array" ref="AW10">_xlfn.LET(
    _xlpm.kpiName, AW$2,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0" s="226">
        <f t="array" ref="AX10">_xlfn.LET(
    _xlpm.kpiName, AX$2,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0" s="226">
        <f t="array" ref="AY10">_xlfn.LET(
    _xlpm.kpiName, AY$2,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0" s="226">
        <f t="array" ref="AZ10">_xlfn.LET(
    _xlpm.kpiName, AZ$2,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0" s="226">
        <f t="array" ref="BA10">_xlfn.LET(
    _xlpm.kpiName, BA$2,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0" s="226">
        <f t="array" ref="BB10">_xlfn.LET(
    _xlpm.kpiName, BB$2,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1" ht="13" customHeight="1" s="179">
      <c r="A11" s="171" t="n"/>
      <c r="B11" s="171" t="n"/>
      <c r="C11" s="1" t="n"/>
      <c r="D11" s="78" t="inlineStr">
        <is>
          <t>Factor9</t>
        </is>
      </c>
      <c r="E11" s="226">
        <f t="array" ref="E11">_xlfn.LET(
    _xlpm.kpiName, E$2,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1" s="226">
        <f t="array" ref="F11">_xlfn.LET(
    _xlpm.kpiName, F$2,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1" s="226">
        <f t="array" ref="G11">_xlfn.LET(
    _xlpm.kpiName, G$2,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1" s="226">
        <f t="array" ref="H11">_xlfn.LET(
    _xlpm.kpiName, H$2,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1" s="226">
        <f t="array" ref="I11">_xlfn.LET(
    _xlpm.kpiName, I$2,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1" s="226">
        <f t="array" ref="J11">_xlfn.LET(
    _xlpm.kpiName, J$2,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1" s="226">
        <f t="array" ref="K11">_xlfn.LET(
    _xlpm.kpiName, K$2,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1" s="226">
        <f t="array" ref="L11">_xlfn.LET(
    _xlpm.kpiName, L$2,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1" s="226">
        <f t="array" ref="M11">_xlfn.LET(
    _xlpm.kpiName, M$2,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1" s="226">
        <f t="array" ref="N11">_xlfn.LET(
    _xlpm.kpiName, N$2,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1" s="226">
        <f t="array" ref="O11">_xlfn.LET(
    _xlpm.kpiName, O$2,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1" s="226">
        <f t="array" ref="P11">_xlfn.LET(
    _xlpm.kpiName, P$2,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1" s="226">
        <f t="array" ref="Q11">_xlfn.LET(
    _xlpm.kpiName, Q$2,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1" s="226">
        <f t="array" ref="R11">_xlfn.LET(
    _xlpm.kpiName, R$2,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1" s="226">
        <f t="array" ref="S11">_xlfn.LET(
    _xlpm.kpiName, S$2,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1" s="226">
        <f t="array" ref="T11">_xlfn.LET(
    _xlpm.kpiName, T$2,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1" s="226">
        <f t="array" ref="U11">_xlfn.LET(
    _xlpm.kpiName, U$2,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1" s="226">
        <f t="array" ref="V11">_xlfn.LET(
    _xlpm.kpiName, V$2,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1" s="226">
        <f t="array" ref="W11">_xlfn.LET(
    _xlpm.kpiName, W$2,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1" s="226">
        <f t="array" ref="X11">_xlfn.LET(
    _xlpm.kpiName, X$2,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1" s="226">
        <f t="array" ref="Y11">_xlfn.LET(
    _xlpm.kpiName, Y$2,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1" s="226">
        <f t="array" ref="Z11">_xlfn.LET(
    _xlpm.kpiName, Z$2,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1" s="226">
        <f t="array" ref="AA11">_xlfn.LET(
    _xlpm.kpiName, AA$2,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1" s="226">
        <f t="array" ref="AB11">_xlfn.LET(
    _xlpm.kpiName, AB$2,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1" s="226">
        <f t="array" ref="AC11">_xlfn.LET(
    _xlpm.kpiName, AC$2,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1" s="226">
        <f t="array" ref="AD11">_xlfn.LET(
    _xlpm.kpiName, AD$2,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1" s="226">
        <f t="array" ref="AE11">_xlfn.LET(
    _xlpm.kpiName, AE$2,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1" s="226">
        <f t="array" ref="AF11">_xlfn.LET(
    _xlpm.kpiName, AF$2,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1" s="226">
        <f t="array" ref="AG11">_xlfn.LET(
    _xlpm.kpiName, AG$2,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1" s="226">
        <f t="array" ref="AH11">_xlfn.LET(
    _xlpm.kpiName, AH$2,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1" s="226">
        <f t="array" ref="AI11">_xlfn.LET(
    _xlpm.kpiName, AI$2,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1" s="226">
        <f t="array" ref="AJ11">_xlfn.LET(
    _xlpm.kpiName, AJ$2,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1" s="226">
        <f t="array" ref="AK11">_xlfn.LET(
    _xlpm.kpiName, AK$2,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1" s="226">
        <f t="array" ref="AL11">_xlfn.LET(
    _xlpm.kpiName, AL$2,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1" s="226">
        <f t="array" ref="AM11">_xlfn.LET(
    _xlpm.kpiName, AM$2,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1" s="226">
        <f t="array" ref="AN11">_xlfn.LET(
    _xlpm.kpiName, AN$2,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1" s="226">
        <f t="array" ref="AO11">_xlfn.LET(
    _xlpm.kpiName, AO$2,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1" s="226">
        <f t="array" ref="AP11">_xlfn.LET(
    _xlpm.kpiName, AP$2,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1" s="226">
        <f t="array" ref="AQ11">_xlfn.LET(
    _xlpm.kpiName, AQ$2,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1" s="226">
        <f t="array" ref="AR11">_xlfn.LET(
    _xlpm.kpiName, AR$2,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1" s="226">
        <f t="array" ref="AS11">_xlfn.LET(
    _xlpm.kpiName, AS$2,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1" s="226">
        <f t="array" ref="AT11">_xlfn.LET(
    _xlpm.kpiName, AT$2,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1" s="226">
        <f t="array" ref="AU11">_xlfn.LET(
    _xlpm.kpiName, AU$2,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1" s="226">
        <f t="array" ref="AV11">_xlfn.LET(
    _xlpm.kpiName, AV$2,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1" s="226">
        <f t="array" ref="AW11">_xlfn.LET(
    _xlpm.kpiName, AW$2,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1" s="226">
        <f t="array" ref="AX11">_xlfn.LET(
    _xlpm.kpiName, AX$2,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1" s="226">
        <f t="array" ref="AY11">_xlfn.LET(
    _xlpm.kpiName, AY$2,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1" s="226">
        <f t="array" ref="AZ11">_xlfn.LET(
    _xlpm.kpiName, AZ$2,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1" s="226">
        <f t="array" ref="BA11">_xlfn.LET(
    _xlpm.kpiName, BA$2,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1" s="226">
        <f t="array" ref="BB11">_xlfn.LET(
    _xlpm.kpiName, BB$2,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2" ht="13" customHeight="1" s="179">
      <c r="A12" s="71" t="n"/>
      <c r="C12" s="1" t="n"/>
      <c r="D12" s="78" t="inlineStr">
        <is>
          <t>Factor10</t>
        </is>
      </c>
      <c r="E12" s="226">
        <f t="array" ref="E12">_xlfn.LET(
    _xlpm.kpiName, E$2,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2" s="226">
        <f t="array" ref="F12">_xlfn.LET(
    _xlpm.kpiName, F$2,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2" s="226">
        <f t="array" ref="G12">_xlfn.LET(
    _xlpm.kpiName, G$2,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2" s="226">
        <f t="array" ref="H12">_xlfn.LET(
    _xlpm.kpiName, H$2,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2" s="226">
        <f t="array" ref="I12">_xlfn.LET(
    _xlpm.kpiName, I$2,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2" s="226">
        <f t="array" ref="J12">_xlfn.LET(
    _xlpm.kpiName, J$2,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2" s="226">
        <f t="array" ref="K12">_xlfn.LET(
    _xlpm.kpiName, K$2,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2" s="226">
        <f t="array" ref="L12">_xlfn.LET(
    _xlpm.kpiName, L$2,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2" s="226">
        <f t="array" ref="M12">_xlfn.LET(
    _xlpm.kpiName, M$2,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2" s="226">
        <f t="array" ref="N12">_xlfn.LET(
    _xlpm.kpiName, N$2,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2" s="226">
        <f t="array" ref="O12">_xlfn.LET(
    _xlpm.kpiName, O$2,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2" s="226">
        <f t="array" ref="P12">_xlfn.LET(
    _xlpm.kpiName, P$2,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2" s="226">
        <f t="array" ref="Q12">_xlfn.LET(
    _xlpm.kpiName, Q$2,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2" s="226">
        <f t="array" ref="R12">_xlfn.LET(
    _xlpm.kpiName, R$2,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2" s="226">
        <f t="array" ref="S12">_xlfn.LET(
    _xlpm.kpiName, S$2,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2" s="226">
        <f t="array" ref="T12">_xlfn.LET(
    _xlpm.kpiName, T$2,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2" s="226">
        <f t="array" ref="U12">_xlfn.LET(
    _xlpm.kpiName, U$2,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2" s="226">
        <f t="array" ref="V12">_xlfn.LET(
    _xlpm.kpiName, V$2,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2" s="226">
        <f t="array" ref="W12">_xlfn.LET(
    _xlpm.kpiName, W$2,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2" s="226">
        <f t="array" ref="X12">_xlfn.LET(
    _xlpm.kpiName, X$2,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2" s="226">
        <f t="array" ref="Y12">_xlfn.LET(
    _xlpm.kpiName, Y$2,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2" s="226">
        <f t="array" ref="Z12">_xlfn.LET(
    _xlpm.kpiName, Z$2,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2" s="226">
        <f t="array" ref="AA12">_xlfn.LET(
    _xlpm.kpiName, AA$2,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2" s="226">
        <f t="array" ref="AB12">_xlfn.LET(
    _xlpm.kpiName, AB$2,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2" s="226">
        <f t="array" ref="AC12">_xlfn.LET(
    _xlpm.kpiName, AC$2,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2" s="226">
        <f t="array" ref="AD12">_xlfn.LET(
    _xlpm.kpiName, AD$2,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2" s="226">
        <f t="array" ref="AE12">_xlfn.LET(
    _xlpm.kpiName, AE$2,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2" s="226">
        <f t="array" ref="AF12">_xlfn.LET(
    _xlpm.kpiName, AF$2,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2" s="226">
        <f t="array" ref="AG12">_xlfn.LET(
    _xlpm.kpiName, AG$2,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2" s="226">
        <f t="array" ref="AH12">_xlfn.LET(
    _xlpm.kpiName, AH$2,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2" s="226">
        <f t="array" ref="AI12">_xlfn.LET(
    _xlpm.kpiName, AI$2,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2" s="226">
        <f t="array" ref="AJ12">_xlfn.LET(
    _xlpm.kpiName, AJ$2,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2" s="226">
        <f t="array" ref="AK12">_xlfn.LET(
    _xlpm.kpiName, AK$2,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2" s="226">
        <f t="array" ref="AL12">_xlfn.LET(
    _xlpm.kpiName, AL$2,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2" s="226">
        <f t="array" ref="AM12">_xlfn.LET(
    _xlpm.kpiName, AM$2,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2" s="226">
        <f t="array" ref="AN12">_xlfn.LET(
    _xlpm.kpiName, AN$2,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2" s="226">
        <f t="array" ref="AO12">_xlfn.LET(
    _xlpm.kpiName, AO$2,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2" s="226">
        <f t="array" ref="AP12">_xlfn.LET(
    _xlpm.kpiName, AP$2,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2" s="226">
        <f t="array" ref="AQ12">_xlfn.LET(
    _xlpm.kpiName, AQ$2,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2" s="226">
        <f t="array" ref="AR12">_xlfn.LET(
    _xlpm.kpiName, AR$2,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2" s="226">
        <f t="array" ref="AS12">_xlfn.LET(
    _xlpm.kpiName, AS$2,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2" s="226">
        <f t="array" ref="AT12">_xlfn.LET(
    _xlpm.kpiName, AT$2,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2" s="226">
        <f t="array" ref="AU12">_xlfn.LET(
    _xlpm.kpiName, AU$2,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2" s="226">
        <f t="array" ref="AV12">_xlfn.LET(
    _xlpm.kpiName, AV$2,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2" s="226">
        <f t="array" ref="AW12">_xlfn.LET(
    _xlpm.kpiName, AW$2,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2" s="226">
        <f t="array" ref="AX12">_xlfn.LET(
    _xlpm.kpiName, AX$2,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2" s="226">
        <f t="array" ref="AY12">_xlfn.LET(
    _xlpm.kpiName, AY$2,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2" s="226">
        <f t="array" ref="AZ12">_xlfn.LET(
    _xlpm.kpiName, AZ$2,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2" s="226">
        <f t="array" ref="BA12">_xlfn.LET(
    _xlpm.kpiName, BA$2,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2" s="226">
        <f t="array" ref="BB12">_xlfn.LET(
    _xlpm.kpiName, BB$2,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3" ht="13" customHeight="1" s="179">
      <c r="C13" s="1" t="n"/>
      <c r="D13" s="78" t="inlineStr">
        <is>
          <t>Factor11</t>
        </is>
      </c>
      <c r="E13" s="226">
        <f t="array" ref="E13">_xlfn.LET(
    _xlpm.kpiName, E$2,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3" s="226">
        <f t="array" ref="F13">_xlfn.LET(
    _xlpm.kpiName, F$2,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3" s="226">
        <f t="array" ref="G13">_xlfn.LET(
    _xlpm.kpiName, G$2,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3" s="226">
        <f t="array" ref="H13">_xlfn.LET(
    _xlpm.kpiName, H$2,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3" s="226">
        <f t="array" ref="I13">_xlfn.LET(
    _xlpm.kpiName, I$2,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3" s="226">
        <f t="array" ref="J13">_xlfn.LET(
    _xlpm.kpiName, J$2,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3" s="226">
        <f t="array" ref="K13">_xlfn.LET(
    _xlpm.kpiName, K$2,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3" s="226">
        <f t="array" ref="L13">_xlfn.LET(
    _xlpm.kpiName, L$2,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3" s="226">
        <f t="array" ref="M13">_xlfn.LET(
    _xlpm.kpiName, M$2,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3" s="226">
        <f t="array" ref="N13">_xlfn.LET(
    _xlpm.kpiName, N$2,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3" s="226">
        <f t="array" ref="O13">_xlfn.LET(
    _xlpm.kpiName, O$2,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3" s="226">
        <f t="array" ref="P13">_xlfn.LET(
    _xlpm.kpiName, P$2,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3" s="226">
        <f t="array" ref="Q13">_xlfn.LET(
    _xlpm.kpiName, Q$2,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3" s="226">
        <f t="array" ref="R13">_xlfn.LET(
    _xlpm.kpiName, R$2,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3" s="226">
        <f t="array" ref="S13">_xlfn.LET(
    _xlpm.kpiName, S$2,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3" s="226">
        <f t="array" ref="T13">_xlfn.LET(
    _xlpm.kpiName, T$2,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3" s="226">
        <f t="array" ref="U13">_xlfn.LET(
    _xlpm.kpiName, U$2,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3" s="226">
        <f t="array" ref="V13">_xlfn.LET(
    _xlpm.kpiName, V$2,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3" s="226">
        <f t="array" ref="W13">_xlfn.LET(
    _xlpm.kpiName, W$2,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3" s="226">
        <f t="array" ref="X13">_xlfn.LET(
    _xlpm.kpiName, X$2,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3" s="226">
        <f t="array" ref="Y13">_xlfn.LET(
    _xlpm.kpiName, Y$2,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3" s="226">
        <f t="array" ref="Z13">_xlfn.LET(
    _xlpm.kpiName, Z$2,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3" s="226">
        <f t="array" ref="AA13">_xlfn.LET(
    _xlpm.kpiName, AA$2,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3" s="226">
        <f t="array" ref="AB13">_xlfn.LET(
    _xlpm.kpiName, AB$2,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3" s="226">
        <f t="array" ref="AC13">_xlfn.LET(
    _xlpm.kpiName, AC$2,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3" s="226">
        <f t="array" ref="AD13">_xlfn.LET(
    _xlpm.kpiName, AD$2,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3" s="226">
        <f t="array" ref="AE13">_xlfn.LET(
    _xlpm.kpiName, AE$2,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3" s="226">
        <f t="array" ref="AF13">_xlfn.LET(
    _xlpm.kpiName, AF$2,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3" s="226">
        <f t="array" ref="AG13">_xlfn.LET(
    _xlpm.kpiName, AG$2,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3" s="226">
        <f t="array" ref="AH13">_xlfn.LET(
    _xlpm.kpiName, AH$2,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3" s="226">
        <f t="array" ref="AI13">_xlfn.LET(
    _xlpm.kpiName, AI$2,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3" s="226">
        <f t="array" ref="AJ13">_xlfn.LET(
    _xlpm.kpiName, AJ$2,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3" s="226">
        <f t="array" ref="AK13">_xlfn.LET(
    _xlpm.kpiName, AK$2,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3" s="226">
        <f t="array" ref="AL13">_xlfn.LET(
    _xlpm.kpiName, AL$2,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3" s="226">
        <f t="array" ref="AM13">_xlfn.LET(
    _xlpm.kpiName, AM$2,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3" s="226">
        <f t="array" ref="AN13">_xlfn.LET(
    _xlpm.kpiName, AN$2,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3" s="226">
        <f t="array" ref="AO13">_xlfn.LET(
    _xlpm.kpiName, AO$2,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3" s="226">
        <f t="array" ref="AP13">_xlfn.LET(
    _xlpm.kpiName, AP$2,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3" s="226">
        <f t="array" ref="AQ13">_xlfn.LET(
    _xlpm.kpiName, AQ$2,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3" s="226">
        <f t="array" ref="AR13">_xlfn.LET(
    _xlpm.kpiName, AR$2,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3" s="226">
        <f t="array" ref="AS13">_xlfn.LET(
    _xlpm.kpiName, AS$2,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3" s="226">
        <f t="array" ref="AT13">_xlfn.LET(
    _xlpm.kpiName, AT$2,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3" s="226">
        <f t="array" ref="AU13">_xlfn.LET(
    _xlpm.kpiName, AU$2,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3" s="226">
        <f t="array" ref="AV13">_xlfn.LET(
    _xlpm.kpiName, AV$2,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3" s="226">
        <f t="array" ref="AW13">_xlfn.LET(
    _xlpm.kpiName, AW$2,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3" s="226">
        <f t="array" ref="AX13">_xlfn.LET(
    _xlpm.kpiName, AX$2,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3" s="226">
        <f t="array" ref="AY13">_xlfn.LET(
    _xlpm.kpiName, AY$2,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3" s="226">
        <f t="array" ref="AZ13">_xlfn.LET(
    _xlpm.kpiName, AZ$2,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3" s="226">
        <f t="array" ref="BA13">_xlfn.LET(
    _xlpm.kpiName, BA$2,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3" s="226">
        <f t="array" ref="BB13">_xlfn.LET(
    _xlpm.kpiName, BB$2,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4" ht="13" customHeight="1" s="179">
      <c r="C14" s="1" t="n"/>
      <c r="D14" s="78" t="inlineStr">
        <is>
          <t>Factor12</t>
        </is>
      </c>
      <c r="E14" s="226">
        <f t="array" ref="E14">_xlfn.LET(
    _xlpm.kpiName, E$2,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4" s="226">
        <f t="array" ref="F14">_xlfn.LET(
    _xlpm.kpiName, F$2,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4" s="226">
        <f t="array" ref="G14">_xlfn.LET(
    _xlpm.kpiName, G$2,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4" s="226">
        <f t="array" ref="H14">_xlfn.LET(
    _xlpm.kpiName, H$2,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4" s="226">
        <f t="array" ref="I14">_xlfn.LET(
    _xlpm.kpiName, I$2,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4" s="226">
        <f t="array" ref="J14">_xlfn.LET(
    _xlpm.kpiName, J$2,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4" s="226">
        <f t="array" ref="K14">_xlfn.LET(
    _xlpm.kpiName, K$2,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4" s="226">
        <f t="array" ref="L14">_xlfn.LET(
    _xlpm.kpiName, L$2,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4" s="226">
        <f t="array" ref="M14">_xlfn.LET(
    _xlpm.kpiName, M$2,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4" s="226">
        <f t="array" ref="N14">_xlfn.LET(
    _xlpm.kpiName, N$2,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4" s="226">
        <f t="array" ref="O14">_xlfn.LET(
    _xlpm.kpiName, O$2,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4" s="226">
        <f t="array" ref="P14">_xlfn.LET(
    _xlpm.kpiName, P$2,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4" s="226">
        <f t="array" ref="Q14">_xlfn.LET(
    _xlpm.kpiName, Q$2,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4" s="226">
        <f t="array" ref="R14">_xlfn.LET(
    _xlpm.kpiName, R$2,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4" s="226">
        <f t="array" ref="S14">_xlfn.LET(
    _xlpm.kpiName, S$2,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4" s="226">
        <f t="array" ref="T14">_xlfn.LET(
    _xlpm.kpiName, T$2,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4" s="226">
        <f t="array" ref="U14">_xlfn.LET(
    _xlpm.kpiName, U$2,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4" s="226">
        <f t="array" ref="V14">_xlfn.LET(
    _xlpm.kpiName, V$2,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4" s="226">
        <f t="array" ref="W14">_xlfn.LET(
    _xlpm.kpiName, W$2,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4" s="226">
        <f t="array" ref="X14">_xlfn.LET(
    _xlpm.kpiName, X$2,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4" s="226">
        <f t="array" ref="Y14">_xlfn.LET(
    _xlpm.kpiName, Y$2,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4" s="226">
        <f t="array" ref="Z14">_xlfn.LET(
    _xlpm.kpiName, Z$2,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4" s="226">
        <f t="array" ref="AA14">_xlfn.LET(
    _xlpm.kpiName, AA$2,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4" s="226">
        <f t="array" ref="AB14">_xlfn.LET(
    _xlpm.kpiName, AB$2,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4" s="226">
        <f t="array" ref="AC14">_xlfn.LET(
    _xlpm.kpiName, AC$2,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4" s="226">
        <f t="array" ref="AD14">_xlfn.LET(
    _xlpm.kpiName, AD$2,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4" s="226">
        <f t="array" ref="AE14">_xlfn.LET(
    _xlpm.kpiName, AE$2,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4" s="226">
        <f t="array" ref="AF14">_xlfn.LET(
    _xlpm.kpiName, AF$2,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4" s="226">
        <f t="array" ref="AG14">_xlfn.LET(
    _xlpm.kpiName, AG$2,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4" s="226">
        <f t="array" ref="AH14">_xlfn.LET(
    _xlpm.kpiName, AH$2,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4" s="226">
        <f t="array" ref="AI14">_xlfn.LET(
    _xlpm.kpiName, AI$2,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4" s="226">
        <f t="array" ref="AJ14">_xlfn.LET(
    _xlpm.kpiName, AJ$2,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4" s="226">
        <f t="array" ref="AK14">_xlfn.LET(
    _xlpm.kpiName, AK$2,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4" s="226">
        <f t="array" ref="AL14">_xlfn.LET(
    _xlpm.kpiName, AL$2,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4" s="226">
        <f t="array" ref="AM14">_xlfn.LET(
    _xlpm.kpiName, AM$2,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4" s="226">
        <f t="array" ref="AN14">_xlfn.LET(
    _xlpm.kpiName, AN$2,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4" s="226">
        <f t="array" ref="AO14">_xlfn.LET(
    _xlpm.kpiName, AO$2,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4" s="226">
        <f t="array" ref="AP14">_xlfn.LET(
    _xlpm.kpiName, AP$2,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4" s="226">
        <f t="array" ref="AQ14">_xlfn.LET(
    _xlpm.kpiName, AQ$2,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4" s="226">
        <f t="array" ref="AR14">_xlfn.LET(
    _xlpm.kpiName, AR$2,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4" s="226">
        <f t="array" ref="AS14">_xlfn.LET(
    _xlpm.kpiName, AS$2,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4" s="226">
        <f t="array" ref="AT14">_xlfn.LET(
    _xlpm.kpiName, AT$2,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4" s="226">
        <f t="array" ref="AU14">_xlfn.LET(
    _xlpm.kpiName, AU$2,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4" s="226">
        <f t="array" ref="AV14">_xlfn.LET(
    _xlpm.kpiName, AV$2,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4" s="226">
        <f t="array" ref="AW14">_xlfn.LET(
    _xlpm.kpiName, AW$2,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4" s="226">
        <f t="array" ref="AX14">_xlfn.LET(
    _xlpm.kpiName, AX$2,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4" s="226">
        <f t="array" ref="AY14">_xlfn.LET(
    _xlpm.kpiName, AY$2,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4" s="226">
        <f t="array" ref="AZ14">_xlfn.LET(
    _xlpm.kpiName, AZ$2,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4" s="226">
        <f t="array" ref="BA14">_xlfn.LET(
    _xlpm.kpiName, BA$2,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4" s="226">
        <f t="array" ref="BB14">_xlfn.LET(
    _xlpm.kpiName, BB$2,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5" ht="13" customHeight="1" s="179">
      <c r="C15" s="1" t="n"/>
      <c r="D15" s="78" t="inlineStr">
        <is>
          <t>Factor13</t>
        </is>
      </c>
      <c r="E15" s="226">
        <f t="array" ref="E15">_xlfn.LET(
    _xlpm.kpiName, E$2,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5" s="226">
        <f t="array" ref="F15">_xlfn.LET(
    _xlpm.kpiName, F$2,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5" s="226">
        <f t="array" ref="G15">_xlfn.LET(
    _xlpm.kpiName, G$2,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5" s="226">
        <f t="array" ref="H15">_xlfn.LET(
    _xlpm.kpiName, H$2,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5" s="226">
        <f t="array" ref="I15">_xlfn.LET(
    _xlpm.kpiName, I$2,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5" s="226">
        <f t="array" ref="J15">_xlfn.LET(
    _xlpm.kpiName, J$2,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5" s="226">
        <f t="array" ref="K15">_xlfn.LET(
    _xlpm.kpiName, K$2,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5" s="226">
        <f t="array" ref="L15">_xlfn.LET(
    _xlpm.kpiName, L$2,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5" s="226">
        <f t="array" ref="M15">_xlfn.LET(
    _xlpm.kpiName, M$2,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5" s="226">
        <f t="array" ref="N15">_xlfn.LET(
    _xlpm.kpiName, N$2,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5" s="226">
        <f t="array" ref="O15">_xlfn.LET(
    _xlpm.kpiName, O$2,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5" s="226">
        <f t="array" ref="P15">_xlfn.LET(
    _xlpm.kpiName, P$2,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5" s="226">
        <f t="array" ref="Q15">_xlfn.LET(
    _xlpm.kpiName, Q$2,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5" s="226">
        <f t="array" ref="R15">_xlfn.LET(
    _xlpm.kpiName, R$2,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5" s="226">
        <f t="array" ref="S15">_xlfn.LET(
    _xlpm.kpiName, S$2,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5" s="226">
        <f t="array" ref="T15">_xlfn.LET(
    _xlpm.kpiName, T$2,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5" s="226">
        <f t="array" ref="U15">_xlfn.LET(
    _xlpm.kpiName, U$2,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5" s="226">
        <f t="array" ref="V15">_xlfn.LET(
    _xlpm.kpiName, V$2,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5" s="226">
        <f t="array" ref="W15">_xlfn.LET(
    _xlpm.kpiName, W$2,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5" s="226">
        <f t="array" ref="X15">_xlfn.LET(
    _xlpm.kpiName, X$2,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5" s="226">
        <f t="array" ref="Y15">_xlfn.LET(
    _xlpm.kpiName, Y$2,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5" s="226">
        <f t="array" ref="Z15">_xlfn.LET(
    _xlpm.kpiName, Z$2,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5" s="226">
        <f t="array" ref="AA15">_xlfn.LET(
    _xlpm.kpiName, AA$2,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5" s="226">
        <f t="array" ref="AB15">_xlfn.LET(
    _xlpm.kpiName, AB$2,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5" s="226">
        <f t="array" ref="AC15">_xlfn.LET(
    _xlpm.kpiName, AC$2,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5" s="226">
        <f t="array" ref="AD15">_xlfn.LET(
    _xlpm.kpiName, AD$2,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5" s="226">
        <f t="array" ref="AE15">_xlfn.LET(
    _xlpm.kpiName, AE$2,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5" s="226">
        <f t="array" ref="AF15">_xlfn.LET(
    _xlpm.kpiName, AF$2,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5" s="226">
        <f t="array" ref="AG15">_xlfn.LET(
    _xlpm.kpiName, AG$2,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5" s="226">
        <f t="array" ref="AH15">_xlfn.LET(
    _xlpm.kpiName, AH$2,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5" s="226">
        <f t="array" ref="AI15">_xlfn.LET(
    _xlpm.kpiName, AI$2,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5" s="226">
        <f t="array" ref="AJ15">_xlfn.LET(
    _xlpm.kpiName, AJ$2,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5" s="226">
        <f t="array" ref="AK15">_xlfn.LET(
    _xlpm.kpiName, AK$2,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5" s="226">
        <f t="array" ref="AL15">_xlfn.LET(
    _xlpm.kpiName, AL$2,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5" s="226">
        <f t="array" ref="AM15">_xlfn.LET(
    _xlpm.kpiName, AM$2,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5" s="226">
        <f t="array" ref="AN15">_xlfn.LET(
    _xlpm.kpiName, AN$2,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5" s="226">
        <f t="array" ref="AO15">_xlfn.LET(
    _xlpm.kpiName, AO$2,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5" s="226">
        <f t="array" ref="AP15">_xlfn.LET(
    _xlpm.kpiName, AP$2,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5" s="226">
        <f t="array" ref="AQ15">_xlfn.LET(
    _xlpm.kpiName, AQ$2,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5" s="226">
        <f t="array" ref="AR15">_xlfn.LET(
    _xlpm.kpiName, AR$2,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5" s="226">
        <f t="array" ref="AS15">_xlfn.LET(
    _xlpm.kpiName, AS$2,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5" s="226">
        <f t="array" ref="AT15">_xlfn.LET(
    _xlpm.kpiName, AT$2,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5" s="226">
        <f t="array" ref="AU15">_xlfn.LET(
    _xlpm.kpiName, AU$2,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5" s="226">
        <f t="array" ref="AV15">_xlfn.LET(
    _xlpm.kpiName, AV$2,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5" s="226">
        <f t="array" ref="AW15">_xlfn.LET(
    _xlpm.kpiName, AW$2,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5" s="226">
        <f t="array" ref="AX15">_xlfn.LET(
    _xlpm.kpiName, AX$2,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5" s="226">
        <f t="array" ref="AY15">_xlfn.LET(
    _xlpm.kpiName, AY$2,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5" s="226">
        <f t="array" ref="AZ15">_xlfn.LET(
    _xlpm.kpiName, AZ$2,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5" s="226">
        <f t="array" ref="BA15">_xlfn.LET(
    _xlpm.kpiName, BA$2,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5" s="226">
        <f t="array" ref="BB15">_xlfn.LET(
    _xlpm.kpiName, BB$2,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6" ht="13" customHeight="1" s="179">
      <c r="C16" s="1" t="n"/>
      <c r="D16" s="78" t="inlineStr">
        <is>
          <t>Factor14</t>
        </is>
      </c>
      <c r="E16" s="226">
        <f t="array" ref="E16">_xlfn.LET(
    _xlpm.kpiName, E$2,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6" s="226">
        <f t="array" ref="F16">_xlfn.LET(
    _xlpm.kpiName, F$2,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6" s="226">
        <f t="array" ref="G16">_xlfn.LET(
    _xlpm.kpiName, G$2,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6" s="226">
        <f t="array" ref="H16">_xlfn.LET(
    _xlpm.kpiName, H$2,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6" s="226">
        <f t="array" ref="I16">_xlfn.LET(
    _xlpm.kpiName, I$2,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6" s="226">
        <f t="array" ref="J16">_xlfn.LET(
    _xlpm.kpiName, J$2,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6" s="226">
        <f t="array" ref="K16">_xlfn.LET(
    _xlpm.kpiName, K$2,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6" s="226">
        <f t="array" ref="L16">_xlfn.LET(
    _xlpm.kpiName, L$2,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6" s="226">
        <f t="array" ref="M16">_xlfn.LET(
    _xlpm.kpiName, M$2,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6" s="226">
        <f t="array" ref="N16">_xlfn.LET(
    _xlpm.kpiName, N$2,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6" s="226">
        <f t="array" ref="O16">_xlfn.LET(
    _xlpm.kpiName, O$2,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6" s="226">
        <f t="array" ref="P16">_xlfn.LET(
    _xlpm.kpiName, P$2,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6" s="226">
        <f t="array" ref="Q16">_xlfn.LET(
    _xlpm.kpiName, Q$2,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6" s="226">
        <f t="array" ref="R16">_xlfn.LET(
    _xlpm.kpiName, R$2,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6" s="226">
        <f t="array" ref="S16">_xlfn.LET(
    _xlpm.kpiName, S$2,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6" s="226">
        <f t="array" ref="T16">_xlfn.LET(
    _xlpm.kpiName, T$2,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6" s="226">
        <f t="array" ref="U16">_xlfn.LET(
    _xlpm.kpiName, U$2,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6" s="226">
        <f t="array" ref="V16">_xlfn.LET(
    _xlpm.kpiName, V$2,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6" s="226">
        <f t="array" ref="W16">_xlfn.LET(
    _xlpm.kpiName, W$2,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6" s="226">
        <f t="array" ref="X16">_xlfn.LET(
    _xlpm.kpiName, X$2,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6" s="226">
        <f t="array" ref="Y16">_xlfn.LET(
    _xlpm.kpiName, Y$2,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6" s="226">
        <f t="array" ref="Z16">_xlfn.LET(
    _xlpm.kpiName, Z$2,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6" s="226">
        <f t="array" ref="AA16">_xlfn.LET(
    _xlpm.kpiName, AA$2,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6" s="226">
        <f t="array" ref="AB16">_xlfn.LET(
    _xlpm.kpiName, AB$2,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6" s="226">
        <f t="array" ref="AC16">_xlfn.LET(
    _xlpm.kpiName, AC$2,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6" s="226">
        <f t="array" ref="AD16">_xlfn.LET(
    _xlpm.kpiName, AD$2,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6" s="226">
        <f t="array" ref="AE16">_xlfn.LET(
    _xlpm.kpiName, AE$2,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6" s="226">
        <f t="array" ref="AF16">_xlfn.LET(
    _xlpm.kpiName, AF$2,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6" s="226">
        <f t="array" ref="AG16">_xlfn.LET(
    _xlpm.kpiName, AG$2,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6" s="226">
        <f t="array" ref="AH16">_xlfn.LET(
    _xlpm.kpiName, AH$2,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6" s="226">
        <f t="array" ref="AI16">_xlfn.LET(
    _xlpm.kpiName, AI$2,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6" s="226">
        <f t="array" ref="AJ16">_xlfn.LET(
    _xlpm.kpiName, AJ$2,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6" s="226">
        <f t="array" ref="AK16">_xlfn.LET(
    _xlpm.kpiName, AK$2,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6" s="226">
        <f t="array" ref="AL16">_xlfn.LET(
    _xlpm.kpiName, AL$2,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6" s="226">
        <f t="array" ref="AM16">_xlfn.LET(
    _xlpm.kpiName, AM$2,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6" s="226">
        <f t="array" ref="AN16">_xlfn.LET(
    _xlpm.kpiName, AN$2,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6" s="226">
        <f t="array" ref="AO16">_xlfn.LET(
    _xlpm.kpiName, AO$2,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6" s="226">
        <f t="array" ref="AP16">_xlfn.LET(
    _xlpm.kpiName, AP$2,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6" s="226">
        <f t="array" ref="AQ16">_xlfn.LET(
    _xlpm.kpiName, AQ$2,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6" s="226">
        <f t="array" ref="AR16">_xlfn.LET(
    _xlpm.kpiName, AR$2,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6" s="226">
        <f t="array" ref="AS16">_xlfn.LET(
    _xlpm.kpiName, AS$2,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6" s="226">
        <f t="array" ref="AT16">_xlfn.LET(
    _xlpm.kpiName, AT$2,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6" s="226">
        <f t="array" ref="AU16">_xlfn.LET(
    _xlpm.kpiName, AU$2,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6" s="226">
        <f t="array" ref="AV16">_xlfn.LET(
    _xlpm.kpiName, AV$2,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6" s="226">
        <f t="array" ref="AW16">_xlfn.LET(
    _xlpm.kpiName, AW$2,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6" s="226">
        <f t="array" ref="AX16">_xlfn.LET(
    _xlpm.kpiName, AX$2,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6" s="226">
        <f t="array" ref="AY16">_xlfn.LET(
    _xlpm.kpiName, AY$2,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6" s="226">
        <f t="array" ref="AZ16">_xlfn.LET(
    _xlpm.kpiName, AZ$2,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6" s="226">
        <f t="array" ref="BA16">_xlfn.LET(
    _xlpm.kpiName, BA$2,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6" s="226">
        <f t="array" ref="BB16">_xlfn.LET(
    _xlpm.kpiName, BB$2,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7" ht="13" customHeight="1" s="179">
      <c r="C17" s="1" t="n"/>
      <c r="D17" s="78" t="inlineStr">
        <is>
          <t>Factor15</t>
        </is>
      </c>
      <c r="E17" s="226">
        <f t="array" ref="E17">_xlfn.LET(
    _xlpm.kpiName, E$2,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7" s="226">
        <f t="array" ref="F17">_xlfn.LET(
    _xlpm.kpiName, F$2,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7" s="226">
        <f t="array" ref="G17">_xlfn.LET(
    _xlpm.kpiName, G$2,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7" s="226">
        <f t="array" ref="H17">_xlfn.LET(
    _xlpm.kpiName, H$2,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7" s="226">
        <f t="array" ref="I17">_xlfn.LET(
    _xlpm.kpiName, I$2,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7" s="226">
        <f t="array" ref="J17">_xlfn.LET(
    _xlpm.kpiName, J$2,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7" s="226">
        <f t="array" ref="K17">_xlfn.LET(
    _xlpm.kpiName, K$2,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7" s="226">
        <f t="array" ref="L17">_xlfn.LET(
    _xlpm.kpiName, L$2,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7" s="226">
        <f t="array" ref="M17">_xlfn.LET(
    _xlpm.kpiName, M$2,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7" s="226">
        <f t="array" ref="N17">_xlfn.LET(
    _xlpm.kpiName, N$2,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7" s="226">
        <f t="array" ref="O17">_xlfn.LET(
    _xlpm.kpiName, O$2,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7" s="226">
        <f t="array" ref="P17">_xlfn.LET(
    _xlpm.kpiName, P$2,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7" s="226">
        <f t="array" ref="Q17">_xlfn.LET(
    _xlpm.kpiName, Q$2,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7" s="226">
        <f t="array" ref="R17">_xlfn.LET(
    _xlpm.kpiName, R$2,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7" s="226">
        <f t="array" ref="S17">_xlfn.LET(
    _xlpm.kpiName, S$2,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7" s="226">
        <f t="array" ref="T17">_xlfn.LET(
    _xlpm.kpiName, T$2,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7" s="226">
        <f t="array" ref="U17">_xlfn.LET(
    _xlpm.kpiName, U$2,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7" s="226">
        <f t="array" ref="V17">_xlfn.LET(
    _xlpm.kpiName, V$2,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7" s="226">
        <f t="array" ref="W17">_xlfn.LET(
    _xlpm.kpiName, W$2,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7" s="226">
        <f t="array" ref="X17">_xlfn.LET(
    _xlpm.kpiName, X$2,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7" s="226">
        <f t="array" ref="Y17">_xlfn.LET(
    _xlpm.kpiName, Y$2,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7" s="226">
        <f t="array" ref="Z17">_xlfn.LET(
    _xlpm.kpiName, Z$2,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7" s="226">
        <f t="array" ref="AA17">_xlfn.LET(
    _xlpm.kpiName, AA$2,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7" s="226">
        <f t="array" ref="AB17">_xlfn.LET(
    _xlpm.kpiName, AB$2,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7" s="226">
        <f t="array" ref="AC17">_xlfn.LET(
    _xlpm.kpiName, AC$2,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7" s="226">
        <f t="array" ref="AD17">_xlfn.LET(
    _xlpm.kpiName, AD$2,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7" s="226">
        <f t="array" ref="AE17">_xlfn.LET(
    _xlpm.kpiName, AE$2,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7" s="226">
        <f t="array" ref="AF17">_xlfn.LET(
    _xlpm.kpiName, AF$2,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7" s="226">
        <f t="array" ref="AG17">_xlfn.LET(
    _xlpm.kpiName, AG$2,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7" s="226">
        <f t="array" ref="AH17">_xlfn.LET(
    _xlpm.kpiName, AH$2,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7" s="226">
        <f t="array" ref="AI17">_xlfn.LET(
    _xlpm.kpiName, AI$2,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7" s="226">
        <f t="array" ref="AJ17">_xlfn.LET(
    _xlpm.kpiName, AJ$2,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7" s="226">
        <f t="array" ref="AK17">_xlfn.LET(
    _xlpm.kpiName, AK$2,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7" s="226">
        <f t="array" ref="AL17">_xlfn.LET(
    _xlpm.kpiName, AL$2,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7" s="226">
        <f t="array" ref="AM17">_xlfn.LET(
    _xlpm.kpiName, AM$2,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7" s="226">
        <f t="array" ref="AN17">_xlfn.LET(
    _xlpm.kpiName, AN$2,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7" s="226">
        <f t="array" ref="AO17">_xlfn.LET(
    _xlpm.kpiName, AO$2,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7" s="226">
        <f t="array" ref="AP17">_xlfn.LET(
    _xlpm.kpiName, AP$2,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7" s="226">
        <f t="array" ref="AQ17">_xlfn.LET(
    _xlpm.kpiName, AQ$2,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7" s="226">
        <f t="array" ref="AR17">_xlfn.LET(
    _xlpm.kpiName, AR$2,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7" s="226">
        <f t="array" ref="AS17">_xlfn.LET(
    _xlpm.kpiName, AS$2,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7" s="226">
        <f t="array" ref="AT17">_xlfn.LET(
    _xlpm.kpiName, AT$2,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7" s="226">
        <f t="array" ref="AU17">_xlfn.LET(
    _xlpm.kpiName, AU$2,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7" s="226">
        <f t="array" ref="AV17">_xlfn.LET(
    _xlpm.kpiName, AV$2,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7" s="226">
        <f t="array" ref="AW17">_xlfn.LET(
    _xlpm.kpiName, AW$2,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7" s="226">
        <f t="array" ref="AX17">_xlfn.LET(
    _xlpm.kpiName, AX$2,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7" s="226">
        <f t="array" ref="AY17">_xlfn.LET(
    _xlpm.kpiName, AY$2,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7" s="226">
        <f t="array" ref="AZ17">_xlfn.LET(
    _xlpm.kpiName, AZ$2,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7" s="226">
        <f t="array" ref="BA17">_xlfn.LET(
    _xlpm.kpiName, BA$2,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7" s="226">
        <f t="array" ref="BB17">_xlfn.LET(
    _xlpm.kpiName, BB$2,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8" ht="13" customHeight="1" s="179">
      <c r="C18" s="1" t="n"/>
      <c r="D18" s="78" t="inlineStr">
        <is>
          <t>Factor16</t>
        </is>
      </c>
      <c r="E18" s="226">
        <f t="array" ref="E18">_xlfn.LET(
    _xlpm.kpiName, E$2,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8" s="226">
        <f t="array" ref="F18">_xlfn.LET(
    _xlpm.kpiName, F$2,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8" s="226">
        <f t="array" ref="G18">_xlfn.LET(
    _xlpm.kpiName, G$2,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8" s="226">
        <f t="array" ref="H18">_xlfn.LET(
    _xlpm.kpiName, H$2,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8" s="226">
        <f t="array" ref="I18">_xlfn.LET(
    _xlpm.kpiName, I$2,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8" s="226">
        <f t="array" ref="J18">_xlfn.LET(
    _xlpm.kpiName, J$2,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8" s="226">
        <f t="array" ref="K18">_xlfn.LET(
    _xlpm.kpiName, K$2,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8" s="226">
        <f t="array" ref="L18">_xlfn.LET(
    _xlpm.kpiName, L$2,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8" s="226">
        <f t="array" ref="M18">_xlfn.LET(
    _xlpm.kpiName, M$2,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8" s="226">
        <f t="array" ref="N18">_xlfn.LET(
    _xlpm.kpiName, N$2,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8" s="226">
        <f t="array" ref="O18">_xlfn.LET(
    _xlpm.kpiName, O$2,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8" s="226">
        <f t="array" ref="P18">_xlfn.LET(
    _xlpm.kpiName, P$2,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8" s="226">
        <f t="array" ref="Q18">_xlfn.LET(
    _xlpm.kpiName, Q$2,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8" s="226">
        <f t="array" ref="R18">_xlfn.LET(
    _xlpm.kpiName, R$2,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8" s="226">
        <f t="array" ref="S18">_xlfn.LET(
    _xlpm.kpiName, S$2,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8" s="226">
        <f t="array" ref="T18">_xlfn.LET(
    _xlpm.kpiName, T$2,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8" s="226">
        <f t="array" ref="U18">_xlfn.LET(
    _xlpm.kpiName, U$2,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8" s="226">
        <f t="array" ref="V18">_xlfn.LET(
    _xlpm.kpiName, V$2,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8" s="226">
        <f t="array" ref="W18">_xlfn.LET(
    _xlpm.kpiName, W$2,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8" s="226">
        <f t="array" ref="X18">_xlfn.LET(
    _xlpm.kpiName, X$2,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8" s="226">
        <f t="array" ref="Y18">_xlfn.LET(
    _xlpm.kpiName, Y$2,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8" s="226">
        <f t="array" ref="Z18">_xlfn.LET(
    _xlpm.kpiName, Z$2,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8" s="226">
        <f t="array" ref="AA18">_xlfn.LET(
    _xlpm.kpiName, AA$2,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8" s="226">
        <f t="array" ref="AB18">_xlfn.LET(
    _xlpm.kpiName, AB$2,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8" s="226">
        <f t="array" ref="AC18">_xlfn.LET(
    _xlpm.kpiName, AC$2,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8" s="226">
        <f t="array" ref="AD18">_xlfn.LET(
    _xlpm.kpiName, AD$2,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8" s="226">
        <f t="array" ref="AE18">_xlfn.LET(
    _xlpm.kpiName, AE$2,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8" s="226">
        <f t="array" ref="AF18">_xlfn.LET(
    _xlpm.kpiName, AF$2,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8" s="226">
        <f t="array" ref="AG18">_xlfn.LET(
    _xlpm.kpiName, AG$2,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8" s="226">
        <f t="array" ref="AH18">_xlfn.LET(
    _xlpm.kpiName, AH$2,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8" s="226">
        <f t="array" ref="AI18">_xlfn.LET(
    _xlpm.kpiName, AI$2,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8" s="226">
        <f t="array" ref="AJ18">_xlfn.LET(
    _xlpm.kpiName, AJ$2,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8" s="226">
        <f t="array" ref="AK18">_xlfn.LET(
    _xlpm.kpiName, AK$2,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8" s="226">
        <f t="array" ref="AL18">_xlfn.LET(
    _xlpm.kpiName, AL$2,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8" s="226">
        <f t="array" ref="AM18">_xlfn.LET(
    _xlpm.kpiName, AM$2,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8" s="226">
        <f t="array" ref="AN18">_xlfn.LET(
    _xlpm.kpiName, AN$2,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8" s="226">
        <f t="array" ref="AO18">_xlfn.LET(
    _xlpm.kpiName, AO$2,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8" s="226">
        <f t="array" ref="AP18">_xlfn.LET(
    _xlpm.kpiName, AP$2,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8" s="226">
        <f t="array" ref="AQ18">_xlfn.LET(
    _xlpm.kpiName, AQ$2,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8" s="226">
        <f t="array" ref="AR18">_xlfn.LET(
    _xlpm.kpiName, AR$2,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8" s="226">
        <f t="array" ref="AS18">_xlfn.LET(
    _xlpm.kpiName, AS$2,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8" s="226">
        <f t="array" ref="AT18">_xlfn.LET(
    _xlpm.kpiName, AT$2,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8" s="226">
        <f t="array" ref="AU18">_xlfn.LET(
    _xlpm.kpiName, AU$2,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8" s="226">
        <f t="array" ref="AV18">_xlfn.LET(
    _xlpm.kpiName, AV$2,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8" s="226">
        <f t="array" ref="AW18">_xlfn.LET(
    _xlpm.kpiName, AW$2,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8" s="226">
        <f t="array" ref="AX18">_xlfn.LET(
    _xlpm.kpiName, AX$2,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8" s="226">
        <f t="array" ref="AY18">_xlfn.LET(
    _xlpm.kpiName, AY$2,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8" s="226">
        <f t="array" ref="AZ18">_xlfn.LET(
    _xlpm.kpiName, AZ$2,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8" s="226">
        <f t="array" ref="BA18">_xlfn.LET(
    _xlpm.kpiName, BA$2,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8" s="226">
        <f t="array" ref="BB18">_xlfn.LET(
    _xlpm.kpiName, BB$2,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9" ht="13" customHeight="1" s="179">
      <c r="C19" s="1" t="n"/>
      <c r="D19" s="78" t="inlineStr">
        <is>
          <t>Factor17</t>
        </is>
      </c>
      <c r="E19" s="226">
        <f t="array" ref="E19">_xlfn.LET(
    _xlpm.kpiName, E$2,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9" s="226">
        <f t="array" ref="F19">_xlfn.LET(
    _xlpm.kpiName, F$2,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9" s="226">
        <f t="array" ref="G19">_xlfn.LET(
    _xlpm.kpiName, G$2,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9" s="226">
        <f t="array" ref="H19">_xlfn.LET(
    _xlpm.kpiName, H$2,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9" s="226">
        <f t="array" ref="I19">_xlfn.LET(
    _xlpm.kpiName, I$2,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9" s="226">
        <f t="array" ref="J19">_xlfn.LET(
    _xlpm.kpiName, J$2,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9" s="226">
        <f t="array" ref="K19">_xlfn.LET(
    _xlpm.kpiName, K$2,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9" s="226">
        <f t="array" ref="L19">_xlfn.LET(
    _xlpm.kpiName, L$2,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9" s="226">
        <f t="array" ref="M19">_xlfn.LET(
    _xlpm.kpiName, M$2,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9" s="226">
        <f t="array" ref="N19">_xlfn.LET(
    _xlpm.kpiName, N$2,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9" s="226">
        <f t="array" ref="O19">_xlfn.LET(
    _xlpm.kpiName, O$2,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9" s="226">
        <f t="array" ref="P19">_xlfn.LET(
    _xlpm.kpiName, P$2,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9" s="226">
        <f t="array" ref="Q19">_xlfn.LET(
    _xlpm.kpiName, Q$2,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9" s="226">
        <f t="array" ref="R19">_xlfn.LET(
    _xlpm.kpiName, R$2,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9" s="226">
        <f t="array" ref="S19">_xlfn.LET(
    _xlpm.kpiName, S$2,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9" s="226">
        <f t="array" ref="T19">_xlfn.LET(
    _xlpm.kpiName, T$2,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9" s="226">
        <f t="array" ref="U19">_xlfn.LET(
    _xlpm.kpiName, U$2,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9" s="226">
        <f t="array" ref="V19">_xlfn.LET(
    _xlpm.kpiName, V$2,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9" s="226">
        <f t="array" ref="W19">_xlfn.LET(
    _xlpm.kpiName, W$2,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9" s="226">
        <f t="array" ref="X19">_xlfn.LET(
    _xlpm.kpiName, X$2,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9" s="226">
        <f t="array" ref="Y19">_xlfn.LET(
    _xlpm.kpiName, Y$2,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9" s="226">
        <f t="array" ref="Z19">_xlfn.LET(
    _xlpm.kpiName, Z$2,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9" s="226">
        <f t="array" ref="AA19">_xlfn.LET(
    _xlpm.kpiName, AA$2,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9" s="226">
        <f t="array" ref="AB19">_xlfn.LET(
    _xlpm.kpiName, AB$2,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9" s="226">
        <f t="array" ref="AC19">_xlfn.LET(
    _xlpm.kpiName, AC$2,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9" s="226">
        <f t="array" ref="AD19">_xlfn.LET(
    _xlpm.kpiName, AD$2,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9" s="226">
        <f t="array" ref="AE19">_xlfn.LET(
    _xlpm.kpiName, AE$2,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9" s="226">
        <f t="array" ref="AF19">_xlfn.LET(
    _xlpm.kpiName, AF$2,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9" s="226">
        <f t="array" ref="AG19">_xlfn.LET(
    _xlpm.kpiName, AG$2,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9" s="226">
        <f t="array" ref="AH19">_xlfn.LET(
    _xlpm.kpiName, AH$2,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9" s="226">
        <f t="array" ref="AI19">_xlfn.LET(
    _xlpm.kpiName, AI$2,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9" s="226">
        <f t="array" ref="AJ19">_xlfn.LET(
    _xlpm.kpiName, AJ$2,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9" s="226">
        <f t="array" ref="AK19">_xlfn.LET(
    _xlpm.kpiName, AK$2,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9" s="226">
        <f t="array" ref="AL19">_xlfn.LET(
    _xlpm.kpiName, AL$2,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9" s="226">
        <f t="array" ref="AM19">_xlfn.LET(
    _xlpm.kpiName, AM$2,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9" s="226">
        <f t="array" ref="AN19">_xlfn.LET(
    _xlpm.kpiName, AN$2,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9" s="226">
        <f t="array" ref="AO19">_xlfn.LET(
    _xlpm.kpiName, AO$2,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9" s="226">
        <f t="array" ref="AP19">_xlfn.LET(
    _xlpm.kpiName, AP$2,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9" s="226">
        <f t="array" ref="AQ19">_xlfn.LET(
    _xlpm.kpiName, AQ$2,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9" s="226">
        <f t="array" ref="AR19">_xlfn.LET(
    _xlpm.kpiName, AR$2,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9" s="226">
        <f t="array" ref="AS19">_xlfn.LET(
    _xlpm.kpiName, AS$2,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9" s="226">
        <f t="array" ref="AT19">_xlfn.LET(
    _xlpm.kpiName, AT$2,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9" s="226">
        <f t="array" ref="AU19">_xlfn.LET(
    _xlpm.kpiName, AU$2,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9" s="226">
        <f t="array" ref="AV19">_xlfn.LET(
    _xlpm.kpiName, AV$2,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9" s="226">
        <f t="array" ref="AW19">_xlfn.LET(
    _xlpm.kpiName, AW$2,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9" s="226">
        <f t="array" ref="AX19">_xlfn.LET(
    _xlpm.kpiName, AX$2,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9" s="226">
        <f t="array" ref="AY19">_xlfn.LET(
    _xlpm.kpiName, AY$2,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9" s="226">
        <f t="array" ref="AZ19">_xlfn.LET(
    _xlpm.kpiName, AZ$2,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9" s="226">
        <f t="array" ref="BA19">_xlfn.LET(
    _xlpm.kpiName, BA$2,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9" s="226">
        <f t="array" ref="BB19">_xlfn.LET(
    _xlpm.kpiName, BB$2,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0" ht="13" customHeight="1" s="179">
      <c r="C20" s="1" t="n"/>
      <c r="D20" s="78" t="inlineStr">
        <is>
          <t>Factor18</t>
        </is>
      </c>
      <c r="E20" s="226">
        <f t="array" ref="E20">_xlfn.LET(
    _xlpm.kpiName, E$2,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0" s="226">
        <f t="array" ref="F20">_xlfn.LET(
    _xlpm.kpiName, F$2,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0" s="226">
        <f t="array" ref="G20">_xlfn.LET(
    _xlpm.kpiName, G$2,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0" s="226">
        <f t="array" ref="H20">_xlfn.LET(
    _xlpm.kpiName, H$2,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0" s="226">
        <f t="array" ref="I20">_xlfn.LET(
    _xlpm.kpiName, I$2,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0" s="226">
        <f t="array" ref="J20">_xlfn.LET(
    _xlpm.kpiName, J$2,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0" s="226">
        <f t="array" ref="K20">_xlfn.LET(
    _xlpm.kpiName, K$2,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0" s="226">
        <f t="array" ref="L20">_xlfn.LET(
    _xlpm.kpiName, L$2,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0" s="226">
        <f t="array" ref="M20">_xlfn.LET(
    _xlpm.kpiName, M$2,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0" s="226">
        <f t="array" ref="N20">_xlfn.LET(
    _xlpm.kpiName, N$2,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0" s="226">
        <f t="array" ref="O20">_xlfn.LET(
    _xlpm.kpiName, O$2,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0" s="226">
        <f t="array" ref="P20">_xlfn.LET(
    _xlpm.kpiName, P$2,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0" s="226">
        <f t="array" ref="Q20">_xlfn.LET(
    _xlpm.kpiName, Q$2,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0" s="226">
        <f t="array" ref="R20">_xlfn.LET(
    _xlpm.kpiName, R$2,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0" s="226">
        <f t="array" ref="S20">_xlfn.LET(
    _xlpm.kpiName, S$2,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0" s="226">
        <f t="array" ref="T20">_xlfn.LET(
    _xlpm.kpiName, T$2,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0" s="226">
        <f t="array" ref="U20">_xlfn.LET(
    _xlpm.kpiName, U$2,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0" s="226">
        <f t="array" ref="V20">_xlfn.LET(
    _xlpm.kpiName, V$2,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0" s="226">
        <f t="array" ref="W20">_xlfn.LET(
    _xlpm.kpiName, W$2,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0" s="226">
        <f t="array" ref="X20">_xlfn.LET(
    _xlpm.kpiName, X$2,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0" s="226">
        <f t="array" ref="Y20">_xlfn.LET(
    _xlpm.kpiName, Y$2,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0" s="226">
        <f t="array" ref="Z20">_xlfn.LET(
    _xlpm.kpiName, Z$2,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0" s="226">
        <f t="array" ref="AA20">_xlfn.LET(
    _xlpm.kpiName, AA$2,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0" s="226">
        <f t="array" ref="AB20">_xlfn.LET(
    _xlpm.kpiName, AB$2,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0" s="226">
        <f t="array" ref="AC20">_xlfn.LET(
    _xlpm.kpiName, AC$2,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0" s="226">
        <f t="array" ref="AD20">_xlfn.LET(
    _xlpm.kpiName, AD$2,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0" s="226">
        <f t="array" ref="AE20">_xlfn.LET(
    _xlpm.kpiName, AE$2,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0" s="226">
        <f t="array" ref="AF20">_xlfn.LET(
    _xlpm.kpiName, AF$2,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0" s="226">
        <f t="array" ref="AG20">_xlfn.LET(
    _xlpm.kpiName, AG$2,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0" s="226">
        <f t="array" ref="AH20">_xlfn.LET(
    _xlpm.kpiName, AH$2,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0" s="226">
        <f t="array" ref="AI20">_xlfn.LET(
    _xlpm.kpiName, AI$2,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0" s="226">
        <f t="array" ref="AJ20">_xlfn.LET(
    _xlpm.kpiName, AJ$2,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0" s="226">
        <f t="array" ref="AK20">_xlfn.LET(
    _xlpm.kpiName, AK$2,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0" s="226">
        <f t="array" ref="AL20">_xlfn.LET(
    _xlpm.kpiName, AL$2,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0" s="226">
        <f t="array" ref="AM20">_xlfn.LET(
    _xlpm.kpiName, AM$2,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0" s="226">
        <f t="array" ref="AN20">_xlfn.LET(
    _xlpm.kpiName, AN$2,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0" s="226">
        <f t="array" ref="AO20">_xlfn.LET(
    _xlpm.kpiName, AO$2,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0" s="226">
        <f t="array" ref="AP20">_xlfn.LET(
    _xlpm.kpiName, AP$2,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0" s="226">
        <f t="array" ref="AQ20">_xlfn.LET(
    _xlpm.kpiName, AQ$2,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0" s="226">
        <f t="array" ref="AR20">_xlfn.LET(
    _xlpm.kpiName, AR$2,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0" s="226">
        <f t="array" ref="AS20">_xlfn.LET(
    _xlpm.kpiName, AS$2,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0" s="226">
        <f t="array" ref="AT20">_xlfn.LET(
    _xlpm.kpiName, AT$2,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0" s="226">
        <f t="array" ref="AU20">_xlfn.LET(
    _xlpm.kpiName, AU$2,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0" s="226">
        <f t="array" ref="AV20">_xlfn.LET(
    _xlpm.kpiName, AV$2,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0" s="226">
        <f t="array" ref="AW20">_xlfn.LET(
    _xlpm.kpiName, AW$2,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0" s="226">
        <f t="array" ref="AX20">_xlfn.LET(
    _xlpm.kpiName, AX$2,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0" s="226">
        <f t="array" ref="AY20">_xlfn.LET(
    _xlpm.kpiName, AY$2,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0" s="226">
        <f t="array" ref="AZ20">_xlfn.LET(
    _xlpm.kpiName, AZ$2,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0" s="226">
        <f t="array" ref="BA20">_xlfn.LET(
    _xlpm.kpiName, BA$2,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0" s="226">
        <f t="array" ref="BB20">_xlfn.LET(
    _xlpm.kpiName, BB$2,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1" ht="13" customHeight="1" s="179">
      <c r="C21" s="1" t="n"/>
      <c r="D21" s="78" t="inlineStr">
        <is>
          <t>Factor19</t>
        </is>
      </c>
      <c r="E21" s="226">
        <f t="array" ref="E21">_xlfn.LET(
    _xlpm.kpiName, E$2,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1" s="226">
        <f t="array" ref="F21">_xlfn.LET(
    _xlpm.kpiName, F$2,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1" s="226">
        <f t="array" ref="G21">_xlfn.LET(
    _xlpm.kpiName, G$2,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1" s="226">
        <f t="array" ref="H21">_xlfn.LET(
    _xlpm.kpiName, H$2,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1" s="226">
        <f t="array" ref="I21">_xlfn.LET(
    _xlpm.kpiName, I$2,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1" s="226">
        <f t="array" ref="J21">_xlfn.LET(
    _xlpm.kpiName, J$2,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1" s="226">
        <f t="array" ref="K21">_xlfn.LET(
    _xlpm.kpiName, K$2,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1" s="226">
        <f t="array" ref="L21">_xlfn.LET(
    _xlpm.kpiName, L$2,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1" s="226">
        <f t="array" ref="M21">_xlfn.LET(
    _xlpm.kpiName, M$2,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1" s="226">
        <f t="array" ref="N21">_xlfn.LET(
    _xlpm.kpiName, N$2,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1" s="226">
        <f t="array" ref="O21">_xlfn.LET(
    _xlpm.kpiName, O$2,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1" s="226">
        <f t="array" ref="P21">_xlfn.LET(
    _xlpm.kpiName, P$2,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1" s="226">
        <f t="array" ref="Q21">_xlfn.LET(
    _xlpm.kpiName, Q$2,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1" s="226">
        <f t="array" ref="R21">_xlfn.LET(
    _xlpm.kpiName, R$2,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1" s="226">
        <f t="array" ref="S21">_xlfn.LET(
    _xlpm.kpiName, S$2,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1" s="226">
        <f t="array" ref="T21">_xlfn.LET(
    _xlpm.kpiName, T$2,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1" s="226">
        <f t="array" ref="U21">_xlfn.LET(
    _xlpm.kpiName, U$2,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1" s="226">
        <f t="array" ref="V21">_xlfn.LET(
    _xlpm.kpiName, V$2,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1" s="226">
        <f t="array" ref="W21">_xlfn.LET(
    _xlpm.kpiName, W$2,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1" s="226">
        <f t="array" ref="X21">_xlfn.LET(
    _xlpm.kpiName, X$2,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1" s="226">
        <f t="array" ref="Y21">_xlfn.LET(
    _xlpm.kpiName, Y$2,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1" s="226">
        <f t="array" ref="Z21">_xlfn.LET(
    _xlpm.kpiName, Z$2,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1" s="226">
        <f t="array" ref="AA21">_xlfn.LET(
    _xlpm.kpiName, AA$2,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1" s="226">
        <f t="array" ref="AB21">_xlfn.LET(
    _xlpm.kpiName, AB$2,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1" s="226">
        <f t="array" ref="AC21">_xlfn.LET(
    _xlpm.kpiName, AC$2,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1" s="226">
        <f t="array" ref="AD21">_xlfn.LET(
    _xlpm.kpiName, AD$2,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1" s="226">
        <f t="array" ref="AE21">_xlfn.LET(
    _xlpm.kpiName, AE$2,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1" s="226">
        <f t="array" ref="AF21">_xlfn.LET(
    _xlpm.kpiName, AF$2,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1" s="226">
        <f t="array" ref="AG21">_xlfn.LET(
    _xlpm.kpiName, AG$2,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1" s="226">
        <f t="array" ref="AH21">_xlfn.LET(
    _xlpm.kpiName, AH$2,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1" s="226">
        <f t="array" ref="AI21">_xlfn.LET(
    _xlpm.kpiName, AI$2,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1" s="226">
        <f t="array" ref="AJ21">_xlfn.LET(
    _xlpm.kpiName, AJ$2,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1" s="226">
        <f t="array" ref="AK21">_xlfn.LET(
    _xlpm.kpiName, AK$2,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1" s="226">
        <f t="array" ref="AL21">_xlfn.LET(
    _xlpm.kpiName, AL$2,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1" s="226">
        <f t="array" ref="AM21">_xlfn.LET(
    _xlpm.kpiName, AM$2,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1" s="226">
        <f t="array" ref="AN21">_xlfn.LET(
    _xlpm.kpiName, AN$2,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1" s="226">
        <f t="array" ref="AO21">_xlfn.LET(
    _xlpm.kpiName, AO$2,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1" s="226">
        <f t="array" ref="AP21">_xlfn.LET(
    _xlpm.kpiName, AP$2,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1" s="226">
        <f t="array" ref="AQ21">_xlfn.LET(
    _xlpm.kpiName, AQ$2,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1" s="226">
        <f t="array" ref="AR21">_xlfn.LET(
    _xlpm.kpiName, AR$2,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1" s="226">
        <f t="array" ref="AS21">_xlfn.LET(
    _xlpm.kpiName, AS$2,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1" s="226">
        <f t="array" ref="AT21">_xlfn.LET(
    _xlpm.kpiName, AT$2,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1" s="226">
        <f t="array" ref="AU21">_xlfn.LET(
    _xlpm.kpiName, AU$2,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1" s="226">
        <f t="array" ref="AV21">_xlfn.LET(
    _xlpm.kpiName, AV$2,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1" s="226">
        <f t="array" ref="AW21">_xlfn.LET(
    _xlpm.kpiName, AW$2,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1" s="226">
        <f t="array" ref="AX21">_xlfn.LET(
    _xlpm.kpiName, AX$2,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1" s="226">
        <f t="array" ref="AY21">_xlfn.LET(
    _xlpm.kpiName, AY$2,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1" s="226">
        <f t="array" ref="AZ21">_xlfn.LET(
    _xlpm.kpiName, AZ$2,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1" s="226">
        <f t="array" ref="BA21">_xlfn.LET(
    _xlpm.kpiName, BA$2,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1" s="226">
        <f t="array" ref="BB21">_xlfn.LET(
    _xlpm.kpiName, BB$2,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2" ht="13" customHeight="1" s="179">
      <c r="C22" s="1" t="n"/>
      <c r="D22" s="78" t="inlineStr">
        <is>
          <t>Factor20</t>
        </is>
      </c>
      <c r="E22" s="226">
        <f t="array" ref="E22">_xlfn.LET(
    _xlpm.kpiName, E$2,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2" s="226">
        <f t="array" ref="F22">_xlfn.LET(
    _xlpm.kpiName, F$2,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2" s="226">
        <f t="array" ref="G22">_xlfn.LET(
    _xlpm.kpiName, G$2,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2" s="226">
        <f t="array" ref="H22">_xlfn.LET(
    _xlpm.kpiName, H$2,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2" s="226">
        <f t="array" ref="I22">_xlfn.LET(
    _xlpm.kpiName, I$2,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2" s="226">
        <f t="array" ref="J22">_xlfn.LET(
    _xlpm.kpiName, J$2,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2" s="226">
        <f t="array" ref="K22">_xlfn.LET(
    _xlpm.kpiName, K$2,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2" s="226">
        <f t="array" ref="L22">_xlfn.LET(
    _xlpm.kpiName, L$2,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2" s="226">
        <f t="array" ref="M22">_xlfn.LET(
    _xlpm.kpiName, M$2,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2" s="226">
        <f t="array" ref="N22">_xlfn.LET(
    _xlpm.kpiName, N$2,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2" s="226">
        <f t="array" ref="O22">_xlfn.LET(
    _xlpm.kpiName, O$2,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2" s="226">
        <f t="array" ref="P22">_xlfn.LET(
    _xlpm.kpiName, P$2,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2" s="226">
        <f t="array" ref="Q22">_xlfn.LET(
    _xlpm.kpiName, Q$2,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2" s="226">
        <f t="array" ref="R22">_xlfn.LET(
    _xlpm.kpiName, R$2,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2" s="226">
        <f t="array" ref="S22">_xlfn.LET(
    _xlpm.kpiName, S$2,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2" s="226">
        <f t="array" ref="T22">_xlfn.LET(
    _xlpm.kpiName, T$2,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2" s="226">
        <f t="array" ref="U22">_xlfn.LET(
    _xlpm.kpiName, U$2,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2" s="226">
        <f t="array" ref="V22">_xlfn.LET(
    _xlpm.kpiName, V$2,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2" s="226">
        <f t="array" ref="W22">_xlfn.LET(
    _xlpm.kpiName, W$2,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2" s="226">
        <f t="array" ref="X22">_xlfn.LET(
    _xlpm.kpiName, X$2,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2" s="226">
        <f t="array" ref="Y22">_xlfn.LET(
    _xlpm.kpiName, Y$2,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2" s="226">
        <f t="array" ref="Z22">_xlfn.LET(
    _xlpm.kpiName, Z$2,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2" s="226">
        <f t="array" ref="AA22">_xlfn.LET(
    _xlpm.kpiName, AA$2,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2" s="226">
        <f t="array" ref="AB22">_xlfn.LET(
    _xlpm.kpiName, AB$2,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2" s="226">
        <f t="array" ref="AC22">_xlfn.LET(
    _xlpm.kpiName, AC$2,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2" s="226">
        <f t="array" ref="AD22">_xlfn.LET(
    _xlpm.kpiName, AD$2,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2" s="226">
        <f t="array" ref="AE22">_xlfn.LET(
    _xlpm.kpiName, AE$2,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2" s="226">
        <f t="array" ref="AF22">_xlfn.LET(
    _xlpm.kpiName, AF$2,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2" s="226">
        <f t="array" ref="AG22">_xlfn.LET(
    _xlpm.kpiName, AG$2,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2" s="226">
        <f t="array" ref="AH22">_xlfn.LET(
    _xlpm.kpiName, AH$2,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2" s="226">
        <f t="array" ref="AI22">_xlfn.LET(
    _xlpm.kpiName, AI$2,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2" s="226">
        <f t="array" ref="AJ22">_xlfn.LET(
    _xlpm.kpiName, AJ$2,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2" s="226">
        <f t="array" ref="AK22">_xlfn.LET(
    _xlpm.kpiName, AK$2,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2" s="226">
        <f t="array" ref="AL22">_xlfn.LET(
    _xlpm.kpiName, AL$2,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2" s="226">
        <f t="array" ref="AM22">_xlfn.LET(
    _xlpm.kpiName, AM$2,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2" s="226">
        <f t="array" ref="AN22">_xlfn.LET(
    _xlpm.kpiName, AN$2,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2" s="226">
        <f t="array" ref="AO22">_xlfn.LET(
    _xlpm.kpiName, AO$2,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2" s="226">
        <f t="array" ref="AP22">_xlfn.LET(
    _xlpm.kpiName, AP$2,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2" s="226">
        <f t="array" ref="AQ22">_xlfn.LET(
    _xlpm.kpiName, AQ$2,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2" s="226">
        <f t="array" ref="AR22">_xlfn.LET(
    _xlpm.kpiName, AR$2,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2" s="226">
        <f t="array" ref="AS22">_xlfn.LET(
    _xlpm.kpiName, AS$2,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2" s="226">
        <f t="array" ref="AT22">_xlfn.LET(
    _xlpm.kpiName, AT$2,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2" s="226">
        <f t="array" ref="AU22">_xlfn.LET(
    _xlpm.kpiName, AU$2,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2" s="226">
        <f t="array" ref="AV22">_xlfn.LET(
    _xlpm.kpiName, AV$2,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2" s="226">
        <f t="array" ref="AW22">_xlfn.LET(
    _xlpm.kpiName, AW$2,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2" s="226">
        <f t="array" ref="AX22">_xlfn.LET(
    _xlpm.kpiName, AX$2,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2" s="226">
        <f t="array" ref="AY22">_xlfn.LET(
    _xlpm.kpiName, AY$2,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2" s="226">
        <f t="array" ref="AZ22">_xlfn.LET(
    _xlpm.kpiName, AZ$2,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2" s="226">
        <f t="array" ref="BA22">_xlfn.LET(
    _xlpm.kpiName, BA$2,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2" s="226">
        <f t="array" ref="BB22">_xlfn.LET(
    _xlpm.kpiName, BB$2,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3" ht="13" customHeight="1" s="179">
      <c r="C23" s="1" t="n"/>
      <c r="D23" s="78" t="inlineStr">
        <is>
          <t>Factor21</t>
        </is>
      </c>
      <c r="E23" s="226">
        <f t="array" ref="E23">_xlfn.LET(
    _xlpm.kpiName, E$2,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3" s="226">
        <f t="array" ref="F23">_xlfn.LET(
    _xlpm.kpiName, F$2,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3" s="226">
        <f t="array" ref="G23">_xlfn.LET(
    _xlpm.kpiName, G$2,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3" s="226">
        <f t="array" ref="H23">_xlfn.LET(
    _xlpm.kpiName, H$2,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3" s="226">
        <f t="array" ref="I23">_xlfn.LET(
    _xlpm.kpiName, I$2,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3" s="226">
        <f t="array" ref="J23">_xlfn.LET(
    _xlpm.kpiName, J$2,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3" s="226">
        <f t="array" ref="K23">_xlfn.LET(
    _xlpm.kpiName, K$2,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3" s="226">
        <f t="array" ref="L23">_xlfn.LET(
    _xlpm.kpiName, L$2,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3" s="226">
        <f t="array" ref="M23">_xlfn.LET(
    _xlpm.kpiName, M$2,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3" s="226">
        <f t="array" ref="N23">_xlfn.LET(
    _xlpm.kpiName, N$2,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3" s="226">
        <f t="array" ref="O23">_xlfn.LET(
    _xlpm.kpiName, O$2,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3" s="226">
        <f t="array" ref="P23">_xlfn.LET(
    _xlpm.kpiName, P$2,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3" s="226">
        <f t="array" ref="Q23">_xlfn.LET(
    _xlpm.kpiName, Q$2,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3" s="226">
        <f t="array" ref="R23">_xlfn.LET(
    _xlpm.kpiName, R$2,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3" s="226">
        <f t="array" ref="S23">_xlfn.LET(
    _xlpm.kpiName, S$2,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3" s="226">
        <f t="array" ref="T23">_xlfn.LET(
    _xlpm.kpiName, T$2,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3" s="226">
        <f t="array" ref="U23">_xlfn.LET(
    _xlpm.kpiName, U$2,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3" s="226">
        <f t="array" ref="V23">_xlfn.LET(
    _xlpm.kpiName, V$2,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3" s="226">
        <f t="array" ref="W23">_xlfn.LET(
    _xlpm.kpiName, W$2,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3" s="226">
        <f t="array" ref="X23">_xlfn.LET(
    _xlpm.kpiName, X$2,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3" s="226">
        <f t="array" ref="Y23">_xlfn.LET(
    _xlpm.kpiName, Y$2,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3" s="226">
        <f t="array" ref="Z23">_xlfn.LET(
    _xlpm.kpiName, Z$2,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3" s="226">
        <f t="array" ref="AA23">_xlfn.LET(
    _xlpm.kpiName, AA$2,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3" s="226">
        <f t="array" ref="AB23">_xlfn.LET(
    _xlpm.kpiName, AB$2,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3" s="226">
        <f t="array" ref="AC23">_xlfn.LET(
    _xlpm.kpiName, AC$2,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3" s="226">
        <f t="array" ref="AD23">_xlfn.LET(
    _xlpm.kpiName, AD$2,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3" s="226">
        <f t="array" ref="AE23">_xlfn.LET(
    _xlpm.kpiName, AE$2,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3" s="226">
        <f t="array" ref="AF23">_xlfn.LET(
    _xlpm.kpiName, AF$2,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3" s="226">
        <f t="array" ref="AG23">_xlfn.LET(
    _xlpm.kpiName, AG$2,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3" s="226">
        <f t="array" ref="AH23">_xlfn.LET(
    _xlpm.kpiName, AH$2,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3" s="226">
        <f t="array" ref="AI23">_xlfn.LET(
    _xlpm.kpiName, AI$2,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3" s="226">
        <f t="array" ref="AJ23">_xlfn.LET(
    _xlpm.kpiName, AJ$2,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3" s="226">
        <f t="array" ref="AK23">_xlfn.LET(
    _xlpm.kpiName, AK$2,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3" s="226">
        <f t="array" ref="AL23">_xlfn.LET(
    _xlpm.kpiName, AL$2,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3" s="226">
        <f t="array" ref="AM23">_xlfn.LET(
    _xlpm.kpiName, AM$2,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3" s="226">
        <f t="array" ref="AN23">_xlfn.LET(
    _xlpm.kpiName, AN$2,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3" s="226">
        <f t="array" ref="AO23">_xlfn.LET(
    _xlpm.kpiName, AO$2,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3" s="226">
        <f t="array" ref="AP23">_xlfn.LET(
    _xlpm.kpiName, AP$2,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3" s="226">
        <f t="array" ref="AQ23">_xlfn.LET(
    _xlpm.kpiName, AQ$2,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3" s="226">
        <f t="array" ref="AR23">_xlfn.LET(
    _xlpm.kpiName, AR$2,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3" s="226">
        <f t="array" ref="AS23">_xlfn.LET(
    _xlpm.kpiName, AS$2,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3" s="226">
        <f t="array" ref="AT23">_xlfn.LET(
    _xlpm.kpiName, AT$2,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3" s="226">
        <f t="array" ref="AU23">_xlfn.LET(
    _xlpm.kpiName, AU$2,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3" s="226">
        <f t="array" ref="AV23">_xlfn.LET(
    _xlpm.kpiName, AV$2,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3" s="226">
        <f t="array" ref="AW23">_xlfn.LET(
    _xlpm.kpiName, AW$2,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3" s="226">
        <f t="array" ref="AX23">_xlfn.LET(
    _xlpm.kpiName, AX$2,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3" s="226">
        <f t="array" ref="AY23">_xlfn.LET(
    _xlpm.kpiName, AY$2,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3" s="226">
        <f t="array" ref="AZ23">_xlfn.LET(
    _xlpm.kpiName, AZ$2,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3" s="226">
        <f t="array" ref="BA23">_xlfn.LET(
    _xlpm.kpiName, BA$2,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3" s="226">
        <f t="array" ref="BB23">_xlfn.LET(
    _xlpm.kpiName, BB$2,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4" ht="9" customHeight="1" s="179">
      <c r="C24" s="1" t="n"/>
      <c r="D24" s="78" t="inlineStr">
        <is>
          <t>Factor22</t>
        </is>
      </c>
      <c r="E24" s="226">
        <f t="array" ref="E24">_xlfn.LET(
    _xlpm.kpiName, E$2,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4" s="226">
        <f t="array" ref="F24">_xlfn.LET(
    _xlpm.kpiName, F$2,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4" s="226">
        <f t="array" ref="G24">_xlfn.LET(
    _xlpm.kpiName, G$2,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4" s="226">
        <f t="array" ref="H24">_xlfn.LET(
    _xlpm.kpiName, H$2,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4" s="226">
        <f t="array" ref="I24">_xlfn.LET(
    _xlpm.kpiName, I$2,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4" s="226">
        <f t="array" ref="J24">_xlfn.LET(
    _xlpm.kpiName, J$2,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4" s="226">
        <f t="array" ref="K24">_xlfn.LET(
    _xlpm.kpiName, K$2,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4" s="226">
        <f t="array" ref="L24">_xlfn.LET(
    _xlpm.kpiName, L$2,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4" s="226">
        <f t="array" ref="M24">_xlfn.LET(
    _xlpm.kpiName, M$2,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4" s="226">
        <f t="array" ref="N24">_xlfn.LET(
    _xlpm.kpiName, N$2,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4" s="226">
        <f t="array" ref="O24">_xlfn.LET(
    _xlpm.kpiName, O$2,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4" s="226">
        <f t="array" ref="P24">_xlfn.LET(
    _xlpm.kpiName, P$2,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4" s="226">
        <f t="array" ref="Q24">_xlfn.LET(
    _xlpm.kpiName, Q$2,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4" s="226">
        <f t="array" ref="R24">_xlfn.LET(
    _xlpm.kpiName, R$2,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4" s="226">
        <f t="array" ref="S24">_xlfn.LET(
    _xlpm.kpiName, S$2,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4" s="226">
        <f t="array" ref="T24">_xlfn.LET(
    _xlpm.kpiName, T$2,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4" s="226">
        <f t="array" ref="U24">_xlfn.LET(
    _xlpm.kpiName, U$2,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4" s="226">
        <f t="array" ref="V24">_xlfn.LET(
    _xlpm.kpiName, V$2,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4" s="226">
        <f t="array" ref="W24">_xlfn.LET(
    _xlpm.kpiName, W$2,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4" s="226">
        <f t="array" ref="X24">_xlfn.LET(
    _xlpm.kpiName, X$2,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4" s="226">
        <f t="array" ref="Y24">_xlfn.LET(
    _xlpm.kpiName, Y$2,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4" s="226">
        <f t="array" ref="Z24">_xlfn.LET(
    _xlpm.kpiName, Z$2,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4" s="226">
        <f t="array" ref="AA24">_xlfn.LET(
    _xlpm.kpiName, AA$2,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4" s="226">
        <f t="array" ref="AB24">_xlfn.LET(
    _xlpm.kpiName, AB$2,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4" s="226">
        <f t="array" ref="AC24">_xlfn.LET(
    _xlpm.kpiName, AC$2,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4" s="226">
        <f t="array" ref="AD24">_xlfn.LET(
    _xlpm.kpiName, AD$2,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4" s="226">
        <f t="array" ref="AE24">_xlfn.LET(
    _xlpm.kpiName, AE$2,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4" s="226">
        <f t="array" ref="AF24">_xlfn.LET(
    _xlpm.kpiName, AF$2,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4" s="226">
        <f t="array" ref="AG24">_xlfn.LET(
    _xlpm.kpiName, AG$2,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4" s="226">
        <f t="array" ref="AH24">_xlfn.LET(
    _xlpm.kpiName, AH$2,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4" s="226">
        <f t="array" ref="AI24">_xlfn.LET(
    _xlpm.kpiName, AI$2,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4" s="226">
        <f t="array" ref="AJ24">_xlfn.LET(
    _xlpm.kpiName, AJ$2,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4" s="226">
        <f t="array" ref="AK24">_xlfn.LET(
    _xlpm.kpiName, AK$2,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4" s="226">
        <f t="array" ref="AL24">_xlfn.LET(
    _xlpm.kpiName, AL$2,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4" s="226">
        <f t="array" ref="AM24">_xlfn.LET(
    _xlpm.kpiName, AM$2,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4" s="226">
        <f t="array" ref="AN24">_xlfn.LET(
    _xlpm.kpiName, AN$2,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4" s="226">
        <f t="array" ref="AO24">_xlfn.LET(
    _xlpm.kpiName, AO$2,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4" s="226">
        <f t="array" ref="AP24">_xlfn.LET(
    _xlpm.kpiName, AP$2,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4" s="226">
        <f t="array" ref="AQ24">_xlfn.LET(
    _xlpm.kpiName, AQ$2,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4" s="226">
        <f t="array" ref="AR24">_xlfn.LET(
    _xlpm.kpiName, AR$2,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4" s="226">
        <f t="array" ref="AS24">_xlfn.LET(
    _xlpm.kpiName, AS$2,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4" s="226">
        <f t="array" ref="AT24">_xlfn.LET(
    _xlpm.kpiName, AT$2,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4" s="226">
        <f t="array" ref="AU24">_xlfn.LET(
    _xlpm.kpiName, AU$2,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4" s="226">
        <f t="array" ref="AV24">_xlfn.LET(
    _xlpm.kpiName, AV$2,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4" s="226">
        <f t="array" ref="AW24">_xlfn.LET(
    _xlpm.kpiName, AW$2,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4" s="226">
        <f t="array" ref="AX24">_xlfn.LET(
    _xlpm.kpiName, AX$2,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4" s="226">
        <f t="array" ref="AY24">_xlfn.LET(
    _xlpm.kpiName, AY$2,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4" s="226">
        <f t="array" ref="AZ24">_xlfn.LET(
    _xlpm.kpiName, AZ$2,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4" s="226">
        <f t="array" ref="BA24">_xlfn.LET(
    _xlpm.kpiName, BA$2,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4" s="226">
        <f t="array" ref="BB24">_xlfn.LET(
    _xlpm.kpiName, BB$2,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5" ht="9" customHeight="1" s="179">
      <c r="C25" s="1" t="n"/>
      <c r="D25" s="78" t="inlineStr">
        <is>
          <t>Factor23</t>
        </is>
      </c>
      <c r="E25" s="226">
        <f t="array" ref="E25">_xlfn.LET(
    _xlpm.kpiName, E$2,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5" s="226">
        <f t="array" ref="F25">_xlfn.LET(
    _xlpm.kpiName, F$2,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5" s="226">
        <f t="array" ref="G25">_xlfn.LET(
    _xlpm.kpiName, G$2,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5" s="226">
        <f t="array" ref="H25">_xlfn.LET(
    _xlpm.kpiName, H$2,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5" s="226">
        <f t="array" ref="I25">_xlfn.LET(
    _xlpm.kpiName, I$2,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5" s="226">
        <f t="array" ref="J25">_xlfn.LET(
    _xlpm.kpiName, J$2,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5" s="226">
        <f t="array" ref="K25">_xlfn.LET(
    _xlpm.kpiName, K$2,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5" s="226">
        <f t="array" ref="L25">_xlfn.LET(
    _xlpm.kpiName, L$2,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5" s="226">
        <f t="array" ref="M25">_xlfn.LET(
    _xlpm.kpiName, M$2,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5" s="226">
        <f t="array" ref="N25">_xlfn.LET(
    _xlpm.kpiName, N$2,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5" s="226">
        <f t="array" ref="O25">_xlfn.LET(
    _xlpm.kpiName, O$2,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5" s="226">
        <f t="array" ref="P25">_xlfn.LET(
    _xlpm.kpiName, P$2,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5" s="226">
        <f t="array" ref="Q25">_xlfn.LET(
    _xlpm.kpiName, Q$2,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5" s="226">
        <f t="array" ref="R25">_xlfn.LET(
    _xlpm.kpiName, R$2,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5" s="226">
        <f t="array" ref="S25">_xlfn.LET(
    _xlpm.kpiName, S$2,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5" s="226">
        <f t="array" ref="T25">_xlfn.LET(
    _xlpm.kpiName, T$2,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5" s="226">
        <f t="array" ref="U25">_xlfn.LET(
    _xlpm.kpiName, U$2,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5" s="226">
        <f t="array" ref="V25">_xlfn.LET(
    _xlpm.kpiName, V$2,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5" s="226">
        <f t="array" ref="W25">_xlfn.LET(
    _xlpm.kpiName, W$2,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5" s="226">
        <f t="array" ref="X25">_xlfn.LET(
    _xlpm.kpiName, X$2,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5" s="226">
        <f t="array" ref="Y25">_xlfn.LET(
    _xlpm.kpiName, Y$2,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5" s="226">
        <f t="array" ref="Z25">_xlfn.LET(
    _xlpm.kpiName, Z$2,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5" s="226">
        <f t="array" ref="AA25">_xlfn.LET(
    _xlpm.kpiName, AA$2,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5" s="226">
        <f t="array" ref="AB25">_xlfn.LET(
    _xlpm.kpiName, AB$2,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5" s="226">
        <f t="array" ref="AC25">_xlfn.LET(
    _xlpm.kpiName, AC$2,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5" s="226">
        <f t="array" ref="AD25">_xlfn.LET(
    _xlpm.kpiName, AD$2,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5" s="226">
        <f t="array" ref="AE25">_xlfn.LET(
    _xlpm.kpiName, AE$2,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5" s="226">
        <f t="array" ref="AF25">_xlfn.LET(
    _xlpm.kpiName, AF$2,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5" s="226">
        <f t="array" ref="AG25">_xlfn.LET(
    _xlpm.kpiName, AG$2,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5" s="226">
        <f t="array" ref="AH25">_xlfn.LET(
    _xlpm.kpiName, AH$2,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5" s="226">
        <f t="array" ref="AI25">_xlfn.LET(
    _xlpm.kpiName, AI$2,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5" s="226">
        <f t="array" ref="AJ25">_xlfn.LET(
    _xlpm.kpiName, AJ$2,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5" s="226">
        <f t="array" ref="AK25">_xlfn.LET(
    _xlpm.kpiName, AK$2,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5" s="226">
        <f t="array" ref="AL25">_xlfn.LET(
    _xlpm.kpiName, AL$2,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5" s="226">
        <f t="array" ref="AM25">_xlfn.LET(
    _xlpm.kpiName, AM$2,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5" s="226">
        <f t="array" ref="AN25">_xlfn.LET(
    _xlpm.kpiName, AN$2,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5" s="226">
        <f t="array" ref="AO25">_xlfn.LET(
    _xlpm.kpiName, AO$2,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5" s="226">
        <f t="array" ref="AP25">_xlfn.LET(
    _xlpm.kpiName, AP$2,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5" s="226">
        <f t="array" ref="AQ25">_xlfn.LET(
    _xlpm.kpiName, AQ$2,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5" s="226">
        <f t="array" ref="AR25">_xlfn.LET(
    _xlpm.kpiName, AR$2,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5" s="226">
        <f t="array" ref="AS25">_xlfn.LET(
    _xlpm.kpiName, AS$2,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5" s="226">
        <f t="array" ref="AT25">_xlfn.LET(
    _xlpm.kpiName, AT$2,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5" s="226">
        <f t="array" ref="AU25">_xlfn.LET(
    _xlpm.kpiName, AU$2,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5" s="226">
        <f t="array" ref="AV25">_xlfn.LET(
    _xlpm.kpiName, AV$2,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5" s="226">
        <f t="array" ref="AW25">_xlfn.LET(
    _xlpm.kpiName, AW$2,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5" s="226">
        <f t="array" ref="AX25">_xlfn.LET(
    _xlpm.kpiName, AX$2,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5" s="226">
        <f t="array" ref="AY25">_xlfn.LET(
    _xlpm.kpiName, AY$2,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5" s="226">
        <f t="array" ref="AZ25">_xlfn.LET(
    _xlpm.kpiName, AZ$2,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5" s="226">
        <f t="array" ref="BA25">_xlfn.LET(
    _xlpm.kpiName, BA$2,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5" s="226">
        <f t="array" ref="BB25">_xlfn.LET(
    _xlpm.kpiName, BB$2,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6" ht="9" customHeight="1" s="179">
      <c r="C26" s="1" t="n"/>
      <c r="D26" s="78" t="inlineStr">
        <is>
          <t>Factor24</t>
        </is>
      </c>
      <c r="E26" s="226">
        <f t="array" ref="E26">_xlfn.LET(
    _xlpm.kpiName, E$2,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6" s="226">
        <f t="array" ref="F26">_xlfn.LET(
    _xlpm.kpiName, F$2,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6" s="226">
        <f t="array" ref="G26">_xlfn.LET(
    _xlpm.kpiName, G$2,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6" s="226">
        <f t="array" ref="H26">_xlfn.LET(
    _xlpm.kpiName, H$2,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6" s="226">
        <f t="array" ref="I26">_xlfn.LET(
    _xlpm.kpiName, I$2,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6" s="226">
        <f t="array" ref="J26">_xlfn.LET(
    _xlpm.kpiName, J$2,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6" s="226">
        <f t="array" ref="K26">_xlfn.LET(
    _xlpm.kpiName, K$2,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6" s="226">
        <f t="array" ref="L26">_xlfn.LET(
    _xlpm.kpiName, L$2,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6" s="226">
        <f t="array" ref="M26">_xlfn.LET(
    _xlpm.kpiName, M$2,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6" s="226">
        <f t="array" ref="N26">_xlfn.LET(
    _xlpm.kpiName, N$2,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6" s="226">
        <f t="array" ref="O26">_xlfn.LET(
    _xlpm.kpiName, O$2,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6" s="226">
        <f t="array" ref="P26">_xlfn.LET(
    _xlpm.kpiName, P$2,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6" s="226">
        <f t="array" ref="Q26">_xlfn.LET(
    _xlpm.kpiName, Q$2,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6" s="226">
        <f t="array" ref="R26">_xlfn.LET(
    _xlpm.kpiName, R$2,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6" s="226">
        <f t="array" ref="S26">_xlfn.LET(
    _xlpm.kpiName, S$2,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6" s="226">
        <f t="array" ref="T26">_xlfn.LET(
    _xlpm.kpiName, T$2,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6" s="226">
        <f t="array" ref="U26">_xlfn.LET(
    _xlpm.kpiName, U$2,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6" s="226">
        <f t="array" ref="V26">_xlfn.LET(
    _xlpm.kpiName, V$2,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6" s="226">
        <f t="array" ref="W26">_xlfn.LET(
    _xlpm.kpiName, W$2,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6" s="226">
        <f t="array" ref="X26">_xlfn.LET(
    _xlpm.kpiName, X$2,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6" s="226">
        <f t="array" ref="Y26">_xlfn.LET(
    _xlpm.kpiName, Y$2,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6" s="226">
        <f t="array" ref="Z26">_xlfn.LET(
    _xlpm.kpiName, Z$2,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6" s="226">
        <f t="array" ref="AA26">_xlfn.LET(
    _xlpm.kpiName, AA$2,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6" s="226">
        <f t="array" ref="AB26">_xlfn.LET(
    _xlpm.kpiName, AB$2,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6" s="226">
        <f t="array" ref="AC26">_xlfn.LET(
    _xlpm.kpiName, AC$2,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6" s="226">
        <f t="array" ref="AD26">_xlfn.LET(
    _xlpm.kpiName, AD$2,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6" s="226">
        <f t="array" ref="AE26">_xlfn.LET(
    _xlpm.kpiName, AE$2,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6" s="226">
        <f t="array" ref="AF26">_xlfn.LET(
    _xlpm.kpiName, AF$2,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6" s="226">
        <f t="array" ref="AG26">_xlfn.LET(
    _xlpm.kpiName, AG$2,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6" s="226">
        <f t="array" ref="AH26">_xlfn.LET(
    _xlpm.kpiName, AH$2,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6" s="226">
        <f t="array" ref="AI26">_xlfn.LET(
    _xlpm.kpiName, AI$2,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6" s="226">
        <f t="array" ref="AJ26">_xlfn.LET(
    _xlpm.kpiName, AJ$2,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6" s="226">
        <f t="array" ref="AK26">_xlfn.LET(
    _xlpm.kpiName, AK$2,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6" s="226">
        <f t="array" ref="AL26">_xlfn.LET(
    _xlpm.kpiName, AL$2,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6" s="226">
        <f t="array" ref="AM26">_xlfn.LET(
    _xlpm.kpiName, AM$2,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6" s="226">
        <f t="array" ref="AN26">_xlfn.LET(
    _xlpm.kpiName, AN$2,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6" s="226">
        <f t="array" ref="AO26">_xlfn.LET(
    _xlpm.kpiName, AO$2,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6" s="226">
        <f t="array" ref="AP26">_xlfn.LET(
    _xlpm.kpiName, AP$2,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6" s="226">
        <f t="array" ref="AQ26">_xlfn.LET(
    _xlpm.kpiName, AQ$2,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6" s="226">
        <f t="array" ref="AR26">_xlfn.LET(
    _xlpm.kpiName, AR$2,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6" s="226">
        <f t="array" ref="AS26">_xlfn.LET(
    _xlpm.kpiName, AS$2,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6" s="226">
        <f t="array" ref="AT26">_xlfn.LET(
    _xlpm.kpiName, AT$2,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6" s="226">
        <f t="array" ref="AU26">_xlfn.LET(
    _xlpm.kpiName, AU$2,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6" s="226">
        <f t="array" ref="AV26">_xlfn.LET(
    _xlpm.kpiName, AV$2,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6" s="226">
        <f t="array" ref="AW26">_xlfn.LET(
    _xlpm.kpiName, AW$2,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6" s="226">
        <f t="array" ref="AX26">_xlfn.LET(
    _xlpm.kpiName, AX$2,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6" s="226">
        <f t="array" ref="AY26">_xlfn.LET(
    _xlpm.kpiName, AY$2,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6" s="226">
        <f t="array" ref="AZ26">_xlfn.LET(
    _xlpm.kpiName, AZ$2,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6" s="226">
        <f t="array" ref="BA26">_xlfn.LET(
    _xlpm.kpiName, BA$2,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6" s="226">
        <f t="array" ref="BB26">_xlfn.LET(
    _xlpm.kpiName, BB$2,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7" ht="9" customHeight="1" s="179">
      <c r="C27" s="1" t="n"/>
      <c r="D27" s="78" t="inlineStr">
        <is>
          <t>Factor25</t>
        </is>
      </c>
      <c r="E27" s="226">
        <f t="array" ref="E27">_xlfn.LET(
    _xlpm.kpiName, E$2,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7" s="226">
        <f t="array" ref="F27">_xlfn.LET(
    _xlpm.kpiName, F$2,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7" s="226">
        <f t="array" ref="G27">_xlfn.LET(
    _xlpm.kpiName, G$2,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7" s="226">
        <f t="array" ref="H27">_xlfn.LET(
    _xlpm.kpiName, H$2,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7" s="226">
        <f t="array" ref="I27">_xlfn.LET(
    _xlpm.kpiName, I$2,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7" s="226">
        <f t="array" ref="J27">_xlfn.LET(
    _xlpm.kpiName, J$2,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7" s="226">
        <f t="array" ref="K27">_xlfn.LET(
    _xlpm.kpiName, K$2,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7" s="226">
        <f t="array" ref="L27">_xlfn.LET(
    _xlpm.kpiName, L$2,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7" s="226">
        <f t="array" ref="M27">_xlfn.LET(
    _xlpm.kpiName, M$2,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7" s="226">
        <f t="array" ref="N27">_xlfn.LET(
    _xlpm.kpiName, N$2,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7" s="226">
        <f t="array" ref="O27">_xlfn.LET(
    _xlpm.kpiName, O$2,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7" s="226">
        <f t="array" ref="P27">_xlfn.LET(
    _xlpm.kpiName, P$2,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7" s="226">
        <f t="array" ref="Q27">_xlfn.LET(
    _xlpm.kpiName, Q$2,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7" s="226">
        <f t="array" ref="R27">_xlfn.LET(
    _xlpm.kpiName, R$2,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7" s="226">
        <f t="array" ref="S27">_xlfn.LET(
    _xlpm.kpiName, S$2,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7" s="226">
        <f t="array" ref="T27">_xlfn.LET(
    _xlpm.kpiName, T$2,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7" s="226">
        <f t="array" ref="U27">_xlfn.LET(
    _xlpm.kpiName, U$2,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7" s="226">
        <f t="array" ref="V27">_xlfn.LET(
    _xlpm.kpiName, V$2,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7" s="226">
        <f t="array" ref="W27">_xlfn.LET(
    _xlpm.kpiName, W$2,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7" s="226">
        <f t="array" ref="X27">_xlfn.LET(
    _xlpm.kpiName, X$2,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7" s="226">
        <f t="array" ref="Y27">_xlfn.LET(
    _xlpm.kpiName, Y$2,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7" s="226">
        <f t="array" ref="Z27">_xlfn.LET(
    _xlpm.kpiName, Z$2,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7" s="226">
        <f t="array" ref="AA27">_xlfn.LET(
    _xlpm.kpiName, AA$2,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7" s="226">
        <f t="array" ref="AB27">_xlfn.LET(
    _xlpm.kpiName, AB$2,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7" s="226">
        <f t="array" ref="AC27">_xlfn.LET(
    _xlpm.kpiName, AC$2,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7" s="226">
        <f t="array" ref="AD27">_xlfn.LET(
    _xlpm.kpiName, AD$2,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7" s="226">
        <f t="array" ref="AE27">_xlfn.LET(
    _xlpm.kpiName, AE$2,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7" s="226">
        <f t="array" ref="AF27">_xlfn.LET(
    _xlpm.kpiName, AF$2,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7" s="226">
        <f t="array" ref="AG27">_xlfn.LET(
    _xlpm.kpiName, AG$2,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7" s="226">
        <f t="array" ref="AH27">_xlfn.LET(
    _xlpm.kpiName, AH$2,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7" s="226">
        <f t="array" ref="AI27">_xlfn.LET(
    _xlpm.kpiName, AI$2,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7" s="226">
        <f t="array" ref="AJ27">_xlfn.LET(
    _xlpm.kpiName, AJ$2,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7" s="226">
        <f t="array" ref="AK27">_xlfn.LET(
    _xlpm.kpiName, AK$2,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7" s="226">
        <f t="array" ref="AL27">_xlfn.LET(
    _xlpm.kpiName, AL$2,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7" s="226">
        <f t="array" ref="AM27">_xlfn.LET(
    _xlpm.kpiName, AM$2,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7" s="226">
        <f t="array" ref="AN27">_xlfn.LET(
    _xlpm.kpiName, AN$2,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7" s="226">
        <f t="array" ref="AO27">_xlfn.LET(
    _xlpm.kpiName, AO$2,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7" s="226">
        <f t="array" ref="AP27">_xlfn.LET(
    _xlpm.kpiName, AP$2,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7" s="226">
        <f t="array" ref="AQ27">_xlfn.LET(
    _xlpm.kpiName, AQ$2,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7" s="226">
        <f t="array" ref="AR27">_xlfn.LET(
    _xlpm.kpiName, AR$2,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7" s="226">
        <f t="array" ref="AS27">_xlfn.LET(
    _xlpm.kpiName, AS$2,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7" s="226">
        <f t="array" ref="AT27">_xlfn.LET(
    _xlpm.kpiName, AT$2,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7" s="226">
        <f t="array" ref="AU27">_xlfn.LET(
    _xlpm.kpiName, AU$2,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7" s="226">
        <f t="array" ref="AV27">_xlfn.LET(
    _xlpm.kpiName, AV$2,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7" s="226">
        <f t="array" ref="AW27">_xlfn.LET(
    _xlpm.kpiName, AW$2,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7" s="226">
        <f t="array" ref="AX27">_xlfn.LET(
    _xlpm.kpiName, AX$2,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7" s="226">
        <f t="array" ref="AY27">_xlfn.LET(
    _xlpm.kpiName, AY$2,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7" s="226">
        <f t="array" ref="AZ27">_xlfn.LET(
    _xlpm.kpiName, AZ$2,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7" s="226">
        <f t="array" ref="BA27">_xlfn.LET(
    _xlpm.kpiName, BA$2,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7" s="226">
        <f t="array" ref="BB27">_xlfn.LET(
    _xlpm.kpiName, BB$2,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8" ht="9" customHeight="1" s="179">
      <c r="C28" s="1" t="n"/>
      <c r="D28" s="78" t="inlineStr">
        <is>
          <t>Factor26</t>
        </is>
      </c>
      <c r="E28" s="226">
        <f t="array" ref="E28">_xlfn.LET(
    _xlpm.kpiName, E$2,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8" s="226">
        <f t="array" ref="F28">_xlfn.LET(
    _xlpm.kpiName, F$2,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8" s="226">
        <f t="array" ref="G28">_xlfn.LET(
    _xlpm.kpiName, G$2,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8" s="226">
        <f t="array" ref="H28">_xlfn.LET(
    _xlpm.kpiName, H$2,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8" s="226">
        <f t="array" ref="I28">_xlfn.LET(
    _xlpm.kpiName, I$2,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8" s="226">
        <f t="array" ref="J28">_xlfn.LET(
    _xlpm.kpiName, J$2,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8" s="226">
        <f t="array" ref="K28">_xlfn.LET(
    _xlpm.kpiName, K$2,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8" s="226">
        <f t="array" ref="L28">_xlfn.LET(
    _xlpm.kpiName, L$2,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8" s="226">
        <f t="array" ref="M28">_xlfn.LET(
    _xlpm.kpiName, M$2,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8" s="226">
        <f t="array" ref="N28">_xlfn.LET(
    _xlpm.kpiName, N$2,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8" s="226">
        <f t="array" ref="O28">_xlfn.LET(
    _xlpm.kpiName, O$2,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8" s="226">
        <f t="array" ref="P28">_xlfn.LET(
    _xlpm.kpiName, P$2,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8" s="226">
        <f t="array" ref="Q28">_xlfn.LET(
    _xlpm.kpiName, Q$2,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8" s="226">
        <f t="array" ref="R28">_xlfn.LET(
    _xlpm.kpiName, R$2,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8" s="226">
        <f t="array" ref="S28">_xlfn.LET(
    _xlpm.kpiName, S$2,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8" s="226">
        <f t="array" ref="T28">_xlfn.LET(
    _xlpm.kpiName, T$2,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8" s="226">
        <f t="array" ref="U28">_xlfn.LET(
    _xlpm.kpiName, U$2,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8" s="226">
        <f t="array" ref="V28">_xlfn.LET(
    _xlpm.kpiName, V$2,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8" s="226">
        <f t="array" ref="W28">_xlfn.LET(
    _xlpm.kpiName, W$2,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8" s="226">
        <f t="array" ref="X28">_xlfn.LET(
    _xlpm.kpiName, X$2,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8" s="226">
        <f t="array" ref="Y28">_xlfn.LET(
    _xlpm.kpiName, Y$2,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8" s="226">
        <f t="array" ref="Z28">_xlfn.LET(
    _xlpm.kpiName, Z$2,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8" s="226">
        <f t="array" ref="AA28">_xlfn.LET(
    _xlpm.kpiName, AA$2,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8" s="226">
        <f t="array" ref="AB28">_xlfn.LET(
    _xlpm.kpiName, AB$2,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8" s="226">
        <f t="array" ref="AC28">_xlfn.LET(
    _xlpm.kpiName, AC$2,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8" s="226">
        <f t="array" ref="AD28">_xlfn.LET(
    _xlpm.kpiName, AD$2,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8" s="226">
        <f t="array" ref="AE28">_xlfn.LET(
    _xlpm.kpiName, AE$2,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8" s="226">
        <f t="array" ref="AF28">_xlfn.LET(
    _xlpm.kpiName, AF$2,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8" s="226">
        <f t="array" ref="AG28">_xlfn.LET(
    _xlpm.kpiName, AG$2,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8" s="226">
        <f t="array" ref="AH28">_xlfn.LET(
    _xlpm.kpiName, AH$2,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8" s="226">
        <f t="array" ref="AI28">_xlfn.LET(
    _xlpm.kpiName, AI$2,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8" s="226">
        <f t="array" ref="AJ28">_xlfn.LET(
    _xlpm.kpiName, AJ$2,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8" s="226">
        <f t="array" ref="AK28">_xlfn.LET(
    _xlpm.kpiName, AK$2,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8" s="226">
        <f t="array" ref="AL28">_xlfn.LET(
    _xlpm.kpiName, AL$2,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8" s="226">
        <f t="array" ref="AM28">_xlfn.LET(
    _xlpm.kpiName, AM$2,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8" s="226">
        <f t="array" ref="AN28">_xlfn.LET(
    _xlpm.kpiName, AN$2,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8" s="226">
        <f t="array" ref="AO28">_xlfn.LET(
    _xlpm.kpiName, AO$2,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8" s="226">
        <f t="array" ref="AP28">_xlfn.LET(
    _xlpm.kpiName, AP$2,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8" s="226">
        <f t="array" ref="AQ28">_xlfn.LET(
    _xlpm.kpiName, AQ$2,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8" s="226">
        <f t="array" ref="AR28">_xlfn.LET(
    _xlpm.kpiName, AR$2,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8" s="226">
        <f t="array" ref="AS28">_xlfn.LET(
    _xlpm.kpiName, AS$2,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8" s="226">
        <f t="array" ref="AT28">_xlfn.LET(
    _xlpm.kpiName, AT$2,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8" s="226">
        <f t="array" ref="AU28">_xlfn.LET(
    _xlpm.kpiName, AU$2,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8" s="226">
        <f t="array" ref="AV28">_xlfn.LET(
    _xlpm.kpiName, AV$2,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8" s="226">
        <f t="array" ref="AW28">_xlfn.LET(
    _xlpm.kpiName, AW$2,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8" s="226">
        <f t="array" ref="AX28">_xlfn.LET(
    _xlpm.kpiName, AX$2,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8" s="226">
        <f t="array" ref="AY28">_xlfn.LET(
    _xlpm.kpiName, AY$2,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8" s="226">
        <f t="array" ref="AZ28">_xlfn.LET(
    _xlpm.kpiName, AZ$2,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8" s="226">
        <f t="array" ref="BA28">_xlfn.LET(
    _xlpm.kpiName, BA$2,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8" s="226">
        <f t="array" ref="BB28">_xlfn.LET(
    _xlpm.kpiName, BB$2,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9" ht="9" customHeight="1" s="179">
      <c r="C29" s="1" t="n"/>
      <c r="D29" s="78" t="inlineStr">
        <is>
          <t>Factor27</t>
        </is>
      </c>
      <c r="E29" s="226">
        <f t="array" ref="E29">_xlfn.LET(
    _xlpm.kpiName, E$2,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9" s="226">
        <f t="array" ref="F29">_xlfn.LET(
    _xlpm.kpiName, F$2,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9" s="226">
        <f t="array" ref="G29">_xlfn.LET(
    _xlpm.kpiName, G$2,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9" s="226">
        <f t="array" ref="H29">_xlfn.LET(
    _xlpm.kpiName, H$2,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9" s="226">
        <f t="array" ref="I29">_xlfn.LET(
    _xlpm.kpiName, I$2,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9" s="226">
        <f t="array" ref="J29">_xlfn.LET(
    _xlpm.kpiName, J$2,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9" s="226">
        <f t="array" ref="K29">_xlfn.LET(
    _xlpm.kpiName, K$2,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9" s="226">
        <f t="array" ref="L29">_xlfn.LET(
    _xlpm.kpiName, L$2,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9" s="226">
        <f t="array" ref="M29">_xlfn.LET(
    _xlpm.kpiName, M$2,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9" s="226">
        <f t="array" ref="N29">_xlfn.LET(
    _xlpm.kpiName, N$2,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9" s="226">
        <f t="array" ref="O29">_xlfn.LET(
    _xlpm.kpiName, O$2,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9" s="226">
        <f t="array" ref="P29">_xlfn.LET(
    _xlpm.kpiName, P$2,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9" s="226">
        <f t="array" ref="Q29">_xlfn.LET(
    _xlpm.kpiName, Q$2,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9" s="226">
        <f t="array" ref="R29">_xlfn.LET(
    _xlpm.kpiName, R$2,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9" s="226">
        <f t="array" ref="S29">_xlfn.LET(
    _xlpm.kpiName, S$2,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9" s="226">
        <f t="array" ref="T29">_xlfn.LET(
    _xlpm.kpiName, T$2,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9" s="226">
        <f t="array" ref="U29">_xlfn.LET(
    _xlpm.kpiName, U$2,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9" s="226">
        <f t="array" ref="V29">_xlfn.LET(
    _xlpm.kpiName, V$2,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9" s="226">
        <f t="array" ref="W29">_xlfn.LET(
    _xlpm.kpiName, W$2,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9" s="226">
        <f t="array" ref="X29">_xlfn.LET(
    _xlpm.kpiName, X$2,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9" s="226">
        <f t="array" ref="Y29">_xlfn.LET(
    _xlpm.kpiName, Y$2,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9" s="226">
        <f t="array" ref="Z29">_xlfn.LET(
    _xlpm.kpiName, Z$2,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9" s="226">
        <f t="array" ref="AA29">_xlfn.LET(
    _xlpm.kpiName, AA$2,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9" s="226">
        <f t="array" ref="AB29">_xlfn.LET(
    _xlpm.kpiName, AB$2,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9" s="226">
        <f t="array" ref="AC29">_xlfn.LET(
    _xlpm.kpiName, AC$2,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9" s="226">
        <f t="array" ref="AD29">_xlfn.LET(
    _xlpm.kpiName, AD$2,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9" s="226">
        <f t="array" ref="AE29">_xlfn.LET(
    _xlpm.kpiName, AE$2,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9" s="226">
        <f t="array" ref="AF29">_xlfn.LET(
    _xlpm.kpiName, AF$2,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9" s="226">
        <f t="array" ref="AG29">_xlfn.LET(
    _xlpm.kpiName, AG$2,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9" s="226">
        <f t="array" ref="AH29">_xlfn.LET(
    _xlpm.kpiName, AH$2,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9" s="226">
        <f t="array" ref="AI29">_xlfn.LET(
    _xlpm.kpiName, AI$2,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9" s="226">
        <f t="array" ref="AJ29">_xlfn.LET(
    _xlpm.kpiName, AJ$2,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9" s="226">
        <f t="array" ref="AK29">_xlfn.LET(
    _xlpm.kpiName, AK$2,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9" s="226">
        <f t="array" ref="AL29">_xlfn.LET(
    _xlpm.kpiName, AL$2,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9" s="226">
        <f t="array" ref="AM29">_xlfn.LET(
    _xlpm.kpiName, AM$2,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9" s="226">
        <f t="array" ref="AN29">_xlfn.LET(
    _xlpm.kpiName, AN$2,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9" s="226">
        <f t="array" ref="AO29">_xlfn.LET(
    _xlpm.kpiName, AO$2,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9" s="226">
        <f t="array" ref="AP29">_xlfn.LET(
    _xlpm.kpiName, AP$2,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9" s="226">
        <f t="array" ref="AQ29">_xlfn.LET(
    _xlpm.kpiName, AQ$2,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9" s="226">
        <f t="array" ref="AR29">_xlfn.LET(
    _xlpm.kpiName, AR$2,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9" s="226">
        <f t="array" ref="AS29">_xlfn.LET(
    _xlpm.kpiName, AS$2,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9" s="226">
        <f t="array" ref="AT29">_xlfn.LET(
    _xlpm.kpiName, AT$2,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9" s="226">
        <f t="array" ref="AU29">_xlfn.LET(
    _xlpm.kpiName, AU$2,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9" s="226">
        <f t="array" ref="AV29">_xlfn.LET(
    _xlpm.kpiName, AV$2,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9" s="226">
        <f t="array" ref="AW29">_xlfn.LET(
    _xlpm.kpiName, AW$2,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9" s="226">
        <f t="array" ref="AX29">_xlfn.LET(
    _xlpm.kpiName, AX$2,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9" s="226">
        <f t="array" ref="AY29">_xlfn.LET(
    _xlpm.kpiName, AY$2,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9" s="226">
        <f t="array" ref="AZ29">_xlfn.LET(
    _xlpm.kpiName, AZ$2,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9" s="226">
        <f t="array" ref="BA29">_xlfn.LET(
    _xlpm.kpiName, BA$2,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9" s="226">
        <f t="array" ref="BB29">_xlfn.LET(
    _xlpm.kpiName, BB$2,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0" ht="9" customHeight="1" s="179">
      <c r="C30" s="1" t="n"/>
      <c r="D30" s="78" t="inlineStr">
        <is>
          <t>Factor28</t>
        </is>
      </c>
      <c r="E30" s="226">
        <f t="array" ref="E30">_xlfn.LET(
    _xlpm.kpiName, E$2,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0" s="226">
        <f t="array" ref="F30">_xlfn.LET(
    _xlpm.kpiName, F$2,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0" s="226">
        <f t="array" ref="G30">_xlfn.LET(
    _xlpm.kpiName, G$2,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0" s="226">
        <f t="array" ref="H30">_xlfn.LET(
    _xlpm.kpiName, H$2,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0" s="226">
        <f t="array" ref="I30">_xlfn.LET(
    _xlpm.kpiName, I$2,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0" s="226">
        <f t="array" ref="J30">_xlfn.LET(
    _xlpm.kpiName, J$2,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0" s="226">
        <f t="array" ref="K30">_xlfn.LET(
    _xlpm.kpiName, K$2,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0" s="226">
        <f t="array" ref="L30">_xlfn.LET(
    _xlpm.kpiName, L$2,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0" s="226">
        <f t="array" ref="M30">_xlfn.LET(
    _xlpm.kpiName, M$2,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0" s="226">
        <f t="array" ref="N30">_xlfn.LET(
    _xlpm.kpiName, N$2,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0" s="226">
        <f t="array" ref="O30">_xlfn.LET(
    _xlpm.kpiName, O$2,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0" s="226">
        <f t="array" ref="P30">_xlfn.LET(
    _xlpm.kpiName, P$2,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0" s="226">
        <f t="array" ref="Q30">_xlfn.LET(
    _xlpm.kpiName, Q$2,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0" s="226">
        <f t="array" ref="R30">_xlfn.LET(
    _xlpm.kpiName, R$2,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0" s="226">
        <f t="array" ref="S30">_xlfn.LET(
    _xlpm.kpiName, S$2,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0" s="226">
        <f t="array" ref="T30">_xlfn.LET(
    _xlpm.kpiName, T$2,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0" s="226">
        <f t="array" ref="U30">_xlfn.LET(
    _xlpm.kpiName, U$2,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0" s="226">
        <f t="array" ref="V30">_xlfn.LET(
    _xlpm.kpiName, V$2,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0" s="226">
        <f t="array" ref="W30">_xlfn.LET(
    _xlpm.kpiName, W$2,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0" s="226">
        <f t="array" ref="X30">_xlfn.LET(
    _xlpm.kpiName, X$2,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0" s="226">
        <f t="array" ref="Y30">_xlfn.LET(
    _xlpm.kpiName, Y$2,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0" s="226">
        <f t="array" ref="Z30">_xlfn.LET(
    _xlpm.kpiName, Z$2,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0" s="226">
        <f t="array" ref="AA30">_xlfn.LET(
    _xlpm.kpiName, AA$2,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0" s="226">
        <f t="array" ref="AB30">_xlfn.LET(
    _xlpm.kpiName, AB$2,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0" s="226">
        <f t="array" ref="AC30">_xlfn.LET(
    _xlpm.kpiName, AC$2,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0" s="226">
        <f t="array" ref="AD30">_xlfn.LET(
    _xlpm.kpiName, AD$2,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0" s="226">
        <f t="array" ref="AE30">_xlfn.LET(
    _xlpm.kpiName, AE$2,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0" s="226">
        <f t="array" ref="AF30">_xlfn.LET(
    _xlpm.kpiName, AF$2,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0" s="226">
        <f t="array" ref="AG30">_xlfn.LET(
    _xlpm.kpiName, AG$2,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0" s="226">
        <f t="array" ref="AH30">_xlfn.LET(
    _xlpm.kpiName, AH$2,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0" s="226">
        <f t="array" ref="AI30">_xlfn.LET(
    _xlpm.kpiName, AI$2,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0" s="226">
        <f t="array" ref="AJ30">_xlfn.LET(
    _xlpm.kpiName, AJ$2,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0" s="226">
        <f t="array" ref="AK30">_xlfn.LET(
    _xlpm.kpiName, AK$2,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0" s="226">
        <f t="array" ref="AL30">_xlfn.LET(
    _xlpm.kpiName, AL$2,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0" s="226">
        <f t="array" ref="AM30">_xlfn.LET(
    _xlpm.kpiName, AM$2,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0" s="226">
        <f t="array" ref="AN30">_xlfn.LET(
    _xlpm.kpiName, AN$2,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0" s="226">
        <f t="array" ref="AO30">_xlfn.LET(
    _xlpm.kpiName, AO$2,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0" s="226">
        <f t="array" ref="AP30">_xlfn.LET(
    _xlpm.kpiName, AP$2,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0" s="226">
        <f t="array" ref="AQ30">_xlfn.LET(
    _xlpm.kpiName, AQ$2,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0" s="226">
        <f t="array" ref="AR30">_xlfn.LET(
    _xlpm.kpiName, AR$2,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0" s="226">
        <f t="array" ref="AS30">_xlfn.LET(
    _xlpm.kpiName, AS$2,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0" s="226">
        <f t="array" ref="AT30">_xlfn.LET(
    _xlpm.kpiName, AT$2,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0" s="226">
        <f t="array" ref="AU30">_xlfn.LET(
    _xlpm.kpiName, AU$2,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0" s="226">
        <f t="array" ref="AV30">_xlfn.LET(
    _xlpm.kpiName, AV$2,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0" s="226">
        <f t="array" ref="AW30">_xlfn.LET(
    _xlpm.kpiName, AW$2,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0" s="226">
        <f t="array" ref="AX30">_xlfn.LET(
    _xlpm.kpiName, AX$2,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0" s="226">
        <f t="array" ref="AY30">_xlfn.LET(
    _xlpm.kpiName, AY$2,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0" s="226">
        <f t="array" ref="AZ30">_xlfn.LET(
    _xlpm.kpiName, AZ$2,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0" s="226">
        <f t="array" ref="BA30">_xlfn.LET(
    _xlpm.kpiName, BA$2,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0" s="226">
        <f t="array" ref="BB30">_xlfn.LET(
    _xlpm.kpiName, BB$2,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1" ht="9" customHeight="1" s="179">
      <c r="C31" s="1" t="n"/>
      <c r="D31" s="78" t="inlineStr">
        <is>
          <t>Factor29</t>
        </is>
      </c>
      <c r="E31" s="226">
        <f t="array" ref="E31">_xlfn.LET(
    _xlpm.kpiName, E$2,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1" s="226">
        <f t="array" ref="F31">_xlfn.LET(
    _xlpm.kpiName, F$2,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1" s="226">
        <f t="array" ref="G31">_xlfn.LET(
    _xlpm.kpiName, G$2,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1" s="226">
        <f t="array" ref="H31">_xlfn.LET(
    _xlpm.kpiName, H$2,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1" s="226">
        <f t="array" ref="I31">_xlfn.LET(
    _xlpm.kpiName, I$2,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1" s="226">
        <f t="array" ref="J31">_xlfn.LET(
    _xlpm.kpiName, J$2,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1" s="226">
        <f t="array" ref="K31">_xlfn.LET(
    _xlpm.kpiName, K$2,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1" s="226">
        <f t="array" ref="L31">_xlfn.LET(
    _xlpm.kpiName, L$2,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1" s="226">
        <f t="array" ref="M31">_xlfn.LET(
    _xlpm.kpiName, M$2,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1" s="226">
        <f t="array" ref="N31">_xlfn.LET(
    _xlpm.kpiName, N$2,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1" s="226">
        <f t="array" ref="O31">_xlfn.LET(
    _xlpm.kpiName, O$2,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1" s="226">
        <f t="array" ref="P31">_xlfn.LET(
    _xlpm.kpiName, P$2,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1" s="226">
        <f t="array" ref="Q31">_xlfn.LET(
    _xlpm.kpiName, Q$2,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1" s="226">
        <f t="array" ref="R31">_xlfn.LET(
    _xlpm.kpiName, R$2,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1" s="226">
        <f t="array" ref="S31">_xlfn.LET(
    _xlpm.kpiName, S$2,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1" s="226">
        <f t="array" ref="T31">_xlfn.LET(
    _xlpm.kpiName, T$2,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1" s="226">
        <f t="array" ref="U31">_xlfn.LET(
    _xlpm.kpiName, U$2,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1" s="226">
        <f t="array" ref="V31">_xlfn.LET(
    _xlpm.kpiName, V$2,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1" s="226">
        <f t="array" ref="W31">_xlfn.LET(
    _xlpm.kpiName, W$2,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1" s="226">
        <f t="array" ref="X31">_xlfn.LET(
    _xlpm.kpiName, X$2,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1" s="226">
        <f t="array" ref="Y31">_xlfn.LET(
    _xlpm.kpiName, Y$2,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1" s="226">
        <f t="array" ref="Z31">_xlfn.LET(
    _xlpm.kpiName, Z$2,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1" s="226">
        <f t="array" ref="AA31">_xlfn.LET(
    _xlpm.kpiName, AA$2,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1" s="226">
        <f t="array" ref="AB31">_xlfn.LET(
    _xlpm.kpiName, AB$2,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1" s="226">
        <f t="array" ref="AC31">_xlfn.LET(
    _xlpm.kpiName, AC$2,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1" s="226">
        <f t="array" ref="AD31">_xlfn.LET(
    _xlpm.kpiName, AD$2,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1" s="226">
        <f t="array" ref="AE31">_xlfn.LET(
    _xlpm.kpiName, AE$2,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1" s="226">
        <f t="array" ref="AF31">_xlfn.LET(
    _xlpm.kpiName, AF$2,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1" s="226">
        <f t="array" ref="AG31">_xlfn.LET(
    _xlpm.kpiName, AG$2,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1" s="226">
        <f t="array" ref="AH31">_xlfn.LET(
    _xlpm.kpiName, AH$2,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1" s="226">
        <f t="array" ref="AI31">_xlfn.LET(
    _xlpm.kpiName, AI$2,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1" s="226">
        <f t="array" ref="AJ31">_xlfn.LET(
    _xlpm.kpiName, AJ$2,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1" s="226">
        <f t="array" ref="AK31">_xlfn.LET(
    _xlpm.kpiName, AK$2,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1" s="226">
        <f t="array" ref="AL31">_xlfn.LET(
    _xlpm.kpiName, AL$2,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1" s="226">
        <f t="array" ref="AM31">_xlfn.LET(
    _xlpm.kpiName, AM$2,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1" s="226">
        <f t="array" ref="AN31">_xlfn.LET(
    _xlpm.kpiName, AN$2,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1" s="226">
        <f t="array" ref="AO31">_xlfn.LET(
    _xlpm.kpiName, AO$2,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1" s="226">
        <f t="array" ref="AP31">_xlfn.LET(
    _xlpm.kpiName, AP$2,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1" s="226">
        <f t="array" ref="AQ31">_xlfn.LET(
    _xlpm.kpiName, AQ$2,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1" s="226">
        <f t="array" ref="AR31">_xlfn.LET(
    _xlpm.kpiName, AR$2,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1" s="226">
        <f t="array" ref="AS31">_xlfn.LET(
    _xlpm.kpiName, AS$2,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1" s="226">
        <f t="array" ref="AT31">_xlfn.LET(
    _xlpm.kpiName, AT$2,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1" s="226">
        <f t="array" ref="AU31">_xlfn.LET(
    _xlpm.kpiName, AU$2,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1" s="226">
        <f t="array" ref="AV31">_xlfn.LET(
    _xlpm.kpiName, AV$2,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1" s="226">
        <f t="array" ref="AW31">_xlfn.LET(
    _xlpm.kpiName, AW$2,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1" s="226">
        <f t="array" ref="AX31">_xlfn.LET(
    _xlpm.kpiName, AX$2,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1" s="226">
        <f t="array" ref="AY31">_xlfn.LET(
    _xlpm.kpiName, AY$2,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1" s="226">
        <f t="array" ref="AZ31">_xlfn.LET(
    _xlpm.kpiName, AZ$2,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1" s="226">
        <f t="array" ref="BA31">_xlfn.LET(
    _xlpm.kpiName, BA$2,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1" s="226">
        <f t="array" ref="BB31">_xlfn.LET(
    _xlpm.kpiName, BB$2,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2" ht="9" customHeight="1" s="179">
      <c r="C32" s="1" t="n"/>
      <c r="D32" s="78" t="inlineStr">
        <is>
          <t>Factor30</t>
        </is>
      </c>
      <c r="E32" s="226">
        <f t="array" ref="E32">_xlfn.LET(
    _xlpm.kpiName, E$2,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2" s="226">
        <f t="array" ref="F32">_xlfn.LET(
    _xlpm.kpiName, F$2,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2" s="226">
        <f t="array" ref="G32">_xlfn.LET(
    _xlpm.kpiName, G$2,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2" s="226">
        <f t="array" ref="H32">_xlfn.LET(
    _xlpm.kpiName, H$2,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2" s="226">
        <f t="array" ref="I32">_xlfn.LET(
    _xlpm.kpiName, I$2,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2" s="226">
        <f t="array" ref="J32">_xlfn.LET(
    _xlpm.kpiName, J$2,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2" s="226">
        <f t="array" ref="K32">_xlfn.LET(
    _xlpm.kpiName, K$2,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2" s="226">
        <f t="array" ref="L32">_xlfn.LET(
    _xlpm.kpiName, L$2,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2" s="226">
        <f t="array" ref="M32">_xlfn.LET(
    _xlpm.kpiName, M$2,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2" s="226">
        <f t="array" ref="N32">_xlfn.LET(
    _xlpm.kpiName, N$2,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2" s="226">
        <f t="array" ref="O32">_xlfn.LET(
    _xlpm.kpiName, O$2,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2" s="226">
        <f t="array" ref="P32">_xlfn.LET(
    _xlpm.kpiName, P$2,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2" s="226">
        <f t="array" ref="Q32">_xlfn.LET(
    _xlpm.kpiName, Q$2,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2" s="226">
        <f t="array" ref="R32">_xlfn.LET(
    _xlpm.kpiName, R$2,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2" s="226">
        <f t="array" ref="S32">_xlfn.LET(
    _xlpm.kpiName, S$2,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2" s="226">
        <f t="array" ref="T32">_xlfn.LET(
    _xlpm.kpiName, T$2,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2" s="226">
        <f t="array" ref="U32">_xlfn.LET(
    _xlpm.kpiName, U$2,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2" s="226">
        <f t="array" ref="V32">_xlfn.LET(
    _xlpm.kpiName, V$2,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2" s="226">
        <f t="array" ref="W32">_xlfn.LET(
    _xlpm.kpiName, W$2,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2" s="226">
        <f t="array" ref="X32">_xlfn.LET(
    _xlpm.kpiName, X$2,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2" s="226">
        <f t="array" ref="Y32">_xlfn.LET(
    _xlpm.kpiName, Y$2,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2" s="226">
        <f t="array" ref="Z32">_xlfn.LET(
    _xlpm.kpiName, Z$2,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2" s="226">
        <f t="array" ref="AA32">_xlfn.LET(
    _xlpm.kpiName, AA$2,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2" s="226">
        <f t="array" ref="AB32">_xlfn.LET(
    _xlpm.kpiName, AB$2,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2" s="226">
        <f t="array" ref="AC32">_xlfn.LET(
    _xlpm.kpiName, AC$2,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2" s="226">
        <f t="array" ref="AD32">_xlfn.LET(
    _xlpm.kpiName, AD$2,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2" s="226">
        <f t="array" ref="AE32">_xlfn.LET(
    _xlpm.kpiName, AE$2,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2" s="226">
        <f t="array" ref="AF32">_xlfn.LET(
    _xlpm.kpiName, AF$2,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2" s="226">
        <f t="array" ref="AG32">_xlfn.LET(
    _xlpm.kpiName, AG$2,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2" s="226">
        <f t="array" ref="AH32">_xlfn.LET(
    _xlpm.kpiName, AH$2,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2" s="226">
        <f t="array" ref="AI32">_xlfn.LET(
    _xlpm.kpiName, AI$2,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2" s="226">
        <f t="array" ref="AJ32">_xlfn.LET(
    _xlpm.kpiName, AJ$2,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2" s="226">
        <f t="array" ref="AK32">_xlfn.LET(
    _xlpm.kpiName, AK$2,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2" s="226">
        <f t="array" ref="AL32">_xlfn.LET(
    _xlpm.kpiName, AL$2,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2" s="226">
        <f t="array" ref="AM32">_xlfn.LET(
    _xlpm.kpiName, AM$2,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2" s="226">
        <f t="array" ref="AN32">_xlfn.LET(
    _xlpm.kpiName, AN$2,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2" s="226">
        <f t="array" ref="AO32">_xlfn.LET(
    _xlpm.kpiName, AO$2,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2" s="226">
        <f t="array" ref="AP32">_xlfn.LET(
    _xlpm.kpiName, AP$2,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2" s="226">
        <f t="array" ref="AQ32">_xlfn.LET(
    _xlpm.kpiName, AQ$2,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2" s="226">
        <f t="array" ref="AR32">_xlfn.LET(
    _xlpm.kpiName, AR$2,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2" s="226">
        <f t="array" ref="AS32">_xlfn.LET(
    _xlpm.kpiName, AS$2,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2" s="226">
        <f t="array" ref="AT32">_xlfn.LET(
    _xlpm.kpiName, AT$2,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2" s="226">
        <f t="array" ref="AU32">_xlfn.LET(
    _xlpm.kpiName, AU$2,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2" s="226">
        <f t="array" ref="AV32">_xlfn.LET(
    _xlpm.kpiName, AV$2,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2" s="226">
        <f t="array" ref="AW32">_xlfn.LET(
    _xlpm.kpiName, AW$2,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2" s="226">
        <f t="array" ref="AX32">_xlfn.LET(
    _xlpm.kpiName, AX$2,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2" s="226">
        <f t="array" ref="AY32">_xlfn.LET(
    _xlpm.kpiName, AY$2,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2" s="226">
        <f t="array" ref="AZ32">_xlfn.LET(
    _xlpm.kpiName, AZ$2,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2" s="226">
        <f t="array" ref="BA32">_xlfn.LET(
    _xlpm.kpiName, BA$2,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2" s="226">
        <f t="array" ref="BB32">_xlfn.LET(
    _xlpm.kpiName, BB$2,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3" ht="9" customHeight="1" s="179">
      <c r="C33" s="1" t="n"/>
      <c r="D33" s="78" t="inlineStr">
        <is>
          <t>Factor31</t>
        </is>
      </c>
      <c r="E33" s="226">
        <f t="array" ref="E33">_xlfn.LET(
    _xlpm.kpiName, E$2,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3" s="226">
        <f t="array" ref="F33">_xlfn.LET(
    _xlpm.kpiName, F$2,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3" s="226">
        <f t="array" ref="G33">_xlfn.LET(
    _xlpm.kpiName, G$2,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3" s="226">
        <f t="array" ref="H33">_xlfn.LET(
    _xlpm.kpiName, H$2,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3" s="226">
        <f t="array" ref="I33">_xlfn.LET(
    _xlpm.kpiName, I$2,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3" s="226">
        <f t="array" ref="J33">_xlfn.LET(
    _xlpm.kpiName, J$2,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3" s="226">
        <f t="array" ref="K33">_xlfn.LET(
    _xlpm.kpiName, K$2,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3" s="226">
        <f t="array" ref="L33">_xlfn.LET(
    _xlpm.kpiName, L$2,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3" s="226">
        <f t="array" ref="M33">_xlfn.LET(
    _xlpm.kpiName, M$2,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3" s="226">
        <f t="array" ref="N33">_xlfn.LET(
    _xlpm.kpiName, N$2,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3" s="226">
        <f t="array" ref="O33">_xlfn.LET(
    _xlpm.kpiName, O$2,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3" s="226">
        <f t="array" ref="P33">_xlfn.LET(
    _xlpm.kpiName, P$2,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3" s="226">
        <f t="array" ref="Q33">_xlfn.LET(
    _xlpm.kpiName, Q$2,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3" s="226">
        <f t="array" ref="R33">_xlfn.LET(
    _xlpm.kpiName, R$2,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3" s="226">
        <f t="array" ref="S33">_xlfn.LET(
    _xlpm.kpiName, S$2,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3" s="226">
        <f t="array" ref="T33">_xlfn.LET(
    _xlpm.kpiName, T$2,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3" s="226">
        <f t="array" ref="U33">_xlfn.LET(
    _xlpm.kpiName, U$2,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3" s="226">
        <f t="array" ref="V33">_xlfn.LET(
    _xlpm.kpiName, V$2,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3" s="226">
        <f t="array" ref="W33">_xlfn.LET(
    _xlpm.kpiName, W$2,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3" s="226">
        <f t="array" ref="X33">_xlfn.LET(
    _xlpm.kpiName, X$2,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3" s="226">
        <f t="array" ref="Y33">_xlfn.LET(
    _xlpm.kpiName, Y$2,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3" s="226">
        <f t="array" ref="Z33">_xlfn.LET(
    _xlpm.kpiName, Z$2,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3" s="226">
        <f t="array" ref="AA33">_xlfn.LET(
    _xlpm.kpiName, AA$2,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3" s="226">
        <f t="array" ref="AB33">_xlfn.LET(
    _xlpm.kpiName, AB$2,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3" s="226">
        <f t="array" ref="AC33">_xlfn.LET(
    _xlpm.kpiName, AC$2,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3" s="226">
        <f t="array" ref="AD33">_xlfn.LET(
    _xlpm.kpiName, AD$2,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3" s="226">
        <f t="array" ref="AE33">_xlfn.LET(
    _xlpm.kpiName, AE$2,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3" s="226">
        <f t="array" ref="AF33">_xlfn.LET(
    _xlpm.kpiName, AF$2,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3" s="226">
        <f t="array" ref="AG33">_xlfn.LET(
    _xlpm.kpiName, AG$2,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3" s="226">
        <f t="array" ref="AH33">_xlfn.LET(
    _xlpm.kpiName, AH$2,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3" s="226">
        <f t="array" ref="AI33">_xlfn.LET(
    _xlpm.kpiName, AI$2,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3" s="226">
        <f t="array" ref="AJ33">_xlfn.LET(
    _xlpm.kpiName, AJ$2,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3" s="226">
        <f t="array" ref="AK33">_xlfn.LET(
    _xlpm.kpiName, AK$2,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3" s="226">
        <f t="array" ref="AL33">_xlfn.LET(
    _xlpm.kpiName, AL$2,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3" s="226">
        <f t="array" ref="AM33">_xlfn.LET(
    _xlpm.kpiName, AM$2,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3" s="226">
        <f t="array" ref="AN33">_xlfn.LET(
    _xlpm.kpiName, AN$2,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3" s="226">
        <f t="array" ref="AO33">_xlfn.LET(
    _xlpm.kpiName, AO$2,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3" s="226">
        <f t="array" ref="AP33">_xlfn.LET(
    _xlpm.kpiName, AP$2,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3" s="226">
        <f t="array" ref="AQ33">_xlfn.LET(
    _xlpm.kpiName, AQ$2,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3" s="226">
        <f t="array" ref="AR33">_xlfn.LET(
    _xlpm.kpiName, AR$2,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3" s="226">
        <f t="array" ref="AS33">_xlfn.LET(
    _xlpm.kpiName, AS$2,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3" s="226">
        <f t="array" ref="AT33">_xlfn.LET(
    _xlpm.kpiName, AT$2,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3" s="226">
        <f t="array" ref="AU33">_xlfn.LET(
    _xlpm.kpiName, AU$2,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3" s="226">
        <f t="array" ref="AV33">_xlfn.LET(
    _xlpm.kpiName, AV$2,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3" s="226">
        <f t="array" ref="AW33">_xlfn.LET(
    _xlpm.kpiName, AW$2,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3" s="226">
        <f t="array" ref="AX33">_xlfn.LET(
    _xlpm.kpiName, AX$2,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3" s="226">
        <f t="array" ref="AY33">_xlfn.LET(
    _xlpm.kpiName, AY$2,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3" s="226">
        <f t="array" ref="AZ33">_xlfn.LET(
    _xlpm.kpiName, AZ$2,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3" s="226">
        <f t="array" ref="BA33">_xlfn.LET(
    _xlpm.kpiName, BA$2,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3" s="226">
        <f t="array" ref="BB33">_xlfn.LET(
    _xlpm.kpiName, BB$2,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4" ht="9" customHeight="1" s="179">
      <c r="C34" s="1" t="n"/>
      <c r="D34" s="78" t="inlineStr">
        <is>
          <t>Factor32</t>
        </is>
      </c>
      <c r="E34" s="226">
        <f t="array" ref="E34">_xlfn.LET(
    _xlpm.kpiName, E$2,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4" s="226">
        <f t="array" ref="F34">_xlfn.LET(
    _xlpm.kpiName, F$2,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4" s="226">
        <f t="array" ref="G34">_xlfn.LET(
    _xlpm.kpiName, G$2,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4" s="226">
        <f t="array" ref="H34">_xlfn.LET(
    _xlpm.kpiName, H$2,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4" s="226">
        <f t="array" ref="I34">_xlfn.LET(
    _xlpm.kpiName, I$2,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4" s="226">
        <f t="array" ref="J34">_xlfn.LET(
    _xlpm.kpiName, J$2,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4" s="226">
        <f t="array" ref="K34">_xlfn.LET(
    _xlpm.kpiName, K$2,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4" s="226">
        <f t="array" ref="L34">_xlfn.LET(
    _xlpm.kpiName, L$2,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4" s="226">
        <f t="array" ref="M34">_xlfn.LET(
    _xlpm.kpiName, M$2,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4" s="226">
        <f t="array" ref="N34">_xlfn.LET(
    _xlpm.kpiName, N$2,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4" s="226">
        <f t="array" ref="O34">_xlfn.LET(
    _xlpm.kpiName, O$2,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4" s="226">
        <f t="array" ref="P34">_xlfn.LET(
    _xlpm.kpiName, P$2,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4" s="226">
        <f t="array" ref="Q34">_xlfn.LET(
    _xlpm.kpiName, Q$2,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4" s="226">
        <f t="array" ref="R34">_xlfn.LET(
    _xlpm.kpiName, R$2,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4" s="226">
        <f t="array" ref="S34">_xlfn.LET(
    _xlpm.kpiName, S$2,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4" s="226">
        <f t="array" ref="T34">_xlfn.LET(
    _xlpm.kpiName, T$2,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4" s="226">
        <f t="array" ref="U34">_xlfn.LET(
    _xlpm.kpiName, U$2,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4" s="226">
        <f t="array" ref="V34">_xlfn.LET(
    _xlpm.kpiName, V$2,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4" s="226">
        <f t="array" ref="W34">_xlfn.LET(
    _xlpm.kpiName, W$2,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4" s="226">
        <f t="array" ref="X34">_xlfn.LET(
    _xlpm.kpiName, X$2,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4" s="226">
        <f t="array" ref="Y34">_xlfn.LET(
    _xlpm.kpiName, Y$2,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4" s="226">
        <f t="array" ref="Z34">_xlfn.LET(
    _xlpm.kpiName, Z$2,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4" s="226">
        <f t="array" ref="AA34">_xlfn.LET(
    _xlpm.kpiName, AA$2,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4" s="226">
        <f t="array" ref="AB34">_xlfn.LET(
    _xlpm.kpiName, AB$2,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4" s="226">
        <f t="array" ref="AC34">_xlfn.LET(
    _xlpm.kpiName, AC$2,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4" s="226">
        <f t="array" ref="AD34">_xlfn.LET(
    _xlpm.kpiName, AD$2,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4" s="226">
        <f t="array" ref="AE34">_xlfn.LET(
    _xlpm.kpiName, AE$2,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4" s="226">
        <f t="array" ref="AF34">_xlfn.LET(
    _xlpm.kpiName, AF$2,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4" s="226">
        <f t="array" ref="AG34">_xlfn.LET(
    _xlpm.kpiName, AG$2,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4" s="226">
        <f t="array" ref="AH34">_xlfn.LET(
    _xlpm.kpiName, AH$2,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4" s="226">
        <f t="array" ref="AI34">_xlfn.LET(
    _xlpm.kpiName, AI$2,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4" s="226">
        <f t="array" ref="AJ34">_xlfn.LET(
    _xlpm.kpiName, AJ$2,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4" s="226">
        <f t="array" ref="AK34">_xlfn.LET(
    _xlpm.kpiName, AK$2,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4" s="226">
        <f t="array" ref="AL34">_xlfn.LET(
    _xlpm.kpiName, AL$2,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4" s="226">
        <f t="array" ref="AM34">_xlfn.LET(
    _xlpm.kpiName, AM$2,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4" s="226">
        <f t="array" ref="AN34">_xlfn.LET(
    _xlpm.kpiName, AN$2,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4" s="226">
        <f t="array" ref="AO34">_xlfn.LET(
    _xlpm.kpiName, AO$2,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4" s="226">
        <f t="array" ref="AP34">_xlfn.LET(
    _xlpm.kpiName, AP$2,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4" s="226">
        <f t="array" ref="AQ34">_xlfn.LET(
    _xlpm.kpiName, AQ$2,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4" s="226">
        <f t="array" ref="AR34">_xlfn.LET(
    _xlpm.kpiName, AR$2,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4" s="226">
        <f t="array" ref="AS34">_xlfn.LET(
    _xlpm.kpiName, AS$2,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4" s="226">
        <f t="array" ref="AT34">_xlfn.LET(
    _xlpm.kpiName, AT$2,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4" s="226">
        <f t="array" ref="AU34">_xlfn.LET(
    _xlpm.kpiName, AU$2,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4" s="226">
        <f t="array" ref="AV34">_xlfn.LET(
    _xlpm.kpiName, AV$2,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4" s="226">
        <f t="array" ref="AW34">_xlfn.LET(
    _xlpm.kpiName, AW$2,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4" s="226">
        <f t="array" ref="AX34">_xlfn.LET(
    _xlpm.kpiName, AX$2,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4" s="226">
        <f t="array" ref="AY34">_xlfn.LET(
    _xlpm.kpiName, AY$2,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4" s="226">
        <f t="array" ref="AZ34">_xlfn.LET(
    _xlpm.kpiName, AZ$2,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4" s="226">
        <f t="array" ref="BA34">_xlfn.LET(
    _xlpm.kpiName, BA$2,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4" s="226">
        <f t="array" ref="BB34">_xlfn.LET(
    _xlpm.kpiName, BB$2,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5" ht="9" customHeight="1" s="179">
      <c r="C35" s="1" t="n"/>
      <c r="D35" s="78" t="inlineStr">
        <is>
          <t>Factor33</t>
        </is>
      </c>
      <c r="E35" s="226">
        <f t="array" ref="E35">_xlfn.LET(
    _xlpm.kpiName, E$2,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5" s="226">
        <f t="array" ref="F35">_xlfn.LET(
    _xlpm.kpiName, F$2,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5" s="226">
        <f t="array" ref="G35">_xlfn.LET(
    _xlpm.kpiName, G$2,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5" s="226">
        <f t="array" ref="H35">_xlfn.LET(
    _xlpm.kpiName, H$2,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5" s="226">
        <f t="array" ref="I35">_xlfn.LET(
    _xlpm.kpiName, I$2,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5" s="226">
        <f t="array" ref="J35">_xlfn.LET(
    _xlpm.kpiName, J$2,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5" s="226">
        <f t="array" ref="K35">_xlfn.LET(
    _xlpm.kpiName, K$2,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5" s="226">
        <f t="array" ref="L35">_xlfn.LET(
    _xlpm.kpiName, L$2,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5" s="226">
        <f t="array" ref="M35">_xlfn.LET(
    _xlpm.kpiName, M$2,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5" s="226">
        <f t="array" ref="N35">_xlfn.LET(
    _xlpm.kpiName, N$2,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5" s="226">
        <f t="array" ref="O35">_xlfn.LET(
    _xlpm.kpiName, O$2,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5" s="226">
        <f t="array" ref="P35">_xlfn.LET(
    _xlpm.kpiName, P$2,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5" s="226">
        <f t="array" ref="Q35">_xlfn.LET(
    _xlpm.kpiName, Q$2,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5" s="226">
        <f t="array" ref="R35">_xlfn.LET(
    _xlpm.kpiName, R$2,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5" s="226">
        <f t="array" ref="S35">_xlfn.LET(
    _xlpm.kpiName, S$2,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5" s="226">
        <f t="array" ref="T35">_xlfn.LET(
    _xlpm.kpiName, T$2,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5" s="226">
        <f t="array" ref="U35">_xlfn.LET(
    _xlpm.kpiName, U$2,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5" s="226">
        <f t="array" ref="V35">_xlfn.LET(
    _xlpm.kpiName, V$2,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5" s="226">
        <f t="array" ref="W35">_xlfn.LET(
    _xlpm.kpiName, W$2,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5" s="226">
        <f t="array" ref="X35">_xlfn.LET(
    _xlpm.kpiName, X$2,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5" s="226">
        <f t="array" ref="Y35">_xlfn.LET(
    _xlpm.kpiName, Y$2,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5" s="226">
        <f t="array" ref="Z35">_xlfn.LET(
    _xlpm.kpiName, Z$2,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5" s="226">
        <f t="array" ref="AA35">_xlfn.LET(
    _xlpm.kpiName, AA$2,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5" s="226">
        <f t="array" ref="AB35">_xlfn.LET(
    _xlpm.kpiName, AB$2,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5" s="226">
        <f t="array" ref="AC35">_xlfn.LET(
    _xlpm.kpiName, AC$2,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5" s="226">
        <f t="array" ref="AD35">_xlfn.LET(
    _xlpm.kpiName, AD$2,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5" s="226">
        <f t="array" ref="AE35">_xlfn.LET(
    _xlpm.kpiName, AE$2,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5" s="226">
        <f t="array" ref="AF35">_xlfn.LET(
    _xlpm.kpiName, AF$2,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5" s="226">
        <f t="array" ref="AG35">_xlfn.LET(
    _xlpm.kpiName, AG$2,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5" s="226">
        <f t="array" ref="AH35">_xlfn.LET(
    _xlpm.kpiName, AH$2,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5" s="226">
        <f t="array" ref="AI35">_xlfn.LET(
    _xlpm.kpiName, AI$2,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5" s="226">
        <f t="array" ref="AJ35">_xlfn.LET(
    _xlpm.kpiName, AJ$2,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5" s="226">
        <f t="array" ref="AK35">_xlfn.LET(
    _xlpm.kpiName, AK$2,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5" s="226">
        <f t="array" ref="AL35">_xlfn.LET(
    _xlpm.kpiName, AL$2,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5" s="226">
        <f t="array" ref="AM35">_xlfn.LET(
    _xlpm.kpiName, AM$2,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5" s="226">
        <f t="array" ref="AN35">_xlfn.LET(
    _xlpm.kpiName, AN$2,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5" s="226">
        <f t="array" ref="AO35">_xlfn.LET(
    _xlpm.kpiName, AO$2,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5" s="226">
        <f t="array" ref="AP35">_xlfn.LET(
    _xlpm.kpiName, AP$2,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5" s="226">
        <f t="array" ref="AQ35">_xlfn.LET(
    _xlpm.kpiName, AQ$2,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5" s="226">
        <f t="array" ref="AR35">_xlfn.LET(
    _xlpm.kpiName, AR$2,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5" s="226">
        <f t="array" ref="AS35">_xlfn.LET(
    _xlpm.kpiName, AS$2,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5" s="226">
        <f t="array" ref="AT35">_xlfn.LET(
    _xlpm.kpiName, AT$2,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5" s="226">
        <f t="array" ref="AU35">_xlfn.LET(
    _xlpm.kpiName, AU$2,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5" s="226">
        <f t="array" ref="AV35">_xlfn.LET(
    _xlpm.kpiName, AV$2,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5" s="226">
        <f t="array" ref="AW35">_xlfn.LET(
    _xlpm.kpiName, AW$2,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5" s="226">
        <f t="array" ref="AX35">_xlfn.LET(
    _xlpm.kpiName, AX$2,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5" s="226">
        <f t="array" ref="AY35">_xlfn.LET(
    _xlpm.kpiName, AY$2,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5" s="226">
        <f t="array" ref="AZ35">_xlfn.LET(
    _xlpm.kpiName, AZ$2,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5" s="226">
        <f t="array" ref="BA35">_xlfn.LET(
    _xlpm.kpiName, BA$2,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5" s="226">
        <f t="array" ref="BB35">_xlfn.LET(
    _xlpm.kpiName, BB$2,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6" ht="9" customHeight="1" s="179">
      <c r="C36" s="1" t="n"/>
      <c r="D36" s="78" t="inlineStr">
        <is>
          <t>Factor34</t>
        </is>
      </c>
      <c r="E36" s="226">
        <f t="array" ref="E36">_xlfn.LET(
    _xlpm.kpiName, E$2,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6" s="226">
        <f t="array" ref="F36">_xlfn.LET(
    _xlpm.kpiName, F$2,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6" s="226">
        <f t="array" ref="G36">_xlfn.LET(
    _xlpm.kpiName, G$2,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6" s="226">
        <f t="array" ref="H36">_xlfn.LET(
    _xlpm.kpiName, H$2,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6" s="226">
        <f t="array" ref="I36">_xlfn.LET(
    _xlpm.kpiName, I$2,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6" s="226">
        <f t="array" ref="J36">_xlfn.LET(
    _xlpm.kpiName, J$2,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6" s="226">
        <f t="array" ref="K36">_xlfn.LET(
    _xlpm.kpiName, K$2,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6" s="226">
        <f t="array" ref="L36">_xlfn.LET(
    _xlpm.kpiName, L$2,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6" s="226">
        <f t="array" ref="M36">_xlfn.LET(
    _xlpm.kpiName, M$2,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6" s="226">
        <f t="array" ref="N36">_xlfn.LET(
    _xlpm.kpiName, N$2,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6" s="226">
        <f t="array" ref="O36">_xlfn.LET(
    _xlpm.kpiName, O$2,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6" s="226">
        <f t="array" ref="P36">_xlfn.LET(
    _xlpm.kpiName, P$2,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6" s="226">
        <f t="array" ref="Q36">_xlfn.LET(
    _xlpm.kpiName, Q$2,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6" s="226">
        <f t="array" ref="R36">_xlfn.LET(
    _xlpm.kpiName, R$2,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6" s="226">
        <f t="array" ref="S36">_xlfn.LET(
    _xlpm.kpiName, S$2,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6" s="226">
        <f t="array" ref="T36">_xlfn.LET(
    _xlpm.kpiName, T$2,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6" s="226">
        <f t="array" ref="U36">_xlfn.LET(
    _xlpm.kpiName, U$2,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6" s="226">
        <f t="array" ref="V36">_xlfn.LET(
    _xlpm.kpiName, V$2,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6" s="226">
        <f t="array" ref="W36">_xlfn.LET(
    _xlpm.kpiName, W$2,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6" s="226">
        <f t="array" ref="X36">_xlfn.LET(
    _xlpm.kpiName, X$2,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6" s="226">
        <f t="array" ref="Y36">_xlfn.LET(
    _xlpm.kpiName, Y$2,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6" s="226">
        <f t="array" ref="Z36">_xlfn.LET(
    _xlpm.kpiName, Z$2,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6" s="226">
        <f t="array" ref="AA36">_xlfn.LET(
    _xlpm.kpiName, AA$2,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6" s="226">
        <f t="array" ref="AB36">_xlfn.LET(
    _xlpm.kpiName, AB$2,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6" s="226">
        <f t="array" ref="AC36">_xlfn.LET(
    _xlpm.kpiName, AC$2,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6" s="226">
        <f t="array" ref="AD36">_xlfn.LET(
    _xlpm.kpiName, AD$2,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6" s="226">
        <f t="array" ref="AE36">_xlfn.LET(
    _xlpm.kpiName, AE$2,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6" s="226">
        <f t="array" ref="AF36">_xlfn.LET(
    _xlpm.kpiName, AF$2,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6" s="226">
        <f t="array" ref="AG36">_xlfn.LET(
    _xlpm.kpiName, AG$2,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6" s="226">
        <f t="array" ref="AH36">_xlfn.LET(
    _xlpm.kpiName, AH$2,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6" s="226">
        <f t="array" ref="AI36">_xlfn.LET(
    _xlpm.kpiName, AI$2,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6" s="226">
        <f t="array" ref="AJ36">_xlfn.LET(
    _xlpm.kpiName, AJ$2,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6" s="226">
        <f t="array" ref="AK36">_xlfn.LET(
    _xlpm.kpiName, AK$2,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6" s="226">
        <f t="array" ref="AL36">_xlfn.LET(
    _xlpm.kpiName, AL$2,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6" s="226">
        <f t="array" ref="AM36">_xlfn.LET(
    _xlpm.kpiName, AM$2,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6" s="226">
        <f t="array" ref="AN36">_xlfn.LET(
    _xlpm.kpiName, AN$2,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6" s="226">
        <f t="array" ref="AO36">_xlfn.LET(
    _xlpm.kpiName, AO$2,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6" s="226">
        <f t="array" ref="AP36">_xlfn.LET(
    _xlpm.kpiName, AP$2,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6" s="226">
        <f t="array" ref="AQ36">_xlfn.LET(
    _xlpm.kpiName, AQ$2,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6" s="226">
        <f t="array" ref="AR36">_xlfn.LET(
    _xlpm.kpiName, AR$2,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6" s="226">
        <f t="array" ref="AS36">_xlfn.LET(
    _xlpm.kpiName, AS$2,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6" s="226">
        <f t="array" ref="AT36">_xlfn.LET(
    _xlpm.kpiName, AT$2,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6" s="226">
        <f t="array" ref="AU36">_xlfn.LET(
    _xlpm.kpiName, AU$2,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6" s="226">
        <f t="array" ref="AV36">_xlfn.LET(
    _xlpm.kpiName, AV$2,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6" s="226">
        <f t="array" ref="AW36">_xlfn.LET(
    _xlpm.kpiName, AW$2,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6" s="226">
        <f t="array" ref="AX36">_xlfn.LET(
    _xlpm.kpiName, AX$2,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6" s="226">
        <f t="array" ref="AY36">_xlfn.LET(
    _xlpm.kpiName, AY$2,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6" s="226">
        <f t="array" ref="AZ36">_xlfn.LET(
    _xlpm.kpiName, AZ$2,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6" s="226">
        <f t="array" ref="BA36">_xlfn.LET(
    _xlpm.kpiName, BA$2,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6" s="226">
        <f t="array" ref="BB36">_xlfn.LET(
    _xlpm.kpiName, BB$2,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7" ht="9" customHeight="1" s="179">
      <c r="C37" s="1" t="n"/>
      <c r="D37" s="78" t="inlineStr">
        <is>
          <t>Factor35</t>
        </is>
      </c>
      <c r="E37" s="226">
        <f t="array" ref="E37">_xlfn.LET(
    _xlpm.kpiName, E$2,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7" s="226">
        <f t="array" ref="F37">_xlfn.LET(
    _xlpm.kpiName, F$2,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7" s="226">
        <f t="array" ref="G37">_xlfn.LET(
    _xlpm.kpiName, G$2,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7" s="226">
        <f t="array" ref="H37">_xlfn.LET(
    _xlpm.kpiName, H$2,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7" s="226">
        <f t="array" ref="I37">_xlfn.LET(
    _xlpm.kpiName, I$2,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7" s="226">
        <f t="array" ref="J37">_xlfn.LET(
    _xlpm.kpiName, J$2,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7" s="226">
        <f t="array" ref="K37">_xlfn.LET(
    _xlpm.kpiName, K$2,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7" s="226">
        <f t="array" ref="L37">_xlfn.LET(
    _xlpm.kpiName, L$2,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7" s="226">
        <f t="array" ref="M37">_xlfn.LET(
    _xlpm.kpiName, M$2,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7" s="226">
        <f t="array" ref="N37">_xlfn.LET(
    _xlpm.kpiName, N$2,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7" s="226">
        <f t="array" ref="O37">_xlfn.LET(
    _xlpm.kpiName, O$2,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7" s="226">
        <f t="array" ref="P37">_xlfn.LET(
    _xlpm.kpiName, P$2,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7" s="226">
        <f t="array" ref="Q37">_xlfn.LET(
    _xlpm.kpiName, Q$2,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7" s="226">
        <f t="array" ref="R37">_xlfn.LET(
    _xlpm.kpiName, R$2,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7" s="226">
        <f t="array" ref="S37">_xlfn.LET(
    _xlpm.kpiName, S$2,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7" s="226">
        <f t="array" ref="T37">_xlfn.LET(
    _xlpm.kpiName, T$2,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7" s="226">
        <f t="array" ref="U37">_xlfn.LET(
    _xlpm.kpiName, U$2,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7" s="226">
        <f t="array" ref="V37">_xlfn.LET(
    _xlpm.kpiName, V$2,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7" s="226">
        <f t="array" ref="W37">_xlfn.LET(
    _xlpm.kpiName, W$2,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7" s="226">
        <f t="array" ref="X37">_xlfn.LET(
    _xlpm.kpiName, X$2,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7" s="226">
        <f t="array" ref="Y37">_xlfn.LET(
    _xlpm.kpiName, Y$2,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7" s="226">
        <f t="array" ref="Z37">_xlfn.LET(
    _xlpm.kpiName, Z$2,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7" s="226">
        <f t="array" ref="AA37">_xlfn.LET(
    _xlpm.kpiName, AA$2,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7" s="226">
        <f t="array" ref="AB37">_xlfn.LET(
    _xlpm.kpiName, AB$2,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7" s="226">
        <f t="array" ref="AC37">_xlfn.LET(
    _xlpm.kpiName, AC$2,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7" s="226">
        <f t="array" ref="AD37">_xlfn.LET(
    _xlpm.kpiName, AD$2,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7" s="226">
        <f t="array" ref="AE37">_xlfn.LET(
    _xlpm.kpiName, AE$2,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7" s="226">
        <f t="array" ref="AF37">_xlfn.LET(
    _xlpm.kpiName, AF$2,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7" s="226">
        <f t="array" ref="AG37">_xlfn.LET(
    _xlpm.kpiName, AG$2,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7" s="226">
        <f t="array" ref="AH37">_xlfn.LET(
    _xlpm.kpiName, AH$2,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7" s="226">
        <f t="array" ref="AI37">_xlfn.LET(
    _xlpm.kpiName, AI$2,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7" s="226">
        <f t="array" ref="AJ37">_xlfn.LET(
    _xlpm.kpiName, AJ$2,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7" s="226">
        <f t="array" ref="AK37">_xlfn.LET(
    _xlpm.kpiName, AK$2,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7" s="226">
        <f t="array" ref="AL37">_xlfn.LET(
    _xlpm.kpiName, AL$2,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7" s="226">
        <f t="array" ref="AM37">_xlfn.LET(
    _xlpm.kpiName, AM$2,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7" s="226">
        <f t="array" ref="AN37">_xlfn.LET(
    _xlpm.kpiName, AN$2,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7" s="226">
        <f t="array" ref="AO37">_xlfn.LET(
    _xlpm.kpiName, AO$2,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7" s="226">
        <f t="array" ref="AP37">_xlfn.LET(
    _xlpm.kpiName, AP$2,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7" s="226">
        <f t="array" ref="AQ37">_xlfn.LET(
    _xlpm.kpiName, AQ$2,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7" s="226">
        <f t="array" ref="AR37">_xlfn.LET(
    _xlpm.kpiName, AR$2,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7" s="226">
        <f t="array" ref="AS37">_xlfn.LET(
    _xlpm.kpiName, AS$2,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7" s="226">
        <f t="array" ref="AT37">_xlfn.LET(
    _xlpm.kpiName, AT$2,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7" s="226">
        <f t="array" ref="AU37">_xlfn.LET(
    _xlpm.kpiName, AU$2,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7" s="226">
        <f t="array" ref="AV37">_xlfn.LET(
    _xlpm.kpiName, AV$2,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7" s="226">
        <f t="array" ref="AW37">_xlfn.LET(
    _xlpm.kpiName, AW$2,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7" s="226">
        <f t="array" ref="AX37">_xlfn.LET(
    _xlpm.kpiName, AX$2,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7" s="226">
        <f t="array" ref="AY37">_xlfn.LET(
    _xlpm.kpiName, AY$2,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7" s="226">
        <f t="array" ref="AZ37">_xlfn.LET(
    _xlpm.kpiName, AZ$2,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7" s="226">
        <f t="array" ref="BA37">_xlfn.LET(
    _xlpm.kpiName, BA$2,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7" s="226">
        <f t="array" ref="BB37">_xlfn.LET(
    _xlpm.kpiName, BB$2,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8" ht="9" customHeight="1" s="179">
      <c r="D38" s="78" t="inlineStr">
        <is>
          <t>Factor36</t>
        </is>
      </c>
      <c r="E38" s="226">
        <f t="array" ref="E38">_xlfn.LET(
    _xlpm.kpiName, E$2,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8" s="226">
        <f t="array" ref="F38">_xlfn.LET(
    _xlpm.kpiName, F$2,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8" s="226">
        <f t="array" ref="G38">_xlfn.LET(
    _xlpm.kpiName, G$2,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8" s="226">
        <f t="array" ref="H38">_xlfn.LET(
    _xlpm.kpiName, H$2,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8" s="226">
        <f t="array" ref="I38">_xlfn.LET(
    _xlpm.kpiName, I$2,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8" s="226">
        <f t="array" ref="J38">_xlfn.LET(
    _xlpm.kpiName, J$2,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8" s="226">
        <f t="array" ref="K38">_xlfn.LET(
    _xlpm.kpiName, K$2,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8" s="226">
        <f t="array" ref="L38">_xlfn.LET(
    _xlpm.kpiName, L$2,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8" s="226">
        <f t="array" ref="M38">_xlfn.LET(
    _xlpm.kpiName, M$2,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8" s="226">
        <f t="array" ref="N38">_xlfn.LET(
    _xlpm.kpiName, N$2,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8" s="226">
        <f t="array" ref="O38">_xlfn.LET(
    _xlpm.kpiName, O$2,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8" s="226">
        <f t="array" ref="P38">_xlfn.LET(
    _xlpm.kpiName, P$2,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8" s="226">
        <f t="array" ref="Q38">_xlfn.LET(
    _xlpm.kpiName, Q$2,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8" s="226">
        <f t="array" ref="R38">_xlfn.LET(
    _xlpm.kpiName, R$2,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8" s="226">
        <f t="array" ref="S38">_xlfn.LET(
    _xlpm.kpiName, S$2,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8" s="226">
        <f t="array" ref="T38">_xlfn.LET(
    _xlpm.kpiName, T$2,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8" s="226">
        <f t="array" ref="U38">_xlfn.LET(
    _xlpm.kpiName, U$2,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8" s="226">
        <f t="array" ref="V38">_xlfn.LET(
    _xlpm.kpiName, V$2,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8" s="226">
        <f t="array" ref="W38">_xlfn.LET(
    _xlpm.kpiName, W$2,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8" s="226">
        <f t="array" ref="X38">_xlfn.LET(
    _xlpm.kpiName, X$2,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8" s="226">
        <f t="array" ref="Y38">_xlfn.LET(
    _xlpm.kpiName, Y$2,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8" s="226">
        <f t="array" ref="Z38">_xlfn.LET(
    _xlpm.kpiName, Z$2,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8" s="226">
        <f t="array" ref="AA38">_xlfn.LET(
    _xlpm.kpiName, AA$2,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8" s="226">
        <f t="array" ref="AB38">_xlfn.LET(
    _xlpm.kpiName, AB$2,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8" s="226">
        <f t="array" ref="AC38">_xlfn.LET(
    _xlpm.kpiName, AC$2,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8" s="226">
        <f t="array" ref="AD38">_xlfn.LET(
    _xlpm.kpiName, AD$2,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8" s="226">
        <f t="array" ref="AE38">_xlfn.LET(
    _xlpm.kpiName, AE$2,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8" s="226">
        <f t="array" ref="AF38">_xlfn.LET(
    _xlpm.kpiName, AF$2,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8" s="226">
        <f t="array" ref="AG38">_xlfn.LET(
    _xlpm.kpiName, AG$2,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8" s="226">
        <f t="array" ref="AH38">_xlfn.LET(
    _xlpm.kpiName, AH$2,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8" s="226">
        <f t="array" ref="AI38">_xlfn.LET(
    _xlpm.kpiName, AI$2,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8" s="226">
        <f t="array" ref="AJ38">_xlfn.LET(
    _xlpm.kpiName, AJ$2,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8" s="226">
        <f t="array" ref="AK38">_xlfn.LET(
    _xlpm.kpiName, AK$2,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8" s="226">
        <f t="array" ref="AL38">_xlfn.LET(
    _xlpm.kpiName, AL$2,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8" s="226">
        <f t="array" ref="AM38">_xlfn.LET(
    _xlpm.kpiName, AM$2,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8" s="226">
        <f t="array" ref="AN38">_xlfn.LET(
    _xlpm.kpiName, AN$2,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8" s="226">
        <f t="array" ref="AO38">_xlfn.LET(
    _xlpm.kpiName, AO$2,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8" s="226">
        <f t="array" ref="AP38">_xlfn.LET(
    _xlpm.kpiName, AP$2,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8" s="226">
        <f t="array" ref="AQ38">_xlfn.LET(
    _xlpm.kpiName, AQ$2,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8" s="226">
        <f t="array" ref="AR38">_xlfn.LET(
    _xlpm.kpiName, AR$2,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8" s="226">
        <f t="array" ref="AS38">_xlfn.LET(
    _xlpm.kpiName, AS$2,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8" s="226">
        <f t="array" ref="AT38">_xlfn.LET(
    _xlpm.kpiName, AT$2,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8" s="226">
        <f t="array" ref="AU38">_xlfn.LET(
    _xlpm.kpiName, AU$2,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8" s="226">
        <f t="array" ref="AV38">_xlfn.LET(
    _xlpm.kpiName, AV$2,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8" s="226">
        <f t="array" ref="AW38">_xlfn.LET(
    _xlpm.kpiName, AW$2,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8" s="226">
        <f t="array" ref="AX38">_xlfn.LET(
    _xlpm.kpiName, AX$2,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8" s="226">
        <f t="array" ref="AY38">_xlfn.LET(
    _xlpm.kpiName, AY$2,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8" s="226">
        <f t="array" ref="AZ38">_xlfn.LET(
    _xlpm.kpiName, AZ$2,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8" s="226">
        <f t="array" ref="BA38">_xlfn.LET(
    _xlpm.kpiName, BA$2,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8" s="226">
        <f t="array" ref="BB38">_xlfn.LET(
    _xlpm.kpiName, BB$2,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9" ht="9" customHeight="1" s="179">
      <c r="D39" s="78" t="inlineStr">
        <is>
          <t>Factor37</t>
        </is>
      </c>
      <c r="E39" s="226">
        <f t="array" ref="E39">_xlfn.LET(
    _xlpm.kpiName, E$2,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9" s="226">
        <f t="array" ref="F39">_xlfn.LET(
    _xlpm.kpiName, F$2,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9" s="226">
        <f t="array" ref="G39">_xlfn.LET(
    _xlpm.kpiName, G$2,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9" s="226">
        <f t="array" ref="H39">_xlfn.LET(
    _xlpm.kpiName, H$2,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9" s="226">
        <f t="array" ref="I39">_xlfn.LET(
    _xlpm.kpiName, I$2,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9" s="226">
        <f t="array" ref="J39">_xlfn.LET(
    _xlpm.kpiName, J$2,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9" s="226">
        <f t="array" ref="K39">_xlfn.LET(
    _xlpm.kpiName, K$2,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9" s="226">
        <f t="array" ref="L39">_xlfn.LET(
    _xlpm.kpiName, L$2,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9" s="226">
        <f t="array" ref="M39">_xlfn.LET(
    _xlpm.kpiName, M$2,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9" s="226">
        <f t="array" ref="N39">_xlfn.LET(
    _xlpm.kpiName, N$2,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9" s="226">
        <f t="array" ref="O39">_xlfn.LET(
    _xlpm.kpiName, O$2,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9" s="226">
        <f t="array" ref="P39">_xlfn.LET(
    _xlpm.kpiName, P$2,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9" s="226">
        <f t="array" ref="Q39">_xlfn.LET(
    _xlpm.kpiName, Q$2,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9" s="226">
        <f t="array" ref="R39">_xlfn.LET(
    _xlpm.kpiName, R$2,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9" s="226">
        <f t="array" ref="S39">_xlfn.LET(
    _xlpm.kpiName, S$2,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9" s="226">
        <f t="array" ref="T39">_xlfn.LET(
    _xlpm.kpiName, T$2,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9" s="226">
        <f t="array" ref="U39">_xlfn.LET(
    _xlpm.kpiName, U$2,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9" s="226">
        <f t="array" ref="V39">_xlfn.LET(
    _xlpm.kpiName, V$2,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9" s="226">
        <f t="array" ref="W39">_xlfn.LET(
    _xlpm.kpiName, W$2,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9" s="226">
        <f t="array" ref="X39">_xlfn.LET(
    _xlpm.kpiName, X$2,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9" s="226">
        <f t="array" ref="Y39">_xlfn.LET(
    _xlpm.kpiName, Y$2,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9" s="226">
        <f t="array" ref="Z39">_xlfn.LET(
    _xlpm.kpiName, Z$2,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9" s="226">
        <f t="array" ref="AA39">_xlfn.LET(
    _xlpm.kpiName, AA$2,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9" s="226">
        <f t="array" ref="AB39">_xlfn.LET(
    _xlpm.kpiName, AB$2,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9" s="226">
        <f t="array" ref="AC39">_xlfn.LET(
    _xlpm.kpiName, AC$2,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9" s="226">
        <f t="array" ref="AD39">_xlfn.LET(
    _xlpm.kpiName, AD$2,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9" s="226">
        <f t="array" ref="AE39">_xlfn.LET(
    _xlpm.kpiName, AE$2,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9" s="226">
        <f t="array" ref="AF39">_xlfn.LET(
    _xlpm.kpiName, AF$2,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9" s="226">
        <f t="array" ref="AG39">_xlfn.LET(
    _xlpm.kpiName, AG$2,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9" s="226">
        <f t="array" ref="AH39">_xlfn.LET(
    _xlpm.kpiName, AH$2,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9" s="226">
        <f t="array" ref="AI39">_xlfn.LET(
    _xlpm.kpiName, AI$2,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9" s="226">
        <f t="array" ref="AJ39">_xlfn.LET(
    _xlpm.kpiName, AJ$2,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9" s="226">
        <f t="array" ref="AK39">_xlfn.LET(
    _xlpm.kpiName, AK$2,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9" s="226">
        <f t="array" ref="AL39">_xlfn.LET(
    _xlpm.kpiName, AL$2,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9" s="226">
        <f t="array" ref="AM39">_xlfn.LET(
    _xlpm.kpiName, AM$2,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9" s="226">
        <f t="array" ref="AN39">_xlfn.LET(
    _xlpm.kpiName, AN$2,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9" s="226">
        <f t="array" ref="AO39">_xlfn.LET(
    _xlpm.kpiName, AO$2,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9" s="226">
        <f t="array" ref="AP39">_xlfn.LET(
    _xlpm.kpiName, AP$2,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9" s="226">
        <f t="array" ref="AQ39">_xlfn.LET(
    _xlpm.kpiName, AQ$2,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9" s="226">
        <f t="array" ref="AR39">_xlfn.LET(
    _xlpm.kpiName, AR$2,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9" s="226">
        <f t="array" ref="AS39">_xlfn.LET(
    _xlpm.kpiName, AS$2,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9" s="226">
        <f t="array" ref="AT39">_xlfn.LET(
    _xlpm.kpiName, AT$2,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9" s="226">
        <f t="array" ref="AU39">_xlfn.LET(
    _xlpm.kpiName, AU$2,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9" s="226">
        <f t="array" ref="AV39">_xlfn.LET(
    _xlpm.kpiName, AV$2,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9" s="226">
        <f t="array" ref="AW39">_xlfn.LET(
    _xlpm.kpiName, AW$2,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9" s="226">
        <f t="array" ref="AX39">_xlfn.LET(
    _xlpm.kpiName, AX$2,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9" s="226">
        <f t="array" ref="AY39">_xlfn.LET(
    _xlpm.kpiName, AY$2,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9" s="226">
        <f t="array" ref="AZ39">_xlfn.LET(
    _xlpm.kpiName, AZ$2,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9" s="226">
        <f t="array" ref="BA39">_xlfn.LET(
    _xlpm.kpiName, BA$2,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9" s="226">
        <f t="array" ref="BB39">_xlfn.LET(
    _xlpm.kpiName, BB$2,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40" ht="9" customHeight="1" s="179">
      <c r="D40" s="78" t="inlineStr">
        <is>
          <t>Factor38</t>
        </is>
      </c>
      <c r="E40" s="226">
        <f t="array" ref="E40">_xlfn.LET(
    _xlpm.kpiName, E$2,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40" s="226">
        <f t="array" ref="F40">_xlfn.LET(
    _xlpm.kpiName, F$2,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40" s="226">
        <f t="array" ref="G40">_xlfn.LET(
    _xlpm.kpiName, G$2,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40" s="226">
        <f t="array" ref="H40">_xlfn.LET(
    _xlpm.kpiName, H$2,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40" s="226">
        <f t="array" ref="I40">_xlfn.LET(
    _xlpm.kpiName, I$2,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40" s="226">
        <f t="array" ref="J40">_xlfn.LET(
    _xlpm.kpiName, J$2,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40" s="226">
        <f t="array" ref="K40">_xlfn.LET(
    _xlpm.kpiName, K$2,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40" s="226">
        <f t="array" ref="L40">_xlfn.LET(
    _xlpm.kpiName, L$2,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40" s="226">
        <f t="array" ref="M40">_xlfn.LET(
    _xlpm.kpiName, M$2,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40" s="226">
        <f t="array" ref="N40">_xlfn.LET(
    _xlpm.kpiName, N$2,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40" s="226">
        <f t="array" ref="O40">_xlfn.LET(
    _xlpm.kpiName, O$2,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40" s="226">
        <f t="array" ref="P40">_xlfn.LET(
    _xlpm.kpiName, P$2,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40" s="226">
        <f t="array" ref="Q40">_xlfn.LET(
    _xlpm.kpiName, Q$2,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40" s="226">
        <f t="array" ref="R40">_xlfn.LET(
    _xlpm.kpiName, R$2,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40" s="226">
        <f t="array" ref="S40">_xlfn.LET(
    _xlpm.kpiName, S$2,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40" s="226">
        <f t="array" ref="T40">_xlfn.LET(
    _xlpm.kpiName, T$2,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40" s="226">
        <f t="array" ref="U40">_xlfn.LET(
    _xlpm.kpiName, U$2,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40" s="226">
        <f t="array" ref="V40">_xlfn.LET(
    _xlpm.kpiName, V$2,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40" s="226">
        <f t="array" ref="W40">_xlfn.LET(
    _xlpm.kpiName, W$2,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40" s="226">
        <f t="array" ref="X40">_xlfn.LET(
    _xlpm.kpiName, X$2,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40" s="226">
        <f t="array" ref="Y40">_xlfn.LET(
    _xlpm.kpiName, Y$2,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40" s="226">
        <f t="array" ref="Z40">_xlfn.LET(
    _xlpm.kpiName, Z$2,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40" s="226">
        <f t="array" ref="AA40">_xlfn.LET(
    _xlpm.kpiName, AA$2,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40" s="226">
        <f t="array" ref="AB40">_xlfn.LET(
    _xlpm.kpiName, AB$2,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40" s="226">
        <f t="array" ref="AC40">_xlfn.LET(
    _xlpm.kpiName, AC$2,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40" s="226">
        <f t="array" ref="AD40">_xlfn.LET(
    _xlpm.kpiName, AD$2,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40" s="226">
        <f t="array" ref="AE40">_xlfn.LET(
    _xlpm.kpiName, AE$2,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40" s="226">
        <f t="array" ref="AF40">_xlfn.LET(
    _xlpm.kpiName, AF$2,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40" s="226">
        <f t="array" ref="AG40">_xlfn.LET(
    _xlpm.kpiName, AG$2,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40" s="226">
        <f t="array" ref="AH40">_xlfn.LET(
    _xlpm.kpiName, AH$2,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40" s="226">
        <f t="array" ref="AI40">_xlfn.LET(
    _xlpm.kpiName, AI$2,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40" s="226">
        <f t="array" ref="AJ40">_xlfn.LET(
    _xlpm.kpiName, AJ$2,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40" s="226">
        <f t="array" ref="AK40">_xlfn.LET(
    _xlpm.kpiName, AK$2,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40" s="226">
        <f t="array" ref="AL40">_xlfn.LET(
    _xlpm.kpiName, AL$2,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40" s="226">
        <f t="array" ref="AM40">_xlfn.LET(
    _xlpm.kpiName, AM$2,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40" s="226">
        <f t="array" ref="AN40">_xlfn.LET(
    _xlpm.kpiName, AN$2,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40" s="226">
        <f t="array" ref="AO40">_xlfn.LET(
    _xlpm.kpiName, AO$2,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40" s="226">
        <f t="array" ref="AP40">_xlfn.LET(
    _xlpm.kpiName, AP$2,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40" s="226">
        <f t="array" ref="AQ40">_xlfn.LET(
    _xlpm.kpiName, AQ$2,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40" s="226">
        <f t="array" ref="AR40">_xlfn.LET(
    _xlpm.kpiName, AR$2,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40" s="226">
        <f t="array" ref="AS40">_xlfn.LET(
    _xlpm.kpiName, AS$2,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40" s="226">
        <f t="array" ref="AT40">_xlfn.LET(
    _xlpm.kpiName, AT$2,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40" s="226">
        <f t="array" ref="AU40">_xlfn.LET(
    _xlpm.kpiName, AU$2,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40" s="226">
        <f t="array" ref="AV40">_xlfn.LET(
    _xlpm.kpiName, AV$2,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40" s="226">
        <f t="array" ref="AW40">_xlfn.LET(
    _xlpm.kpiName, AW$2,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40" s="226">
        <f t="array" ref="AX40">_xlfn.LET(
    _xlpm.kpiName, AX$2,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40" s="226">
        <f t="array" ref="AY40">_xlfn.LET(
    _xlpm.kpiName, AY$2,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40" s="226">
        <f t="array" ref="AZ40">_xlfn.LET(
    _xlpm.kpiName, AZ$2,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40" s="226">
        <f t="array" ref="BA40">_xlfn.LET(
    _xlpm.kpiName, BA$2,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40" s="226">
        <f t="array" ref="BB40">_xlfn.LET(
    _xlpm.kpiName, BB$2,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41">
      <c r="D41" s="27" t="n"/>
      <c r="E41" s="227" t="n"/>
      <c r="F41" s="227" t="n"/>
      <c r="G41" s="227" t="n"/>
      <c r="H41" s="227" t="n"/>
      <c r="I41" s="227" t="n"/>
      <c r="J41" s="227" t="n"/>
      <c r="K41" s="227" t="n"/>
      <c r="L41" s="227" t="n"/>
      <c r="M41" s="227" t="n"/>
      <c r="N41" s="227" t="n"/>
      <c r="O41" s="227" t="n"/>
      <c r="P41" s="227" t="n"/>
      <c r="Q41" s="227" t="n"/>
      <c r="R41" s="227" t="n"/>
      <c r="S41" s="227" t="n"/>
      <c r="T41" s="227" t="n"/>
      <c r="U41" s="228" t="n"/>
      <c r="W41" s="229" t="n"/>
    </row>
    <row r="42">
      <c r="C42" s="27" t="inlineStr">
        <is>
          <t>非标准化系数（brand dispo）</t>
        </is>
      </c>
      <c r="D42" s="5">
        <f>B8</f>
        <v/>
      </c>
      <c r="E42" s="227">
        <f t="array" ref="E42">IF(E$2=0,"",_xlfn.LET(_xlpm.dep,E$2,_xlpm.var,$D42,_xlpm.start,_xlfn.XMATCH("Dependent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F42" s="227">
        <f t="array" ref="F42">IF(F$2=0,"",_xlfn.LET(_xlpm.dep,F$2,_xlpm.var,$D42,_xlpm.start,_xlfn.XMATCH("Dependent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G42" s="227">
        <f t="array" ref="G42">IF(G$2=0,"",_xlfn.LET(_xlpm.dep,G$2,_xlpm.var,$D42,_xlpm.start,_xlfn.XMATCH("Dependent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H42" s="227">
        <f t="array" ref="H42">IF(H$2=0,"",_xlfn.LET(_xlpm.dep,H$2,_xlpm.var,$D42,_xlpm.start,_xlfn.XMATCH("Dependent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I42" s="227">
        <f t="array" ref="I42">IF(I$2=0,"",_xlfn.LET(_xlpm.dep,I$2,_xlpm.var,$D42,_xlpm.start,_xlfn.XMATCH("Dependent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J42" s="227">
        <f t="array" ref="J42">IF(J$2=0,"",_xlfn.LET(_xlpm.dep,J$2,_xlpm.var,$D42,_xlpm.start,_xlfn.XMATCH("Dependent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K42" s="227">
        <f t="array" ref="K42">IF(K$2=0,"",_xlfn.LET(_xlpm.dep,K$2,_xlpm.var,$D42,_xlpm.start,_xlfn.XMATCH("Dependent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L42" s="227">
        <f t="array" ref="L42">IF(L$2=0,"",_xlfn.LET(_xlpm.dep,L$2,_xlpm.var,$D42,_xlpm.start,_xlfn.XMATCH("Dependent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M42" s="227">
        <f t="array" ref="M42">IF(M$2=0,"",_xlfn.LET(_xlpm.dep,M$2,_xlpm.var,$D42,_xlpm.start,_xlfn.XMATCH("Dependent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N42" s="227">
        <f t="array" ref="N42">IF(N$2=0,"",_xlfn.LET(_xlpm.dep,N$2,_xlpm.var,$D42,_xlpm.start,_xlfn.XMATCH("Dependent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O42" s="227">
        <f t="array" ref="O42">IF(O$2=0,"",_xlfn.LET(_xlpm.dep,O$2,_xlpm.var,$D42,_xlpm.start,_xlfn.XMATCH("Dependent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P42" s="227">
        <f t="array" ref="P42">IF(P$2=0,"",_xlfn.LET(_xlpm.dep,P$2,_xlpm.var,$D42,_xlpm.start,_xlfn.XMATCH("Dependent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Q42" s="227">
        <f t="array" ref="Q42">IF(Q$2=0,"",_xlfn.LET(_xlpm.dep,Q$2,_xlpm.var,$D42,_xlpm.start,_xlfn.XMATCH("Dependent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R42" s="227">
        <f t="array" ref="R42">IF(R$2=0,"",_xlfn.LET(_xlpm.dep,R$2,_xlpm.var,$D42,_xlpm.start,_xlfn.XMATCH("Dependent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S42" s="227">
        <f t="array" ref="S42">IF(S$2=0,"",_xlfn.LET(_xlpm.dep,S$2,_xlpm.var,$D42,_xlpm.start,_xlfn.XMATCH("Dependent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T42" s="227">
        <f t="array" ref="T42">IF(T$2=0,"",_xlfn.LET(_xlpm.dep,T$2,_xlpm.var,$D42,_xlpm.start,_xlfn.XMATCH("Dependent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U42" s="230">
        <f t="array" ref="U42">IF(U$2=0,"",_xlfn.LET(_xlpm.dep,U$2,_xlpm.var,$D42,_xlpm.start,_xlfn.XMATCH("Dependent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V42" s="230">
        <f t="array" ref="V42">IF(V$2=0,"",_xlfn.LET(_xlpm.dep,V$2,_xlpm.var,$D42,_xlpm.start,_xlfn.XMATCH("Dependent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W42" s="231">
        <f t="array" ref="W42">IF(W$2=0,"",_xlfn.LET(_xlpm.dep,W$2,_xlpm.var,$D42,_xlpm.start,_xlfn.XMATCH("Dependent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X42" s="230">
        <f t="array" ref="X42">IF(X$2=0,"",_xlfn.LET(_xlpm.dep,X$2,_xlpm.var,$D42,_xlpm.start,_xlfn.XMATCH("Dependent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Y42" s="230">
        <f t="array" ref="Y42">IF(Y$2=0,"",_xlfn.LET(_xlpm.dep,Y$2,_xlpm.var,$D42,_xlpm.start,_xlfn.XMATCH("Dependent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Z42" s="230">
        <f t="array" ref="Z42">IF(Z$2=0,"",_xlfn.LET(_xlpm.dep,Z$2,_xlpm.var,$D42,_xlpm.start,_xlfn.XMATCH("Dependent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A42" s="230">
        <f t="array" ref="AA42">IF(AA$2=0,"",_xlfn.LET(_xlpm.dep,AA$2,_xlpm.var,$D42,_xlpm.start,_xlfn.XMATCH("Dependent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B42" s="230">
        <f t="array" ref="AB42">IF(AB$2=0,"",_xlfn.LET(_xlpm.dep,AB$2,_xlpm.var,$D42,_xlpm.start,_xlfn.XMATCH("Dependent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C42" s="230">
        <f t="array" ref="AC42">IF(AC$2=0,"",_xlfn.LET(_xlpm.dep,AC$2,_xlpm.var,$D42,_xlpm.start,_xlfn.XMATCH("Dependent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D42" s="230">
        <f t="array" ref="AD42">IF(AD$2=0,"",_xlfn.LET(_xlpm.dep,AD$2,_xlpm.var,$D42,_xlpm.start,_xlfn.XMATCH("Dependent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E42" s="230">
        <f t="array" ref="AE42">IF(AE$2=0,"",_xlfn.LET(_xlpm.dep,AE$2,_xlpm.var,$D42,_xlpm.start,_xlfn.XMATCH("Dependent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F42" s="230">
        <f t="array" ref="AF42">IF(AF$2=0,"",_xlfn.LET(_xlpm.dep,AF$2,_xlpm.var,$D42,_xlpm.start,_xlfn.XMATCH("Dependent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G42" s="230">
        <f t="array" ref="AG42">IF(AG$2=0,"",_xlfn.LET(_xlpm.dep,AG$2,_xlpm.var,$D42,_xlpm.start,_xlfn.XMATCH("Dependent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H42" s="230">
        <f t="array" ref="AH42">IF(AH$2=0,"",_xlfn.LET(_xlpm.dep,AH$2,_xlpm.var,$D42,_xlpm.start,_xlfn.XMATCH("Dependent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I42" s="230">
        <f t="array" ref="AI42">IF(AI$2=0,"",_xlfn.LET(_xlpm.dep,AI$2,_xlpm.var,$D42,_xlpm.start,_xlfn.XMATCH("Dependent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J42" s="230">
        <f t="array" ref="AJ42">IF(AJ$2=0,"",_xlfn.LET(_xlpm.dep,AJ$2,_xlpm.var,$D42,_xlpm.start,_xlfn.XMATCH("Dependent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K42" s="230">
        <f t="array" ref="AK42">IF(AK$2=0,"",_xlfn.LET(_xlpm.dep,AK$2,_xlpm.var,$D42,_xlpm.start,_xlfn.XMATCH("Dependent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L42" s="230">
        <f t="array" ref="AL42">IF(AL$2=0,"",_xlfn.LET(_xlpm.dep,AL$2,_xlpm.var,$D42,_xlpm.start,_xlfn.XMATCH("Dependent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M42" s="230">
        <f t="array" ref="AM42">IF(AM$2=0,"",_xlfn.LET(_xlpm.dep,AM$2,_xlpm.var,$D42,_xlpm.start,_xlfn.XMATCH("Dependent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N42" s="230">
        <f t="array" ref="AN42">IF(AN$2=0,"",_xlfn.LET(_xlpm.dep,AN$2,_xlpm.var,$D42,_xlpm.start,_xlfn.XMATCH("Dependent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O42" s="230">
        <f t="array" ref="AO42">IF(AO$2=0,"",_xlfn.LET(_xlpm.dep,AO$2,_xlpm.var,$D42,_xlpm.start,_xlfn.XMATCH("Dependent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P42" s="230">
        <f t="array" ref="AP42">IF(AP$2=0,"",_xlfn.LET(_xlpm.dep,AP$2,_xlpm.var,$D42,_xlpm.start,_xlfn.XMATCH("Dependent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Q42" s="230">
        <f t="array" ref="AQ42">IF(AQ$2=0,"",_xlfn.LET(_xlpm.dep,AQ$2,_xlpm.var,$D42,_xlpm.start,_xlfn.XMATCH("Dependent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R42" s="230">
        <f t="array" ref="AR42">IF(AR$2=0,"",_xlfn.LET(_xlpm.dep,AR$2,_xlpm.var,$D42,_xlpm.start,_xlfn.XMATCH("Dependent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S42" s="230">
        <f t="array" ref="AS42">IF(AS$2=0,"",_xlfn.LET(_xlpm.dep,AS$2,_xlpm.var,$D42,_xlpm.start,_xlfn.XMATCH("Dependent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T42" s="230">
        <f t="array" ref="AT42">IF(AT$2=0,"",_xlfn.LET(_xlpm.dep,AT$2,_xlpm.var,$D42,_xlpm.start,_xlfn.XMATCH("Dependent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U42" s="230">
        <f t="array" ref="AU42">IF(AU$2=0,"",_xlfn.LET(_xlpm.dep,AU$2,_xlpm.var,$D42,_xlpm.start,_xlfn.XMATCH("Dependent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V42" s="230">
        <f t="array" ref="AV42">IF(AV$2=0,"",_xlfn.LET(_xlpm.dep,AV$2,_xlpm.var,$D42,_xlpm.start,_xlfn.XMATCH("Dependent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W42" s="230">
        <f t="array" ref="AW42">IF(AW$2=0,"",_xlfn.LET(_xlpm.dep,AW$2,_xlpm.var,$D42,_xlpm.start,_xlfn.XMATCH("Dependent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X42" s="230">
        <f t="array" ref="AX42">IF(AX$2=0,"",_xlfn.LET(_xlpm.dep,AX$2,_xlpm.var,$D42,_xlpm.start,_xlfn.XMATCH("Dependent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Y42" s="230">
        <f t="array" ref="AY42">IF(AY$2=0,"",_xlfn.LET(_xlpm.dep,AY$2,_xlpm.var,$D42,_xlpm.start,_xlfn.XMATCH("Dependent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Z42" s="230">
        <f t="array" ref="AZ42">IF(AZ$2=0,"",_xlfn.LET(_xlpm.dep,AZ$2,_xlpm.var,$D42,_xlpm.start,_xlfn.XMATCH("Dependent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BA42" s="230">
        <f t="array" ref="BA42">IF(BA$2=0,"",_xlfn.LET(_xlpm.dep,BA$2,_xlpm.var,$D42,_xlpm.start,_xlfn.XMATCH("Dependent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BB42" s="230">
        <f t="array" ref="BB42">IF(BB$2=0,"",_xlfn.LET(_xlpm.dep,BB$2,_xlpm.var,$D42,_xlpm.start,_xlfn.XMATCH("Dependent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</row>
    <row r="43">
      <c r="C43" s="27" t="inlineStr">
        <is>
          <t>Reach（brand dispo）</t>
        </is>
      </c>
      <c r="D43" s="5">
        <f>B8</f>
        <v/>
      </c>
      <c r="E43" s="227">
        <f>IF(E$2=0,"",IFERROR(VLOOKUP($D$43,'2C 均值'!$A:$F,5,0),0))</f>
        <v/>
      </c>
      <c r="F43" s="227">
        <f>IF(F$2=0,"",IFERROR(VLOOKUP($D$43,'2C 均值'!$A:$F,5,0),0))</f>
        <v/>
      </c>
      <c r="G43" s="227">
        <f>IF(G$2=0,"",IFERROR(VLOOKUP($D$43,'2C 均值'!$A:$F,5,0),0))</f>
        <v/>
      </c>
      <c r="H43" s="227">
        <f>IF(H$2=0,"",IFERROR(VLOOKUP($D$43,'2C 均值'!$A:$F,5,0),0))</f>
        <v/>
      </c>
      <c r="I43" s="227">
        <f>IF(I$2=0,"",IFERROR(VLOOKUP($D$43,'2C 均值'!$A:$F,5,0),0))</f>
        <v/>
      </c>
      <c r="J43" s="227">
        <f>IF(J$2=0,"",IFERROR(VLOOKUP($D$43,'2C 均值'!$A:$F,5,0),0))</f>
        <v/>
      </c>
      <c r="K43" s="227">
        <f>IF(K$2=0,"",IFERROR(VLOOKUP($D$43,'2C 均值'!$A:$F,5,0),0))</f>
        <v/>
      </c>
      <c r="L43" s="227">
        <f>IF(L$2=0,"",IFERROR(VLOOKUP($D$43,'2C 均值'!$A:$F,5,0),0))</f>
        <v/>
      </c>
      <c r="M43" s="227">
        <f>IF(M$2=0,"",IFERROR(VLOOKUP($D$43,'2C 均值'!$A:$F,5,0),0))</f>
        <v/>
      </c>
      <c r="N43" s="227">
        <f>IF(N$2=0,"",IFERROR(VLOOKUP($D$43,'2C 均值'!$A:$F,5,0),0))</f>
        <v/>
      </c>
      <c r="O43" s="227">
        <f>IF(O$2=0,"",IFERROR(VLOOKUP($D$43,'2C 均值'!$A:$F,5,0),0))</f>
        <v/>
      </c>
      <c r="P43" s="227">
        <f>IF(P$2=0,"",IFERROR(VLOOKUP($D$43,'2C 均值'!$A:$F,5,0),0))</f>
        <v/>
      </c>
      <c r="Q43" s="227">
        <f>IF(Q$2=0,"",IFERROR(VLOOKUP($D$43,'2C 均值'!$A:$F,5,0),0))</f>
        <v/>
      </c>
      <c r="R43" s="227">
        <f>IF(R$2=0,"",IFERROR(VLOOKUP($D$43,'2C 均值'!$A:$F,5,0),0))</f>
        <v/>
      </c>
      <c r="S43" s="227">
        <f>IF(S$2=0,"",IFERROR(VLOOKUP($D$43,'2C 均值'!$A:$F,5,0),0))</f>
        <v/>
      </c>
      <c r="T43" s="227">
        <f>IF(T$2=0,"",IFERROR(VLOOKUP($D$43,'2C 均值'!$A:$F,5,0),0))</f>
        <v/>
      </c>
      <c r="U43" s="227">
        <f>IF(U$2=0,"",IFERROR(VLOOKUP($D$43,'2C 均值'!$A:$F,5,0),0))</f>
        <v/>
      </c>
      <c r="V43" s="227">
        <f>IF(V$2=0,"",IFERROR(VLOOKUP($D$43,'2C 均值'!$A:$F,5,0),0))</f>
        <v/>
      </c>
      <c r="W43" s="227">
        <f>IF(W$2=0,"",IFERROR(VLOOKUP($D$43,'2C 均值'!$A:$F,5,0),0))</f>
        <v/>
      </c>
      <c r="X43" s="227">
        <f>IF(X$2=0,"",IFERROR(VLOOKUP($D$43,'2C 均值'!$A:$F,5,0),0))</f>
        <v/>
      </c>
      <c r="Y43" s="227">
        <f>IF(Y$2=0,"",IFERROR(VLOOKUP($D$43,'2C 均值'!$A:$F,5,0),0))</f>
        <v/>
      </c>
      <c r="Z43" s="227">
        <f>IF(Z$2=0,"",IFERROR(VLOOKUP($D$43,'2C 均值'!$A:$F,5,0),0))</f>
        <v/>
      </c>
      <c r="AA43" s="227">
        <f>IF(AA$2=0,"",IFERROR(VLOOKUP($D$43,'2C 均值'!$A:$F,5,0),0))</f>
        <v/>
      </c>
      <c r="AB43" s="227">
        <f>IF(AB$2=0,"",IFERROR(VLOOKUP($D$43,'2C 均值'!$A:$F,5,0),0))</f>
        <v/>
      </c>
      <c r="AC43" s="227">
        <f>IF(AC$2=0,"",IFERROR(VLOOKUP($D$43,'2C 均值'!$A:$F,5,0),0))</f>
        <v/>
      </c>
      <c r="AD43" s="227">
        <f>IF(AD$2=0,"",IFERROR(VLOOKUP($D$43,'2C 均值'!$A:$F,5,0),0))</f>
        <v/>
      </c>
      <c r="AE43" s="227">
        <f>IF(AE$2=0,"",IFERROR(VLOOKUP($D$43,'2C 均值'!$A:$F,5,0),0))</f>
        <v/>
      </c>
      <c r="AF43" s="227">
        <f>IF(AF$2=0,"",IFERROR(VLOOKUP($D$43,'2C 均值'!$A:$F,5,0),0))</f>
        <v/>
      </c>
      <c r="AG43" s="227">
        <f>IF(AG$2=0,"",IFERROR(VLOOKUP($D$43,'2C 均值'!$A:$F,5,0),0))</f>
        <v/>
      </c>
      <c r="AH43" s="227">
        <f>IF(AH$2=0,"",IFERROR(VLOOKUP($D$43,'2C 均值'!$A:$F,5,0),0))</f>
        <v/>
      </c>
      <c r="AI43" s="227">
        <f>IF(AI$2=0,"",IFERROR(VLOOKUP($D$43,'2C 均值'!$A:$F,5,0),0))</f>
        <v/>
      </c>
      <c r="AJ43" s="227">
        <f>IF(AJ$2=0,"",IFERROR(VLOOKUP($D$43,'2C 均值'!$A:$F,5,0),0))</f>
        <v/>
      </c>
      <c r="AK43" s="227">
        <f>IF(AK$2=0,"",IFERROR(VLOOKUP($D$43,'2C 均值'!$A:$F,5,0),0))</f>
        <v/>
      </c>
      <c r="AL43" s="227">
        <f>IF(AL$2=0,"",IFERROR(VLOOKUP($D$43,'2C 均值'!$A:$F,5,0),0))</f>
        <v/>
      </c>
      <c r="AM43" s="227">
        <f>IF(AM$2=0,"",IFERROR(VLOOKUP($D$43,'2C 均值'!$A:$F,5,0),0))</f>
        <v/>
      </c>
      <c r="AN43" s="227">
        <f>IF(AN$2=0,"",IFERROR(VLOOKUP($D$43,'2C 均值'!$A:$F,5,0),0))</f>
        <v/>
      </c>
      <c r="AO43" s="227">
        <f>IF(AO$2=0,"",IFERROR(VLOOKUP($D$43,'2C 均值'!$A:$F,5,0),0))</f>
        <v/>
      </c>
      <c r="AP43" s="227">
        <f>IF(AP$2=0,"",IFERROR(VLOOKUP($D$43,'2C 均值'!$A:$F,5,0),0))</f>
        <v/>
      </c>
      <c r="AQ43" s="227">
        <f>IF(AQ$2=0,"",IFERROR(VLOOKUP($D$43,'2C 均值'!$A:$F,5,0),0))</f>
        <v/>
      </c>
      <c r="AR43" s="227">
        <f>IF(AR$2=0,"",IFERROR(VLOOKUP($D$43,'2C 均值'!$A:$F,5,0),0))</f>
        <v/>
      </c>
      <c r="AS43" s="227">
        <f>IF(AS$2=0,"",IFERROR(VLOOKUP($D$43,'2C 均值'!$A:$F,5,0),0))</f>
        <v/>
      </c>
      <c r="AT43" s="227">
        <f>IF(AT$2=0,"",IFERROR(VLOOKUP($D$43,'2C 均值'!$A:$F,5,0),0))</f>
        <v/>
      </c>
      <c r="AU43" s="227">
        <f>IF(AU$2=0,"",IFERROR(VLOOKUP($D$43,'2C 均值'!$A:$F,5,0),0))</f>
        <v/>
      </c>
      <c r="AV43" s="227">
        <f>IF(AV$2=0,"",IFERROR(VLOOKUP($D$43,'2C 均值'!$A:$F,5,0),0))</f>
        <v/>
      </c>
      <c r="AW43" s="227">
        <f>IF(AW$2=0,"",IFERROR(VLOOKUP($D$43,'2C 均值'!$A:$F,5,0),0))</f>
        <v/>
      </c>
      <c r="AX43" s="227">
        <f>IF(AX$2=0,"",IFERROR(VLOOKUP($D$43,'2C 均值'!$A:$F,5,0),0))</f>
        <v/>
      </c>
      <c r="AY43" s="227">
        <f>IF(AY$2=0,"",IFERROR(VLOOKUP($D$43,'2C 均值'!$A:$F,5,0),0))</f>
        <v/>
      </c>
      <c r="AZ43" s="227">
        <f>IF(AZ$2=0,"",IFERROR(VLOOKUP($D$43,'2C 均值'!$A:$F,5,0),0))</f>
        <v/>
      </c>
      <c r="BA43" s="227">
        <f>IF(BA$2=0,"",IFERROR(VLOOKUP($D$43,'2C 均值'!$A:$F,5,0),0))</f>
        <v/>
      </c>
      <c r="BB43" s="227">
        <f>IF(BB$2=0,"",IFERROR(VLOOKUP($D$43,'2C 均值'!$A:$F,5,0),0))</f>
        <v/>
      </c>
    </row>
    <row r="44">
      <c r="C44" s="27" t="inlineStr">
        <is>
          <t>常数项</t>
        </is>
      </c>
      <c r="D44" s="232" t="inlineStr">
        <is>
          <t>Constant</t>
        </is>
      </c>
      <c r="E44" s="227">
        <f t="array" ref="E44">IF(E$2=0,"",_xlfn.LET(_xlpm.dep,E$2,_xlpm.var,LOWER($D44),_xlpm.start,_xlfn.XMATCH("Dependent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F44" s="227">
        <f t="array" ref="F44">IF(F$2=0,"",_xlfn.LET(_xlpm.dep,F$2,_xlpm.var,LOWER($D44),_xlpm.start,_xlfn.XMATCH("Dependent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G44" s="227">
        <f t="array" ref="G44">IF(G$2=0,"",_xlfn.LET(_xlpm.dep,G$2,_xlpm.var,LOWER($D44),_xlpm.start,_xlfn.XMATCH("Dependent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H44" s="227">
        <f t="array" ref="H44">IF(H$2=0,"",_xlfn.LET(_xlpm.dep,H$2,_xlpm.var,LOWER($D44),_xlpm.start,_xlfn.XMATCH("Dependent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I44" s="227">
        <f t="array" ref="I44">IF(I$2=0,"",_xlfn.LET(_xlpm.dep,I$2,_xlpm.var,LOWER($D44),_xlpm.start,_xlfn.XMATCH("Dependent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J44" s="227">
        <f t="array" ref="J44">IF(J$2=0,"",_xlfn.LET(_xlpm.dep,J$2,_xlpm.var,LOWER($D44),_xlpm.start,_xlfn.XMATCH("Dependent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K44" s="227">
        <f t="array" ref="K44">IF(K$2=0,"",_xlfn.LET(_xlpm.dep,K$2,_xlpm.var,LOWER($D44),_xlpm.start,_xlfn.XMATCH("Dependent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L44" s="227">
        <f t="array" ref="L44">IF(L$2=0,"",_xlfn.LET(_xlpm.dep,L$2,_xlpm.var,LOWER($D44),_xlpm.start,_xlfn.XMATCH("Dependent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M44" s="227">
        <f t="array" ref="M44">IF(M$2=0,"",_xlfn.LET(_xlpm.dep,M$2,_xlpm.var,LOWER($D44),_xlpm.start,_xlfn.XMATCH("Dependent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N44" s="227">
        <f t="array" ref="N44">IF(N$2=0,"",_xlfn.LET(_xlpm.dep,N$2,_xlpm.var,LOWER($D44),_xlpm.start,_xlfn.XMATCH("Dependent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O44" s="227">
        <f t="array" ref="O44">IF(O$2=0,"",_xlfn.LET(_xlpm.dep,O$2,_xlpm.var,LOWER($D44),_xlpm.start,_xlfn.XMATCH("Dependent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P44" s="227">
        <f t="array" ref="P44">IF(P$2=0,"",_xlfn.LET(_xlpm.dep,P$2,_xlpm.var,LOWER($D44),_xlpm.start,_xlfn.XMATCH("Dependent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Q44" s="227">
        <f t="array" ref="Q44">IF(Q$2=0,"",_xlfn.LET(_xlpm.dep,Q$2,_xlpm.var,LOWER($D44),_xlpm.start,_xlfn.XMATCH("Dependent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R44" s="227">
        <f t="array" ref="R44">IF(R$2=0,"",_xlfn.LET(_xlpm.dep,R$2,_xlpm.var,LOWER($D44),_xlpm.start,_xlfn.XMATCH("Dependent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S44" s="227">
        <f t="array" ref="S44">IF(S$2=0,"",_xlfn.LET(_xlpm.dep,S$2,_xlpm.var,LOWER($D44),_xlpm.start,_xlfn.XMATCH("Dependent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T44" s="227">
        <f t="array" ref="T44">IF(T$2=0,"",_xlfn.LET(_xlpm.dep,T$2,_xlpm.var,LOWER($D44),_xlpm.start,_xlfn.XMATCH("Dependent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U44" s="230">
        <f t="array" ref="U44">IF(U$2=0,"",_xlfn.LET(_xlpm.dep,U$2,_xlpm.var,LOWER($D44),_xlpm.start,_xlfn.XMATCH("Dependent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V44" s="230">
        <f t="array" ref="V44">IF(V$2=0,"",_xlfn.LET(_xlpm.dep,V$2,_xlpm.var,LOWER($D44),_xlpm.start,_xlfn.XMATCH("Dependent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W44" s="231">
        <f t="array" ref="W44">IF(W$2=0,"",_xlfn.LET(_xlpm.dep,W$2,_xlpm.var,LOWER($D44),_xlpm.start,_xlfn.XMATCH("Dependent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X44" s="230">
        <f t="array" ref="X44">IF(X$2=0,"",_xlfn.LET(_xlpm.dep,X$2,_xlpm.var,LOWER($D44),_xlpm.start,_xlfn.XMATCH("Dependent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Y44" s="230">
        <f t="array" ref="Y44">IF(Y$2=0,"",_xlfn.LET(_xlpm.dep,Y$2,_xlpm.var,LOWER($D44),_xlpm.start,_xlfn.XMATCH("Dependent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Z44" s="230">
        <f t="array" ref="Z44">IF(Z$2=0,"",_xlfn.LET(_xlpm.dep,Z$2,_xlpm.var,LOWER($D44),_xlpm.start,_xlfn.XMATCH("Dependent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A44" s="230">
        <f t="array" ref="AA44">IF(AA$2=0,"",_xlfn.LET(_xlpm.dep,AA$2,_xlpm.var,LOWER($D44),_xlpm.start,_xlfn.XMATCH("Dependent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B44" s="230">
        <f t="array" ref="AB44">IF(AB$2=0,"",_xlfn.LET(_xlpm.dep,AB$2,_xlpm.var,LOWER($D44),_xlpm.start,_xlfn.XMATCH("Dependent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C44" s="230">
        <f t="array" ref="AC44">IF(AC$2=0,"",_xlfn.LET(_xlpm.dep,AC$2,_xlpm.var,LOWER($D44),_xlpm.start,_xlfn.XMATCH("Dependent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D44" s="230">
        <f t="array" ref="AD44">IF(AD$2=0,"",_xlfn.LET(_xlpm.dep,AD$2,_xlpm.var,LOWER($D44),_xlpm.start,_xlfn.XMATCH("Dependent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E44" s="230">
        <f t="array" ref="AE44">IF(AE$2=0,"",_xlfn.LET(_xlpm.dep,AE$2,_xlpm.var,LOWER($D44),_xlpm.start,_xlfn.XMATCH("Dependent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F44" s="230">
        <f t="array" ref="AF44">IF(AF$2=0,"",_xlfn.LET(_xlpm.dep,AF$2,_xlpm.var,LOWER($D44),_xlpm.start,_xlfn.XMATCH("Dependent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G44" s="230">
        <f t="array" ref="AG44">IF(AG$2=0,"",_xlfn.LET(_xlpm.dep,AG$2,_xlpm.var,LOWER($D44),_xlpm.start,_xlfn.XMATCH("Dependent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H44" s="230">
        <f t="array" ref="AH44">IF(AH$2=0,"",_xlfn.LET(_xlpm.dep,AH$2,_xlpm.var,LOWER($D44),_xlpm.start,_xlfn.XMATCH("Dependent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I44" s="230">
        <f t="array" ref="AI44">IF(AI$2=0,"",_xlfn.LET(_xlpm.dep,AI$2,_xlpm.var,LOWER($D44),_xlpm.start,_xlfn.XMATCH("Dependent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J44" s="230">
        <f t="array" ref="AJ44">IF(AJ$2=0,"",_xlfn.LET(_xlpm.dep,AJ$2,_xlpm.var,LOWER($D44),_xlpm.start,_xlfn.XMATCH("Dependent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K44" s="230">
        <f t="array" ref="AK44">IF(AK$2=0,"",_xlfn.LET(_xlpm.dep,AK$2,_xlpm.var,LOWER($D44),_xlpm.start,_xlfn.XMATCH("Dependent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L44" s="230">
        <f t="array" ref="AL44">IF(AL$2=0,"",_xlfn.LET(_xlpm.dep,AL$2,_xlpm.var,LOWER($D44),_xlpm.start,_xlfn.XMATCH("Dependent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M44" s="230">
        <f t="array" ref="AM44">IF(AM$2=0,"",_xlfn.LET(_xlpm.dep,AM$2,_xlpm.var,LOWER($D44),_xlpm.start,_xlfn.XMATCH("Dependent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N44" s="230">
        <f t="array" ref="AN44">IF(AN$2=0,"",_xlfn.LET(_xlpm.dep,AN$2,_xlpm.var,LOWER($D44),_xlpm.start,_xlfn.XMATCH("Dependent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O44" s="230">
        <f t="array" ref="AO44">IF(AO$2=0,"",_xlfn.LET(_xlpm.dep,AO$2,_xlpm.var,LOWER($D44),_xlpm.start,_xlfn.XMATCH("Dependent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P44" s="230">
        <f t="array" ref="AP44">IF(AP$2=0,"",_xlfn.LET(_xlpm.dep,AP$2,_xlpm.var,LOWER($D44),_xlpm.start,_xlfn.XMATCH("Dependent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Q44" s="230">
        <f t="array" ref="AQ44">IF(AQ$2=0,"",_xlfn.LET(_xlpm.dep,AQ$2,_xlpm.var,LOWER($D44),_xlpm.start,_xlfn.XMATCH("Dependent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R44" s="230">
        <f t="array" ref="AR44">IF(AR$2=0,"",_xlfn.LET(_xlpm.dep,AR$2,_xlpm.var,LOWER($D44),_xlpm.start,_xlfn.XMATCH("Dependent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S44" s="230">
        <f t="array" ref="AS44">IF(AS$2=0,"",_xlfn.LET(_xlpm.dep,AS$2,_xlpm.var,LOWER($D44),_xlpm.start,_xlfn.XMATCH("Dependent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T44" s="230">
        <f t="array" ref="AT44">IF(AT$2=0,"",_xlfn.LET(_xlpm.dep,AT$2,_xlpm.var,LOWER($D44),_xlpm.start,_xlfn.XMATCH("Dependent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U44" s="230">
        <f t="array" ref="AU44">IF(AU$2=0,"",_xlfn.LET(_xlpm.dep,AU$2,_xlpm.var,LOWER($D44),_xlpm.start,_xlfn.XMATCH("Dependent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V44" s="230">
        <f t="array" ref="AV44">IF(AV$2=0,"",_xlfn.LET(_xlpm.dep,AV$2,_xlpm.var,LOWER($D44),_xlpm.start,_xlfn.XMATCH("Dependent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W44" s="230">
        <f t="array" ref="AW44">IF(AW$2=0,"",_xlfn.LET(_xlpm.dep,AW$2,_xlpm.var,LOWER($D44),_xlpm.start,_xlfn.XMATCH("Dependent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X44" s="230">
        <f t="array" ref="AX44">IF(AX$2=0,"",_xlfn.LET(_xlpm.dep,AX$2,_xlpm.var,LOWER($D44),_xlpm.start,_xlfn.XMATCH("Dependent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Y44" s="230">
        <f t="array" ref="AY44">IF(AY$2=0,"",_xlfn.LET(_xlpm.dep,AY$2,_xlpm.var,LOWER($D44),_xlpm.start,_xlfn.XMATCH("Dependent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Z44" s="230">
        <f t="array" ref="AZ44">IF(AZ$2=0,"",_xlfn.LET(_xlpm.dep,AZ$2,_xlpm.var,LOWER($D44),_xlpm.start,_xlfn.XMATCH("Dependent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BA44" s="230">
        <f t="array" ref="BA44">IF(BA$2=0,"",_xlfn.LET(_xlpm.dep,BA$2,_xlpm.var,LOWER($D44),_xlpm.start,_xlfn.XMATCH("Dependent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BB44" s="230">
        <f t="array" ref="BB44">IF(BB$2=0,"",_xlfn.LET(_xlpm.dep,BB$2,_xlpm.var,LOWER($D44),_xlpm.start,_xlfn.XMATCH("Dependent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</row>
    <row r="45">
      <c r="C45" s="3" t="n"/>
      <c r="D45" s="1" t="n"/>
      <c r="E45" s="227" t="n"/>
      <c r="F45" s="227" t="n"/>
      <c r="G45" s="227" t="n"/>
      <c r="H45" s="227" t="n"/>
      <c r="I45" s="227" t="n"/>
      <c r="J45" s="227" t="n"/>
      <c r="K45" s="227" t="n"/>
      <c r="L45" s="227" t="n"/>
      <c r="M45" s="227" t="n"/>
      <c r="N45" s="227" t="n"/>
      <c r="W45" s="229" t="n"/>
    </row>
    <row r="46">
      <c r="C46" s="4" t="inlineStr">
        <is>
          <t>系数（回归模型结果）</t>
        </is>
      </c>
      <c r="D46" s="1" t="inlineStr">
        <is>
          <t>Baseline</t>
        </is>
      </c>
      <c r="E46" s="227">
        <f>IFERROR(IF($B$4=1,(E42*E43+E44),E44),"")</f>
        <v/>
      </c>
      <c r="F46" s="227">
        <f>IFERROR(IF($B$4=1,(F42*F43+F44),F44),"")</f>
        <v/>
      </c>
      <c r="G46" s="227">
        <f>IFERROR(IF($B$4=1,(G42*G43+G44),G44),"")</f>
        <v/>
      </c>
      <c r="H46" s="227">
        <f>IFERROR(IF($B$4=1,(H42*H43+H44),H44),"")</f>
        <v/>
      </c>
      <c r="I46" s="227">
        <f>IFERROR(IF($B$4=1,(I42*I43+I44),I44),"")</f>
        <v/>
      </c>
      <c r="J46" s="227">
        <f>IFERROR(IF($B$4=1,(J42*J43+J44),J44),"")</f>
        <v/>
      </c>
      <c r="K46" s="227">
        <f>IFERROR(IF($B$4=1,(K42*K43+K44),K44),"")</f>
        <v/>
      </c>
      <c r="L46" s="227">
        <f>IFERROR(IF($B$4=1,(L42*L43+L44),L44),"")</f>
        <v/>
      </c>
      <c r="M46" s="227">
        <f>IFERROR(IF($B$4=1,(M42*M43+M44),M44),"")</f>
        <v/>
      </c>
      <c r="N46" s="227">
        <f>IFERROR(IF($B$4=1,(N42*N43+N44),N44),"")</f>
        <v/>
      </c>
      <c r="O46" s="227">
        <f>IFERROR(IF($B$4=1,(O42*O43+O44),O44),"")</f>
        <v/>
      </c>
      <c r="P46" s="227">
        <f>IFERROR(IF($B$4=1,(P42*P43+P44),P44),"")</f>
        <v/>
      </c>
      <c r="Q46" s="227">
        <f>IFERROR(IF($B$4=1,(Q42*Q43+Q44),Q44),"")</f>
        <v/>
      </c>
      <c r="R46" s="227">
        <f>IFERROR(IF($B$4=1,(R42*R43+R44),R44),"")</f>
        <v/>
      </c>
      <c r="S46" s="227">
        <f>IFERROR(IF($B$4=1,(S42*S43+S44),S44),"")</f>
        <v/>
      </c>
      <c r="T46" s="227">
        <f>IFERROR(IF($B$4=1,(T42*T43+T44),T44),"")</f>
        <v/>
      </c>
      <c r="U46" s="227">
        <f>IFERROR(IF($B$4=1,(U42*U43+U44),U44),"")</f>
        <v/>
      </c>
      <c r="V46" s="227">
        <f>IFERROR(IF($B$4=1,(V42*V43+V44),V44),"")</f>
        <v/>
      </c>
      <c r="W46" s="227">
        <f>IFERROR(IF($B$4=1,(W42*W43+W44),W44),"")</f>
        <v/>
      </c>
      <c r="X46" s="227">
        <f>IFERROR(IF($B$4=1,(X42*X43+X44),X44),"")</f>
        <v/>
      </c>
      <c r="Y46" s="227">
        <f>IFERROR(IF($B$4=1,(Y42*Y43+Y44),Y44),"")</f>
        <v/>
      </c>
      <c r="Z46" s="227">
        <f>IFERROR(IF($B$4=1,(Z42*Z43+Z44),Z44),"")</f>
        <v/>
      </c>
      <c r="AA46" s="227">
        <f>IFERROR(IF($B$4=1,(AA42*AA43+AA44),AA44),"")</f>
        <v/>
      </c>
      <c r="AB46" s="227">
        <f>IFERROR(IF($B$4=1,(AB42*AB43+AB44),AB44),"")</f>
        <v/>
      </c>
      <c r="AC46" s="227">
        <f>IFERROR(IF($B$4=1,(AC42*AC43+AC44),AC44),"")</f>
        <v/>
      </c>
      <c r="AD46" s="227">
        <f>IFERROR(IF($B$4=1,(AD42*AD43+AD44),AD44),"")</f>
        <v/>
      </c>
      <c r="AE46" s="227">
        <f>IFERROR(IF($B$4=1,(AE42*AE43+AE44),AE44),"")</f>
        <v/>
      </c>
      <c r="AF46" s="227">
        <f>IFERROR(IF($B$4=1,(AF42*AF43+AF44),AF44),"")</f>
        <v/>
      </c>
      <c r="AG46" s="227">
        <f>IFERROR(IF($B$4=1,(AG42*AG43+AG44),AG44),"")</f>
        <v/>
      </c>
      <c r="AH46" s="227">
        <f>IFERROR(IF($B$4=1,(AH42*AH43+AH44),AH44),"")</f>
        <v/>
      </c>
      <c r="AI46" s="227">
        <f>IFERROR(IF($B$4=1,(AI42*AI43+AI44),AI44),"")</f>
        <v/>
      </c>
      <c r="AJ46" s="227">
        <f>IFERROR(IF($B$4=1,(AJ42*AJ43+AJ44),AJ44),"")</f>
        <v/>
      </c>
      <c r="AK46" s="227">
        <f>IFERROR(IF($B$4=1,(AK42*AK43+AK44),AK44),"")</f>
        <v/>
      </c>
      <c r="AL46" s="227">
        <f>IFERROR(IF($B$4=1,(AL42*AL43+AL44),AL44),"")</f>
        <v/>
      </c>
      <c r="AM46" s="227">
        <f>IFERROR(IF($B$4=1,(AM42*AM43+AM44),AM44),"")</f>
        <v/>
      </c>
      <c r="AN46" s="227">
        <f>IFERROR(IF($B$4=1,(AN42*AN43+AN44),AN44),"")</f>
        <v/>
      </c>
      <c r="AO46" s="227">
        <f>IFERROR(IF($B$4=1,(AO42*AO43+AO44),AO44),"")</f>
        <v/>
      </c>
      <c r="AP46" s="227">
        <f>IFERROR(IF($B$4=1,(AP42*AP43+AP44),AP44),"")</f>
        <v/>
      </c>
      <c r="AQ46" s="227">
        <f>IFERROR(IF($B$4=1,(AQ42*AQ43+AQ44),AQ44),"")</f>
        <v/>
      </c>
      <c r="AR46" s="227">
        <f>IFERROR(IF($B$4=1,(AR42*AR43+AR44),AR44),"")</f>
        <v/>
      </c>
      <c r="AS46" s="227">
        <f>IFERROR(IF($B$4=1,(AS42*AS43+AS44),AS44),"")</f>
        <v/>
      </c>
      <c r="AT46" s="227">
        <f>IFERROR(IF($B$4=1,(AT42*AT43+AT44),AT44),"")</f>
        <v/>
      </c>
      <c r="AU46" s="227">
        <f>IFERROR(IF($B$4=1,(AU42*AU43+AU44),AU44),"")</f>
        <v/>
      </c>
      <c r="AV46" s="227">
        <f>IFERROR(IF($B$4=1,(AV42*AV43+AV44),AV44),"")</f>
        <v/>
      </c>
      <c r="AW46" s="227">
        <f>IFERROR(IF($B$4=1,(AW42*AW43+AW44),AW44),"")</f>
        <v/>
      </c>
      <c r="AX46" s="227">
        <f>IFERROR(IF($B$4=1,(AX42*AX43+AX44),AX44),"")</f>
        <v/>
      </c>
      <c r="AY46" s="227">
        <f>IFERROR(IF($B$4=1,(AY42*AY43+AY44),AY44),"")</f>
        <v/>
      </c>
      <c r="AZ46" s="227">
        <f>IFERROR(IF($B$4=1,(AZ42*AZ43+AZ44),AZ44),"")</f>
        <v/>
      </c>
      <c r="BA46" s="227">
        <f>IFERROR(IF($B$4=1,(BA42*BA43+BA44),BA44),"")</f>
        <v/>
      </c>
      <c r="BB46" s="227">
        <f>IFERROR(IF($B$4=1,(BB42*BB43+BB44),BB44),"")</f>
        <v/>
      </c>
    </row>
    <row r="47">
      <c r="C47" s="3" t="n"/>
    </row>
    <row r="48" ht="16.5" customHeight="1" s="179">
      <c r="C48" s="7" t="inlineStr">
        <is>
          <t>KPI表现</t>
        </is>
      </c>
      <c r="D48" s="1" t="inlineStr">
        <is>
          <t>Y(All)</t>
        </is>
      </c>
      <c r="E48" s="233">
        <f>_xlfn.XLOOKUP(E$2,'2C 均值'!$A:$A,'2C 均值'!$E:$E)</f>
        <v/>
      </c>
      <c r="F48" s="233">
        <f>_xlfn.XLOOKUP(F$2,'2C 均值'!$A:$A,'2C 均值'!$E:$E)</f>
        <v/>
      </c>
      <c r="G48" s="233">
        <f>_xlfn.XLOOKUP(G$2,'2C 均值'!$A:$A,'2C 均值'!$E:$E)</f>
        <v/>
      </c>
      <c r="H48" s="233">
        <f>IFERROR(_xlfn.XLOOKUP(H$2,'2C 均值'!$A:$A,'2C 均值'!$E:$E),"")</f>
        <v/>
      </c>
      <c r="I48" s="233">
        <f>IFERROR(_xlfn.XLOOKUP(I$2,'2C 均值'!$A:$A,'2C 均值'!$E:$E),"")</f>
        <v/>
      </c>
      <c r="J48" s="233">
        <f>IFERROR(_xlfn.XLOOKUP(J$2,'2C 均值'!$A:$A,'2C 均值'!$E:$E),"")</f>
        <v/>
      </c>
      <c r="K48" s="233">
        <f>IFERROR(_xlfn.XLOOKUP(K$2,'2C 均值'!$A:$A,'2C 均值'!$E:$E),"")</f>
        <v/>
      </c>
      <c r="L48" s="233">
        <f>IFERROR(_xlfn.XLOOKUP(L$2,'2C 均值'!$A:$A,'2C 均值'!$E:$E),"")</f>
        <v/>
      </c>
      <c r="M48" s="233">
        <f>IFERROR(_xlfn.XLOOKUP(M$2,'2C 均值'!$A:$A,'2C 均值'!$E:$E),"")</f>
        <v/>
      </c>
      <c r="N48" s="233">
        <f>IFERROR(_xlfn.XLOOKUP(N$2,'2C 均值'!$A:$A,'2C 均值'!$E:$E),"")</f>
        <v/>
      </c>
      <c r="O48" s="233">
        <f>IFERROR(_xlfn.XLOOKUP(O$2,'2C 均值'!$A:$A,'2C 均值'!$E:$E),"")</f>
        <v/>
      </c>
      <c r="P48" s="233">
        <f>IFERROR(_xlfn.XLOOKUP(P$2,'2C 均值'!$A:$A,'2C 均值'!$E:$E),"")</f>
        <v/>
      </c>
      <c r="Q48" s="233">
        <f>IFERROR(_xlfn.XLOOKUP(Q$2,'2C 均值'!$A:$A,'2C 均值'!$E:$E),"")</f>
        <v/>
      </c>
      <c r="R48" s="233">
        <f>IFERROR(_xlfn.XLOOKUP(R$2,'2C 均值'!$A:$A,'2C 均值'!$E:$E),"")</f>
        <v/>
      </c>
      <c r="S48" s="233">
        <f>IFERROR(_xlfn.XLOOKUP(S$2,'2C 均值'!$A:$A,'2C 均值'!$E:$E),"")</f>
        <v/>
      </c>
      <c r="T48" s="233">
        <f>IFERROR(_xlfn.XLOOKUP(T$2,'2C 均值'!$A:$A,'2C 均值'!$E:$E),"")</f>
        <v/>
      </c>
      <c r="U48" s="233">
        <f>IFERROR(_xlfn.XLOOKUP(U$2,'2C 均值'!$A:$A,'2C 均值'!$E:$E),"")</f>
        <v/>
      </c>
      <c r="V48" s="233">
        <f>IFERROR(_xlfn.XLOOKUP(V$2,'2C 均值'!$A:$A,'2C 均值'!$E:$E),"")</f>
        <v/>
      </c>
      <c r="W48" s="233">
        <f>IFERROR(_xlfn.XLOOKUP(W$2,'2C 均值'!$A:$A,'2C 均值'!$E:$E),"")</f>
        <v/>
      </c>
      <c r="X48" s="233">
        <f>IFERROR(_xlfn.XLOOKUP(X$2,'2C 均值'!$A:$A,'2C 均值'!$E:$E),"")</f>
        <v/>
      </c>
      <c r="Y48" s="233">
        <f>IFERROR(_xlfn.XLOOKUP(Y$2,'2C 均值'!$A:$A,'2C 均值'!$E:$E),"")</f>
        <v/>
      </c>
      <c r="Z48" s="233">
        <f>IFERROR(_xlfn.XLOOKUP(Z$2,'2C 均值'!$A:$A,'2C 均值'!$E:$E),"")</f>
        <v/>
      </c>
      <c r="AA48" s="233">
        <f>IFERROR(_xlfn.XLOOKUP(AA$2,'2C 均值'!$A:$A,'2C 均值'!$E:$E),"")</f>
        <v/>
      </c>
      <c r="AB48" s="233">
        <f>IFERROR(_xlfn.XLOOKUP(AB$2,'2C 均值'!$A:$A,'2C 均值'!$E:$E),"")</f>
        <v/>
      </c>
      <c r="AC48" s="233">
        <f>IFERROR(_xlfn.XLOOKUP(AC$2,'2C 均值'!$A:$A,'2C 均值'!$E:$E),"")</f>
        <v/>
      </c>
      <c r="AD48" s="233">
        <f>IFERROR(_xlfn.XLOOKUP(AD$2,'2C 均值'!$A:$A,'2C 均值'!$E:$E),"")</f>
        <v/>
      </c>
      <c r="AE48" s="233">
        <f>IFERROR(_xlfn.XLOOKUP(AE$2,'2C 均值'!$A:$A,'2C 均值'!$E:$E),"")</f>
        <v/>
      </c>
      <c r="AF48" s="233">
        <f>IFERROR(_xlfn.XLOOKUP(AF$2,'2C 均值'!$A:$A,'2C 均值'!$E:$E),"")</f>
        <v/>
      </c>
      <c r="AG48" s="233">
        <f>IFERROR(_xlfn.XLOOKUP(AG$2,'2C 均值'!$A:$A,'2C 均值'!$E:$E),"")</f>
        <v/>
      </c>
      <c r="AH48" s="233">
        <f>IFERROR(_xlfn.XLOOKUP(AH$2,'2C 均值'!$A:$A,'2C 均值'!$E:$E),"")</f>
        <v/>
      </c>
      <c r="AI48" s="233">
        <f>IFERROR(_xlfn.XLOOKUP(AI$2,'2C 均值'!$A:$A,'2C 均值'!$E:$E),"")</f>
        <v/>
      </c>
      <c r="AJ48" s="233">
        <f>IFERROR(_xlfn.XLOOKUP(AJ$2,'2C 均值'!$A:$A,'2C 均值'!$E:$E),"")</f>
        <v/>
      </c>
      <c r="AK48" s="233">
        <f>IFERROR(_xlfn.XLOOKUP(AK$2,'2C 均值'!$A:$A,'2C 均值'!$E:$E),"")</f>
        <v/>
      </c>
      <c r="AL48" s="233">
        <f>IFERROR(_xlfn.XLOOKUP(AL$2,'2C 均值'!$A:$A,'2C 均值'!$E:$E),"")</f>
        <v/>
      </c>
      <c r="AM48" s="233">
        <f>IFERROR(_xlfn.XLOOKUP(AM$2,'2C 均值'!$A:$A,'2C 均值'!$E:$E),"")</f>
        <v/>
      </c>
      <c r="AN48" s="233">
        <f>IFERROR(_xlfn.XLOOKUP(AN$2,'2C 均值'!$A:$A,'2C 均值'!$E:$E),"")</f>
        <v/>
      </c>
      <c r="AO48" s="233">
        <f>IFERROR(_xlfn.XLOOKUP(AO$2,'2C 均值'!$A:$A,'2C 均值'!$E:$E),"")</f>
        <v/>
      </c>
      <c r="AP48" s="233">
        <f>IFERROR(_xlfn.XLOOKUP(AP$2,'2C 均值'!$A:$A,'2C 均值'!$E:$E),"")</f>
        <v/>
      </c>
      <c r="AQ48" s="233">
        <f>IFERROR(_xlfn.XLOOKUP(AQ$2,'2C 均值'!$A:$A,'2C 均值'!$E:$E),"")</f>
        <v/>
      </c>
      <c r="AR48" s="233">
        <f>IFERROR(_xlfn.XLOOKUP(AR$2,'2C 均值'!$A:$A,'2C 均值'!$E:$E),"")</f>
        <v/>
      </c>
      <c r="AS48" s="233">
        <f>IFERROR(_xlfn.XLOOKUP(AS$2,'2C 均值'!$A:$A,'2C 均值'!$E:$E),"")</f>
        <v/>
      </c>
      <c r="AT48" s="233">
        <f>IFERROR(_xlfn.XLOOKUP(AT$2,'2C 均值'!$A:$A,'2C 均值'!$E:$E),"")</f>
        <v/>
      </c>
      <c r="AU48" s="233">
        <f>IFERROR(_xlfn.XLOOKUP(AU$2,'2C 均值'!$A:$A,'2C 均值'!$E:$E),"")</f>
        <v/>
      </c>
      <c r="AV48" s="233">
        <f>IFERROR(_xlfn.XLOOKUP(AV$2,'2C 均值'!$A:$A,'2C 均值'!$E:$E),"")</f>
        <v/>
      </c>
      <c r="AW48" s="233">
        <f>IFERROR(_xlfn.XLOOKUP(AW$2,'2C 均值'!$A:$A,'2C 均值'!$E:$E),"")</f>
        <v/>
      </c>
      <c r="AX48" s="233">
        <f>IFERROR(_xlfn.XLOOKUP(AX$2,'2C 均值'!$A:$A,'2C 均值'!$E:$E),"")</f>
        <v/>
      </c>
      <c r="AY48" s="233">
        <f>IFERROR(_xlfn.XLOOKUP(AY$2,'2C 均值'!$A:$A,'2C 均值'!$E:$E),"")</f>
        <v/>
      </c>
      <c r="AZ48" s="233">
        <f>IFERROR(_xlfn.XLOOKUP(AZ$2,'2C 均值'!$A:$A,'2C 均值'!$E:$E),"")</f>
        <v/>
      </c>
      <c r="BA48" s="233">
        <f>IFERROR(_xlfn.XLOOKUP(BA$2,'2C 均值'!$A:$A,'2C 均值'!$E:$E),"")</f>
        <v/>
      </c>
      <c r="BB48" s="233">
        <f>IFERROR(_xlfn.XLOOKUP(BB$2,'2C 均值'!$A:$A,'2C 均值'!$E:$E),"")</f>
        <v/>
      </c>
    </row>
    <row r="49" ht="16.5" customHeight="1" s="179">
      <c r="C49" s="7" t="inlineStr">
        <is>
          <t>报告中的Baseline</t>
        </is>
      </c>
      <c r="D49" s="85" t="inlineStr">
        <is>
          <t>BaseLine</t>
        </is>
      </c>
      <c r="E49" s="233">
        <f>E46</f>
        <v/>
      </c>
      <c r="F49" s="233">
        <f>F46</f>
        <v/>
      </c>
      <c r="G49" s="233">
        <f>G46</f>
        <v/>
      </c>
      <c r="H49" s="233">
        <f>H46</f>
        <v/>
      </c>
      <c r="I49" s="233">
        <f>I46</f>
        <v/>
      </c>
      <c r="J49" s="233">
        <f>J46</f>
        <v/>
      </c>
      <c r="K49" s="233">
        <f>K46</f>
        <v/>
      </c>
      <c r="L49" s="233">
        <f>L46</f>
        <v/>
      </c>
      <c r="M49" s="233">
        <f>M46</f>
        <v/>
      </c>
      <c r="N49" s="233">
        <f>N46</f>
        <v/>
      </c>
      <c r="O49" s="233">
        <f>O46</f>
        <v/>
      </c>
      <c r="P49" s="233">
        <f>P46</f>
        <v/>
      </c>
      <c r="Q49" s="233">
        <f>Q46</f>
        <v/>
      </c>
      <c r="R49" s="233">
        <f>R46</f>
        <v/>
      </c>
      <c r="S49" s="233">
        <f>S46</f>
        <v/>
      </c>
      <c r="T49" s="233">
        <f>T46</f>
        <v/>
      </c>
      <c r="U49" s="233">
        <f>U46</f>
        <v/>
      </c>
      <c r="V49" s="233">
        <f>V46</f>
        <v/>
      </c>
      <c r="W49" s="233">
        <f>W46</f>
        <v/>
      </c>
      <c r="X49" s="233">
        <f>X46</f>
        <v/>
      </c>
      <c r="Y49" s="233">
        <f>Y46</f>
        <v/>
      </c>
      <c r="Z49" s="233">
        <f>Z46</f>
        <v/>
      </c>
      <c r="AA49" s="233">
        <f>AA46</f>
        <v/>
      </c>
      <c r="AB49" s="233">
        <f>AB46</f>
        <v/>
      </c>
      <c r="AC49" s="233">
        <f>AC46</f>
        <v/>
      </c>
      <c r="AD49" s="233">
        <f>AD46</f>
        <v/>
      </c>
      <c r="AE49" s="233">
        <f>AE46</f>
        <v/>
      </c>
      <c r="AF49" s="233">
        <f>AF46</f>
        <v/>
      </c>
      <c r="AG49" s="233">
        <f>AG46</f>
        <v/>
      </c>
      <c r="AH49" s="233">
        <f>AH46</f>
        <v/>
      </c>
      <c r="AI49" s="233">
        <f>AI46</f>
        <v/>
      </c>
      <c r="AJ49" s="233">
        <f>AJ46</f>
        <v/>
      </c>
      <c r="AK49" s="233">
        <f>AK46</f>
        <v/>
      </c>
      <c r="AL49" s="233">
        <f>AL46</f>
        <v/>
      </c>
      <c r="AM49" s="233">
        <f>AM46</f>
        <v/>
      </c>
      <c r="AN49" s="233">
        <f>AN46</f>
        <v/>
      </c>
      <c r="AO49" s="233">
        <f>AO46</f>
        <v/>
      </c>
      <c r="AP49" s="233">
        <f>AP46</f>
        <v/>
      </c>
      <c r="AQ49" s="233">
        <f>AQ46</f>
        <v/>
      </c>
      <c r="AR49" s="233">
        <f>AR46</f>
        <v/>
      </c>
      <c r="AS49" s="233">
        <f>AS46</f>
        <v/>
      </c>
      <c r="AT49" s="233">
        <f>AT46</f>
        <v/>
      </c>
      <c r="AU49" s="233">
        <f>AU46</f>
        <v/>
      </c>
      <c r="AV49" s="233">
        <f>AV46</f>
        <v/>
      </c>
      <c r="AW49" s="233">
        <f>AW46</f>
        <v/>
      </c>
      <c r="AX49" s="233">
        <f>AX46</f>
        <v/>
      </c>
      <c r="AY49" s="233">
        <f>AY46</f>
        <v/>
      </c>
      <c r="AZ49" s="233">
        <f>AZ46</f>
        <v/>
      </c>
      <c r="BA49" s="233">
        <f>BA46</f>
        <v/>
      </c>
      <c r="BB49" s="233">
        <f>BB46</f>
        <v/>
      </c>
    </row>
    <row r="50" ht="16.5" customHeight="1" s="179">
      <c r="C50" s="7" t="inlineStr">
        <is>
          <t>报告中的Impact</t>
        </is>
      </c>
      <c r="D50" s="5" t="inlineStr">
        <is>
          <t>Uplifts</t>
        </is>
      </c>
      <c r="E50" s="233">
        <f>IFERROR(E48-E49,"")</f>
        <v/>
      </c>
      <c r="F50" s="233">
        <f>IFERROR(F48-F49,"")</f>
        <v/>
      </c>
      <c r="G50" s="233">
        <f>IFERROR(G48-G49,"")</f>
        <v/>
      </c>
      <c r="H50" s="233">
        <f>IFERROR(H48-H49,"")</f>
        <v/>
      </c>
      <c r="I50" s="233">
        <f>IFERROR(I48-I49,"")</f>
        <v/>
      </c>
      <c r="J50" s="233">
        <f>IFERROR(J48-J49,"")</f>
        <v/>
      </c>
      <c r="K50" s="233">
        <f>IFERROR(K48-K49,"")</f>
        <v/>
      </c>
      <c r="L50" s="233">
        <f>IFERROR(L48-L49,"")</f>
        <v/>
      </c>
      <c r="M50" s="233">
        <f>IFERROR(M48-M49,"")</f>
        <v/>
      </c>
      <c r="N50" s="233">
        <f>IFERROR(N48-N49,"")</f>
        <v/>
      </c>
      <c r="O50" s="233">
        <f>IFERROR(O48-O49,"")</f>
        <v/>
      </c>
      <c r="P50" s="233">
        <f>IFERROR(P48-P49,"")</f>
        <v/>
      </c>
      <c r="Q50" s="233">
        <f>IFERROR(Q48-Q49,"")</f>
        <v/>
      </c>
      <c r="R50" s="233">
        <f>IFERROR(R48-R49,"")</f>
        <v/>
      </c>
      <c r="S50" s="233">
        <f>IFERROR(S48-S49,"")</f>
        <v/>
      </c>
      <c r="T50" s="233">
        <f>IFERROR(T48-T49,"")</f>
        <v/>
      </c>
      <c r="U50" s="233">
        <f>IFERROR(U48-U49,"")</f>
        <v/>
      </c>
      <c r="V50" s="233">
        <f>IFERROR(V48-V49,"")</f>
        <v/>
      </c>
      <c r="W50" s="233">
        <f>IFERROR(W48-W49,"")</f>
        <v/>
      </c>
      <c r="X50" s="233">
        <f>IFERROR(X48-X49,"")</f>
        <v/>
      </c>
      <c r="Y50" s="233">
        <f>IFERROR(Y48-Y49,"")</f>
        <v/>
      </c>
      <c r="Z50" s="233">
        <f>IFERROR(Z48-Z49,"")</f>
        <v/>
      </c>
      <c r="AA50" s="233">
        <f>IFERROR(AA48-AA49,"")</f>
        <v/>
      </c>
      <c r="AB50" s="233">
        <f>IFERROR(AB48-AB49,"")</f>
        <v/>
      </c>
      <c r="AC50" s="233">
        <f>IFERROR(AC48-AC49,"")</f>
        <v/>
      </c>
      <c r="AD50" s="233">
        <f>IFERROR(AD48-AD49,"")</f>
        <v/>
      </c>
      <c r="AE50" s="233">
        <f>IFERROR(AE48-AE49,"")</f>
        <v/>
      </c>
      <c r="AF50" s="233">
        <f>IFERROR(AF48-AF49,"")</f>
        <v/>
      </c>
      <c r="AG50" s="233">
        <f>IFERROR(AG48-AG49,"")</f>
        <v/>
      </c>
      <c r="AH50" s="233">
        <f>IFERROR(AH48-AH49,"")</f>
        <v/>
      </c>
      <c r="AI50" s="233">
        <f>IFERROR(AI48-AI49,"")</f>
        <v/>
      </c>
      <c r="AJ50" s="233">
        <f>IFERROR(AJ48-AJ49,"")</f>
        <v/>
      </c>
      <c r="AK50" s="233">
        <f>IFERROR(AK48-AK49,"")</f>
        <v/>
      </c>
      <c r="AL50" s="233">
        <f>IFERROR(AL48-AL49,"")</f>
        <v/>
      </c>
      <c r="AM50" s="233">
        <f>IFERROR(AM48-AM49,"")</f>
        <v/>
      </c>
      <c r="AN50" s="233">
        <f>IFERROR(AN48-AN49,"")</f>
        <v/>
      </c>
      <c r="AO50" s="233">
        <f>IFERROR(AO48-AO49,"")</f>
        <v/>
      </c>
      <c r="AP50" s="233">
        <f>IFERROR(AP48-AP49,"")</f>
        <v/>
      </c>
      <c r="AQ50" s="233">
        <f>IFERROR(AQ48-AQ49,"")</f>
        <v/>
      </c>
      <c r="AR50" s="233">
        <f>IFERROR(AR48-AR49,"")</f>
        <v/>
      </c>
      <c r="AS50" s="233">
        <f>IFERROR(AS48-AS49,"")</f>
        <v/>
      </c>
      <c r="AT50" s="233">
        <f>IFERROR(AT48-AT49,"")</f>
        <v/>
      </c>
      <c r="AU50" s="233">
        <f>IFERROR(AU48-AU49,"")</f>
        <v/>
      </c>
      <c r="AV50" s="233">
        <f>IFERROR(AV48-AV49,"")</f>
        <v/>
      </c>
      <c r="AW50" s="233">
        <f>IFERROR(AW48-AW49,"")</f>
        <v/>
      </c>
      <c r="AX50" s="233">
        <f>IFERROR(AX48-AX49,"")</f>
        <v/>
      </c>
      <c r="AY50" s="233">
        <f>IFERROR(AY48-AY49,"")</f>
        <v/>
      </c>
      <c r="AZ50" s="233">
        <f>IFERROR(AZ48-AZ49,"")</f>
        <v/>
      </c>
      <c r="BA50" s="233">
        <f>IFERROR(BA48-BA49,"")</f>
        <v/>
      </c>
      <c r="BB50" s="233">
        <f>IFERROR(BB48-BB49,"")</f>
        <v/>
      </c>
    </row>
    <row r="51">
      <c r="E51" s="233" t="n"/>
      <c r="F51" s="233" t="n"/>
      <c r="G51" s="233" t="n"/>
      <c r="H51" s="233" t="n"/>
      <c r="I51" s="233" t="n"/>
      <c r="J51" s="233" t="n"/>
      <c r="K51" s="233" t="n"/>
      <c r="L51" s="233" t="n"/>
      <c r="M51" s="233" t="n"/>
      <c r="N51" s="233" t="n"/>
      <c r="O51" s="233" t="n"/>
      <c r="P51" s="233" t="n"/>
      <c r="Q51" s="233" t="n"/>
      <c r="R51" s="233" t="n"/>
      <c r="S51" s="233" t="n"/>
      <c r="T51" s="233" t="n"/>
    </row>
    <row r="52">
      <c r="E52" s="233" t="n"/>
      <c r="F52" s="233" t="n"/>
      <c r="G52" s="233" t="n"/>
      <c r="H52" s="233" t="n"/>
      <c r="I52" s="233" t="n"/>
      <c r="J52" s="233" t="n"/>
      <c r="K52" s="233" t="n"/>
      <c r="L52" s="233" t="n"/>
      <c r="M52" s="233" t="n"/>
      <c r="N52" s="233" t="n"/>
      <c r="O52" s="233" t="n"/>
      <c r="P52" s="233" t="n"/>
      <c r="Q52" s="233" t="n"/>
      <c r="R52" s="233" t="n"/>
      <c r="S52" s="233" t="n"/>
      <c r="T52" s="233" t="n"/>
    </row>
    <row r="53">
      <c r="E53" s="233" t="n"/>
      <c r="F53" s="233" t="n"/>
      <c r="G53" s="233" t="n"/>
      <c r="H53" s="233" t="n"/>
      <c r="I53" s="233" t="n"/>
      <c r="J53" s="233" t="n"/>
      <c r="K53" s="233" t="n"/>
      <c r="L53" s="233" t="n"/>
      <c r="M53" s="233" t="n"/>
      <c r="N53" s="233" t="n"/>
      <c r="O53" s="233" t="n"/>
      <c r="P53" s="233" t="n"/>
      <c r="Q53" s="233" t="n"/>
      <c r="R53" s="233" t="n"/>
      <c r="S53" s="233" t="n"/>
      <c r="T53" s="233" t="n"/>
    </row>
    <row r="54">
      <c r="E54" s="233" t="n"/>
      <c r="F54" s="233" t="n"/>
      <c r="G54" s="233" t="n"/>
      <c r="H54" s="233" t="n"/>
      <c r="I54" s="233" t="n"/>
      <c r="J54" s="233" t="n"/>
      <c r="K54" s="233" t="n"/>
      <c r="L54" s="233" t="n"/>
      <c r="M54" s="233" t="n"/>
      <c r="N54" s="233" t="n"/>
      <c r="O54" s="233" t="n"/>
      <c r="P54" s="233" t="n"/>
      <c r="Q54" s="233" t="n"/>
      <c r="R54" s="233" t="n"/>
      <c r="S54" s="233" t="n"/>
      <c r="T54" s="233" t="n"/>
    </row>
    <row r="55"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233" t="n"/>
      <c r="O55" s="233" t="n"/>
      <c r="P55" s="233" t="n"/>
      <c r="Q55" s="233" t="n"/>
      <c r="R55" s="233" t="n"/>
      <c r="S55" s="233" t="n"/>
      <c r="T55" s="233" t="n"/>
    </row>
    <row r="56">
      <c r="E56" s="234" t="n">
        <v>2</v>
      </c>
      <c r="F56" s="234" t="n">
        <v>3</v>
      </c>
      <c r="G56" s="234" t="n">
        <v>4</v>
      </c>
      <c r="H56" s="234" t="n">
        <v>5</v>
      </c>
      <c r="I56" s="234" t="n">
        <v>6</v>
      </c>
      <c r="J56" s="234" t="n">
        <v>7</v>
      </c>
      <c r="K56" s="234" t="n">
        <v>8</v>
      </c>
      <c r="L56" s="234" t="n">
        <v>9</v>
      </c>
      <c r="M56" s="234" t="n">
        <v>10</v>
      </c>
      <c r="N56" s="234" t="n">
        <v>11</v>
      </c>
      <c r="O56" s="234" t="n">
        <v>11</v>
      </c>
      <c r="P56" s="234" t="n">
        <v>11</v>
      </c>
      <c r="Q56" s="234" t="n">
        <v>11</v>
      </c>
      <c r="R56" s="234" t="n">
        <v>11</v>
      </c>
      <c r="S56" s="234" t="n">
        <v>11</v>
      </c>
      <c r="T56" s="234" t="n">
        <v>11</v>
      </c>
      <c r="U56" s="234" t="n">
        <v>11</v>
      </c>
      <c r="V56" s="234" t="n">
        <v>11</v>
      </c>
      <c r="W56" s="234" t="n">
        <v>11</v>
      </c>
      <c r="X56" s="234" t="n">
        <v>11</v>
      </c>
      <c r="Y56" s="234" t="n">
        <v>12</v>
      </c>
      <c r="Z56" s="234" t="n">
        <v>13</v>
      </c>
      <c r="AA56" s="234" t="n">
        <v>14</v>
      </c>
      <c r="AB56" s="234" t="n">
        <v>15</v>
      </c>
      <c r="AC56" s="234" t="n">
        <v>16</v>
      </c>
      <c r="AD56" s="234" t="n">
        <v>17</v>
      </c>
      <c r="AE56" s="234" t="n">
        <v>18</v>
      </c>
      <c r="AF56" s="234" t="n">
        <v>19</v>
      </c>
      <c r="AG56" s="234" t="n">
        <v>20</v>
      </c>
      <c r="AH56" s="234" t="n">
        <v>21</v>
      </c>
      <c r="AI56" s="234" t="n">
        <v>22</v>
      </c>
      <c r="AJ56" s="234" t="n">
        <v>23</v>
      </c>
      <c r="AK56" s="234" t="n">
        <v>24</v>
      </c>
      <c r="AL56" s="234" t="n">
        <v>25</v>
      </c>
      <c r="AM56" s="234" t="n">
        <v>26</v>
      </c>
      <c r="AN56" s="234" t="n">
        <v>27</v>
      </c>
      <c r="AO56" s="234" t="n">
        <v>28</v>
      </c>
      <c r="AP56" s="234" t="n">
        <v>29</v>
      </c>
      <c r="AQ56" s="234" t="n">
        <v>30</v>
      </c>
      <c r="AR56" s="234" t="n">
        <v>31</v>
      </c>
      <c r="AS56" s="234" t="n">
        <v>32</v>
      </c>
      <c r="AT56" s="234" t="n">
        <v>33</v>
      </c>
      <c r="AU56" s="234" t="n">
        <v>34</v>
      </c>
      <c r="AV56" s="234" t="n">
        <v>35</v>
      </c>
      <c r="AW56" s="234" t="n">
        <v>36</v>
      </c>
      <c r="AX56" s="234" t="n">
        <v>37</v>
      </c>
      <c r="AY56" s="234" t="n">
        <v>38</v>
      </c>
      <c r="AZ56" s="234" t="n">
        <v>39</v>
      </c>
      <c r="BA56" s="234" t="n">
        <v>40</v>
      </c>
      <c r="BB56" s="234" t="n">
        <v>41</v>
      </c>
    </row>
    <row r="57" ht="30" customFormat="1" customHeight="1" s="175">
      <c r="C57" s="175" t="inlineStr">
        <is>
          <t>Channel所属Factor</t>
        </is>
      </c>
      <c r="D57" s="19" t="inlineStr">
        <is>
          <t>Channel Coefficient</t>
        </is>
      </c>
      <c r="E57" s="79">
        <f>E2</f>
        <v/>
      </c>
      <c r="F57" s="79">
        <f>F2</f>
        <v/>
      </c>
      <c r="G57" s="79">
        <f>G2</f>
        <v/>
      </c>
      <c r="H57" s="79">
        <f>H2</f>
        <v/>
      </c>
      <c r="I57" s="79">
        <f>I2</f>
        <v/>
      </c>
      <c r="J57" s="79">
        <f>J2</f>
        <v/>
      </c>
      <c r="K57" s="79">
        <f>K2</f>
        <v/>
      </c>
      <c r="L57" s="79">
        <f>L2</f>
        <v/>
      </c>
      <c r="M57" s="79">
        <f>M2</f>
        <v/>
      </c>
      <c r="N57" s="79">
        <f>N2</f>
        <v/>
      </c>
      <c r="O57" s="79">
        <f>O2</f>
        <v/>
      </c>
      <c r="P57" s="79">
        <f>P2</f>
        <v/>
      </c>
      <c r="Q57" s="79">
        <f>Q2</f>
        <v/>
      </c>
      <c r="R57" s="79">
        <f>R2</f>
        <v/>
      </c>
      <c r="S57" s="79">
        <f>S2</f>
        <v/>
      </c>
      <c r="T57" s="79">
        <f>T2</f>
        <v/>
      </c>
      <c r="U57" s="79">
        <f>U2</f>
        <v/>
      </c>
      <c r="V57" s="79">
        <f>V2</f>
        <v/>
      </c>
      <c r="W57" s="79">
        <f>W2</f>
        <v/>
      </c>
      <c r="X57" s="79">
        <f>X2</f>
        <v/>
      </c>
      <c r="Y57" s="79">
        <f>Y2</f>
        <v/>
      </c>
      <c r="Z57" s="79">
        <f>Z2</f>
        <v/>
      </c>
      <c r="AA57" s="79">
        <f>AA2</f>
        <v/>
      </c>
      <c r="AB57" s="79">
        <f>AB2</f>
        <v/>
      </c>
      <c r="AC57" s="79">
        <f>AC2</f>
        <v/>
      </c>
      <c r="AD57" s="79">
        <f>AD2</f>
        <v/>
      </c>
      <c r="AE57" s="79">
        <f>AE2</f>
        <v/>
      </c>
      <c r="AF57" s="79">
        <f>AF2</f>
        <v/>
      </c>
      <c r="AG57" s="79">
        <f>AG2</f>
        <v/>
      </c>
      <c r="AH57" s="79">
        <f>AH2</f>
        <v/>
      </c>
      <c r="AI57" s="79">
        <f>AI2</f>
        <v/>
      </c>
      <c r="AJ57" s="79">
        <f>AJ2</f>
        <v/>
      </c>
      <c r="AK57" s="79">
        <f>AK2</f>
        <v/>
      </c>
      <c r="AL57" s="79">
        <f>AL2</f>
        <v/>
      </c>
      <c r="AM57" s="79">
        <f>AM2</f>
        <v/>
      </c>
      <c r="AN57" s="79">
        <f>AN2</f>
        <v/>
      </c>
      <c r="AO57" s="79">
        <f>AO2</f>
        <v/>
      </c>
      <c r="AP57" s="79">
        <f>AP2</f>
        <v/>
      </c>
      <c r="AQ57" s="79">
        <f>AQ2</f>
        <v/>
      </c>
      <c r="AR57" s="79">
        <f>AR2</f>
        <v/>
      </c>
      <c r="AS57" s="79">
        <f>AS2</f>
        <v/>
      </c>
      <c r="AT57" s="79">
        <f>AT2</f>
        <v/>
      </c>
      <c r="AU57" s="79">
        <f>AU2</f>
        <v/>
      </c>
      <c r="AV57" s="79">
        <f>AV2</f>
        <v/>
      </c>
      <c r="AW57" s="79">
        <f>AW2</f>
        <v/>
      </c>
      <c r="AX57" s="79">
        <f>AX2</f>
        <v/>
      </c>
      <c r="AY57" s="79">
        <f>AY2</f>
        <v/>
      </c>
      <c r="AZ57" s="79">
        <f>AZ2</f>
        <v/>
      </c>
      <c r="BA57" s="79">
        <f>BA2</f>
        <v/>
      </c>
      <c r="BB57" s="79">
        <f>BB2</f>
        <v/>
      </c>
      <c r="BC57" s="19" t="inlineStr">
        <is>
          <t xml:space="preserve">Recognition% </t>
        </is>
      </c>
      <c r="BD57" s="19" t="inlineStr">
        <is>
          <t>Factor构成系数</t>
        </is>
      </c>
    </row>
    <row r="58" ht="15.75" customHeight="1" s="179">
      <c r="C58" s="84">
        <f>IF(OR($D58=0,$D58=""),"",_xlfn.LET(
    _xlpm.channel,$D58,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58" s="119">
        <f>'2B RotationRule'!C3</f>
        <v/>
      </c>
      <c r="E58" s="227">
        <f>IFERROR(_xlfn.XLOOKUP($C58,$D$3:$D$40,E$3:E$40)*$BD58,0)</f>
        <v/>
      </c>
      <c r="F58" s="227">
        <f>IFERROR(_xlfn.XLOOKUP($C58,$D$3:$D$40,F$3:F$40)*$BD58,0)</f>
        <v/>
      </c>
      <c r="G58" s="227">
        <f>IFERROR(_xlfn.XLOOKUP($C58,$D$3:$D$40,G$3:G$40)*$BD58,0)</f>
        <v/>
      </c>
      <c r="H58" s="235">
        <f>IFERROR(_xlfn.XLOOKUP($C58,$D$3:$D$40,H$3:H$40)*$BD58,0)</f>
        <v/>
      </c>
      <c r="I58" s="235">
        <f>IFERROR(_xlfn.XLOOKUP($C58,$D$3:$D$40,I$3:I$40)*$BD58,0)</f>
        <v/>
      </c>
      <c r="J58" s="235">
        <f>IFERROR(_xlfn.XLOOKUP($C58,$D$3:$D$40,J$3:J$40)*$BD58,0)</f>
        <v/>
      </c>
      <c r="K58" s="235">
        <f>IFERROR(_xlfn.XLOOKUP($C58,$D$3:$D$40,K$3:K$40)*$BD58,0)</f>
        <v/>
      </c>
      <c r="L58" s="235">
        <f>IFERROR(_xlfn.XLOOKUP($C58,$D$3:$D$40,L$3:L$40)*$BD58,0)</f>
        <v/>
      </c>
      <c r="M58" s="235">
        <f>IFERROR(_xlfn.XLOOKUP($C58,$D$3:$D$40,M$3:M$40)*$BD58,0)</f>
        <v/>
      </c>
      <c r="N58" s="235">
        <f>IFERROR(_xlfn.XLOOKUP($C58,$D$3:$D$40,N$3:N$40)*$BD58,0)</f>
        <v/>
      </c>
      <c r="O58" s="235">
        <f>IFERROR(_xlfn.XLOOKUP($C58,$D$3:$D$40,O$3:O$40)*$BD58,0)</f>
        <v/>
      </c>
      <c r="P58" s="235">
        <f>IFERROR(_xlfn.XLOOKUP($C58,$D$3:$D$40,P$3:P$40)*$BD58,0)</f>
        <v/>
      </c>
      <c r="Q58" s="235">
        <f>IFERROR(_xlfn.XLOOKUP($C58,$D$3:$D$40,Q$3:Q$40)*$BD58,0)</f>
        <v/>
      </c>
      <c r="R58" s="235">
        <f>IFERROR(_xlfn.XLOOKUP($C58,$D$3:$D$40,R$3:R$40)*$BD58,0)</f>
        <v/>
      </c>
      <c r="S58" s="235">
        <f>IFERROR(_xlfn.XLOOKUP($C58,$D$3:$D$40,S$3:S$40)*$BD58,0)</f>
        <v/>
      </c>
      <c r="T58" s="235">
        <f>IFERROR(_xlfn.XLOOKUP($C58,$D$3:$D$40,T$3:T$40)*$BD58,0)</f>
        <v/>
      </c>
      <c r="U58" s="235">
        <f>IFERROR(_xlfn.XLOOKUP($C58,$D$3:$D$40,U$3:U$40)*$BD58,0)</f>
        <v/>
      </c>
      <c r="V58" s="235">
        <f>IFERROR(_xlfn.XLOOKUP($C58,$D$3:$D$40,V$3:V$40)*$BD58,0)</f>
        <v/>
      </c>
      <c r="W58" s="235">
        <f>IFERROR(_xlfn.XLOOKUP($C58,$D$3:$D$40,W$3:W$40)*$BD58,0)</f>
        <v/>
      </c>
      <c r="X58" s="235">
        <f>IFERROR(_xlfn.XLOOKUP($C58,$D$3:$D$40,X$3:X$40)*$BD58,0)</f>
        <v/>
      </c>
      <c r="Y58" s="235">
        <f>IFERROR(_xlfn.XLOOKUP($C58,$D$3:$D$40,Y$3:Y$40)*$BD58,0)</f>
        <v/>
      </c>
      <c r="Z58" s="235">
        <f>IFERROR(_xlfn.XLOOKUP($C58,$D$3:$D$40,Z$3:Z$40)*$BD58,0)</f>
        <v/>
      </c>
      <c r="AA58" s="235">
        <f>IFERROR(_xlfn.XLOOKUP($C58,$D$3:$D$40,AA$3:AA$40)*$BD58,0)</f>
        <v/>
      </c>
      <c r="AB58" s="235">
        <f>IFERROR(_xlfn.XLOOKUP($C58,$D$3:$D$40,AB$3:AB$40)*$BD58,0)</f>
        <v/>
      </c>
      <c r="AC58" s="235">
        <f>IFERROR(_xlfn.XLOOKUP($C58,$D$3:$D$40,AC$3:AC$40)*$BD58,0)</f>
        <v/>
      </c>
      <c r="AD58" s="235">
        <f>IFERROR(_xlfn.XLOOKUP($C58,$D$3:$D$40,AD$3:AD$40)*$BD58,0)</f>
        <v/>
      </c>
      <c r="AE58" s="235">
        <f>IFERROR(_xlfn.XLOOKUP($C58,$D$3:$D$40,AE$3:AE$40)*$BD58,0)</f>
        <v/>
      </c>
      <c r="AF58" s="235">
        <f>IFERROR(_xlfn.XLOOKUP($C58,$D$3:$D$40,AF$3:AF$40)*$BD58,0)</f>
        <v/>
      </c>
      <c r="AG58" s="235">
        <f>IFERROR(_xlfn.XLOOKUP($C58,$D$3:$D$40,AG$3:AG$40)*$BD58,0)</f>
        <v/>
      </c>
      <c r="AH58" s="235">
        <f>IFERROR(_xlfn.XLOOKUP($C58,$D$3:$D$40,AH$3:AH$40)*$BD58,0)</f>
        <v/>
      </c>
      <c r="AI58" s="235">
        <f>IFERROR(_xlfn.XLOOKUP($C58,$D$3:$D$40,AI$3:AI$40)*$BD58,0)</f>
        <v/>
      </c>
      <c r="AJ58" s="235">
        <f>IFERROR(_xlfn.XLOOKUP($C58,$D$3:$D$40,AJ$3:AJ$40)*$BD58,0)</f>
        <v/>
      </c>
      <c r="AK58" s="235">
        <f>IFERROR(_xlfn.XLOOKUP($C58,$D$3:$D$40,AK$3:AK$40)*$BD58,0)</f>
        <v/>
      </c>
      <c r="AL58" s="235">
        <f>IFERROR(_xlfn.XLOOKUP($C58,$D$3:$D$40,AL$3:AL$40)*$BD58,0)</f>
        <v/>
      </c>
      <c r="AM58" s="235">
        <f>IFERROR(_xlfn.XLOOKUP($C58,$D$3:$D$40,AM$3:AM$40)*$BD58,0)</f>
        <v/>
      </c>
      <c r="AN58" s="235">
        <f>IFERROR(_xlfn.XLOOKUP($C58,$D$3:$D$40,AN$3:AN$40)*$BD58,0)</f>
        <v/>
      </c>
      <c r="AO58" s="235">
        <f>IFERROR(_xlfn.XLOOKUP($C58,$D$3:$D$40,AO$3:AO$40)*$BD58,0)</f>
        <v/>
      </c>
      <c r="AP58" s="235">
        <f>IFERROR(_xlfn.XLOOKUP($C58,$D$3:$D$40,AP$3:AP$40)*$BD58,0)</f>
        <v/>
      </c>
      <c r="AQ58" s="235">
        <f>IFERROR(_xlfn.XLOOKUP($C58,$D$3:$D$40,AQ$3:AQ$40)*$BD58,0)</f>
        <v/>
      </c>
      <c r="AR58" s="235">
        <f>IFERROR(_xlfn.XLOOKUP($C58,$D$3:$D$40,AR$3:AR$40)*$BD58,0)</f>
        <v/>
      </c>
      <c r="AS58" s="235">
        <f>IFERROR(_xlfn.XLOOKUP($C58,$D$3:$D$40,AS$3:AS$40)*$BD58,0)</f>
        <v/>
      </c>
      <c r="AT58" s="235">
        <f>IFERROR(_xlfn.XLOOKUP($C58,$D$3:$D$40,AT$3:AT$40)*$BD58,0)</f>
        <v/>
      </c>
      <c r="AU58" s="235">
        <f>IFERROR(_xlfn.XLOOKUP($C58,$D$3:$D$40,AU$3:AU$40)*$BD58,0)</f>
        <v/>
      </c>
      <c r="AV58" s="235">
        <f>IFERROR(_xlfn.XLOOKUP($C58,$D$3:$D$40,AV$3:AV$40)*$BD58,0)</f>
        <v/>
      </c>
      <c r="AW58" s="235">
        <f>IFERROR(_xlfn.XLOOKUP($C58,$D$3:$D$40,AW$3:AW$40)*$BD58,0)</f>
        <v/>
      </c>
      <c r="AX58" s="235">
        <f>IFERROR(_xlfn.XLOOKUP($C58,$D$3:$D$40,AX$3:AX$40)*$BD58,0)</f>
        <v/>
      </c>
      <c r="AY58" s="235">
        <f>IFERROR(_xlfn.XLOOKUP($C58,$D$3:$D$40,AY$3:AY$40)*$BD58,0)</f>
        <v/>
      </c>
      <c r="AZ58" s="235">
        <f>IFERROR(_xlfn.XLOOKUP($C58,$D$3:$D$40,AZ$3:AZ$40)*$BD58,0)</f>
        <v/>
      </c>
      <c r="BA58" s="235">
        <f>IFERROR(_xlfn.XLOOKUP($C58,$D$3:$D$40,BA$3:BA$40)*$BD58,0)</f>
        <v/>
      </c>
      <c r="BB58" s="235">
        <f>IFERROR(_xlfn.XLOOKUP($C58,$D$3:$D$40,BB$3:BB$40)*$BD58,0)</f>
        <v/>
      </c>
      <c r="BC58" s="228">
        <f>IFERROR(_xlfn.XLOOKUP(D58,'2C 均值'!$A:$A,'2C 均值'!$E:$E),0)</f>
        <v/>
      </c>
      <c r="BD58" s="228">
        <f t="array" ref="BD58">IF(OR($D58=0,$D58=""),"",_xlfn.LET(
        _xlpm.channel,$D58,
        _xlpm.factorName,$C58,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59" ht="15.75" customHeight="1" s="179">
      <c r="C59" s="84">
        <f>IF(OR($D59=0,$D59=""),"",_xlfn.LET(
    _xlpm.channel,$D59,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59" s="119">
        <f>'2B RotationRule'!C4</f>
        <v/>
      </c>
      <c r="E59" s="227">
        <f>IFERROR(_xlfn.XLOOKUP($C59,$D$3:$D$40,E$3:E$40)*$BD59,0)</f>
        <v/>
      </c>
      <c r="F59" s="227">
        <f>IFERROR(_xlfn.XLOOKUP($C59,$D$3:$D$40,F$3:F$40)*$BD59,0)</f>
        <v/>
      </c>
      <c r="G59" s="227">
        <f>IFERROR(_xlfn.XLOOKUP($C59,$D$3:$D$40,G$3:G$40)*$BD59,0)</f>
        <v/>
      </c>
      <c r="H59" s="235">
        <f>IFERROR(_xlfn.XLOOKUP($C59,$D$3:$D$40,H$3:H$40)*$BD59,0)</f>
        <v/>
      </c>
      <c r="I59" s="235">
        <f>IFERROR(_xlfn.XLOOKUP($C59,$D$3:$D$40,I$3:I$40)*$BD59,0)</f>
        <v/>
      </c>
      <c r="J59" s="235">
        <f>IFERROR(_xlfn.XLOOKUP($C59,$D$3:$D$40,J$3:J$40)*$BD59,0)</f>
        <v/>
      </c>
      <c r="K59" s="235">
        <f>IFERROR(_xlfn.XLOOKUP($C59,$D$3:$D$40,K$3:K$40)*$BD59,0)</f>
        <v/>
      </c>
      <c r="L59" s="235">
        <f>IFERROR(_xlfn.XLOOKUP($C59,$D$3:$D$40,L$3:L$40)*$BD59,0)</f>
        <v/>
      </c>
      <c r="M59" s="235">
        <f>IFERROR(_xlfn.XLOOKUP($C59,$D$3:$D$40,M$3:M$40)*$BD59,0)</f>
        <v/>
      </c>
      <c r="N59" s="235">
        <f>IFERROR(_xlfn.XLOOKUP($C59,$D$3:$D$40,N$3:N$40)*$BD59,0)</f>
        <v/>
      </c>
      <c r="O59" s="235">
        <f>IFERROR(_xlfn.XLOOKUP($C59,$D$3:$D$40,O$3:O$40)*$BD59,0)</f>
        <v/>
      </c>
      <c r="P59" s="235">
        <f>IFERROR(_xlfn.XLOOKUP($C59,$D$3:$D$40,P$3:P$40)*$BD59,0)</f>
        <v/>
      </c>
      <c r="Q59" s="235">
        <f>IFERROR(_xlfn.XLOOKUP($C59,$D$3:$D$40,Q$3:Q$40)*$BD59,0)</f>
        <v/>
      </c>
      <c r="R59" s="235">
        <f>IFERROR(_xlfn.XLOOKUP($C59,$D$3:$D$40,R$3:R$40)*$BD59,0)</f>
        <v/>
      </c>
      <c r="S59" s="235">
        <f>IFERROR(_xlfn.XLOOKUP($C59,$D$3:$D$40,S$3:S$40)*$BD59,0)</f>
        <v/>
      </c>
      <c r="T59" s="235">
        <f>IFERROR(_xlfn.XLOOKUP($C59,$D$3:$D$40,T$3:T$40)*$BD59,0)</f>
        <v/>
      </c>
      <c r="U59" s="235">
        <f>IFERROR(_xlfn.XLOOKUP($C59,$D$3:$D$40,U$3:U$40)*$BD59,0)</f>
        <v/>
      </c>
      <c r="V59" s="235">
        <f>IFERROR(_xlfn.XLOOKUP($C59,$D$3:$D$40,V$3:V$40)*$BD59,0)</f>
        <v/>
      </c>
      <c r="W59" s="235">
        <f>IFERROR(_xlfn.XLOOKUP($C59,$D$3:$D$40,W$3:W$40)*$BD59,0)</f>
        <v/>
      </c>
      <c r="X59" s="235">
        <f>IFERROR(_xlfn.XLOOKUP($C59,$D$3:$D$40,X$3:X$40)*$BD59,0)</f>
        <v/>
      </c>
      <c r="Y59" s="235">
        <f>IFERROR(_xlfn.XLOOKUP($C59,$D$3:$D$40,Y$3:Y$40)*$BD59,0)</f>
        <v/>
      </c>
      <c r="Z59" s="235">
        <f>IFERROR(_xlfn.XLOOKUP($C59,$D$3:$D$40,Z$3:Z$40)*$BD59,0)</f>
        <v/>
      </c>
      <c r="AA59" s="235">
        <f>IFERROR(_xlfn.XLOOKUP($C59,$D$3:$D$40,AA$3:AA$40)*$BD59,0)</f>
        <v/>
      </c>
      <c r="AB59" s="235">
        <f>IFERROR(_xlfn.XLOOKUP($C59,$D$3:$D$40,AB$3:AB$40)*$BD59,0)</f>
        <v/>
      </c>
      <c r="AC59" s="235">
        <f>IFERROR(_xlfn.XLOOKUP($C59,$D$3:$D$40,AC$3:AC$40)*$BD59,0)</f>
        <v/>
      </c>
      <c r="AD59" s="235">
        <f>IFERROR(_xlfn.XLOOKUP($C59,$D$3:$D$40,AD$3:AD$40)*$BD59,0)</f>
        <v/>
      </c>
      <c r="AE59" s="235">
        <f>IFERROR(_xlfn.XLOOKUP($C59,$D$3:$D$40,AE$3:AE$40)*$BD59,0)</f>
        <v/>
      </c>
      <c r="AF59" s="235">
        <f>IFERROR(_xlfn.XLOOKUP($C59,$D$3:$D$40,AF$3:AF$40)*$BD59,0)</f>
        <v/>
      </c>
      <c r="AG59" s="235">
        <f>IFERROR(_xlfn.XLOOKUP($C59,$D$3:$D$40,AG$3:AG$40)*$BD59,0)</f>
        <v/>
      </c>
      <c r="AH59" s="235">
        <f>IFERROR(_xlfn.XLOOKUP($C59,$D$3:$D$40,AH$3:AH$40)*$BD59,0)</f>
        <v/>
      </c>
      <c r="AI59" s="235">
        <f>IFERROR(_xlfn.XLOOKUP($C59,$D$3:$D$40,AI$3:AI$40)*$BD59,0)</f>
        <v/>
      </c>
      <c r="AJ59" s="235">
        <f>IFERROR(_xlfn.XLOOKUP($C59,$D$3:$D$40,AJ$3:AJ$40)*$BD59,0)</f>
        <v/>
      </c>
      <c r="AK59" s="235">
        <f>IFERROR(_xlfn.XLOOKUP($C59,$D$3:$D$40,AK$3:AK$40)*$BD59,0)</f>
        <v/>
      </c>
      <c r="AL59" s="235">
        <f>IFERROR(_xlfn.XLOOKUP($C59,$D$3:$D$40,AL$3:AL$40)*$BD59,0)</f>
        <v/>
      </c>
      <c r="AM59" s="235">
        <f>IFERROR(_xlfn.XLOOKUP($C59,$D$3:$D$40,AM$3:AM$40)*$BD59,0)</f>
        <v/>
      </c>
      <c r="AN59" s="235">
        <f>IFERROR(_xlfn.XLOOKUP($C59,$D$3:$D$40,AN$3:AN$40)*$BD59,0)</f>
        <v/>
      </c>
      <c r="AO59" s="235">
        <f>IFERROR(_xlfn.XLOOKUP($C59,$D$3:$D$40,AO$3:AO$40)*$BD59,0)</f>
        <v/>
      </c>
      <c r="AP59" s="235">
        <f>IFERROR(_xlfn.XLOOKUP($C59,$D$3:$D$40,AP$3:AP$40)*$BD59,0)</f>
        <v/>
      </c>
      <c r="AQ59" s="235">
        <f>IFERROR(_xlfn.XLOOKUP($C59,$D$3:$D$40,AQ$3:AQ$40)*$BD59,0)</f>
        <v/>
      </c>
      <c r="AR59" s="235">
        <f>IFERROR(_xlfn.XLOOKUP($C59,$D$3:$D$40,AR$3:AR$40)*$BD59,0)</f>
        <v/>
      </c>
      <c r="AS59" s="235">
        <f>IFERROR(_xlfn.XLOOKUP($C59,$D$3:$D$40,AS$3:AS$40)*$BD59,0)</f>
        <v/>
      </c>
      <c r="AT59" s="235">
        <f>IFERROR(_xlfn.XLOOKUP($C59,$D$3:$D$40,AT$3:AT$40)*$BD59,0)</f>
        <v/>
      </c>
      <c r="AU59" s="235">
        <f>IFERROR(_xlfn.XLOOKUP($C59,$D$3:$D$40,AU$3:AU$40)*$BD59,0)</f>
        <v/>
      </c>
      <c r="AV59" s="235">
        <f>IFERROR(_xlfn.XLOOKUP($C59,$D$3:$D$40,AV$3:AV$40)*$BD59,0)</f>
        <v/>
      </c>
      <c r="AW59" s="235">
        <f>IFERROR(_xlfn.XLOOKUP($C59,$D$3:$D$40,AW$3:AW$40)*$BD59,0)</f>
        <v/>
      </c>
      <c r="AX59" s="235">
        <f>IFERROR(_xlfn.XLOOKUP($C59,$D$3:$D$40,AX$3:AX$40)*$BD59,0)</f>
        <v/>
      </c>
      <c r="AY59" s="235">
        <f>IFERROR(_xlfn.XLOOKUP($C59,$D$3:$D$40,AY$3:AY$40)*$BD59,0)</f>
        <v/>
      </c>
      <c r="AZ59" s="235">
        <f>IFERROR(_xlfn.XLOOKUP($C59,$D$3:$D$40,AZ$3:AZ$40)*$BD59,0)</f>
        <v/>
      </c>
      <c r="BA59" s="235">
        <f>IFERROR(_xlfn.XLOOKUP($C59,$D$3:$D$40,BA$3:BA$40)*$BD59,0)</f>
        <v/>
      </c>
      <c r="BB59" s="235">
        <f>IFERROR(_xlfn.XLOOKUP($C59,$D$3:$D$40,BB$3:BB$40)*$BD59,0)</f>
        <v/>
      </c>
      <c r="BC59" s="228">
        <f>IFERROR(_xlfn.XLOOKUP(D59,'2C 均值'!$A:$A,'2C 均值'!$E:$E),0)</f>
        <v/>
      </c>
      <c r="BD59" s="228">
        <f t="array" ref="BD59">IF(OR($D59=0,$D59=""),"",_xlfn.LET(
        _xlpm.channel,$D59,
        _xlpm.factorName,$C59,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0" ht="15.75" customHeight="1" s="179">
      <c r="C60" s="84">
        <f>IF(OR($D60=0,$D60=""),"",_xlfn.LET(
    _xlpm.channel,$D60,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0" s="119">
        <f>'2B RotationRule'!C5</f>
        <v/>
      </c>
      <c r="E60" s="227">
        <f>IFERROR(_xlfn.XLOOKUP($C60,$D$3:$D$40,E$3:E$40)*$BD60,0)</f>
        <v/>
      </c>
      <c r="F60" s="227">
        <f>IFERROR(_xlfn.XLOOKUP($C60,$D$3:$D$40,F$3:F$40)*$BD60,0)</f>
        <v/>
      </c>
      <c r="G60" s="227">
        <f>IFERROR(_xlfn.XLOOKUP($C60,$D$3:$D$40,G$3:G$40)*$BD60,0)</f>
        <v/>
      </c>
      <c r="H60" s="235">
        <f>IFERROR(_xlfn.XLOOKUP($C60,$D$3:$D$40,H$3:H$40)*$BD60,0)</f>
        <v/>
      </c>
      <c r="I60" s="235">
        <f>IFERROR(_xlfn.XLOOKUP($C60,$D$3:$D$40,I$3:I$40)*$BD60,0)</f>
        <v/>
      </c>
      <c r="J60" s="235">
        <f>IFERROR(_xlfn.XLOOKUP($C60,$D$3:$D$40,J$3:J$40)*$BD60,0)</f>
        <v/>
      </c>
      <c r="K60" s="235">
        <f>IFERROR(_xlfn.XLOOKUP($C60,$D$3:$D$40,K$3:K$40)*$BD60,0)</f>
        <v/>
      </c>
      <c r="L60" s="235">
        <f>IFERROR(_xlfn.XLOOKUP($C60,$D$3:$D$40,L$3:L$40)*$BD60,0)</f>
        <v/>
      </c>
      <c r="M60" s="235">
        <f>IFERROR(_xlfn.XLOOKUP($C60,$D$3:$D$40,M$3:M$40)*$BD60,0)</f>
        <v/>
      </c>
      <c r="N60" s="235">
        <f>IFERROR(_xlfn.XLOOKUP($C60,$D$3:$D$40,N$3:N$40)*$BD60,0)</f>
        <v/>
      </c>
      <c r="O60" s="235">
        <f>IFERROR(_xlfn.XLOOKUP($C60,$D$3:$D$40,O$3:O$40)*$BD60,0)</f>
        <v/>
      </c>
      <c r="P60" s="235">
        <f>IFERROR(_xlfn.XLOOKUP($C60,$D$3:$D$40,P$3:P$40)*$BD60,0)</f>
        <v/>
      </c>
      <c r="Q60" s="235">
        <f>IFERROR(_xlfn.XLOOKUP($C60,$D$3:$D$40,Q$3:Q$40)*$BD60,0)</f>
        <v/>
      </c>
      <c r="R60" s="235">
        <f>IFERROR(_xlfn.XLOOKUP($C60,$D$3:$D$40,R$3:R$40)*$BD60,0)</f>
        <v/>
      </c>
      <c r="S60" s="235">
        <f>IFERROR(_xlfn.XLOOKUP($C60,$D$3:$D$40,S$3:S$40)*$BD60,0)</f>
        <v/>
      </c>
      <c r="T60" s="235">
        <f>IFERROR(_xlfn.XLOOKUP($C60,$D$3:$D$40,T$3:T$40)*$BD60,0)</f>
        <v/>
      </c>
      <c r="U60" s="235">
        <f>IFERROR(_xlfn.XLOOKUP($C60,$D$3:$D$40,U$3:U$40)*$BD60,0)</f>
        <v/>
      </c>
      <c r="V60" s="235">
        <f>IFERROR(_xlfn.XLOOKUP($C60,$D$3:$D$40,V$3:V$40)*$BD60,0)</f>
        <v/>
      </c>
      <c r="W60" s="235">
        <f>IFERROR(_xlfn.XLOOKUP($C60,$D$3:$D$40,W$3:W$40)*$BD60,0)</f>
        <v/>
      </c>
      <c r="X60" s="235">
        <f>IFERROR(_xlfn.XLOOKUP($C60,$D$3:$D$40,X$3:X$40)*$BD60,0)</f>
        <v/>
      </c>
      <c r="Y60" s="235">
        <f>IFERROR(_xlfn.XLOOKUP($C60,$D$3:$D$40,Y$3:Y$40)*$BD60,0)</f>
        <v/>
      </c>
      <c r="Z60" s="235">
        <f>IFERROR(_xlfn.XLOOKUP($C60,$D$3:$D$40,Z$3:Z$40)*$BD60,0)</f>
        <v/>
      </c>
      <c r="AA60" s="235">
        <f>IFERROR(_xlfn.XLOOKUP($C60,$D$3:$D$40,AA$3:AA$40)*$BD60,0)</f>
        <v/>
      </c>
      <c r="AB60" s="235">
        <f>IFERROR(_xlfn.XLOOKUP($C60,$D$3:$D$40,AB$3:AB$40)*$BD60,0)</f>
        <v/>
      </c>
      <c r="AC60" s="235">
        <f>IFERROR(_xlfn.XLOOKUP($C60,$D$3:$D$40,AC$3:AC$40)*$BD60,0)</f>
        <v/>
      </c>
      <c r="AD60" s="235">
        <f>IFERROR(_xlfn.XLOOKUP($C60,$D$3:$D$40,AD$3:AD$40)*$BD60,0)</f>
        <v/>
      </c>
      <c r="AE60" s="235">
        <f>IFERROR(_xlfn.XLOOKUP($C60,$D$3:$D$40,AE$3:AE$40)*$BD60,0)</f>
        <v/>
      </c>
      <c r="AF60" s="235">
        <f>IFERROR(_xlfn.XLOOKUP($C60,$D$3:$D$40,AF$3:AF$40)*$BD60,0)</f>
        <v/>
      </c>
      <c r="AG60" s="235">
        <f>IFERROR(_xlfn.XLOOKUP($C60,$D$3:$D$40,AG$3:AG$40)*$BD60,0)</f>
        <v/>
      </c>
      <c r="AH60" s="235">
        <f>IFERROR(_xlfn.XLOOKUP($C60,$D$3:$D$40,AH$3:AH$40)*$BD60,0)</f>
        <v/>
      </c>
      <c r="AI60" s="235">
        <f>IFERROR(_xlfn.XLOOKUP($C60,$D$3:$D$40,AI$3:AI$40)*$BD60,0)</f>
        <v/>
      </c>
      <c r="AJ60" s="235">
        <f>IFERROR(_xlfn.XLOOKUP($C60,$D$3:$D$40,AJ$3:AJ$40)*$BD60,0)</f>
        <v/>
      </c>
      <c r="AK60" s="235">
        <f>IFERROR(_xlfn.XLOOKUP($C60,$D$3:$D$40,AK$3:AK$40)*$BD60,0)</f>
        <v/>
      </c>
      <c r="AL60" s="235">
        <f>IFERROR(_xlfn.XLOOKUP($C60,$D$3:$D$40,AL$3:AL$40)*$BD60,0)</f>
        <v/>
      </c>
      <c r="AM60" s="235">
        <f>IFERROR(_xlfn.XLOOKUP($C60,$D$3:$D$40,AM$3:AM$40)*$BD60,0)</f>
        <v/>
      </c>
      <c r="AN60" s="235">
        <f>IFERROR(_xlfn.XLOOKUP($C60,$D$3:$D$40,AN$3:AN$40)*$BD60,0)</f>
        <v/>
      </c>
      <c r="AO60" s="235">
        <f>IFERROR(_xlfn.XLOOKUP($C60,$D$3:$D$40,AO$3:AO$40)*$BD60,0)</f>
        <v/>
      </c>
      <c r="AP60" s="235">
        <f>IFERROR(_xlfn.XLOOKUP($C60,$D$3:$D$40,AP$3:AP$40)*$BD60,0)</f>
        <v/>
      </c>
      <c r="AQ60" s="235">
        <f>IFERROR(_xlfn.XLOOKUP($C60,$D$3:$D$40,AQ$3:AQ$40)*$BD60,0)</f>
        <v/>
      </c>
      <c r="AR60" s="235">
        <f>IFERROR(_xlfn.XLOOKUP($C60,$D$3:$D$40,AR$3:AR$40)*$BD60,0)</f>
        <v/>
      </c>
      <c r="AS60" s="235">
        <f>IFERROR(_xlfn.XLOOKUP($C60,$D$3:$D$40,AS$3:AS$40)*$BD60,0)</f>
        <v/>
      </c>
      <c r="AT60" s="235">
        <f>IFERROR(_xlfn.XLOOKUP($C60,$D$3:$D$40,AT$3:AT$40)*$BD60,0)</f>
        <v/>
      </c>
      <c r="AU60" s="235">
        <f>IFERROR(_xlfn.XLOOKUP($C60,$D$3:$D$40,AU$3:AU$40)*$BD60,0)</f>
        <v/>
      </c>
      <c r="AV60" s="235">
        <f>IFERROR(_xlfn.XLOOKUP($C60,$D$3:$D$40,AV$3:AV$40)*$BD60,0)</f>
        <v/>
      </c>
      <c r="AW60" s="235">
        <f>IFERROR(_xlfn.XLOOKUP($C60,$D$3:$D$40,AW$3:AW$40)*$BD60,0)</f>
        <v/>
      </c>
      <c r="AX60" s="235">
        <f>IFERROR(_xlfn.XLOOKUP($C60,$D$3:$D$40,AX$3:AX$40)*$BD60,0)</f>
        <v/>
      </c>
      <c r="AY60" s="235">
        <f>IFERROR(_xlfn.XLOOKUP($C60,$D$3:$D$40,AY$3:AY$40)*$BD60,0)</f>
        <v/>
      </c>
      <c r="AZ60" s="235">
        <f>IFERROR(_xlfn.XLOOKUP($C60,$D$3:$D$40,AZ$3:AZ$40)*$BD60,0)</f>
        <v/>
      </c>
      <c r="BA60" s="235">
        <f>IFERROR(_xlfn.XLOOKUP($C60,$D$3:$D$40,BA$3:BA$40)*$BD60,0)</f>
        <v/>
      </c>
      <c r="BB60" s="235">
        <f>IFERROR(_xlfn.XLOOKUP($C60,$D$3:$D$40,BB$3:BB$40)*$BD60,0)</f>
        <v/>
      </c>
      <c r="BC60" s="228">
        <f>IFERROR(_xlfn.XLOOKUP(D60,'2C 均值'!$A:$A,'2C 均值'!$E:$E),0)</f>
        <v/>
      </c>
      <c r="BD60" s="228">
        <f t="array" ref="BD60">IF(OR($D60=0,$D60=""),"",_xlfn.LET(
        _xlpm.channel,$D60,
        _xlpm.factorName,$C60,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1" ht="15.75" customHeight="1" s="179">
      <c r="C61" s="84">
        <f>IF(OR($D61=0,$D61=""),"",_xlfn.LET(
    _xlpm.channel,$D61,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1" s="119">
        <f>'2B RotationRule'!C6</f>
        <v/>
      </c>
      <c r="E61" s="227">
        <f>IFERROR(_xlfn.XLOOKUP($C61,$D$3:$D$40,E$3:E$40)*$BD61,0)</f>
        <v/>
      </c>
      <c r="F61" s="227">
        <f>IFERROR(_xlfn.XLOOKUP($C61,$D$3:$D$40,F$3:F$40)*$BD61,0)</f>
        <v/>
      </c>
      <c r="G61" s="227">
        <f>IFERROR(_xlfn.XLOOKUP($C61,$D$3:$D$40,G$3:G$40)*$BD61,0)</f>
        <v/>
      </c>
      <c r="H61" s="235">
        <f>IFERROR(_xlfn.XLOOKUP($C61,$D$3:$D$40,H$3:H$40)*$BD61,0)</f>
        <v/>
      </c>
      <c r="I61" s="235">
        <f>IFERROR(_xlfn.XLOOKUP($C61,$D$3:$D$40,I$3:I$40)*$BD61,0)</f>
        <v/>
      </c>
      <c r="J61" s="235">
        <f>IFERROR(_xlfn.XLOOKUP($C61,$D$3:$D$40,J$3:J$40)*$BD61,0)</f>
        <v/>
      </c>
      <c r="K61" s="235">
        <f>IFERROR(_xlfn.XLOOKUP($C61,$D$3:$D$40,K$3:K$40)*$BD61,0)</f>
        <v/>
      </c>
      <c r="L61" s="235">
        <f>IFERROR(_xlfn.XLOOKUP($C61,$D$3:$D$40,L$3:L$40)*$BD61,0)</f>
        <v/>
      </c>
      <c r="M61" s="235">
        <f>IFERROR(_xlfn.XLOOKUP($C61,$D$3:$D$40,M$3:M$40)*$BD61,0)</f>
        <v/>
      </c>
      <c r="N61" s="235">
        <f>IFERROR(_xlfn.XLOOKUP($C61,$D$3:$D$40,N$3:N$40)*$BD61,0)</f>
        <v/>
      </c>
      <c r="O61" s="235">
        <f>IFERROR(_xlfn.XLOOKUP($C61,$D$3:$D$40,O$3:O$40)*$BD61,0)</f>
        <v/>
      </c>
      <c r="P61" s="235">
        <f>IFERROR(_xlfn.XLOOKUP($C61,$D$3:$D$40,P$3:P$40)*$BD61,0)</f>
        <v/>
      </c>
      <c r="Q61" s="235">
        <f>IFERROR(_xlfn.XLOOKUP($C61,$D$3:$D$40,Q$3:Q$40)*$BD61,0)</f>
        <v/>
      </c>
      <c r="R61" s="235">
        <f>IFERROR(_xlfn.XLOOKUP($C61,$D$3:$D$40,R$3:R$40)*$BD61,0)</f>
        <v/>
      </c>
      <c r="S61" s="235">
        <f>IFERROR(_xlfn.XLOOKUP($C61,$D$3:$D$40,S$3:S$40)*$BD61,0)</f>
        <v/>
      </c>
      <c r="T61" s="235">
        <f>IFERROR(_xlfn.XLOOKUP($C61,$D$3:$D$40,T$3:T$40)*$BD61,0)</f>
        <v/>
      </c>
      <c r="U61" s="235">
        <f>IFERROR(_xlfn.XLOOKUP($C61,$D$3:$D$40,U$3:U$40)*$BD61,0)</f>
        <v/>
      </c>
      <c r="V61" s="235">
        <f>IFERROR(_xlfn.XLOOKUP($C61,$D$3:$D$40,V$3:V$40)*$BD61,0)</f>
        <v/>
      </c>
      <c r="W61" s="235">
        <f>IFERROR(_xlfn.XLOOKUP($C61,$D$3:$D$40,W$3:W$40)*$BD61,0)</f>
        <v/>
      </c>
      <c r="X61" s="235">
        <f>IFERROR(_xlfn.XLOOKUP($C61,$D$3:$D$40,X$3:X$40)*$BD61,0)</f>
        <v/>
      </c>
      <c r="Y61" s="235">
        <f>IFERROR(_xlfn.XLOOKUP($C61,$D$3:$D$40,Y$3:Y$40)*$BD61,0)</f>
        <v/>
      </c>
      <c r="Z61" s="235">
        <f>IFERROR(_xlfn.XLOOKUP($C61,$D$3:$D$40,Z$3:Z$40)*$BD61,0)</f>
        <v/>
      </c>
      <c r="AA61" s="235">
        <f>IFERROR(_xlfn.XLOOKUP($C61,$D$3:$D$40,AA$3:AA$40)*$BD61,0)</f>
        <v/>
      </c>
      <c r="AB61" s="235">
        <f>IFERROR(_xlfn.XLOOKUP($C61,$D$3:$D$40,AB$3:AB$40)*$BD61,0)</f>
        <v/>
      </c>
      <c r="AC61" s="235">
        <f>IFERROR(_xlfn.XLOOKUP($C61,$D$3:$D$40,AC$3:AC$40)*$BD61,0)</f>
        <v/>
      </c>
      <c r="AD61" s="235">
        <f>IFERROR(_xlfn.XLOOKUP($C61,$D$3:$D$40,AD$3:AD$40)*$BD61,0)</f>
        <v/>
      </c>
      <c r="AE61" s="235">
        <f>IFERROR(_xlfn.XLOOKUP($C61,$D$3:$D$40,AE$3:AE$40)*$BD61,0)</f>
        <v/>
      </c>
      <c r="AF61" s="235">
        <f>IFERROR(_xlfn.XLOOKUP($C61,$D$3:$D$40,AF$3:AF$40)*$BD61,0)</f>
        <v/>
      </c>
      <c r="AG61" s="235">
        <f>IFERROR(_xlfn.XLOOKUP($C61,$D$3:$D$40,AG$3:AG$40)*$BD61,0)</f>
        <v/>
      </c>
      <c r="AH61" s="235">
        <f>IFERROR(_xlfn.XLOOKUP($C61,$D$3:$D$40,AH$3:AH$40)*$BD61,0)</f>
        <v/>
      </c>
      <c r="AI61" s="235">
        <f>IFERROR(_xlfn.XLOOKUP($C61,$D$3:$D$40,AI$3:AI$40)*$BD61,0)</f>
        <v/>
      </c>
      <c r="AJ61" s="235">
        <f>IFERROR(_xlfn.XLOOKUP($C61,$D$3:$D$40,AJ$3:AJ$40)*$BD61,0)</f>
        <v/>
      </c>
      <c r="AK61" s="235">
        <f>IFERROR(_xlfn.XLOOKUP($C61,$D$3:$D$40,AK$3:AK$40)*$BD61,0)</f>
        <v/>
      </c>
      <c r="AL61" s="235">
        <f>IFERROR(_xlfn.XLOOKUP($C61,$D$3:$D$40,AL$3:AL$40)*$BD61,0)</f>
        <v/>
      </c>
      <c r="AM61" s="235">
        <f>IFERROR(_xlfn.XLOOKUP($C61,$D$3:$D$40,AM$3:AM$40)*$BD61,0)</f>
        <v/>
      </c>
      <c r="AN61" s="235">
        <f>IFERROR(_xlfn.XLOOKUP($C61,$D$3:$D$40,AN$3:AN$40)*$BD61,0)</f>
        <v/>
      </c>
      <c r="AO61" s="235">
        <f>IFERROR(_xlfn.XLOOKUP($C61,$D$3:$D$40,AO$3:AO$40)*$BD61,0)</f>
        <v/>
      </c>
      <c r="AP61" s="235">
        <f>IFERROR(_xlfn.XLOOKUP($C61,$D$3:$D$40,AP$3:AP$40)*$BD61,0)</f>
        <v/>
      </c>
      <c r="AQ61" s="235">
        <f>IFERROR(_xlfn.XLOOKUP($C61,$D$3:$D$40,AQ$3:AQ$40)*$BD61,0)</f>
        <v/>
      </c>
      <c r="AR61" s="235">
        <f>IFERROR(_xlfn.XLOOKUP($C61,$D$3:$D$40,AR$3:AR$40)*$BD61,0)</f>
        <v/>
      </c>
      <c r="AS61" s="235">
        <f>IFERROR(_xlfn.XLOOKUP($C61,$D$3:$D$40,AS$3:AS$40)*$BD61,0)</f>
        <v/>
      </c>
      <c r="AT61" s="235">
        <f>IFERROR(_xlfn.XLOOKUP($C61,$D$3:$D$40,AT$3:AT$40)*$BD61,0)</f>
        <v/>
      </c>
      <c r="AU61" s="235">
        <f>IFERROR(_xlfn.XLOOKUP($C61,$D$3:$D$40,AU$3:AU$40)*$BD61,0)</f>
        <v/>
      </c>
      <c r="AV61" s="235">
        <f>IFERROR(_xlfn.XLOOKUP($C61,$D$3:$D$40,AV$3:AV$40)*$BD61,0)</f>
        <v/>
      </c>
      <c r="AW61" s="235">
        <f>IFERROR(_xlfn.XLOOKUP($C61,$D$3:$D$40,AW$3:AW$40)*$BD61,0)</f>
        <v/>
      </c>
      <c r="AX61" s="235">
        <f>IFERROR(_xlfn.XLOOKUP($C61,$D$3:$D$40,AX$3:AX$40)*$BD61,0)</f>
        <v/>
      </c>
      <c r="AY61" s="235">
        <f>IFERROR(_xlfn.XLOOKUP($C61,$D$3:$D$40,AY$3:AY$40)*$BD61,0)</f>
        <v/>
      </c>
      <c r="AZ61" s="235">
        <f>IFERROR(_xlfn.XLOOKUP($C61,$D$3:$D$40,AZ$3:AZ$40)*$BD61,0)</f>
        <v/>
      </c>
      <c r="BA61" s="235">
        <f>IFERROR(_xlfn.XLOOKUP($C61,$D$3:$D$40,BA$3:BA$40)*$BD61,0)</f>
        <v/>
      </c>
      <c r="BB61" s="235">
        <f>IFERROR(_xlfn.XLOOKUP($C61,$D$3:$D$40,BB$3:BB$40)*$BD61,0)</f>
        <v/>
      </c>
      <c r="BC61" s="228">
        <f>IFERROR(_xlfn.XLOOKUP(D61,'2C 均值'!$A:$A,'2C 均值'!$E:$E),0)</f>
        <v/>
      </c>
      <c r="BD61" s="228">
        <f t="array" ref="BD61">IF(OR($D61=0,$D61=""),"",_xlfn.LET(
        _xlpm.channel,$D61,
        _xlpm.factorName,$C61,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2" ht="15.75" customHeight="1" s="179">
      <c r="C62" s="84">
        <f>IF(OR($D62=0,$D62=""),"",_xlfn.LET(
    _xlpm.channel,$D62,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2" s="119">
        <f>'2B RotationRule'!C7</f>
        <v/>
      </c>
      <c r="E62" s="227">
        <f>IFERROR(_xlfn.XLOOKUP($C62,$D$3:$D$40,E$3:E$40)*$BD62,0)</f>
        <v/>
      </c>
      <c r="F62" s="227">
        <f>IFERROR(_xlfn.XLOOKUP($C62,$D$3:$D$40,F$3:F$40)*$BD62,0)</f>
        <v/>
      </c>
      <c r="G62" s="227">
        <f>IFERROR(_xlfn.XLOOKUP($C62,$D$3:$D$40,G$3:G$40)*$BD62,0)</f>
        <v/>
      </c>
      <c r="H62" s="235">
        <f>IFERROR(_xlfn.XLOOKUP($C62,$D$3:$D$40,H$3:H$40)*$BD62,0)</f>
        <v/>
      </c>
      <c r="I62" s="235">
        <f>IFERROR(_xlfn.XLOOKUP($C62,$D$3:$D$40,I$3:I$40)*$BD62,0)</f>
        <v/>
      </c>
      <c r="J62" s="235">
        <f>IFERROR(_xlfn.XLOOKUP($C62,$D$3:$D$40,J$3:J$40)*$BD62,0)</f>
        <v/>
      </c>
      <c r="K62" s="235">
        <f>IFERROR(_xlfn.XLOOKUP($C62,$D$3:$D$40,K$3:K$40)*$BD62,0)</f>
        <v/>
      </c>
      <c r="L62" s="235">
        <f>IFERROR(_xlfn.XLOOKUP($C62,$D$3:$D$40,L$3:L$40)*$BD62,0)</f>
        <v/>
      </c>
      <c r="M62" s="235">
        <f>IFERROR(_xlfn.XLOOKUP($C62,$D$3:$D$40,M$3:M$40)*$BD62,0)</f>
        <v/>
      </c>
      <c r="N62" s="235">
        <f>IFERROR(_xlfn.XLOOKUP($C62,$D$3:$D$40,N$3:N$40)*$BD62,0)</f>
        <v/>
      </c>
      <c r="O62" s="235">
        <f>IFERROR(_xlfn.XLOOKUP($C62,$D$3:$D$40,O$3:O$40)*$BD62,0)</f>
        <v/>
      </c>
      <c r="P62" s="235">
        <f>IFERROR(_xlfn.XLOOKUP($C62,$D$3:$D$40,P$3:P$40)*$BD62,0)</f>
        <v/>
      </c>
      <c r="Q62" s="235">
        <f>IFERROR(_xlfn.XLOOKUP($C62,$D$3:$D$40,Q$3:Q$40)*$BD62,0)</f>
        <v/>
      </c>
      <c r="R62" s="235">
        <f>IFERROR(_xlfn.XLOOKUP($C62,$D$3:$D$40,R$3:R$40)*$BD62,0)</f>
        <v/>
      </c>
      <c r="S62" s="235">
        <f>IFERROR(_xlfn.XLOOKUP($C62,$D$3:$D$40,S$3:S$40)*$BD62,0)</f>
        <v/>
      </c>
      <c r="T62" s="235">
        <f>IFERROR(_xlfn.XLOOKUP($C62,$D$3:$D$40,T$3:T$40)*$BD62,0)</f>
        <v/>
      </c>
      <c r="U62" s="235">
        <f>IFERROR(_xlfn.XLOOKUP($C62,$D$3:$D$40,U$3:U$40)*$BD62,0)</f>
        <v/>
      </c>
      <c r="V62" s="235">
        <f>IFERROR(_xlfn.XLOOKUP($C62,$D$3:$D$40,V$3:V$40)*$BD62,0)</f>
        <v/>
      </c>
      <c r="W62" s="235">
        <f>IFERROR(_xlfn.XLOOKUP($C62,$D$3:$D$40,W$3:W$40)*$BD62,0)</f>
        <v/>
      </c>
      <c r="X62" s="235">
        <f>IFERROR(_xlfn.XLOOKUP($C62,$D$3:$D$40,X$3:X$40)*$BD62,0)</f>
        <v/>
      </c>
      <c r="Y62" s="235">
        <f>IFERROR(_xlfn.XLOOKUP($C62,$D$3:$D$40,Y$3:Y$40)*$BD62,0)</f>
        <v/>
      </c>
      <c r="Z62" s="235">
        <f>IFERROR(_xlfn.XLOOKUP($C62,$D$3:$D$40,Z$3:Z$40)*$BD62,0)</f>
        <v/>
      </c>
      <c r="AA62" s="235">
        <f>IFERROR(_xlfn.XLOOKUP($C62,$D$3:$D$40,AA$3:AA$40)*$BD62,0)</f>
        <v/>
      </c>
      <c r="AB62" s="235">
        <f>IFERROR(_xlfn.XLOOKUP($C62,$D$3:$D$40,AB$3:AB$40)*$BD62,0)</f>
        <v/>
      </c>
      <c r="AC62" s="235">
        <f>IFERROR(_xlfn.XLOOKUP($C62,$D$3:$D$40,AC$3:AC$40)*$BD62,0)</f>
        <v/>
      </c>
      <c r="AD62" s="235">
        <f>IFERROR(_xlfn.XLOOKUP($C62,$D$3:$D$40,AD$3:AD$40)*$BD62,0)</f>
        <v/>
      </c>
      <c r="AE62" s="235">
        <f>IFERROR(_xlfn.XLOOKUP($C62,$D$3:$D$40,AE$3:AE$40)*$BD62,0)</f>
        <v/>
      </c>
      <c r="AF62" s="235">
        <f>IFERROR(_xlfn.XLOOKUP($C62,$D$3:$D$40,AF$3:AF$40)*$BD62,0)</f>
        <v/>
      </c>
      <c r="AG62" s="235">
        <f>IFERROR(_xlfn.XLOOKUP($C62,$D$3:$D$40,AG$3:AG$40)*$BD62,0)</f>
        <v/>
      </c>
      <c r="AH62" s="235">
        <f>IFERROR(_xlfn.XLOOKUP($C62,$D$3:$D$40,AH$3:AH$40)*$BD62,0)</f>
        <v/>
      </c>
      <c r="AI62" s="235">
        <f>IFERROR(_xlfn.XLOOKUP($C62,$D$3:$D$40,AI$3:AI$40)*$BD62,0)</f>
        <v/>
      </c>
      <c r="AJ62" s="235">
        <f>IFERROR(_xlfn.XLOOKUP($C62,$D$3:$D$40,AJ$3:AJ$40)*$BD62,0)</f>
        <v/>
      </c>
      <c r="AK62" s="235">
        <f>IFERROR(_xlfn.XLOOKUP($C62,$D$3:$D$40,AK$3:AK$40)*$BD62,0)</f>
        <v/>
      </c>
      <c r="AL62" s="235">
        <f>IFERROR(_xlfn.XLOOKUP($C62,$D$3:$D$40,AL$3:AL$40)*$BD62,0)</f>
        <v/>
      </c>
      <c r="AM62" s="235">
        <f>IFERROR(_xlfn.XLOOKUP($C62,$D$3:$D$40,AM$3:AM$40)*$BD62,0)</f>
        <v/>
      </c>
      <c r="AN62" s="235">
        <f>IFERROR(_xlfn.XLOOKUP($C62,$D$3:$D$40,AN$3:AN$40)*$BD62,0)</f>
        <v/>
      </c>
      <c r="AO62" s="235">
        <f>IFERROR(_xlfn.XLOOKUP($C62,$D$3:$D$40,AO$3:AO$40)*$BD62,0)</f>
        <v/>
      </c>
      <c r="AP62" s="235">
        <f>IFERROR(_xlfn.XLOOKUP($C62,$D$3:$D$40,AP$3:AP$40)*$BD62,0)</f>
        <v/>
      </c>
      <c r="AQ62" s="235">
        <f>IFERROR(_xlfn.XLOOKUP($C62,$D$3:$D$40,AQ$3:AQ$40)*$BD62,0)</f>
        <v/>
      </c>
      <c r="AR62" s="235">
        <f>IFERROR(_xlfn.XLOOKUP($C62,$D$3:$D$40,AR$3:AR$40)*$BD62,0)</f>
        <v/>
      </c>
      <c r="AS62" s="235">
        <f>IFERROR(_xlfn.XLOOKUP($C62,$D$3:$D$40,AS$3:AS$40)*$BD62,0)</f>
        <v/>
      </c>
      <c r="AT62" s="235">
        <f>IFERROR(_xlfn.XLOOKUP($C62,$D$3:$D$40,AT$3:AT$40)*$BD62,0)</f>
        <v/>
      </c>
      <c r="AU62" s="235">
        <f>IFERROR(_xlfn.XLOOKUP($C62,$D$3:$D$40,AU$3:AU$40)*$BD62,0)</f>
        <v/>
      </c>
      <c r="AV62" s="235">
        <f>IFERROR(_xlfn.XLOOKUP($C62,$D$3:$D$40,AV$3:AV$40)*$BD62,0)</f>
        <v/>
      </c>
      <c r="AW62" s="235">
        <f>IFERROR(_xlfn.XLOOKUP($C62,$D$3:$D$40,AW$3:AW$40)*$BD62,0)</f>
        <v/>
      </c>
      <c r="AX62" s="235">
        <f>IFERROR(_xlfn.XLOOKUP($C62,$D$3:$D$40,AX$3:AX$40)*$BD62,0)</f>
        <v/>
      </c>
      <c r="AY62" s="235">
        <f>IFERROR(_xlfn.XLOOKUP($C62,$D$3:$D$40,AY$3:AY$40)*$BD62,0)</f>
        <v/>
      </c>
      <c r="AZ62" s="235">
        <f>IFERROR(_xlfn.XLOOKUP($C62,$D$3:$D$40,AZ$3:AZ$40)*$BD62,0)</f>
        <v/>
      </c>
      <c r="BA62" s="235">
        <f>IFERROR(_xlfn.XLOOKUP($C62,$D$3:$D$40,BA$3:BA$40)*$BD62,0)</f>
        <v/>
      </c>
      <c r="BB62" s="235">
        <f>IFERROR(_xlfn.XLOOKUP($C62,$D$3:$D$40,BB$3:BB$40)*$BD62,0)</f>
        <v/>
      </c>
      <c r="BC62" s="228">
        <f>IFERROR(_xlfn.XLOOKUP(D62,'2C 均值'!$A:$A,'2C 均值'!$E:$E),0)</f>
        <v/>
      </c>
      <c r="BD62" s="228">
        <f t="array" ref="BD62">IF(OR($D62=0,$D62=""),"",_xlfn.LET(
        _xlpm.channel,$D62,
        _xlpm.factorName,$C62,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3" ht="15.75" customHeight="1" s="179">
      <c r="C63" s="84">
        <f>IF(OR($D63=0,$D63=""),"",_xlfn.LET(
    _xlpm.channel,$D63,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3" s="119">
        <f>'2B RotationRule'!C8</f>
        <v/>
      </c>
      <c r="E63" s="227">
        <f>IFERROR(_xlfn.XLOOKUP($C63,$D$3:$D$40,E$3:E$40)*$BD63,0)</f>
        <v/>
      </c>
      <c r="F63" s="227">
        <f>IFERROR(_xlfn.XLOOKUP($C63,$D$3:$D$40,F$3:F$40)*$BD63,0)</f>
        <v/>
      </c>
      <c r="G63" s="227">
        <f>IFERROR(_xlfn.XLOOKUP($C63,$D$3:$D$40,G$3:G$40)*$BD63,0)</f>
        <v/>
      </c>
      <c r="H63" s="235">
        <f>IFERROR(_xlfn.XLOOKUP($C63,$D$3:$D$40,H$3:H$40)*$BD63,0)</f>
        <v/>
      </c>
      <c r="I63" s="235">
        <f>IFERROR(_xlfn.XLOOKUP($C63,$D$3:$D$40,I$3:I$40)*$BD63,0)</f>
        <v/>
      </c>
      <c r="J63" s="235">
        <f>IFERROR(_xlfn.XLOOKUP($C63,$D$3:$D$40,J$3:J$40)*$BD63,0)</f>
        <v/>
      </c>
      <c r="K63" s="235">
        <f>IFERROR(_xlfn.XLOOKUP($C63,$D$3:$D$40,K$3:K$40)*$BD63,0)</f>
        <v/>
      </c>
      <c r="L63" s="235">
        <f>IFERROR(_xlfn.XLOOKUP($C63,$D$3:$D$40,L$3:L$40)*$BD63,0)</f>
        <v/>
      </c>
      <c r="M63" s="235">
        <f>IFERROR(_xlfn.XLOOKUP($C63,$D$3:$D$40,M$3:M$40)*$BD63,0)</f>
        <v/>
      </c>
      <c r="N63" s="235">
        <f>IFERROR(_xlfn.XLOOKUP($C63,$D$3:$D$40,N$3:N$40)*$BD63,0)</f>
        <v/>
      </c>
      <c r="O63" s="235">
        <f>IFERROR(_xlfn.XLOOKUP($C63,$D$3:$D$40,O$3:O$40)*$BD63,0)</f>
        <v/>
      </c>
      <c r="P63" s="235">
        <f>IFERROR(_xlfn.XLOOKUP($C63,$D$3:$D$40,P$3:P$40)*$BD63,0)</f>
        <v/>
      </c>
      <c r="Q63" s="235">
        <f>IFERROR(_xlfn.XLOOKUP($C63,$D$3:$D$40,Q$3:Q$40)*$BD63,0)</f>
        <v/>
      </c>
      <c r="R63" s="235">
        <f>IFERROR(_xlfn.XLOOKUP($C63,$D$3:$D$40,R$3:R$40)*$BD63,0)</f>
        <v/>
      </c>
      <c r="S63" s="235">
        <f>IFERROR(_xlfn.XLOOKUP($C63,$D$3:$D$40,S$3:S$40)*$BD63,0)</f>
        <v/>
      </c>
      <c r="T63" s="235">
        <f>IFERROR(_xlfn.XLOOKUP($C63,$D$3:$D$40,T$3:T$40)*$BD63,0)</f>
        <v/>
      </c>
      <c r="U63" s="235">
        <f>IFERROR(_xlfn.XLOOKUP($C63,$D$3:$D$40,U$3:U$40)*$BD63,0)</f>
        <v/>
      </c>
      <c r="V63" s="235">
        <f>IFERROR(_xlfn.XLOOKUP($C63,$D$3:$D$40,V$3:V$40)*$BD63,0)</f>
        <v/>
      </c>
      <c r="W63" s="235">
        <f>IFERROR(_xlfn.XLOOKUP($C63,$D$3:$D$40,W$3:W$40)*$BD63,0)</f>
        <v/>
      </c>
      <c r="X63" s="235">
        <f>IFERROR(_xlfn.XLOOKUP($C63,$D$3:$D$40,X$3:X$40)*$BD63,0)</f>
        <v/>
      </c>
      <c r="Y63" s="235">
        <f>IFERROR(_xlfn.XLOOKUP($C63,$D$3:$D$40,Y$3:Y$40)*$BD63,0)</f>
        <v/>
      </c>
      <c r="Z63" s="235">
        <f>IFERROR(_xlfn.XLOOKUP($C63,$D$3:$D$40,Z$3:Z$40)*$BD63,0)</f>
        <v/>
      </c>
      <c r="AA63" s="235">
        <f>IFERROR(_xlfn.XLOOKUP($C63,$D$3:$D$40,AA$3:AA$40)*$BD63,0)</f>
        <v/>
      </c>
      <c r="AB63" s="235">
        <f>IFERROR(_xlfn.XLOOKUP($C63,$D$3:$D$40,AB$3:AB$40)*$BD63,0)</f>
        <v/>
      </c>
      <c r="AC63" s="235">
        <f>IFERROR(_xlfn.XLOOKUP($C63,$D$3:$D$40,AC$3:AC$40)*$BD63,0)</f>
        <v/>
      </c>
      <c r="AD63" s="235">
        <f>IFERROR(_xlfn.XLOOKUP($C63,$D$3:$D$40,AD$3:AD$40)*$BD63,0)</f>
        <v/>
      </c>
      <c r="AE63" s="235">
        <f>IFERROR(_xlfn.XLOOKUP($C63,$D$3:$D$40,AE$3:AE$40)*$BD63,0)</f>
        <v/>
      </c>
      <c r="AF63" s="235">
        <f>IFERROR(_xlfn.XLOOKUP($C63,$D$3:$D$40,AF$3:AF$40)*$BD63,0)</f>
        <v/>
      </c>
      <c r="AG63" s="235">
        <f>IFERROR(_xlfn.XLOOKUP($C63,$D$3:$D$40,AG$3:AG$40)*$BD63,0)</f>
        <v/>
      </c>
      <c r="AH63" s="235">
        <f>IFERROR(_xlfn.XLOOKUP($C63,$D$3:$D$40,AH$3:AH$40)*$BD63,0)</f>
        <v/>
      </c>
      <c r="AI63" s="235">
        <f>IFERROR(_xlfn.XLOOKUP($C63,$D$3:$D$40,AI$3:AI$40)*$BD63,0)</f>
        <v/>
      </c>
      <c r="AJ63" s="235">
        <f>IFERROR(_xlfn.XLOOKUP($C63,$D$3:$D$40,AJ$3:AJ$40)*$BD63,0)</f>
        <v/>
      </c>
      <c r="AK63" s="235">
        <f>IFERROR(_xlfn.XLOOKUP($C63,$D$3:$D$40,AK$3:AK$40)*$BD63,0)</f>
        <v/>
      </c>
      <c r="AL63" s="235">
        <f>IFERROR(_xlfn.XLOOKUP($C63,$D$3:$D$40,AL$3:AL$40)*$BD63,0)</f>
        <v/>
      </c>
      <c r="AM63" s="235">
        <f>IFERROR(_xlfn.XLOOKUP($C63,$D$3:$D$40,AM$3:AM$40)*$BD63,0)</f>
        <v/>
      </c>
      <c r="AN63" s="235">
        <f>IFERROR(_xlfn.XLOOKUP($C63,$D$3:$D$40,AN$3:AN$40)*$BD63,0)</f>
        <v/>
      </c>
      <c r="AO63" s="235">
        <f>IFERROR(_xlfn.XLOOKUP($C63,$D$3:$D$40,AO$3:AO$40)*$BD63,0)</f>
        <v/>
      </c>
      <c r="AP63" s="235">
        <f>IFERROR(_xlfn.XLOOKUP($C63,$D$3:$D$40,AP$3:AP$40)*$BD63,0)</f>
        <v/>
      </c>
      <c r="AQ63" s="235">
        <f>IFERROR(_xlfn.XLOOKUP($C63,$D$3:$D$40,AQ$3:AQ$40)*$BD63,0)</f>
        <v/>
      </c>
      <c r="AR63" s="235">
        <f>IFERROR(_xlfn.XLOOKUP($C63,$D$3:$D$40,AR$3:AR$40)*$BD63,0)</f>
        <v/>
      </c>
      <c r="AS63" s="235">
        <f>IFERROR(_xlfn.XLOOKUP($C63,$D$3:$D$40,AS$3:AS$40)*$BD63,0)</f>
        <v/>
      </c>
      <c r="AT63" s="235">
        <f>IFERROR(_xlfn.XLOOKUP($C63,$D$3:$D$40,AT$3:AT$40)*$BD63,0)</f>
        <v/>
      </c>
      <c r="AU63" s="235">
        <f>IFERROR(_xlfn.XLOOKUP($C63,$D$3:$D$40,AU$3:AU$40)*$BD63,0)</f>
        <v/>
      </c>
      <c r="AV63" s="235">
        <f>IFERROR(_xlfn.XLOOKUP($C63,$D$3:$D$40,AV$3:AV$40)*$BD63,0)</f>
        <v/>
      </c>
      <c r="AW63" s="235">
        <f>IFERROR(_xlfn.XLOOKUP($C63,$D$3:$D$40,AW$3:AW$40)*$BD63,0)</f>
        <v/>
      </c>
      <c r="AX63" s="235">
        <f>IFERROR(_xlfn.XLOOKUP($C63,$D$3:$D$40,AX$3:AX$40)*$BD63,0)</f>
        <v/>
      </c>
      <c r="AY63" s="235">
        <f>IFERROR(_xlfn.XLOOKUP($C63,$D$3:$D$40,AY$3:AY$40)*$BD63,0)</f>
        <v/>
      </c>
      <c r="AZ63" s="235">
        <f>IFERROR(_xlfn.XLOOKUP($C63,$D$3:$D$40,AZ$3:AZ$40)*$BD63,0)</f>
        <v/>
      </c>
      <c r="BA63" s="235">
        <f>IFERROR(_xlfn.XLOOKUP($C63,$D$3:$D$40,BA$3:BA$40)*$BD63,0)</f>
        <v/>
      </c>
      <c r="BB63" s="235">
        <f>IFERROR(_xlfn.XLOOKUP($C63,$D$3:$D$40,BB$3:BB$40)*$BD63,0)</f>
        <v/>
      </c>
      <c r="BC63" s="228">
        <f>IFERROR(_xlfn.XLOOKUP(D63,'2C 均值'!$A:$A,'2C 均值'!$E:$E),0)</f>
        <v/>
      </c>
      <c r="BD63" s="228">
        <f t="array" ref="BD63">IF(OR($D63=0,$D63=""),"",_xlfn.LET(
        _xlpm.channel,$D63,
        _xlpm.factorName,$C63,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4" ht="15.75" customHeight="1" s="179">
      <c r="C64" s="84">
        <f>IF(OR($D64=0,$D64=""),"",_xlfn.LET(
    _xlpm.channel,$D64,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4" s="119">
        <f>'2B RotationRule'!C9</f>
        <v/>
      </c>
      <c r="E64" s="227">
        <f>IFERROR(_xlfn.XLOOKUP($C64,$D$3:$D$40,E$3:E$40)*$BD64,0)</f>
        <v/>
      </c>
      <c r="F64" s="227">
        <f>IFERROR(_xlfn.XLOOKUP($C64,$D$3:$D$40,F$3:F$40)*$BD64,0)</f>
        <v/>
      </c>
      <c r="G64" s="227">
        <f>IFERROR(_xlfn.XLOOKUP($C64,$D$3:$D$40,G$3:G$40)*$BD64,0)</f>
        <v/>
      </c>
      <c r="H64" s="235">
        <f>IFERROR(_xlfn.XLOOKUP($C64,$D$3:$D$40,H$3:H$40)*$BD64,0)</f>
        <v/>
      </c>
      <c r="I64" s="235">
        <f>IFERROR(_xlfn.XLOOKUP($C64,$D$3:$D$40,I$3:I$40)*$BD64,0)</f>
        <v/>
      </c>
      <c r="J64" s="235">
        <f>IFERROR(_xlfn.XLOOKUP($C64,$D$3:$D$40,J$3:J$40)*$BD64,0)</f>
        <v/>
      </c>
      <c r="K64" s="235">
        <f>IFERROR(_xlfn.XLOOKUP($C64,$D$3:$D$40,K$3:K$40)*$BD64,0)</f>
        <v/>
      </c>
      <c r="L64" s="235">
        <f>IFERROR(_xlfn.XLOOKUP($C64,$D$3:$D$40,L$3:L$40)*$BD64,0)</f>
        <v/>
      </c>
      <c r="M64" s="235">
        <f>IFERROR(_xlfn.XLOOKUP($C64,$D$3:$D$40,M$3:M$40)*$BD64,0)</f>
        <v/>
      </c>
      <c r="N64" s="235">
        <f>IFERROR(_xlfn.XLOOKUP($C64,$D$3:$D$40,N$3:N$40)*$BD64,0)</f>
        <v/>
      </c>
      <c r="O64" s="235">
        <f>IFERROR(_xlfn.XLOOKUP($C64,$D$3:$D$40,O$3:O$40)*$BD64,0)</f>
        <v/>
      </c>
      <c r="P64" s="235">
        <f>IFERROR(_xlfn.XLOOKUP($C64,$D$3:$D$40,P$3:P$40)*$BD64,0)</f>
        <v/>
      </c>
      <c r="Q64" s="235">
        <f>IFERROR(_xlfn.XLOOKUP($C64,$D$3:$D$40,Q$3:Q$40)*$BD64,0)</f>
        <v/>
      </c>
      <c r="R64" s="235">
        <f>IFERROR(_xlfn.XLOOKUP($C64,$D$3:$D$40,R$3:R$40)*$BD64,0)</f>
        <v/>
      </c>
      <c r="S64" s="235">
        <f>IFERROR(_xlfn.XLOOKUP($C64,$D$3:$D$40,S$3:S$40)*$BD64,0)</f>
        <v/>
      </c>
      <c r="T64" s="235">
        <f>IFERROR(_xlfn.XLOOKUP($C64,$D$3:$D$40,T$3:T$40)*$BD64,0)</f>
        <v/>
      </c>
      <c r="U64" s="235">
        <f>IFERROR(_xlfn.XLOOKUP($C64,$D$3:$D$40,U$3:U$40)*$BD64,0)</f>
        <v/>
      </c>
      <c r="V64" s="235">
        <f>IFERROR(_xlfn.XLOOKUP($C64,$D$3:$D$40,V$3:V$40)*$BD64,0)</f>
        <v/>
      </c>
      <c r="W64" s="235">
        <f>IFERROR(_xlfn.XLOOKUP($C64,$D$3:$D$40,W$3:W$40)*$BD64,0)</f>
        <v/>
      </c>
      <c r="X64" s="235">
        <f>IFERROR(_xlfn.XLOOKUP($C64,$D$3:$D$40,X$3:X$40)*$BD64,0)</f>
        <v/>
      </c>
      <c r="Y64" s="235">
        <f>IFERROR(_xlfn.XLOOKUP($C64,$D$3:$D$40,Y$3:Y$40)*$BD64,0)</f>
        <v/>
      </c>
      <c r="Z64" s="235">
        <f>IFERROR(_xlfn.XLOOKUP($C64,$D$3:$D$40,Z$3:Z$40)*$BD64,0)</f>
        <v/>
      </c>
      <c r="AA64" s="235">
        <f>IFERROR(_xlfn.XLOOKUP($C64,$D$3:$D$40,AA$3:AA$40)*$BD64,0)</f>
        <v/>
      </c>
      <c r="AB64" s="235">
        <f>IFERROR(_xlfn.XLOOKUP($C64,$D$3:$D$40,AB$3:AB$40)*$BD64,0)</f>
        <v/>
      </c>
      <c r="AC64" s="235">
        <f>IFERROR(_xlfn.XLOOKUP($C64,$D$3:$D$40,AC$3:AC$40)*$BD64,0)</f>
        <v/>
      </c>
      <c r="AD64" s="235">
        <f>IFERROR(_xlfn.XLOOKUP($C64,$D$3:$D$40,AD$3:AD$40)*$BD64,0)</f>
        <v/>
      </c>
      <c r="AE64" s="235">
        <f>IFERROR(_xlfn.XLOOKUP($C64,$D$3:$D$40,AE$3:AE$40)*$BD64,0)</f>
        <v/>
      </c>
      <c r="AF64" s="235">
        <f>IFERROR(_xlfn.XLOOKUP($C64,$D$3:$D$40,AF$3:AF$40)*$BD64,0)</f>
        <v/>
      </c>
      <c r="AG64" s="235">
        <f>IFERROR(_xlfn.XLOOKUP($C64,$D$3:$D$40,AG$3:AG$40)*$BD64,0)</f>
        <v/>
      </c>
      <c r="AH64" s="235">
        <f>IFERROR(_xlfn.XLOOKUP($C64,$D$3:$D$40,AH$3:AH$40)*$BD64,0)</f>
        <v/>
      </c>
      <c r="AI64" s="235">
        <f>IFERROR(_xlfn.XLOOKUP($C64,$D$3:$D$40,AI$3:AI$40)*$BD64,0)</f>
        <v/>
      </c>
      <c r="AJ64" s="235">
        <f>IFERROR(_xlfn.XLOOKUP($C64,$D$3:$D$40,AJ$3:AJ$40)*$BD64,0)</f>
        <v/>
      </c>
      <c r="AK64" s="235">
        <f>IFERROR(_xlfn.XLOOKUP($C64,$D$3:$D$40,AK$3:AK$40)*$BD64,0)</f>
        <v/>
      </c>
      <c r="AL64" s="235">
        <f>IFERROR(_xlfn.XLOOKUP($C64,$D$3:$D$40,AL$3:AL$40)*$BD64,0)</f>
        <v/>
      </c>
      <c r="AM64" s="235">
        <f>IFERROR(_xlfn.XLOOKUP($C64,$D$3:$D$40,AM$3:AM$40)*$BD64,0)</f>
        <v/>
      </c>
      <c r="AN64" s="235">
        <f>IFERROR(_xlfn.XLOOKUP($C64,$D$3:$D$40,AN$3:AN$40)*$BD64,0)</f>
        <v/>
      </c>
      <c r="AO64" s="235">
        <f>IFERROR(_xlfn.XLOOKUP($C64,$D$3:$D$40,AO$3:AO$40)*$BD64,0)</f>
        <v/>
      </c>
      <c r="AP64" s="235">
        <f>IFERROR(_xlfn.XLOOKUP($C64,$D$3:$D$40,AP$3:AP$40)*$BD64,0)</f>
        <v/>
      </c>
      <c r="AQ64" s="235">
        <f>IFERROR(_xlfn.XLOOKUP($C64,$D$3:$D$40,AQ$3:AQ$40)*$BD64,0)</f>
        <v/>
      </c>
      <c r="AR64" s="235">
        <f>IFERROR(_xlfn.XLOOKUP($C64,$D$3:$D$40,AR$3:AR$40)*$BD64,0)</f>
        <v/>
      </c>
      <c r="AS64" s="235">
        <f>IFERROR(_xlfn.XLOOKUP($C64,$D$3:$D$40,AS$3:AS$40)*$BD64,0)</f>
        <v/>
      </c>
      <c r="AT64" s="235">
        <f>IFERROR(_xlfn.XLOOKUP($C64,$D$3:$D$40,AT$3:AT$40)*$BD64,0)</f>
        <v/>
      </c>
      <c r="AU64" s="235">
        <f>IFERROR(_xlfn.XLOOKUP($C64,$D$3:$D$40,AU$3:AU$40)*$BD64,0)</f>
        <v/>
      </c>
      <c r="AV64" s="235">
        <f>IFERROR(_xlfn.XLOOKUP($C64,$D$3:$D$40,AV$3:AV$40)*$BD64,0)</f>
        <v/>
      </c>
      <c r="AW64" s="235">
        <f>IFERROR(_xlfn.XLOOKUP($C64,$D$3:$D$40,AW$3:AW$40)*$BD64,0)</f>
        <v/>
      </c>
      <c r="AX64" s="235">
        <f>IFERROR(_xlfn.XLOOKUP($C64,$D$3:$D$40,AX$3:AX$40)*$BD64,0)</f>
        <v/>
      </c>
      <c r="AY64" s="235">
        <f>IFERROR(_xlfn.XLOOKUP($C64,$D$3:$D$40,AY$3:AY$40)*$BD64,0)</f>
        <v/>
      </c>
      <c r="AZ64" s="235">
        <f>IFERROR(_xlfn.XLOOKUP($C64,$D$3:$D$40,AZ$3:AZ$40)*$BD64,0)</f>
        <v/>
      </c>
      <c r="BA64" s="235">
        <f>IFERROR(_xlfn.XLOOKUP($C64,$D$3:$D$40,BA$3:BA$40)*$BD64,0)</f>
        <v/>
      </c>
      <c r="BB64" s="235">
        <f>IFERROR(_xlfn.XLOOKUP($C64,$D$3:$D$40,BB$3:BB$40)*$BD64,0)</f>
        <v/>
      </c>
      <c r="BC64" s="228">
        <f>IFERROR(_xlfn.XLOOKUP(D64,'2C 均值'!$A:$A,'2C 均值'!$E:$E),0)</f>
        <v/>
      </c>
      <c r="BD64" s="228">
        <f t="array" ref="BD64">IF(OR($D64=0,$D64=""),"",_xlfn.LET(
        _xlpm.channel,$D64,
        _xlpm.factorName,$C64,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5" ht="15.75" customHeight="1" s="179">
      <c r="C65" s="84">
        <f>IF(OR($D65=0,$D65=""),"",_xlfn.LET(
    _xlpm.channel,$D65,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5" s="119">
        <f>'2B RotationRule'!C10</f>
        <v/>
      </c>
      <c r="E65" s="227">
        <f>IFERROR(_xlfn.XLOOKUP($C65,$D$3:$D$40,E$3:E$40)*$BD65,0)</f>
        <v/>
      </c>
      <c r="F65" s="227">
        <f>IFERROR(_xlfn.XLOOKUP($C65,$D$3:$D$40,F$3:F$40)*$BD65,0)</f>
        <v/>
      </c>
      <c r="G65" s="227">
        <f>IFERROR(_xlfn.XLOOKUP($C65,$D$3:$D$40,G$3:G$40)*$BD65,0)</f>
        <v/>
      </c>
      <c r="H65" s="235">
        <f>IFERROR(_xlfn.XLOOKUP($C65,$D$3:$D$40,H$3:H$40)*$BD65,0)</f>
        <v/>
      </c>
      <c r="I65" s="235">
        <f>IFERROR(_xlfn.XLOOKUP($C65,$D$3:$D$40,I$3:I$40)*$BD65,0)</f>
        <v/>
      </c>
      <c r="J65" s="235">
        <f>IFERROR(_xlfn.XLOOKUP($C65,$D$3:$D$40,J$3:J$40)*$BD65,0)</f>
        <v/>
      </c>
      <c r="K65" s="235">
        <f>IFERROR(_xlfn.XLOOKUP($C65,$D$3:$D$40,K$3:K$40)*$BD65,0)</f>
        <v/>
      </c>
      <c r="L65" s="235">
        <f>IFERROR(_xlfn.XLOOKUP($C65,$D$3:$D$40,L$3:L$40)*$BD65,0)</f>
        <v/>
      </c>
      <c r="M65" s="235">
        <f>IFERROR(_xlfn.XLOOKUP($C65,$D$3:$D$40,M$3:M$40)*$BD65,0)</f>
        <v/>
      </c>
      <c r="N65" s="235">
        <f>IFERROR(_xlfn.XLOOKUP($C65,$D$3:$D$40,N$3:N$40)*$BD65,0)</f>
        <v/>
      </c>
      <c r="O65" s="235">
        <f>IFERROR(_xlfn.XLOOKUP($C65,$D$3:$D$40,O$3:O$40)*$BD65,0)</f>
        <v/>
      </c>
      <c r="P65" s="235">
        <f>IFERROR(_xlfn.XLOOKUP($C65,$D$3:$D$40,P$3:P$40)*$BD65,0)</f>
        <v/>
      </c>
      <c r="Q65" s="235">
        <f>IFERROR(_xlfn.XLOOKUP($C65,$D$3:$D$40,Q$3:Q$40)*$BD65,0)</f>
        <v/>
      </c>
      <c r="R65" s="235">
        <f>IFERROR(_xlfn.XLOOKUP($C65,$D$3:$D$40,R$3:R$40)*$BD65,0)</f>
        <v/>
      </c>
      <c r="S65" s="235">
        <f>IFERROR(_xlfn.XLOOKUP($C65,$D$3:$D$40,S$3:S$40)*$BD65,0)</f>
        <v/>
      </c>
      <c r="T65" s="235">
        <f>IFERROR(_xlfn.XLOOKUP($C65,$D$3:$D$40,T$3:T$40)*$BD65,0)</f>
        <v/>
      </c>
      <c r="U65" s="235">
        <f>IFERROR(_xlfn.XLOOKUP($C65,$D$3:$D$40,U$3:U$40)*$BD65,0)</f>
        <v/>
      </c>
      <c r="V65" s="235">
        <f>IFERROR(_xlfn.XLOOKUP($C65,$D$3:$D$40,V$3:V$40)*$BD65,0)</f>
        <v/>
      </c>
      <c r="W65" s="235">
        <f>IFERROR(_xlfn.XLOOKUP($C65,$D$3:$D$40,W$3:W$40)*$BD65,0)</f>
        <v/>
      </c>
      <c r="X65" s="235">
        <f>IFERROR(_xlfn.XLOOKUP($C65,$D$3:$D$40,X$3:X$40)*$BD65,0)</f>
        <v/>
      </c>
      <c r="Y65" s="235">
        <f>IFERROR(_xlfn.XLOOKUP($C65,$D$3:$D$40,Y$3:Y$40)*$BD65,0)</f>
        <v/>
      </c>
      <c r="Z65" s="235">
        <f>IFERROR(_xlfn.XLOOKUP($C65,$D$3:$D$40,Z$3:Z$40)*$BD65,0)</f>
        <v/>
      </c>
      <c r="AA65" s="235">
        <f>IFERROR(_xlfn.XLOOKUP($C65,$D$3:$D$40,AA$3:AA$40)*$BD65,0)</f>
        <v/>
      </c>
      <c r="AB65" s="235">
        <f>IFERROR(_xlfn.XLOOKUP($C65,$D$3:$D$40,AB$3:AB$40)*$BD65,0)</f>
        <v/>
      </c>
      <c r="AC65" s="235">
        <f>IFERROR(_xlfn.XLOOKUP($C65,$D$3:$D$40,AC$3:AC$40)*$BD65,0)</f>
        <v/>
      </c>
      <c r="AD65" s="235">
        <f>IFERROR(_xlfn.XLOOKUP($C65,$D$3:$D$40,AD$3:AD$40)*$BD65,0)</f>
        <v/>
      </c>
      <c r="AE65" s="235">
        <f>IFERROR(_xlfn.XLOOKUP($C65,$D$3:$D$40,AE$3:AE$40)*$BD65,0)</f>
        <v/>
      </c>
      <c r="AF65" s="235">
        <f>IFERROR(_xlfn.XLOOKUP($C65,$D$3:$D$40,AF$3:AF$40)*$BD65,0)</f>
        <v/>
      </c>
      <c r="AG65" s="235">
        <f>IFERROR(_xlfn.XLOOKUP($C65,$D$3:$D$40,AG$3:AG$40)*$BD65,0)</f>
        <v/>
      </c>
      <c r="AH65" s="235">
        <f>IFERROR(_xlfn.XLOOKUP($C65,$D$3:$D$40,AH$3:AH$40)*$BD65,0)</f>
        <v/>
      </c>
      <c r="AI65" s="235">
        <f>IFERROR(_xlfn.XLOOKUP($C65,$D$3:$D$40,AI$3:AI$40)*$BD65,0)</f>
        <v/>
      </c>
      <c r="AJ65" s="235">
        <f>IFERROR(_xlfn.XLOOKUP($C65,$D$3:$D$40,AJ$3:AJ$40)*$BD65,0)</f>
        <v/>
      </c>
      <c r="AK65" s="235">
        <f>IFERROR(_xlfn.XLOOKUP($C65,$D$3:$D$40,AK$3:AK$40)*$BD65,0)</f>
        <v/>
      </c>
      <c r="AL65" s="235">
        <f>IFERROR(_xlfn.XLOOKUP($C65,$D$3:$D$40,AL$3:AL$40)*$BD65,0)</f>
        <v/>
      </c>
      <c r="AM65" s="235">
        <f>IFERROR(_xlfn.XLOOKUP($C65,$D$3:$D$40,AM$3:AM$40)*$BD65,0)</f>
        <v/>
      </c>
      <c r="AN65" s="235">
        <f>IFERROR(_xlfn.XLOOKUP($C65,$D$3:$D$40,AN$3:AN$40)*$BD65,0)</f>
        <v/>
      </c>
      <c r="AO65" s="235">
        <f>IFERROR(_xlfn.XLOOKUP($C65,$D$3:$D$40,AO$3:AO$40)*$BD65,0)</f>
        <v/>
      </c>
      <c r="AP65" s="235">
        <f>IFERROR(_xlfn.XLOOKUP($C65,$D$3:$D$40,AP$3:AP$40)*$BD65,0)</f>
        <v/>
      </c>
      <c r="AQ65" s="235">
        <f>IFERROR(_xlfn.XLOOKUP($C65,$D$3:$D$40,AQ$3:AQ$40)*$BD65,0)</f>
        <v/>
      </c>
      <c r="AR65" s="235">
        <f>IFERROR(_xlfn.XLOOKUP($C65,$D$3:$D$40,AR$3:AR$40)*$BD65,0)</f>
        <v/>
      </c>
      <c r="AS65" s="235">
        <f>IFERROR(_xlfn.XLOOKUP($C65,$D$3:$D$40,AS$3:AS$40)*$BD65,0)</f>
        <v/>
      </c>
      <c r="AT65" s="235">
        <f>IFERROR(_xlfn.XLOOKUP($C65,$D$3:$D$40,AT$3:AT$40)*$BD65,0)</f>
        <v/>
      </c>
      <c r="AU65" s="235">
        <f>IFERROR(_xlfn.XLOOKUP($C65,$D$3:$D$40,AU$3:AU$40)*$BD65,0)</f>
        <v/>
      </c>
      <c r="AV65" s="235">
        <f>IFERROR(_xlfn.XLOOKUP($C65,$D$3:$D$40,AV$3:AV$40)*$BD65,0)</f>
        <v/>
      </c>
      <c r="AW65" s="235">
        <f>IFERROR(_xlfn.XLOOKUP($C65,$D$3:$D$40,AW$3:AW$40)*$BD65,0)</f>
        <v/>
      </c>
      <c r="AX65" s="235">
        <f>IFERROR(_xlfn.XLOOKUP($C65,$D$3:$D$40,AX$3:AX$40)*$BD65,0)</f>
        <v/>
      </c>
      <c r="AY65" s="235">
        <f>IFERROR(_xlfn.XLOOKUP($C65,$D$3:$D$40,AY$3:AY$40)*$BD65,0)</f>
        <v/>
      </c>
      <c r="AZ65" s="235">
        <f>IFERROR(_xlfn.XLOOKUP($C65,$D$3:$D$40,AZ$3:AZ$40)*$BD65,0)</f>
        <v/>
      </c>
      <c r="BA65" s="235">
        <f>IFERROR(_xlfn.XLOOKUP($C65,$D$3:$D$40,BA$3:BA$40)*$BD65,0)</f>
        <v/>
      </c>
      <c r="BB65" s="235">
        <f>IFERROR(_xlfn.XLOOKUP($C65,$D$3:$D$40,BB$3:BB$40)*$BD65,0)</f>
        <v/>
      </c>
      <c r="BC65" s="228">
        <f>IFERROR(_xlfn.XLOOKUP(D65,'2C 均值'!$A:$A,'2C 均值'!$E:$E),0)</f>
        <v/>
      </c>
      <c r="BD65" s="228">
        <f t="array" ref="BD65">IF(OR($D65=0,$D65=""),"",_xlfn.LET(
        _xlpm.channel,$D65,
        _xlpm.factorName,$C65,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6" ht="15.75" customHeight="1" s="179">
      <c r="C66" s="84">
        <f>IF(OR($D66=0,$D66=""),"",_xlfn.LET(
    _xlpm.channel,$D66,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6" s="119">
        <f>'2B RotationRule'!C11</f>
        <v/>
      </c>
      <c r="E66" s="227">
        <f>IFERROR(_xlfn.XLOOKUP($C66,$D$3:$D$40,E$3:E$40)*$BD66,0)</f>
        <v/>
      </c>
      <c r="F66" s="227">
        <f>IFERROR(_xlfn.XLOOKUP($C66,$D$3:$D$40,F$3:F$40)*$BD66,0)</f>
        <v/>
      </c>
      <c r="G66" s="227">
        <f>IFERROR(_xlfn.XLOOKUP($C66,$D$3:$D$40,G$3:G$40)*$BD66,0)</f>
        <v/>
      </c>
      <c r="H66" s="235">
        <f>IFERROR(_xlfn.XLOOKUP($C66,$D$3:$D$40,H$3:H$40)*$BD66,0)</f>
        <v/>
      </c>
      <c r="I66" s="235">
        <f>IFERROR(_xlfn.XLOOKUP($C66,$D$3:$D$40,I$3:I$40)*$BD66,0)</f>
        <v/>
      </c>
      <c r="J66" s="235">
        <f>IFERROR(_xlfn.XLOOKUP($C66,$D$3:$D$40,J$3:J$40)*$BD66,0)</f>
        <v/>
      </c>
      <c r="K66" s="235">
        <f>IFERROR(_xlfn.XLOOKUP($C66,$D$3:$D$40,K$3:K$40)*$BD66,0)</f>
        <v/>
      </c>
      <c r="L66" s="235">
        <f>IFERROR(_xlfn.XLOOKUP($C66,$D$3:$D$40,L$3:L$40)*$BD66,0)</f>
        <v/>
      </c>
      <c r="M66" s="235">
        <f>IFERROR(_xlfn.XLOOKUP($C66,$D$3:$D$40,M$3:M$40)*$BD66,0)</f>
        <v/>
      </c>
      <c r="N66" s="235">
        <f>IFERROR(_xlfn.XLOOKUP($C66,$D$3:$D$40,N$3:N$40)*$BD66,0)</f>
        <v/>
      </c>
      <c r="O66" s="235">
        <f>IFERROR(_xlfn.XLOOKUP($C66,$D$3:$D$40,O$3:O$40)*$BD66,0)</f>
        <v/>
      </c>
      <c r="P66" s="235">
        <f>IFERROR(_xlfn.XLOOKUP($C66,$D$3:$D$40,P$3:P$40)*$BD66,0)</f>
        <v/>
      </c>
      <c r="Q66" s="235">
        <f>IFERROR(_xlfn.XLOOKUP($C66,$D$3:$D$40,Q$3:Q$40)*$BD66,0)</f>
        <v/>
      </c>
      <c r="R66" s="235">
        <f>IFERROR(_xlfn.XLOOKUP($C66,$D$3:$D$40,R$3:R$40)*$BD66,0)</f>
        <v/>
      </c>
      <c r="S66" s="235">
        <f>IFERROR(_xlfn.XLOOKUP($C66,$D$3:$D$40,S$3:S$40)*$BD66,0)</f>
        <v/>
      </c>
      <c r="T66" s="235">
        <f>IFERROR(_xlfn.XLOOKUP($C66,$D$3:$D$40,T$3:T$40)*$BD66,0)</f>
        <v/>
      </c>
      <c r="U66" s="235">
        <f>IFERROR(_xlfn.XLOOKUP($C66,$D$3:$D$40,U$3:U$40)*$BD66,0)</f>
        <v/>
      </c>
      <c r="V66" s="235">
        <f>IFERROR(_xlfn.XLOOKUP($C66,$D$3:$D$40,V$3:V$40)*$BD66,0)</f>
        <v/>
      </c>
      <c r="W66" s="235">
        <f>IFERROR(_xlfn.XLOOKUP($C66,$D$3:$D$40,W$3:W$40)*$BD66,0)</f>
        <v/>
      </c>
      <c r="X66" s="235">
        <f>IFERROR(_xlfn.XLOOKUP($C66,$D$3:$D$40,X$3:X$40)*$BD66,0)</f>
        <v/>
      </c>
      <c r="Y66" s="235">
        <f>IFERROR(_xlfn.XLOOKUP($C66,$D$3:$D$40,Y$3:Y$40)*$BD66,0)</f>
        <v/>
      </c>
      <c r="Z66" s="235">
        <f>IFERROR(_xlfn.XLOOKUP($C66,$D$3:$D$40,Z$3:Z$40)*$BD66,0)</f>
        <v/>
      </c>
      <c r="AA66" s="235">
        <f>IFERROR(_xlfn.XLOOKUP($C66,$D$3:$D$40,AA$3:AA$40)*$BD66,0)</f>
        <v/>
      </c>
      <c r="AB66" s="235">
        <f>IFERROR(_xlfn.XLOOKUP($C66,$D$3:$D$40,AB$3:AB$40)*$BD66,0)</f>
        <v/>
      </c>
      <c r="AC66" s="235">
        <f>IFERROR(_xlfn.XLOOKUP($C66,$D$3:$D$40,AC$3:AC$40)*$BD66,0)</f>
        <v/>
      </c>
      <c r="AD66" s="235">
        <f>IFERROR(_xlfn.XLOOKUP($C66,$D$3:$D$40,AD$3:AD$40)*$BD66,0)</f>
        <v/>
      </c>
      <c r="AE66" s="235">
        <f>IFERROR(_xlfn.XLOOKUP($C66,$D$3:$D$40,AE$3:AE$40)*$BD66,0)</f>
        <v/>
      </c>
      <c r="AF66" s="235">
        <f>IFERROR(_xlfn.XLOOKUP($C66,$D$3:$D$40,AF$3:AF$40)*$BD66,0)</f>
        <v/>
      </c>
      <c r="AG66" s="235">
        <f>IFERROR(_xlfn.XLOOKUP($C66,$D$3:$D$40,AG$3:AG$40)*$BD66,0)</f>
        <v/>
      </c>
      <c r="AH66" s="235">
        <f>IFERROR(_xlfn.XLOOKUP($C66,$D$3:$D$40,AH$3:AH$40)*$BD66,0)</f>
        <v/>
      </c>
      <c r="AI66" s="235">
        <f>IFERROR(_xlfn.XLOOKUP($C66,$D$3:$D$40,AI$3:AI$40)*$BD66,0)</f>
        <v/>
      </c>
      <c r="AJ66" s="235">
        <f>IFERROR(_xlfn.XLOOKUP($C66,$D$3:$D$40,AJ$3:AJ$40)*$BD66,0)</f>
        <v/>
      </c>
      <c r="AK66" s="235">
        <f>IFERROR(_xlfn.XLOOKUP($C66,$D$3:$D$40,AK$3:AK$40)*$BD66,0)</f>
        <v/>
      </c>
      <c r="AL66" s="235">
        <f>IFERROR(_xlfn.XLOOKUP($C66,$D$3:$D$40,AL$3:AL$40)*$BD66,0)</f>
        <v/>
      </c>
      <c r="AM66" s="235">
        <f>IFERROR(_xlfn.XLOOKUP($C66,$D$3:$D$40,AM$3:AM$40)*$BD66,0)</f>
        <v/>
      </c>
      <c r="AN66" s="235">
        <f>IFERROR(_xlfn.XLOOKUP($C66,$D$3:$D$40,AN$3:AN$40)*$BD66,0)</f>
        <v/>
      </c>
      <c r="AO66" s="235">
        <f>IFERROR(_xlfn.XLOOKUP($C66,$D$3:$D$40,AO$3:AO$40)*$BD66,0)</f>
        <v/>
      </c>
      <c r="AP66" s="235">
        <f>IFERROR(_xlfn.XLOOKUP($C66,$D$3:$D$40,AP$3:AP$40)*$BD66,0)</f>
        <v/>
      </c>
      <c r="AQ66" s="235">
        <f>IFERROR(_xlfn.XLOOKUP($C66,$D$3:$D$40,AQ$3:AQ$40)*$BD66,0)</f>
        <v/>
      </c>
      <c r="AR66" s="235">
        <f>IFERROR(_xlfn.XLOOKUP($C66,$D$3:$D$40,AR$3:AR$40)*$BD66,0)</f>
        <v/>
      </c>
      <c r="AS66" s="235">
        <f>IFERROR(_xlfn.XLOOKUP($C66,$D$3:$D$40,AS$3:AS$40)*$BD66,0)</f>
        <v/>
      </c>
      <c r="AT66" s="235">
        <f>IFERROR(_xlfn.XLOOKUP($C66,$D$3:$D$40,AT$3:AT$40)*$BD66,0)</f>
        <v/>
      </c>
      <c r="AU66" s="235">
        <f>IFERROR(_xlfn.XLOOKUP($C66,$D$3:$D$40,AU$3:AU$40)*$BD66,0)</f>
        <v/>
      </c>
      <c r="AV66" s="235">
        <f>IFERROR(_xlfn.XLOOKUP($C66,$D$3:$D$40,AV$3:AV$40)*$BD66,0)</f>
        <v/>
      </c>
      <c r="AW66" s="235">
        <f>IFERROR(_xlfn.XLOOKUP($C66,$D$3:$D$40,AW$3:AW$40)*$BD66,0)</f>
        <v/>
      </c>
      <c r="AX66" s="235">
        <f>IFERROR(_xlfn.XLOOKUP($C66,$D$3:$D$40,AX$3:AX$40)*$BD66,0)</f>
        <v/>
      </c>
      <c r="AY66" s="235">
        <f>IFERROR(_xlfn.XLOOKUP($C66,$D$3:$D$40,AY$3:AY$40)*$BD66,0)</f>
        <v/>
      </c>
      <c r="AZ66" s="235">
        <f>IFERROR(_xlfn.XLOOKUP($C66,$D$3:$D$40,AZ$3:AZ$40)*$BD66,0)</f>
        <v/>
      </c>
      <c r="BA66" s="235">
        <f>IFERROR(_xlfn.XLOOKUP($C66,$D$3:$D$40,BA$3:BA$40)*$BD66,0)</f>
        <v/>
      </c>
      <c r="BB66" s="235">
        <f>IFERROR(_xlfn.XLOOKUP($C66,$D$3:$D$40,BB$3:BB$40)*$BD66,0)</f>
        <v/>
      </c>
      <c r="BC66" s="228">
        <f>IFERROR(_xlfn.XLOOKUP(D66,'2C 均值'!$A:$A,'2C 均值'!$E:$E),0)</f>
        <v/>
      </c>
      <c r="BD66" s="228">
        <f t="array" ref="BD66">IF(OR($D66=0,$D66=""),"",_xlfn.LET(
        _xlpm.channel,$D66,
        _xlpm.factorName,$C66,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7" ht="15.75" customHeight="1" s="179">
      <c r="C67" s="84">
        <f>IF(OR($D67=0,$D67=""),"",_xlfn.LET(
    _xlpm.channel,$D67,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7" s="119">
        <f>'2B RotationRule'!C12</f>
        <v/>
      </c>
      <c r="E67" s="227">
        <f>IFERROR(_xlfn.XLOOKUP($C67,$D$3:$D$40,E$3:E$40)*$BD67,0)</f>
        <v/>
      </c>
      <c r="F67" s="227">
        <f>IFERROR(_xlfn.XLOOKUP($C67,$D$3:$D$40,F$3:F$40)*$BD67,0)</f>
        <v/>
      </c>
      <c r="G67" s="227">
        <f>IFERROR(_xlfn.XLOOKUP($C67,$D$3:$D$40,G$3:G$40)*$BD67,0)</f>
        <v/>
      </c>
      <c r="H67" s="235">
        <f>IFERROR(_xlfn.XLOOKUP($C67,$D$3:$D$40,H$3:H$40)*$BD67,0)</f>
        <v/>
      </c>
      <c r="I67" s="235">
        <f>IFERROR(_xlfn.XLOOKUP($C67,$D$3:$D$40,I$3:I$40)*$BD67,0)</f>
        <v/>
      </c>
      <c r="J67" s="235">
        <f>IFERROR(_xlfn.XLOOKUP($C67,$D$3:$D$40,J$3:J$40)*$BD67,0)</f>
        <v/>
      </c>
      <c r="K67" s="235">
        <f>IFERROR(_xlfn.XLOOKUP($C67,$D$3:$D$40,K$3:K$40)*$BD67,0)</f>
        <v/>
      </c>
      <c r="L67" s="235">
        <f>IFERROR(_xlfn.XLOOKUP($C67,$D$3:$D$40,L$3:L$40)*$BD67,0)</f>
        <v/>
      </c>
      <c r="M67" s="235">
        <f>IFERROR(_xlfn.XLOOKUP($C67,$D$3:$D$40,M$3:M$40)*$BD67,0)</f>
        <v/>
      </c>
      <c r="N67" s="235">
        <f>IFERROR(_xlfn.XLOOKUP($C67,$D$3:$D$40,N$3:N$40)*$BD67,0)</f>
        <v/>
      </c>
      <c r="O67" s="235">
        <f>IFERROR(_xlfn.XLOOKUP($C67,$D$3:$D$40,O$3:O$40)*$BD67,0)</f>
        <v/>
      </c>
      <c r="P67" s="235">
        <f>IFERROR(_xlfn.XLOOKUP($C67,$D$3:$D$40,P$3:P$40)*$BD67,0)</f>
        <v/>
      </c>
      <c r="Q67" s="235">
        <f>IFERROR(_xlfn.XLOOKUP($C67,$D$3:$D$40,Q$3:Q$40)*$BD67,0)</f>
        <v/>
      </c>
      <c r="R67" s="235">
        <f>IFERROR(_xlfn.XLOOKUP($C67,$D$3:$D$40,R$3:R$40)*$BD67,0)</f>
        <v/>
      </c>
      <c r="S67" s="235">
        <f>IFERROR(_xlfn.XLOOKUP($C67,$D$3:$D$40,S$3:S$40)*$BD67,0)</f>
        <v/>
      </c>
      <c r="T67" s="235">
        <f>IFERROR(_xlfn.XLOOKUP($C67,$D$3:$D$40,T$3:T$40)*$BD67,0)</f>
        <v/>
      </c>
      <c r="U67" s="235">
        <f>IFERROR(_xlfn.XLOOKUP($C67,$D$3:$D$40,U$3:U$40)*$BD67,0)</f>
        <v/>
      </c>
      <c r="V67" s="235">
        <f>IFERROR(_xlfn.XLOOKUP($C67,$D$3:$D$40,V$3:V$40)*$BD67,0)</f>
        <v/>
      </c>
      <c r="W67" s="235">
        <f>IFERROR(_xlfn.XLOOKUP($C67,$D$3:$D$40,W$3:W$40)*$BD67,0)</f>
        <v/>
      </c>
      <c r="X67" s="235">
        <f>IFERROR(_xlfn.XLOOKUP($C67,$D$3:$D$40,X$3:X$40)*$BD67,0)</f>
        <v/>
      </c>
      <c r="Y67" s="235">
        <f>IFERROR(_xlfn.XLOOKUP($C67,$D$3:$D$40,Y$3:Y$40)*$BD67,0)</f>
        <v/>
      </c>
      <c r="Z67" s="235">
        <f>IFERROR(_xlfn.XLOOKUP($C67,$D$3:$D$40,Z$3:Z$40)*$BD67,0)</f>
        <v/>
      </c>
      <c r="AA67" s="235">
        <f>IFERROR(_xlfn.XLOOKUP($C67,$D$3:$D$40,AA$3:AA$40)*$BD67,0)</f>
        <v/>
      </c>
      <c r="AB67" s="235">
        <f>IFERROR(_xlfn.XLOOKUP($C67,$D$3:$D$40,AB$3:AB$40)*$BD67,0)</f>
        <v/>
      </c>
      <c r="AC67" s="235">
        <f>IFERROR(_xlfn.XLOOKUP($C67,$D$3:$D$40,AC$3:AC$40)*$BD67,0)</f>
        <v/>
      </c>
      <c r="AD67" s="235">
        <f>IFERROR(_xlfn.XLOOKUP($C67,$D$3:$D$40,AD$3:AD$40)*$BD67,0)</f>
        <v/>
      </c>
      <c r="AE67" s="235">
        <f>IFERROR(_xlfn.XLOOKUP($C67,$D$3:$D$40,AE$3:AE$40)*$BD67,0)</f>
        <v/>
      </c>
      <c r="AF67" s="235">
        <f>IFERROR(_xlfn.XLOOKUP($C67,$D$3:$D$40,AF$3:AF$40)*$BD67,0)</f>
        <v/>
      </c>
      <c r="AG67" s="235">
        <f>IFERROR(_xlfn.XLOOKUP($C67,$D$3:$D$40,AG$3:AG$40)*$BD67,0)</f>
        <v/>
      </c>
      <c r="AH67" s="235">
        <f>IFERROR(_xlfn.XLOOKUP($C67,$D$3:$D$40,AH$3:AH$40)*$BD67,0)</f>
        <v/>
      </c>
      <c r="AI67" s="235">
        <f>IFERROR(_xlfn.XLOOKUP($C67,$D$3:$D$40,AI$3:AI$40)*$BD67,0)</f>
        <v/>
      </c>
      <c r="AJ67" s="235">
        <f>IFERROR(_xlfn.XLOOKUP($C67,$D$3:$D$40,AJ$3:AJ$40)*$BD67,0)</f>
        <v/>
      </c>
      <c r="AK67" s="235">
        <f>IFERROR(_xlfn.XLOOKUP($C67,$D$3:$D$40,AK$3:AK$40)*$BD67,0)</f>
        <v/>
      </c>
      <c r="AL67" s="235">
        <f>IFERROR(_xlfn.XLOOKUP($C67,$D$3:$D$40,AL$3:AL$40)*$BD67,0)</f>
        <v/>
      </c>
      <c r="AM67" s="235">
        <f>IFERROR(_xlfn.XLOOKUP($C67,$D$3:$D$40,AM$3:AM$40)*$BD67,0)</f>
        <v/>
      </c>
      <c r="AN67" s="235">
        <f>IFERROR(_xlfn.XLOOKUP($C67,$D$3:$D$40,AN$3:AN$40)*$BD67,0)</f>
        <v/>
      </c>
      <c r="AO67" s="235">
        <f>IFERROR(_xlfn.XLOOKUP($C67,$D$3:$D$40,AO$3:AO$40)*$BD67,0)</f>
        <v/>
      </c>
      <c r="AP67" s="235">
        <f>IFERROR(_xlfn.XLOOKUP($C67,$D$3:$D$40,AP$3:AP$40)*$BD67,0)</f>
        <v/>
      </c>
      <c r="AQ67" s="235">
        <f>IFERROR(_xlfn.XLOOKUP($C67,$D$3:$D$40,AQ$3:AQ$40)*$BD67,0)</f>
        <v/>
      </c>
      <c r="AR67" s="235">
        <f>IFERROR(_xlfn.XLOOKUP($C67,$D$3:$D$40,AR$3:AR$40)*$BD67,0)</f>
        <v/>
      </c>
      <c r="AS67" s="235">
        <f>IFERROR(_xlfn.XLOOKUP($C67,$D$3:$D$40,AS$3:AS$40)*$BD67,0)</f>
        <v/>
      </c>
      <c r="AT67" s="235">
        <f>IFERROR(_xlfn.XLOOKUP($C67,$D$3:$D$40,AT$3:AT$40)*$BD67,0)</f>
        <v/>
      </c>
      <c r="AU67" s="235">
        <f>IFERROR(_xlfn.XLOOKUP($C67,$D$3:$D$40,AU$3:AU$40)*$BD67,0)</f>
        <v/>
      </c>
      <c r="AV67" s="235">
        <f>IFERROR(_xlfn.XLOOKUP($C67,$D$3:$D$40,AV$3:AV$40)*$BD67,0)</f>
        <v/>
      </c>
      <c r="AW67" s="235">
        <f>IFERROR(_xlfn.XLOOKUP($C67,$D$3:$D$40,AW$3:AW$40)*$BD67,0)</f>
        <v/>
      </c>
      <c r="AX67" s="235">
        <f>IFERROR(_xlfn.XLOOKUP($C67,$D$3:$D$40,AX$3:AX$40)*$BD67,0)</f>
        <v/>
      </c>
      <c r="AY67" s="235">
        <f>IFERROR(_xlfn.XLOOKUP($C67,$D$3:$D$40,AY$3:AY$40)*$BD67,0)</f>
        <v/>
      </c>
      <c r="AZ67" s="235">
        <f>IFERROR(_xlfn.XLOOKUP($C67,$D$3:$D$40,AZ$3:AZ$40)*$BD67,0)</f>
        <v/>
      </c>
      <c r="BA67" s="235">
        <f>IFERROR(_xlfn.XLOOKUP($C67,$D$3:$D$40,BA$3:BA$40)*$BD67,0)</f>
        <v/>
      </c>
      <c r="BB67" s="235">
        <f>IFERROR(_xlfn.XLOOKUP($C67,$D$3:$D$40,BB$3:BB$40)*$BD67,0)</f>
        <v/>
      </c>
      <c r="BC67" s="228">
        <f>IFERROR(_xlfn.XLOOKUP(D67,'2C 均值'!$A:$A,'2C 均值'!$E:$E),0)</f>
        <v/>
      </c>
      <c r="BD67" s="228">
        <f t="array" ref="BD67">IF(OR($D67=0,$D67=""),"",_xlfn.LET(
        _xlpm.channel,$D67,
        _xlpm.factorName,$C67,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8" ht="15.75" customHeight="1" s="179">
      <c r="C68" s="84">
        <f>IF(OR($D68=0,$D68=""),"",_xlfn.LET(
    _xlpm.channel,$D68,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8" s="119">
        <f>'2B RotationRule'!C13</f>
        <v/>
      </c>
      <c r="E68" s="227">
        <f>IFERROR(_xlfn.XLOOKUP($C68,$D$3:$D$40,E$3:E$40)*$BD68,0)</f>
        <v/>
      </c>
      <c r="F68" s="227">
        <f>IFERROR(_xlfn.XLOOKUP($C68,$D$3:$D$40,F$3:F$40)*$BD68,0)</f>
        <v/>
      </c>
      <c r="G68" s="227">
        <f>IFERROR(_xlfn.XLOOKUP($C68,$D$3:$D$40,G$3:G$40)*$BD68,0)</f>
        <v/>
      </c>
      <c r="H68" s="235">
        <f>IFERROR(_xlfn.XLOOKUP($C68,$D$3:$D$40,H$3:H$40)*$BD68,0)</f>
        <v/>
      </c>
      <c r="I68" s="235">
        <f>IFERROR(_xlfn.XLOOKUP($C68,$D$3:$D$40,I$3:I$40)*$BD68,0)</f>
        <v/>
      </c>
      <c r="J68" s="235">
        <f>IFERROR(_xlfn.XLOOKUP($C68,$D$3:$D$40,J$3:J$40)*$BD68,0)</f>
        <v/>
      </c>
      <c r="K68" s="235">
        <f>IFERROR(_xlfn.XLOOKUP($C68,$D$3:$D$40,K$3:K$40)*$BD68,0)</f>
        <v/>
      </c>
      <c r="L68" s="235">
        <f>IFERROR(_xlfn.XLOOKUP($C68,$D$3:$D$40,L$3:L$40)*$BD68,0)</f>
        <v/>
      </c>
      <c r="M68" s="235">
        <f>IFERROR(_xlfn.XLOOKUP($C68,$D$3:$D$40,M$3:M$40)*$BD68,0)</f>
        <v/>
      </c>
      <c r="N68" s="235">
        <f>IFERROR(_xlfn.XLOOKUP($C68,$D$3:$D$40,N$3:N$40)*$BD68,0)</f>
        <v/>
      </c>
      <c r="O68" s="235">
        <f>IFERROR(_xlfn.XLOOKUP($C68,$D$3:$D$40,O$3:O$40)*$BD68,0)</f>
        <v/>
      </c>
      <c r="P68" s="235">
        <f>IFERROR(_xlfn.XLOOKUP($C68,$D$3:$D$40,P$3:P$40)*$BD68,0)</f>
        <v/>
      </c>
      <c r="Q68" s="235">
        <f>IFERROR(_xlfn.XLOOKUP($C68,$D$3:$D$40,Q$3:Q$40)*$BD68,0)</f>
        <v/>
      </c>
      <c r="R68" s="235">
        <f>IFERROR(_xlfn.XLOOKUP($C68,$D$3:$D$40,R$3:R$40)*$BD68,0)</f>
        <v/>
      </c>
      <c r="S68" s="235">
        <f>IFERROR(_xlfn.XLOOKUP($C68,$D$3:$D$40,S$3:S$40)*$BD68,0)</f>
        <v/>
      </c>
      <c r="T68" s="235">
        <f>IFERROR(_xlfn.XLOOKUP($C68,$D$3:$D$40,T$3:T$40)*$BD68,0)</f>
        <v/>
      </c>
      <c r="U68" s="235">
        <f>IFERROR(_xlfn.XLOOKUP($C68,$D$3:$D$40,U$3:U$40)*$BD68,0)</f>
        <v/>
      </c>
      <c r="V68" s="235">
        <f>IFERROR(_xlfn.XLOOKUP($C68,$D$3:$D$40,V$3:V$40)*$BD68,0)</f>
        <v/>
      </c>
      <c r="W68" s="235">
        <f>IFERROR(_xlfn.XLOOKUP($C68,$D$3:$D$40,W$3:W$40)*$BD68,0)</f>
        <v/>
      </c>
      <c r="X68" s="235">
        <f>IFERROR(_xlfn.XLOOKUP($C68,$D$3:$D$40,X$3:X$40)*$BD68,0)</f>
        <v/>
      </c>
      <c r="Y68" s="235">
        <f>IFERROR(_xlfn.XLOOKUP($C68,$D$3:$D$40,Y$3:Y$40)*$BD68,0)</f>
        <v/>
      </c>
      <c r="Z68" s="235">
        <f>IFERROR(_xlfn.XLOOKUP($C68,$D$3:$D$40,Z$3:Z$40)*$BD68,0)</f>
        <v/>
      </c>
      <c r="AA68" s="235">
        <f>IFERROR(_xlfn.XLOOKUP($C68,$D$3:$D$40,AA$3:AA$40)*$BD68,0)</f>
        <v/>
      </c>
      <c r="AB68" s="235">
        <f>IFERROR(_xlfn.XLOOKUP($C68,$D$3:$D$40,AB$3:AB$40)*$BD68,0)</f>
        <v/>
      </c>
      <c r="AC68" s="235">
        <f>IFERROR(_xlfn.XLOOKUP($C68,$D$3:$D$40,AC$3:AC$40)*$BD68,0)</f>
        <v/>
      </c>
      <c r="AD68" s="235">
        <f>IFERROR(_xlfn.XLOOKUP($C68,$D$3:$D$40,AD$3:AD$40)*$BD68,0)</f>
        <v/>
      </c>
      <c r="AE68" s="235">
        <f>IFERROR(_xlfn.XLOOKUP($C68,$D$3:$D$40,AE$3:AE$40)*$BD68,0)</f>
        <v/>
      </c>
      <c r="AF68" s="235">
        <f>IFERROR(_xlfn.XLOOKUP($C68,$D$3:$D$40,AF$3:AF$40)*$BD68,0)</f>
        <v/>
      </c>
      <c r="AG68" s="235">
        <f>IFERROR(_xlfn.XLOOKUP($C68,$D$3:$D$40,AG$3:AG$40)*$BD68,0)</f>
        <v/>
      </c>
      <c r="AH68" s="235">
        <f>IFERROR(_xlfn.XLOOKUP($C68,$D$3:$D$40,AH$3:AH$40)*$BD68,0)</f>
        <v/>
      </c>
      <c r="AI68" s="235">
        <f>IFERROR(_xlfn.XLOOKUP($C68,$D$3:$D$40,AI$3:AI$40)*$BD68,0)</f>
        <v/>
      </c>
      <c r="AJ68" s="235">
        <f>IFERROR(_xlfn.XLOOKUP($C68,$D$3:$D$40,AJ$3:AJ$40)*$BD68,0)</f>
        <v/>
      </c>
      <c r="AK68" s="235">
        <f>IFERROR(_xlfn.XLOOKUP($C68,$D$3:$D$40,AK$3:AK$40)*$BD68,0)</f>
        <v/>
      </c>
      <c r="AL68" s="235">
        <f>IFERROR(_xlfn.XLOOKUP($C68,$D$3:$D$40,AL$3:AL$40)*$BD68,0)</f>
        <v/>
      </c>
      <c r="AM68" s="235">
        <f>IFERROR(_xlfn.XLOOKUP($C68,$D$3:$D$40,AM$3:AM$40)*$BD68,0)</f>
        <v/>
      </c>
      <c r="AN68" s="235">
        <f>IFERROR(_xlfn.XLOOKUP($C68,$D$3:$D$40,AN$3:AN$40)*$BD68,0)</f>
        <v/>
      </c>
      <c r="AO68" s="235">
        <f>IFERROR(_xlfn.XLOOKUP($C68,$D$3:$D$40,AO$3:AO$40)*$BD68,0)</f>
        <v/>
      </c>
      <c r="AP68" s="235">
        <f>IFERROR(_xlfn.XLOOKUP($C68,$D$3:$D$40,AP$3:AP$40)*$BD68,0)</f>
        <v/>
      </c>
      <c r="AQ68" s="235">
        <f>IFERROR(_xlfn.XLOOKUP($C68,$D$3:$D$40,AQ$3:AQ$40)*$BD68,0)</f>
        <v/>
      </c>
      <c r="AR68" s="235">
        <f>IFERROR(_xlfn.XLOOKUP($C68,$D$3:$D$40,AR$3:AR$40)*$BD68,0)</f>
        <v/>
      </c>
      <c r="AS68" s="235">
        <f>IFERROR(_xlfn.XLOOKUP($C68,$D$3:$D$40,AS$3:AS$40)*$BD68,0)</f>
        <v/>
      </c>
      <c r="AT68" s="235">
        <f>IFERROR(_xlfn.XLOOKUP($C68,$D$3:$D$40,AT$3:AT$40)*$BD68,0)</f>
        <v/>
      </c>
      <c r="AU68" s="235">
        <f>IFERROR(_xlfn.XLOOKUP($C68,$D$3:$D$40,AU$3:AU$40)*$BD68,0)</f>
        <v/>
      </c>
      <c r="AV68" s="235">
        <f>IFERROR(_xlfn.XLOOKUP($C68,$D$3:$D$40,AV$3:AV$40)*$BD68,0)</f>
        <v/>
      </c>
      <c r="AW68" s="235">
        <f>IFERROR(_xlfn.XLOOKUP($C68,$D$3:$D$40,AW$3:AW$40)*$BD68,0)</f>
        <v/>
      </c>
      <c r="AX68" s="235">
        <f>IFERROR(_xlfn.XLOOKUP($C68,$D$3:$D$40,AX$3:AX$40)*$BD68,0)</f>
        <v/>
      </c>
      <c r="AY68" s="235">
        <f>IFERROR(_xlfn.XLOOKUP($C68,$D$3:$D$40,AY$3:AY$40)*$BD68,0)</f>
        <v/>
      </c>
      <c r="AZ68" s="235">
        <f>IFERROR(_xlfn.XLOOKUP($C68,$D$3:$D$40,AZ$3:AZ$40)*$BD68,0)</f>
        <v/>
      </c>
      <c r="BA68" s="235">
        <f>IFERROR(_xlfn.XLOOKUP($C68,$D$3:$D$40,BA$3:BA$40)*$BD68,0)</f>
        <v/>
      </c>
      <c r="BB68" s="235">
        <f>IFERROR(_xlfn.XLOOKUP($C68,$D$3:$D$40,BB$3:BB$40)*$BD68,0)</f>
        <v/>
      </c>
      <c r="BC68" s="228">
        <f>IFERROR(_xlfn.XLOOKUP(D68,'2C 均值'!$A:$A,'2C 均值'!$E:$E),0)</f>
        <v/>
      </c>
      <c r="BD68" s="228">
        <f t="array" ref="BD68">IF(OR($D68=0,$D68=""),"",_xlfn.LET(
        _xlpm.channel,$D68,
        _xlpm.factorName,$C68,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9" ht="15.75" customHeight="1" s="179">
      <c r="C69" s="84">
        <f>IF(OR($D69=0,$D69=""),"",_xlfn.LET(
    _xlpm.channel,$D69,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9" s="119">
        <f>'2B RotationRule'!C14</f>
        <v/>
      </c>
      <c r="E69" s="227">
        <f>IFERROR(_xlfn.XLOOKUP($C69,$D$3:$D$40,E$3:E$40)*$BD69,0)</f>
        <v/>
      </c>
      <c r="F69" s="227">
        <f>IFERROR(_xlfn.XLOOKUP($C69,$D$3:$D$40,F$3:F$40)*$BD69,0)</f>
        <v/>
      </c>
      <c r="G69" s="227">
        <f>IFERROR(_xlfn.XLOOKUP($C69,$D$3:$D$40,G$3:G$40)*$BD69,0)</f>
        <v/>
      </c>
      <c r="H69" s="235">
        <f>IFERROR(_xlfn.XLOOKUP($C69,$D$3:$D$40,H$3:H$40)*$BD69,0)</f>
        <v/>
      </c>
      <c r="I69" s="235">
        <f>IFERROR(_xlfn.XLOOKUP($C69,$D$3:$D$40,I$3:I$40)*$BD69,0)</f>
        <v/>
      </c>
      <c r="J69" s="235">
        <f>IFERROR(_xlfn.XLOOKUP($C69,$D$3:$D$40,J$3:J$40)*$BD69,0)</f>
        <v/>
      </c>
      <c r="K69" s="235">
        <f>IFERROR(_xlfn.XLOOKUP($C69,$D$3:$D$40,K$3:K$40)*$BD69,0)</f>
        <v/>
      </c>
      <c r="L69" s="235">
        <f>IFERROR(_xlfn.XLOOKUP($C69,$D$3:$D$40,L$3:L$40)*$BD69,0)</f>
        <v/>
      </c>
      <c r="M69" s="235">
        <f>IFERROR(_xlfn.XLOOKUP($C69,$D$3:$D$40,M$3:M$40)*$BD69,0)</f>
        <v/>
      </c>
      <c r="N69" s="235">
        <f>IFERROR(_xlfn.XLOOKUP($C69,$D$3:$D$40,N$3:N$40)*$BD69,0)</f>
        <v/>
      </c>
      <c r="O69" s="235">
        <f>IFERROR(_xlfn.XLOOKUP($C69,$D$3:$D$40,O$3:O$40)*$BD69,0)</f>
        <v/>
      </c>
      <c r="P69" s="235">
        <f>IFERROR(_xlfn.XLOOKUP($C69,$D$3:$D$40,P$3:P$40)*$BD69,0)</f>
        <v/>
      </c>
      <c r="Q69" s="235">
        <f>IFERROR(_xlfn.XLOOKUP($C69,$D$3:$D$40,Q$3:Q$40)*$BD69,0)</f>
        <v/>
      </c>
      <c r="R69" s="235">
        <f>IFERROR(_xlfn.XLOOKUP($C69,$D$3:$D$40,R$3:R$40)*$BD69,0)</f>
        <v/>
      </c>
      <c r="S69" s="235">
        <f>IFERROR(_xlfn.XLOOKUP($C69,$D$3:$D$40,S$3:S$40)*$BD69,0)</f>
        <v/>
      </c>
      <c r="T69" s="235">
        <f>IFERROR(_xlfn.XLOOKUP($C69,$D$3:$D$40,T$3:T$40)*$BD69,0)</f>
        <v/>
      </c>
      <c r="U69" s="235">
        <f>IFERROR(_xlfn.XLOOKUP($C69,$D$3:$D$40,U$3:U$40)*$BD69,0)</f>
        <v/>
      </c>
      <c r="V69" s="235">
        <f>IFERROR(_xlfn.XLOOKUP($C69,$D$3:$D$40,V$3:V$40)*$BD69,0)</f>
        <v/>
      </c>
      <c r="W69" s="235">
        <f>IFERROR(_xlfn.XLOOKUP($C69,$D$3:$D$40,W$3:W$40)*$BD69,0)</f>
        <v/>
      </c>
      <c r="X69" s="235">
        <f>IFERROR(_xlfn.XLOOKUP($C69,$D$3:$D$40,X$3:X$40)*$BD69,0)</f>
        <v/>
      </c>
      <c r="Y69" s="235">
        <f>IFERROR(_xlfn.XLOOKUP($C69,$D$3:$D$40,Y$3:Y$40)*$BD69,0)</f>
        <v/>
      </c>
      <c r="Z69" s="235">
        <f>IFERROR(_xlfn.XLOOKUP($C69,$D$3:$D$40,Z$3:Z$40)*$BD69,0)</f>
        <v/>
      </c>
      <c r="AA69" s="235">
        <f>IFERROR(_xlfn.XLOOKUP($C69,$D$3:$D$40,AA$3:AA$40)*$BD69,0)</f>
        <v/>
      </c>
      <c r="AB69" s="235">
        <f>IFERROR(_xlfn.XLOOKUP($C69,$D$3:$D$40,AB$3:AB$40)*$BD69,0)</f>
        <v/>
      </c>
      <c r="AC69" s="235">
        <f>IFERROR(_xlfn.XLOOKUP($C69,$D$3:$D$40,AC$3:AC$40)*$BD69,0)</f>
        <v/>
      </c>
      <c r="AD69" s="235">
        <f>IFERROR(_xlfn.XLOOKUP($C69,$D$3:$D$40,AD$3:AD$40)*$BD69,0)</f>
        <v/>
      </c>
      <c r="AE69" s="235">
        <f>IFERROR(_xlfn.XLOOKUP($C69,$D$3:$D$40,AE$3:AE$40)*$BD69,0)</f>
        <v/>
      </c>
      <c r="AF69" s="235">
        <f>IFERROR(_xlfn.XLOOKUP($C69,$D$3:$D$40,AF$3:AF$40)*$BD69,0)</f>
        <v/>
      </c>
      <c r="AG69" s="235">
        <f>IFERROR(_xlfn.XLOOKUP($C69,$D$3:$D$40,AG$3:AG$40)*$BD69,0)</f>
        <v/>
      </c>
      <c r="AH69" s="235">
        <f>IFERROR(_xlfn.XLOOKUP($C69,$D$3:$D$40,AH$3:AH$40)*$BD69,0)</f>
        <v/>
      </c>
      <c r="AI69" s="235">
        <f>IFERROR(_xlfn.XLOOKUP($C69,$D$3:$D$40,AI$3:AI$40)*$BD69,0)</f>
        <v/>
      </c>
      <c r="AJ69" s="235">
        <f>IFERROR(_xlfn.XLOOKUP($C69,$D$3:$D$40,AJ$3:AJ$40)*$BD69,0)</f>
        <v/>
      </c>
      <c r="AK69" s="235">
        <f>IFERROR(_xlfn.XLOOKUP($C69,$D$3:$D$40,AK$3:AK$40)*$BD69,0)</f>
        <v/>
      </c>
      <c r="AL69" s="235">
        <f>IFERROR(_xlfn.XLOOKUP($C69,$D$3:$D$40,AL$3:AL$40)*$BD69,0)</f>
        <v/>
      </c>
      <c r="AM69" s="235">
        <f>IFERROR(_xlfn.XLOOKUP($C69,$D$3:$D$40,AM$3:AM$40)*$BD69,0)</f>
        <v/>
      </c>
      <c r="AN69" s="235">
        <f>IFERROR(_xlfn.XLOOKUP($C69,$D$3:$D$40,AN$3:AN$40)*$BD69,0)</f>
        <v/>
      </c>
      <c r="AO69" s="235">
        <f>IFERROR(_xlfn.XLOOKUP($C69,$D$3:$D$40,AO$3:AO$40)*$BD69,0)</f>
        <v/>
      </c>
      <c r="AP69" s="235">
        <f>IFERROR(_xlfn.XLOOKUP($C69,$D$3:$D$40,AP$3:AP$40)*$BD69,0)</f>
        <v/>
      </c>
      <c r="AQ69" s="235">
        <f>IFERROR(_xlfn.XLOOKUP($C69,$D$3:$D$40,AQ$3:AQ$40)*$BD69,0)</f>
        <v/>
      </c>
      <c r="AR69" s="235">
        <f>IFERROR(_xlfn.XLOOKUP($C69,$D$3:$D$40,AR$3:AR$40)*$BD69,0)</f>
        <v/>
      </c>
      <c r="AS69" s="235">
        <f>IFERROR(_xlfn.XLOOKUP($C69,$D$3:$D$40,AS$3:AS$40)*$BD69,0)</f>
        <v/>
      </c>
      <c r="AT69" s="235">
        <f>IFERROR(_xlfn.XLOOKUP($C69,$D$3:$D$40,AT$3:AT$40)*$BD69,0)</f>
        <v/>
      </c>
      <c r="AU69" s="235">
        <f>IFERROR(_xlfn.XLOOKUP($C69,$D$3:$D$40,AU$3:AU$40)*$BD69,0)</f>
        <v/>
      </c>
      <c r="AV69" s="235">
        <f>IFERROR(_xlfn.XLOOKUP($C69,$D$3:$D$40,AV$3:AV$40)*$BD69,0)</f>
        <v/>
      </c>
      <c r="AW69" s="235">
        <f>IFERROR(_xlfn.XLOOKUP($C69,$D$3:$D$40,AW$3:AW$40)*$BD69,0)</f>
        <v/>
      </c>
      <c r="AX69" s="235">
        <f>IFERROR(_xlfn.XLOOKUP($C69,$D$3:$D$40,AX$3:AX$40)*$BD69,0)</f>
        <v/>
      </c>
      <c r="AY69" s="235">
        <f>IFERROR(_xlfn.XLOOKUP($C69,$D$3:$D$40,AY$3:AY$40)*$BD69,0)</f>
        <v/>
      </c>
      <c r="AZ69" s="235">
        <f>IFERROR(_xlfn.XLOOKUP($C69,$D$3:$D$40,AZ$3:AZ$40)*$BD69,0)</f>
        <v/>
      </c>
      <c r="BA69" s="235">
        <f>IFERROR(_xlfn.XLOOKUP($C69,$D$3:$D$40,BA$3:BA$40)*$BD69,0)</f>
        <v/>
      </c>
      <c r="BB69" s="235">
        <f>IFERROR(_xlfn.XLOOKUP($C69,$D$3:$D$40,BB$3:BB$40)*$BD69,0)</f>
        <v/>
      </c>
      <c r="BC69" s="228">
        <f>IFERROR(_xlfn.XLOOKUP(D69,'2C 均值'!$A:$A,'2C 均值'!$E:$E),0)</f>
        <v/>
      </c>
      <c r="BD69" s="228">
        <f t="array" ref="BD69">IF(OR($D69=0,$D69=""),"",_xlfn.LET(
        _xlpm.channel,$D69,
        _xlpm.factorName,$C69,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0" ht="15.75" customHeight="1" s="179">
      <c r="C70" s="84">
        <f>IF(OR($D70=0,$D70=""),"",_xlfn.LET(
    _xlpm.channel,$D70,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0" s="119">
        <f>'2B RotationRule'!C15</f>
        <v/>
      </c>
      <c r="E70" s="227">
        <f>IFERROR(_xlfn.XLOOKUP($C70,$D$3:$D$40,E$3:E$40)*$BD70,0)</f>
        <v/>
      </c>
      <c r="F70" s="227">
        <f>IFERROR(_xlfn.XLOOKUP($C70,$D$3:$D$40,F$3:F$40)*$BD70,0)</f>
        <v/>
      </c>
      <c r="G70" s="227">
        <f>IFERROR(_xlfn.XLOOKUP($C70,$D$3:$D$40,G$3:G$40)*$BD70,0)</f>
        <v/>
      </c>
      <c r="H70" s="235">
        <f>IFERROR(_xlfn.XLOOKUP($C70,$D$3:$D$40,H$3:H$40)*$BD70,0)</f>
        <v/>
      </c>
      <c r="I70" s="235">
        <f>IFERROR(_xlfn.XLOOKUP($C70,$D$3:$D$40,I$3:I$40)*$BD70,0)</f>
        <v/>
      </c>
      <c r="J70" s="235">
        <f>IFERROR(_xlfn.XLOOKUP($C70,$D$3:$D$40,J$3:J$40)*$BD70,0)</f>
        <v/>
      </c>
      <c r="K70" s="235">
        <f>IFERROR(_xlfn.XLOOKUP($C70,$D$3:$D$40,K$3:K$40)*$BD70,0)</f>
        <v/>
      </c>
      <c r="L70" s="235">
        <f>IFERROR(_xlfn.XLOOKUP($C70,$D$3:$D$40,L$3:L$40)*$BD70,0)</f>
        <v/>
      </c>
      <c r="M70" s="235">
        <f>IFERROR(_xlfn.XLOOKUP($C70,$D$3:$D$40,M$3:M$40)*$BD70,0)</f>
        <v/>
      </c>
      <c r="N70" s="235">
        <f>IFERROR(_xlfn.XLOOKUP($C70,$D$3:$D$40,N$3:N$40)*$BD70,0)</f>
        <v/>
      </c>
      <c r="O70" s="235">
        <f>IFERROR(_xlfn.XLOOKUP($C70,$D$3:$D$40,O$3:O$40)*$BD70,0)</f>
        <v/>
      </c>
      <c r="P70" s="235">
        <f>IFERROR(_xlfn.XLOOKUP($C70,$D$3:$D$40,P$3:P$40)*$BD70,0)</f>
        <v/>
      </c>
      <c r="Q70" s="235">
        <f>IFERROR(_xlfn.XLOOKUP($C70,$D$3:$D$40,Q$3:Q$40)*$BD70,0)</f>
        <v/>
      </c>
      <c r="R70" s="235">
        <f>IFERROR(_xlfn.XLOOKUP($C70,$D$3:$D$40,R$3:R$40)*$BD70,0)</f>
        <v/>
      </c>
      <c r="S70" s="235">
        <f>IFERROR(_xlfn.XLOOKUP($C70,$D$3:$D$40,S$3:S$40)*$BD70,0)</f>
        <v/>
      </c>
      <c r="T70" s="235">
        <f>IFERROR(_xlfn.XLOOKUP($C70,$D$3:$D$40,T$3:T$40)*$BD70,0)</f>
        <v/>
      </c>
      <c r="U70" s="235">
        <f>IFERROR(_xlfn.XLOOKUP($C70,$D$3:$D$40,U$3:U$40)*$BD70,0)</f>
        <v/>
      </c>
      <c r="V70" s="235">
        <f>IFERROR(_xlfn.XLOOKUP($C70,$D$3:$D$40,V$3:V$40)*$BD70,0)</f>
        <v/>
      </c>
      <c r="W70" s="235">
        <f>IFERROR(_xlfn.XLOOKUP($C70,$D$3:$D$40,W$3:W$40)*$BD70,0)</f>
        <v/>
      </c>
      <c r="X70" s="235">
        <f>IFERROR(_xlfn.XLOOKUP($C70,$D$3:$D$40,X$3:X$40)*$BD70,0)</f>
        <v/>
      </c>
      <c r="Y70" s="235">
        <f>IFERROR(_xlfn.XLOOKUP($C70,$D$3:$D$40,Y$3:Y$40)*$BD70,0)</f>
        <v/>
      </c>
      <c r="Z70" s="235">
        <f>IFERROR(_xlfn.XLOOKUP($C70,$D$3:$D$40,Z$3:Z$40)*$BD70,0)</f>
        <v/>
      </c>
      <c r="AA70" s="235">
        <f>IFERROR(_xlfn.XLOOKUP($C70,$D$3:$D$40,AA$3:AA$40)*$BD70,0)</f>
        <v/>
      </c>
      <c r="AB70" s="235">
        <f>IFERROR(_xlfn.XLOOKUP($C70,$D$3:$D$40,AB$3:AB$40)*$BD70,0)</f>
        <v/>
      </c>
      <c r="AC70" s="235">
        <f>IFERROR(_xlfn.XLOOKUP($C70,$D$3:$D$40,AC$3:AC$40)*$BD70,0)</f>
        <v/>
      </c>
      <c r="AD70" s="235">
        <f>IFERROR(_xlfn.XLOOKUP($C70,$D$3:$D$40,AD$3:AD$40)*$BD70,0)</f>
        <v/>
      </c>
      <c r="AE70" s="235">
        <f>IFERROR(_xlfn.XLOOKUP($C70,$D$3:$D$40,AE$3:AE$40)*$BD70,0)</f>
        <v/>
      </c>
      <c r="AF70" s="235">
        <f>IFERROR(_xlfn.XLOOKUP($C70,$D$3:$D$40,AF$3:AF$40)*$BD70,0)</f>
        <v/>
      </c>
      <c r="AG70" s="235">
        <f>IFERROR(_xlfn.XLOOKUP($C70,$D$3:$D$40,AG$3:AG$40)*$BD70,0)</f>
        <v/>
      </c>
      <c r="AH70" s="235">
        <f>IFERROR(_xlfn.XLOOKUP($C70,$D$3:$D$40,AH$3:AH$40)*$BD70,0)</f>
        <v/>
      </c>
      <c r="AI70" s="235">
        <f>IFERROR(_xlfn.XLOOKUP($C70,$D$3:$D$40,AI$3:AI$40)*$BD70,0)</f>
        <v/>
      </c>
      <c r="AJ70" s="235">
        <f>IFERROR(_xlfn.XLOOKUP($C70,$D$3:$D$40,AJ$3:AJ$40)*$BD70,0)</f>
        <v/>
      </c>
      <c r="AK70" s="235">
        <f>IFERROR(_xlfn.XLOOKUP($C70,$D$3:$D$40,AK$3:AK$40)*$BD70,0)</f>
        <v/>
      </c>
      <c r="AL70" s="235">
        <f>IFERROR(_xlfn.XLOOKUP($C70,$D$3:$D$40,AL$3:AL$40)*$BD70,0)</f>
        <v/>
      </c>
      <c r="AM70" s="235">
        <f>IFERROR(_xlfn.XLOOKUP($C70,$D$3:$D$40,AM$3:AM$40)*$BD70,0)</f>
        <v/>
      </c>
      <c r="AN70" s="235">
        <f>IFERROR(_xlfn.XLOOKUP($C70,$D$3:$D$40,AN$3:AN$40)*$BD70,0)</f>
        <v/>
      </c>
      <c r="AO70" s="235">
        <f>IFERROR(_xlfn.XLOOKUP($C70,$D$3:$D$40,AO$3:AO$40)*$BD70,0)</f>
        <v/>
      </c>
      <c r="AP70" s="235">
        <f>IFERROR(_xlfn.XLOOKUP($C70,$D$3:$D$40,AP$3:AP$40)*$BD70,0)</f>
        <v/>
      </c>
      <c r="AQ70" s="235">
        <f>IFERROR(_xlfn.XLOOKUP($C70,$D$3:$D$40,AQ$3:AQ$40)*$BD70,0)</f>
        <v/>
      </c>
      <c r="AR70" s="235">
        <f>IFERROR(_xlfn.XLOOKUP($C70,$D$3:$D$40,AR$3:AR$40)*$BD70,0)</f>
        <v/>
      </c>
      <c r="AS70" s="235">
        <f>IFERROR(_xlfn.XLOOKUP($C70,$D$3:$D$40,AS$3:AS$40)*$BD70,0)</f>
        <v/>
      </c>
      <c r="AT70" s="235">
        <f>IFERROR(_xlfn.XLOOKUP($C70,$D$3:$D$40,AT$3:AT$40)*$BD70,0)</f>
        <v/>
      </c>
      <c r="AU70" s="235">
        <f>IFERROR(_xlfn.XLOOKUP($C70,$D$3:$D$40,AU$3:AU$40)*$BD70,0)</f>
        <v/>
      </c>
      <c r="AV70" s="235">
        <f>IFERROR(_xlfn.XLOOKUP($C70,$D$3:$D$40,AV$3:AV$40)*$BD70,0)</f>
        <v/>
      </c>
      <c r="AW70" s="235">
        <f>IFERROR(_xlfn.XLOOKUP($C70,$D$3:$D$40,AW$3:AW$40)*$BD70,0)</f>
        <v/>
      </c>
      <c r="AX70" s="235">
        <f>IFERROR(_xlfn.XLOOKUP($C70,$D$3:$D$40,AX$3:AX$40)*$BD70,0)</f>
        <v/>
      </c>
      <c r="AY70" s="235">
        <f>IFERROR(_xlfn.XLOOKUP($C70,$D$3:$D$40,AY$3:AY$40)*$BD70,0)</f>
        <v/>
      </c>
      <c r="AZ70" s="235">
        <f>IFERROR(_xlfn.XLOOKUP($C70,$D$3:$D$40,AZ$3:AZ$40)*$BD70,0)</f>
        <v/>
      </c>
      <c r="BA70" s="235">
        <f>IFERROR(_xlfn.XLOOKUP($C70,$D$3:$D$40,BA$3:BA$40)*$BD70,0)</f>
        <v/>
      </c>
      <c r="BB70" s="235">
        <f>IFERROR(_xlfn.XLOOKUP($C70,$D$3:$D$40,BB$3:BB$40)*$BD70,0)</f>
        <v/>
      </c>
      <c r="BC70" s="228">
        <f>IFERROR(_xlfn.XLOOKUP(D70,'2C 均值'!$A:$A,'2C 均值'!$E:$E),0)</f>
        <v/>
      </c>
      <c r="BD70" s="228">
        <f t="array" ref="BD70">IF(OR($D70=0,$D70=""),"",_xlfn.LET(
        _xlpm.channel,$D70,
        _xlpm.factorName,$C70,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1" ht="15.75" customHeight="1" s="179">
      <c r="C71" s="84">
        <f>IF(OR($D71=0,$D71=""),"",_xlfn.LET(
    _xlpm.channel,$D71,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1" s="119">
        <f>'2B RotationRule'!C16</f>
        <v/>
      </c>
      <c r="E71" s="227">
        <f>IFERROR(_xlfn.XLOOKUP($C71,$D$3:$D$40,E$3:E$40)*$BD71,0)</f>
        <v/>
      </c>
      <c r="F71" s="227">
        <f>IFERROR(_xlfn.XLOOKUP($C71,$D$3:$D$40,F$3:F$40)*$BD71,0)</f>
        <v/>
      </c>
      <c r="G71" s="227">
        <f>IFERROR(_xlfn.XLOOKUP($C71,$D$3:$D$40,G$3:G$40)*$BD71,0)</f>
        <v/>
      </c>
      <c r="H71" s="235">
        <f>IFERROR(_xlfn.XLOOKUP($C71,$D$3:$D$40,H$3:H$40)*$BD71,0)</f>
        <v/>
      </c>
      <c r="I71" s="235">
        <f>IFERROR(_xlfn.XLOOKUP($C71,$D$3:$D$40,I$3:I$40)*$BD71,0)</f>
        <v/>
      </c>
      <c r="J71" s="235">
        <f>IFERROR(_xlfn.XLOOKUP($C71,$D$3:$D$40,J$3:J$40)*$BD71,0)</f>
        <v/>
      </c>
      <c r="K71" s="235">
        <f>IFERROR(_xlfn.XLOOKUP($C71,$D$3:$D$40,K$3:K$40)*$BD71,0)</f>
        <v/>
      </c>
      <c r="L71" s="235">
        <f>IFERROR(_xlfn.XLOOKUP($C71,$D$3:$D$40,L$3:L$40)*$BD71,0)</f>
        <v/>
      </c>
      <c r="M71" s="235">
        <f>IFERROR(_xlfn.XLOOKUP($C71,$D$3:$D$40,M$3:M$40)*$BD71,0)</f>
        <v/>
      </c>
      <c r="N71" s="235">
        <f>IFERROR(_xlfn.XLOOKUP($C71,$D$3:$D$40,N$3:N$40)*$BD71,0)</f>
        <v/>
      </c>
      <c r="O71" s="235">
        <f>IFERROR(_xlfn.XLOOKUP($C71,$D$3:$D$40,O$3:O$40)*$BD71,0)</f>
        <v/>
      </c>
      <c r="P71" s="235">
        <f>IFERROR(_xlfn.XLOOKUP($C71,$D$3:$D$40,P$3:P$40)*$BD71,0)</f>
        <v/>
      </c>
      <c r="Q71" s="235">
        <f>IFERROR(_xlfn.XLOOKUP($C71,$D$3:$D$40,Q$3:Q$40)*$BD71,0)</f>
        <v/>
      </c>
      <c r="R71" s="235">
        <f>IFERROR(_xlfn.XLOOKUP($C71,$D$3:$D$40,R$3:R$40)*$BD71,0)</f>
        <v/>
      </c>
      <c r="S71" s="235">
        <f>IFERROR(_xlfn.XLOOKUP($C71,$D$3:$D$40,S$3:S$40)*$BD71,0)</f>
        <v/>
      </c>
      <c r="T71" s="235">
        <f>IFERROR(_xlfn.XLOOKUP($C71,$D$3:$D$40,T$3:T$40)*$BD71,0)</f>
        <v/>
      </c>
      <c r="U71" s="235">
        <f>IFERROR(_xlfn.XLOOKUP($C71,$D$3:$D$40,U$3:U$40)*$BD71,0)</f>
        <v/>
      </c>
      <c r="V71" s="235">
        <f>IFERROR(_xlfn.XLOOKUP($C71,$D$3:$D$40,V$3:V$40)*$BD71,0)</f>
        <v/>
      </c>
      <c r="W71" s="235">
        <f>IFERROR(_xlfn.XLOOKUP($C71,$D$3:$D$40,W$3:W$40)*$BD71,0)</f>
        <v/>
      </c>
      <c r="X71" s="235">
        <f>IFERROR(_xlfn.XLOOKUP($C71,$D$3:$D$40,X$3:X$40)*$BD71,0)</f>
        <v/>
      </c>
      <c r="Y71" s="235">
        <f>IFERROR(_xlfn.XLOOKUP($C71,$D$3:$D$40,Y$3:Y$40)*$BD71,0)</f>
        <v/>
      </c>
      <c r="Z71" s="235">
        <f>IFERROR(_xlfn.XLOOKUP($C71,$D$3:$D$40,Z$3:Z$40)*$BD71,0)</f>
        <v/>
      </c>
      <c r="AA71" s="235">
        <f>IFERROR(_xlfn.XLOOKUP($C71,$D$3:$D$40,AA$3:AA$40)*$BD71,0)</f>
        <v/>
      </c>
      <c r="AB71" s="235">
        <f>IFERROR(_xlfn.XLOOKUP($C71,$D$3:$D$40,AB$3:AB$40)*$BD71,0)</f>
        <v/>
      </c>
      <c r="AC71" s="235">
        <f>IFERROR(_xlfn.XLOOKUP($C71,$D$3:$D$40,AC$3:AC$40)*$BD71,0)</f>
        <v/>
      </c>
      <c r="AD71" s="235">
        <f>IFERROR(_xlfn.XLOOKUP($C71,$D$3:$D$40,AD$3:AD$40)*$BD71,0)</f>
        <v/>
      </c>
      <c r="AE71" s="235">
        <f>IFERROR(_xlfn.XLOOKUP($C71,$D$3:$D$40,AE$3:AE$40)*$BD71,0)</f>
        <v/>
      </c>
      <c r="AF71" s="235">
        <f>IFERROR(_xlfn.XLOOKUP($C71,$D$3:$D$40,AF$3:AF$40)*$BD71,0)</f>
        <v/>
      </c>
      <c r="AG71" s="235">
        <f>IFERROR(_xlfn.XLOOKUP($C71,$D$3:$D$40,AG$3:AG$40)*$BD71,0)</f>
        <v/>
      </c>
      <c r="AH71" s="235">
        <f>IFERROR(_xlfn.XLOOKUP($C71,$D$3:$D$40,AH$3:AH$40)*$BD71,0)</f>
        <v/>
      </c>
      <c r="AI71" s="235">
        <f>IFERROR(_xlfn.XLOOKUP($C71,$D$3:$D$40,AI$3:AI$40)*$BD71,0)</f>
        <v/>
      </c>
      <c r="AJ71" s="235">
        <f>IFERROR(_xlfn.XLOOKUP($C71,$D$3:$D$40,AJ$3:AJ$40)*$BD71,0)</f>
        <v/>
      </c>
      <c r="AK71" s="235">
        <f>IFERROR(_xlfn.XLOOKUP($C71,$D$3:$D$40,AK$3:AK$40)*$BD71,0)</f>
        <v/>
      </c>
      <c r="AL71" s="235">
        <f>IFERROR(_xlfn.XLOOKUP($C71,$D$3:$D$40,AL$3:AL$40)*$BD71,0)</f>
        <v/>
      </c>
      <c r="AM71" s="235">
        <f>IFERROR(_xlfn.XLOOKUP($C71,$D$3:$D$40,AM$3:AM$40)*$BD71,0)</f>
        <v/>
      </c>
      <c r="AN71" s="235">
        <f>IFERROR(_xlfn.XLOOKUP($C71,$D$3:$D$40,AN$3:AN$40)*$BD71,0)</f>
        <v/>
      </c>
      <c r="AO71" s="235">
        <f>IFERROR(_xlfn.XLOOKUP($C71,$D$3:$D$40,AO$3:AO$40)*$BD71,0)</f>
        <v/>
      </c>
      <c r="AP71" s="235">
        <f>IFERROR(_xlfn.XLOOKUP($C71,$D$3:$D$40,AP$3:AP$40)*$BD71,0)</f>
        <v/>
      </c>
      <c r="AQ71" s="235">
        <f>IFERROR(_xlfn.XLOOKUP($C71,$D$3:$D$40,AQ$3:AQ$40)*$BD71,0)</f>
        <v/>
      </c>
      <c r="AR71" s="235">
        <f>IFERROR(_xlfn.XLOOKUP($C71,$D$3:$D$40,AR$3:AR$40)*$BD71,0)</f>
        <v/>
      </c>
      <c r="AS71" s="235">
        <f>IFERROR(_xlfn.XLOOKUP($C71,$D$3:$D$40,AS$3:AS$40)*$BD71,0)</f>
        <v/>
      </c>
      <c r="AT71" s="235">
        <f>IFERROR(_xlfn.XLOOKUP($C71,$D$3:$D$40,AT$3:AT$40)*$BD71,0)</f>
        <v/>
      </c>
      <c r="AU71" s="235">
        <f>IFERROR(_xlfn.XLOOKUP($C71,$D$3:$D$40,AU$3:AU$40)*$BD71,0)</f>
        <v/>
      </c>
      <c r="AV71" s="235">
        <f>IFERROR(_xlfn.XLOOKUP($C71,$D$3:$D$40,AV$3:AV$40)*$BD71,0)</f>
        <v/>
      </c>
      <c r="AW71" s="235">
        <f>IFERROR(_xlfn.XLOOKUP($C71,$D$3:$D$40,AW$3:AW$40)*$BD71,0)</f>
        <v/>
      </c>
      <c r="AX71" s="235">
        <f>IFERROR(_xlfn.XLOOKUP($C71,$D$3:$D$40,AX$3:AX$40)*$BD71,0)</f>
        <v/>
      </c>
      <c r="AY71" s="235">
        <f>IFERROR(_xlfn.XLOOKUP($C71,$D$3:$D$40,AY$3:AY$40)*$BD71,0)</f>
        <v/>
      </c>
      <c r="AZ71" s="235">
        <f>IFERROR(_xlfn.XLOOKUP($C71,$D$3:$D$40,AZ$3:AZ$40)*$BD71,0)</f>
        <v/>
      </c>
      <c r="BA71" s="235">
        <f>IFERROR(_xlfn.XLOOKUP($C71,$D$3:$D$40,BA$3:BA$40)*$BD71,0)</f>
        <v/>
      </c>
      <c r="BB71" s="235">
        <f>IFERROR(_xlfn.XLOOKUP($C71,$D$3:$D$40,BB$3:BB$40)*$BD71,0)</f>
        <v/>
      </c>
      <c r="BC71" s="228">
        <f>IFERROR(_xlfn.XLOOKUP(D71,'2C 均值'!$A:$A,'2C 均值'!$E:$E),0)</f>
        <v/>
      </c>
      <c r="BD71" s="228">
        <f t="array" ref="BD71">IF(OR($D71=0,$D71=""),"",_xlfn.LET(
        _xlpm.channel,$D71,
        _xlpm.factorName,$C71,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2" ht="15.75" customHeight="1" s="179">
      <c r="C72" s="84">
        <f>IF(OR($D72=0,$D72=""),"",_xlfn.LET(
    _xlpm.channel,$D72,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2" s="119">
        <f>'2B RotationRule'!C17</f>
        <v/>
      </c>
      <c r="E72" s="227">
        <f>IFERROR(_xlfn.XLOOKUP($C72,$D$3:$D$40,E$3:E$40)*$BD72,0)</f>
        <v/>
      </c>
      <c r="F72" s="227">
        <f>IFERROR(_xlfn.XLOOKUP($C72,$D$3:$D$40,F$3:F$40)*$BD72,0)</f>
        <v/>
      </c>
      <c r="G72" s="227">
        <f>IFERROR(_xlfn.XLOOKUP($C72,$D$3:$D$40,G$3:G$40)*$BD72,0)</f>
        <v/>
      </c>
      <c r="H72" s="235">
        <f>IFERROR(_xlfn.XLOOKUP($C72,$D$3:$D$40,H$3:H$40)*$BD72,0)</f>
        <v/>
      </c>
      <c r="I72" s="235">
        <f>IFERROR(_xlfn.XLOOKUP($C72,$D$3:$D$40,I$3:I$40)*$BD72,0)</f>
        <v/>
      </c>
      <c r="J72" s="235">
        <f>IFERROR(_xlfn.XLOOKUP($C72,$D$3:$D$40,J$3:J$40)*$BD72,0)</f>
        <v/>
      </c>
      <c r="K72" s="235">
        <f>IFERROR(_xlfn.XLOOKUP($C72,$D$3:$D$40,K$3:K$40)*$BD72,0)</f>
        <v/>
      </c>
      <c r="L72" s="235">
        <f>IFERROR(_xlfn.XLOOKUP($C72,$D$3:$D$40,L$3:L$40)*$BD72,0)</f>
        <v/>
      </c>
      <c r="M72" s="235">
        <f>IFERROR(_xlfn.XLOOKUP($C72,$D$3:$D$40,M$3:M$40)*$BD72,0)</f>
        <v/>
      </c>
      <c r="N72" s="235">
        <f>IFERROR(_xlfn.XLOOKUP($C72,$D$3:$D$40,N$3:N$40)*$BD72,0)</f>
        <v/>
      </c>
      <c r="O72" s="235">
        <f>IFERROR(_xlfn.XLOOKUP($C72,$D$3:$D$40,O$3:O$40)*$BD72,0)</f>
        <v/>
      </c>
      <c r="P72" s="235">
        <f>IFERROR(_xlfn.XLOOKUP($C72,$D$3:$D$40,P$3:P$40)*$BD72,0)</f>
        <v/>
      </c>
      <c r="Q72" s="235">
        <f>IFERROR(_xlfn.XLOOKUP($C72,$D$3:$D$40,Q$3:Q$40)*$BD72,0)</f>
        <v/>
      </c>
      <c r="R72" s="235">
        <f>IFERROR(_xlfn.XLOOKUP($C72,$D$3:$D$40,R$3:R$40)*$BD72,0)</f>
        <v/>
      </c>
      <c r="S72" s="235">
        <f>IFERROR(_xlfn.XLOOKUP($C72,$D$3:$D$40,S$3:S$40)*$BD72,0)</f>
        <v/>
      </c>
      <c r="T72" s="235">
        <f>IFERROR(_xlfn.XLOOKUP($C72,$D$3:$D$40,T$3:T$40)*$BD72,0)</f>
        <v/>
      </c>
      <c r="U72" s="235">
        <f>IFERROR(_xlfn.XLOOKUP($C72,$D$3:$D$40,U$3:U$40)*$BD72,0)</f>
        <v/>
      </c>
      <c r="V72" s="235">
        <f>IFERROR(_xlfn.XLOOKUP($C72,$D$3:$D$40,V$3:V$40)*$BD72,0)</f>
        <v/>
      </c>
      <c r="W72" s="235">
        <f>IFERROR(_xlfn.XLOOKUP($C72,$D$3:$D$40,W$3:W$40)*$BD72,0)</f>
        <v/>
      </c>
      <c r="X72" s="235">
        <f>IFERROR(_xlfn.XLOOKUP($C72,$D$3:$D$40,X$3:X$40)*$BD72,0)</f>
        <v/>
      </c>
      <c r="Y72" s="235">
        <f>IFERROR(_xlfn.XLOOKUP($C72,$D$3:$D$40,Y$3:Y$40)*$BD72,0)</f>
        <v/>
      </c>
      <c r="Z72" s="235">
        <f>IFERROR(_xlfn.XLOOKUP($C72,$D$3:$D$40,Z$3:Z$40)*$BD72,0)</f>
        <v/>
      </c>
      <c r="AA72" s="235">
        <f>IFERROR(_xlfn.XLOOKUP($C72,$D$3:$D$40,AA$3:AA$40)*$BD72,0)</f>
        <v/>
      </c>
      <c r="AB72" s="235">
        <f>IFERROR(_xlfn.XLOOKUP($C72,$D$3:$D$40,AB$3:AB$40)*$BD72,0)</f>
        <v/>
      </c>
      <c r="AC72" s="235">
        <f>IFERROR(_xlfn.XLOOKUP($C72,$D$3:$D$40,AC$3:AC$40)*$BD72,0)</f>
        <v/>
      </c>
      <c r="AD72" s="235">
        <f>IFERROR(_xlfn.XLOOKUP($C72,$D$3:$D$40,AD$3:AD$40)*$BD72,0)</f>
        <v/>
      </c>
      <c r="AE72" s="235">
        <f>IFERROR(_xlfn.XLOOKUP($C72,$D$3:$D$40,AE$3:AE$40)*$BD72,0)</f>
        <v/>
      </c>
      <c r="AF72" s="235">
        <f>IFERROR(_xlfn.XLOOKUP($C72,$D$3:$D$40,AF$3:AF$40)*$BD72,0)</f>
        <v/>
      </c>
      <c r="AG72" s="235">
        <f>IFERROR(_xlfn.XLOOKUP($C72,$D$3:$D$40,AG$3:AG$40)*$BD72,0)</f>
        <v/>
      </c>
      <c r="AH72" s="235">
        <f>IFERROR(_xlfn.XLOOKUP($C72,$D$3:$D$40,AH$3:AH$40)*$BD72,0)</f>
        <v/>
      </c>
      <c r="AI72" s="235">
        <f>IFERROR(_xlfn.XLOOKUP($C72,$D$3:$D$40,AI$3:AI$40)*$BD72,0)</f>
        <v/>
      </c>
      <c r="AJ72" s="235">
        <f>IFERROR(_xlfn.XLOOKUP($C72,$D$3:$D$40,AJ$3:AJ$40)*$BD72,0)</f>
        <v/>
      </c>
      <c r="AK72" s="235">
        <f>IFERROR(_xlfn.XLOOKUP($C72,$D$3:$D$40,AK$3:AK$40)*$BD72,0)</f>
        <v/>
      </c>
      <c r="AL72" s="235">
        <f>IFERROR(_xlfn.XLOOKUP($C72,$D$3:$D$40,AL$3:AL$40)*$BD72,0)</f>
        <v/>
      </c>
      <c r="AM72" s="235">
        <f>IFERROR(_xlfn.XLOOKUP($C72,$D$3:$D$40,AM$3:AM$40)*$BD72,0)</f>
        <v/>
      </c>
      <c r="AN72" s="235">
        <f>IFERROR(_xlfn.XLOOKUP($C72,$D$3:$D$40,AN$3:AN$40)*$BD72,0)</f>
        <v/>
      </c>
      <c r="AO72" s="235">
        <f>IFERROR(_xlfn.XLOOKUP($C72,$D$3:$D$40,AO$3:AO$40)*$BD72,0)</f>
        <v/>
      </c>
      <c r="AP72" s="235">
        <f>IFERROR(_xlfn.XLOOKUP($C72,$D$3:$D$40,AP$3:AP$40)*$BD72,0)</f>
        <v/>
      </c>
      <c r="AQ72" s="235">
        <f>IFERROR(_xlfn.XLOOKUP($C72,$D$3:$D$40,AQ$3:AQ$40)*$BD72,0)</f>
        <v/>
      </c>
      <c r="AR72" s="235">
        <f>IFERROR(_xlfn.XLOOKUP($C72,$D$3:$D$40,AR$3:AR$40)*$BD72,0)</f>
        <v/>
      </c>
      <c r="AS72" s="235">
        <f>IFERROR(_xlfn.XLOOKUP($C72,$D$3:$D$40,AS$3:AS$40)*$BD72,0)</f>
        <v/>
      </c>
      <c r="AT72" s="235">
        <f>IFERROR(_xlfn.XLOOKUP($C72,$D$3:$D$40,AT$3:AT$40)*$BD72,0)</f>
        <v/>
      </c>
      <c r="AU72" s="235">
        <f>IFERROR(_xlfn.XLOOKUP($C72,$D$3:$D$40,AU$3:AU$40)*$BD72,0)</f>
        <v/>
      </c>
      <c r="AV72" s="235">
        <f>IFERROR(_xlfn.XLOOKUP($C72,$D$3:$D$40,AV$3:AV$40)*$BD72,0)</f>
        <v/>
      </c>
      <c r="AW72" s="235">
        <f>IFERROR(_xlfn.XLOOKUP($C72,$D$3:$D$40,AW$3:AW$40)*$BD72,0)</f>
        <v/>
      </c>
      <c r="AX72" s="235">
        <f>IFERROR(_xlfn.XLOOKUP($C72,$D$3:$D$40,AX$3:AX$40)*$BD72,0)</f>
        <v/>
      </c>
      <c r="AY72" s="235">
        <f>IFERROR(_xlfn.XLOOKUP($C72,$D$3:$D$40,AY$3:AY$40)*$BD72,0)</f>
        <v/>
      </c>
      <c r="AZ72" s="235">
        <f>IFERROR(_xlfn.XLOOKUP($C72,$D$3:$D$40,AZ$3:AZ$40)*$BD72,0)</f>
        <v/>
      </c>
      <c r="BA72" s="235">
        <f>IFERROR(_xlfn.XLOOKUP($C72,$D$3:$D$40,BA$3:BA$40)*$BD72,0)</f>
        <v/>
      </c>
      <c r="BB72" s="235">
        <f>IFERROR(_xlfn.XLOOKUP($C72,$D$3:$D$40,BB$3:BB$40)*$BD72,0)</f>
        <v/>
      </c>
      <c r="BC72" s="228">
        <f>IFERROR(_xlfn.XLOOKUP(D72,'2C 均值'!$A:$A,'2C 均值'!$E:$E),0)</f>
        <v/>
      </c>
      <c r="BD72" s="228">
        <f t="array" ref="BD72">IF(OR($D72=0,$D72=""),"",_xlfn.LET(
        _xlpm.channel,$D72,
        _xlpm.factorName,$C72,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3" ht="15.75" customHeight="1" s="179">
      <c r="C73" s="84">
        <f>IF(OR($D73=0,$D73=""),"",_xlfn.LET(
    _xlpm.channel,$D73,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3" s="119">
        <f>'2B RotationRule'!C18</f>
        <v/>
      </c>
      <c r="E73" s="227">
        <f>IFERROR(_xlfn.XLOOKUP($C73,$D$3:$D$40,E$3:E$40)*$BD73,0)</f>
        <v/>
      </c>
      <c r="F73" s="227">
        <f>IFERROR(_xlfn.XLOOKUP($C73,$D$3:$D$40,F$3:F$40)*$BD73,0)</f>
        <v/>
      </c>
      <c r="G73" s="227">
        <f>IFERROR(_xlfn.XLOOKUP($C73,$D$3:$D$40,G$3:G$40)*$BD73,0)</f>
        <v/>
      </c>
      <c r="H73" s="235">
        <f>IFERROR(_xlfn.XLOOKUP($C73,$D$3:$D$40,H$3:H$40)*$BD73,0)</f>
        <v/>
      </c>
      <c r="I73" s="235">
        <f>IFERROR(_xlfn.XLOOKUP($C73,$D$3:$D$40,I$3:I$40)*$BD73,0)</f>
        <v/>
      </c>
      <c r="J73" s="235">
        <f>IFERROR(_xlfn.XLOOKUP($C73,$D$3:$D$40,J$3:J$40)*$BD73,0)</f>
        <v/>
      </c>
      <c r="K73" s="235">
        <f>IFERROR(_xlfn.XLOOKUP($C73,$D$3:$D$40,K$3:K$40)*$BD73,0)</f>
        <v/>
      </c>
      <c r="L73" s="235">
        <f>IFERROR(_xlfn.XLOOKUP($C73,$D$3:$D$40,L$3:L$40)*$BD73,0)</f>
        <v/>
      </c>
      <c r="M73" s="235">
        <f>IFERROR(_xlfn.XLOOKUP($C73,$D$3:$D$40,M$3:M$40)*$BD73,0)</f>
        <v/>
      </c>
      <c r="N73" s="235">
        <f>IFERROR(_xlfn.XLOOKUP($C73,$D$3:$D$40,N$3:N$40)*$BD73,0)</f>
        <v/>
      </c>
      <c r="O73" s="235">
        <f>IFERROR(_xlfn.XLOOKUP($C73,$D$3:$D$40,O$3:O$40)*$BD73,0)</f>
        <v/>
      </c>
      <c r="P73" s="235">
        <f>IFERROR(_xlfn.XLOOKUP($C73,$D$3:$D$40,P$3:P$40)*$BD73,0)</f>
        <v/>
      </c>
      <c r="Q73" s="235">
        <f>IFERROR(_xlfn.XLOOKUP($C73,$D$3:$D$40,Q$3:Q$40)*$BD73,0)</f>
        <v/>
      </c>
      <c r="R73" s="235">
        <f>IFERROR(_xlfn.XLOOKUP($C73,$D$3:$D$40,R$3:R$40)*$BD73,0)</f>
        <v/>
      </c>
      <c r="S73" s="235">
        <f>IFERROR(_xlfn.XLOOKUP($C73,$D$3:$D$40,S$3:S$40)*$BD73,0)</f>
        <v/>
      </c>
      <c r="T73" s="235">
        <f>IFERROR(_xlfn.XLOOKUP($C73,$D$3:$D$40,T$3:T$40)*$BD73,0)</f>
        <v/>
      </c>
      <c r="U73" s="235">
        <f>IFERROR(_xlfn.XLOOKUP($C73,$D$3:$D$40,U$3:U$40)*$BD73,0)</f>
        <v/>
      </c>
      <c r="V73" s="235">
        <f>IFERROR(_xlfn.XLOOKUP($C73,$D$3:$D$40,V$3:V$40)*$BD73,0)</f>
        <v/>
      </c>
      <c r="W73" s="235">
        <f>IFERROR(_xlfn.XLOOKUP($C73,$D$3:$D$40,W$3:W$40)*$BD73,0)</f>
        <v/>
      </c>
      <c r="X73" s="235">
        <f>IFERROR(_xlfn.XLOOKUP($C73,$D$3:$D$40,X$3:X$40)*$BD73,0)</f>
        <v/>
      </c>
      <c r="Y73" s="235">
        <f>IFERROR(_xlfn.XLOOKUP($C73,$D$3:$D$40,Y$3:Y$40)*$BD73,0)</f>
        <v/>
      </c>
      <c r="Z73" s="235">
        <f>IFERROR(_xlfn.XLOOKUP($C73,$D$3:$D$40,Z$3:Z$40)*$BD73,0)</f>
        <v/>
      </c>
      <c r="AA73" s="235">
        <f>IFERROR(_xlfn.XLOOKUP($C73,$D$3:$D$40,AA$3:AA$40)*$BD73,0)</f>
        <v/>
      </c>
      <c r="AB73" s="235">
        <f>IFERROR(_xlfn.XLOOKUP($C73,$D$3:$D$40,AB$3:AB$40)*$BD73,0)</f>
        <v/>
      </c>
      <c r="AC73" s="235">
        <f>IFERROR(_xlfn.XLOOKUP($C73,$D$3:$D$40,AC$3:AC$40)*$BD73,0)</f>
        <v/>
      </c>
      <c r="AD73" s="235">
        <f>IFERROR(_xlfn.XLOOKUP($C73,$D$3:$D$40,AD$3:AD$40)*$BD73,0)</f>
        <v/>
      </c>
      <c r="AE73" s="235">
        <f>IFERROR(_xlfn.XLOOKUP($C73,$D$3:$D$40,AE$3:AE$40)*$BD73,0)</f>
        <v/>
      </c>
      <c r="AF73" s="235">
        <f>IFERROR(_xlfn.XLOOKUP($C73,$D$3:$D$40,AF$3:AF$40)*$BD73,0)</f>
        <v/>
      </c>
      <c r="AG73" s="235">
        <f>IFERROR(_xlfn.XLOOKUP($C73,$D$3:$D$40,AG$3:AG$40)*$BD73,0)</f>
        <v/>
      </c>
      <c r="AH73" s="235">
        <f>IFERROR(_xlfn.XLOOKUP($C73,$D$3:$D$40,AH$3:AH$40)*$BD73,0)</f>
        <v/>
      </c>
      <c r="AI73" s="235">
        <f>IFERROR(_xlfn.XLOOKUP($C73,$D$3:$D$40,AI$3:AI$40)*$BD73,0)</f>
        <v/>
      </c>
      <c r="AJ73" s="235">
        <f>IFERROR(_xlfn.XLOOKUP($C73,$D$3:$D$40,AJ$3:AJ$40)*$BD73,0)</f>
        <v/>
      </c>
      <c r="AK73" s="235">
        <f>IFERROR(_xlfn.XLOOKUP($C73,$D$3:$D$40,AK$3:AK$40)*$BD73,0)</f>
        <v/>
      </c>
      <c r="AL73" s="235">
        <f>IFERROR(_xlfn.XLOOKUP($C73,$D$3:$D$40,AL$3:AL$40)*$BD73,0)</f>
        <v/>
      </c>
      <c r="AM73" s="235">
        <f>IFERROR(_xlfn.XLOOKUP($C73,$D$3:$D$40,AM$3:AM$40)*$BD73,0)</f>
        <v/>
      </c>
      <c r="AN73" s="235">
        <f>IFERROR(_xlfn.XLOOKUP($C73,$D$3:$D$40,AN$3:AN$40)*$BD73,0)</f>
        <v/>
      </c>
      <c r="AO73" s="235">
        <f>IFERROR(_xlfn.XLOOKUP($C73,$D$3:$D$40,AO$3:AO$40)*$BD73,0)</f>
        <v/>
      </c>
      <c r="AP73" s="235">
        <f>IFERROR(_xlfn.XLOOKUP($C73,$D$3:$D$40,AP$3:AP$40)*$BD73,0)</f>
        <v/>
      </c>
      <c r="AQ73" s="235">
        <f>IFERROR(_xlfn.XLOOKUP($C73,$D$3:$D$40,AQ$3:AQ$40)*$BD73,0)</f>
        <v/>
      </c>
      <c r="AR73" s="235">
        <f>IFERROR(_xlfn.XLOOKUP($C73,$D$3:$D$40,AR$3:AR$40)*$BD73,0)</f>
        <v/>
      </c>
      <c r="AS73" s="235">
        <f>IFERROR(_xlfn.XLOOKUP($C73,$D$3:$D$40,AS$3:AS$40)*$BD73,0)</f>
        <v/>
      </c>
      <c r="AT73" s="235">
        <f>IFERROR(_xlfn.XLOOKUP($C73,$D$3:$D$40,AT$3:AT$40)*$BD73,0)</f>
        <v/>
      </c>
      <c r="AU73" s="235">
        <f>IFERROR(_xlfn.XLOOKUP($C73,$D$3:$D$40,AU$3:AU$40)*$BD73,0)</f>
        <v/>
      </c>
      <c r="AV73" s="235">
        <f>IFERROR(_xlfn.XLOOKUP($C73,$D$3:$D$40,AV$3:AV$40)*$BD73,0)</f>
        <v/>
      </c>
      <c r="AW73" s="235">
        <f>IFERROR(_xlfn.XLOOKUP($C73,$D$3:$D$40,AW$3:AW$40)*$BD73,0)</f>
        <v/>
      </c>
      <c r="AX73" s="235">
        <f>IFERROR(_xlfn.XLOOKUP($C73,$D$3:$D$40,AX$3:AX$40)*$BD73,0)</f>
        <v/>
      </c>
      <c r="AY73" s="235">
        <f>IFERROR(_xlfn.XLOOKUP($C73,$D$3:$D$40,AY$3:AY$40)*$BD73,0)</f>
        <v/>
      </c>
      <c r="AZ73" s="235">
        <f>IFERROR(_xlfn.XLOOKUP($C73,$D$3:$D$40,AZ$3:AZ$40)*$BD73,0)</f>
        <v/>
      </c>
      <c r="BA73" s="235">
        <f>IFERROR(_xlfn.XLOOKUP($C73,$D$3:$D$40,BA$3:BA$40)*$BD73,0)</f>
        <v/>
      </c>
      <c r="BB73" s="235">
        <f>IFERROR(_xlfn.XLOOKUP($C73,$D$3:$D$40,BB$3:BB$40)*$BD73,0)</f>
        <v/>
      </c>
      <c r="BC73" s="228">
        <f>IFERROR(_xlfn.XLOOKUP(D73,'2C 均值'!$A:$A,'2C 均值'!$E:$E),0)</f>
        <v/>
      </c>
      <c r="BD73" s="228">
        <f t="array" ref="BD73">IF(OR($D73=0,$D73=""),"",_xlfn.LET(
        _xlpm.channel,$D73,
        _xlpm.factorName,$C73,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4" ht="15.75" customHeight="1" s="179">
      <c r="C74" s="84">
        <f>IF(OR($D74=0,$D74=""),"",_xlfn.LET(
    _xlpm.channel,$D74,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4" s="119">
        <f>'2B RotationRule'!C19</f>
        <v/>
      </c>
      <c r="E74" s="227">
        <f>IFERROR(_xlfn.XLOOKUP($C74,$D$3:$D$40,E$3:E$40)*$BD74,0)</f>
        <v/>
      </c>
      <c r="F74" s="227">
        <f>IFERROR(_xlfn.XLOOKUP($C74,$D$3:$D$40,F$3:F$40)*$BD74,0)</f>
        <v/>
      </c>
      <c r="G74" s="227">
        <f>IFERROR(_xlfn.XLOOKUP($C74,$D$3:$D$40,G$3:G$40)*$BD74,0)</f>
        <v/>
      </c>
      <c r="H74" s="235">
        <f>IFERROR(_xlfn.XLOOKUP($C74,$D$3:$D$40,H$3:H$40)*$BD74,0)</f>
        <v/>
      </c>
      <c r="I74" s="235">
        <f>IFERROR(_xlfn.XLOOKUP($C74,$D$3:$D$40,I$3:I$40)*$BD74,0)</f>
        <v/>
      </c>
      <c r="J74" s="235">
        <f>IFERROR(_xlfn.XLOOKUP($C74,$D$3:$D$40,J$3:J$40)*$BD74,0)</f>
        <v/>
      </c>
      <c r="K74" s="235">
        <f>IFERROR(_xlfn.XLOOKUP($C74,$D$3:$D$40,K$3:K$40)*$BD74,0)</f>
        <v/>
      </c>
      <c r="L74" s="235">
        <f>IFERROR(_xlfn.XLOOKUP($C74,$D$3:$D$40,L$3:L$40)*$BD74,0)</f>
        <v/>
      </c>
      <c r="M74" s="235">
        <f>IFERROR(_xlfn.XLOOKUP($C74,$D$3:$D$40,M$3:M$40)*$BD74,0)</f>
        <v/>
      </c>
      <c r="N74" s="235">
        <f>IFERROR(_xlfn.XLOOKUP($C74,$D$3:$D$40,N$3:N$40)*$BD74,0)</f>
        <v/>
      </c>
      <c r="O74" s="235">
        <f>IFERROR(_xlfn.XLOOKUP($C74,$D$3:$D$40,O$3:O$40)*$BD74,0)</f>
        <v/>
      </c>
      <c r="P74" s="235">
        <f>IFERROR(_xlfn.XLOOKUP($C74,$D$3:$D$40,P$3:P$40)*$BD74,0)</f>
        <v/>
      </c>
      <c r="Q74" s="235">
        <f>IFERROR(_xlfn.XLOOKUP($C74,$D$3:$D$40,Q$3:Q$40)*$BD74,0)</f>
        <v/>
      </c>
      <c r="R74" s="235">
        <f>IFERROR(_xlfn.XLOOKUP($C74,$D$3:$D$40,R$3:R$40)*$BD74,0)</f>
        <v/>
      </c>
      <c r="S74" s="235">
        <f>IFERROR(_xlfn.XLOOKUP($C74,$D$3:$D$40,S$3:S$40)*$BD74,0)</f>
        <v/>
      </c>
      <c r="T74" s="235">
        <f>IFERROR(_xlfn.XLOOKUP($C74,$D$3:$D$40,T$3:T$40)*$BD74,0)</f>
        <v/>
      </c>
      <c r="U74" s="235">
        <f>IFERROR(_xlfn.XLOOKUP($C74,$D$3:$D$40,U$3:U$40)*$BD74,0)</f>
        <v/>
      </c>
      <c r="V74" s="235">
        <f>IFERROR(_xlfn.XLOOKUP($C74,$D$3:$D$40,V$3:V$40)*$BD74,0)</f>
        <v/>
      </c>
      <c r="W74" s="235">
        <f>IFERROR(_xlfn.XLOOKUP($C74,$D$3:$D$40,W$3:W$40)*$BD74,0)</f>
        <v/>
      </c>
      <c r="X74" s="235">
        <f>IFERROR(_xlfn.XLOOKUP($C74,$D$3:$D$40,X$3:X$40)*$BD74,0)</f>
        <v/>
      </c>
      <c r="Y74" s="235">
        <f>IFERROR(_xlfn.XLOOKUP($C74,$D$3:$D$40,Y$3:Y$40)*$BD74,0)</f>
        <v/>
      </c>
      <c r="Z74" s="235">
        <f>IFERROR(_xlfn.XLOOKUP($C74,$D$3:$D$40,Z$3:Z$40)*$BD74,0)</f>
        <v/>
      </c>
      <c r="AA74" s="235">
        <f>IFERROR(_xlfn.XLOOKUP($C74,$D$3:$D$40,AA$3:AA$40)*$BD74,0)</f>
        <v/>
      </c>
      <c r="AB74" s="235">
        <f>IFERROR(_xlfn.XLOOKUP($C74,$D$3:$D$40,AB$3:AB$40)*$BD74,0)</f>
        <v/>
      </c>
      <c r="AC74" s="235">
        <f>IFERROR(_xlfn.XLOOKUP($C74,$D$3:$D$40,AC$3:AC$40)*$BD74,0)</f>
        <v/>
      </c>
      <c r="AD74" s="235">
        <f>IFERROR(_xlfn.XLOOKUP($C74,$D$3:$D$40,AD$3:AD$40)*$BD74,0)</f>
        <v/>
      </c>
      <c r="AE74" s="235">
        <f>IFERROR(_xlfn.XLOOKUP($C74,$D$3:$D$40,AE$3:AE$40)*$BD74,0)</f>
        <v/>
      </c>
      <c r="AF74" s="235">
        <f>IFERROR(_xlfn.XLOOKUP($C74,$D$3:$D$40,AF$3:AF$40)*$BD74,0)</f>
        <v/>
      </c>
      <c r="AG74" s="235">
        <f>IFERROR(_xlfn.XLOOKUP($C74,$D$3:$D$40,AG$3:AG$40)*$BD74,0)</f>
        <v/>
      </c>
      <c r="AH74" s="235">
        <f>IFERROR(_xlfn.XLOOKUP($C74,$D$3:$D$40,AH$3:AH$40)*$BD74,0)</f>
        <v/>
      </c>
      <c r="AI74" s="235">
        <f>IFERROR(_xlfn.XLOOKUP($C74,$D$3:$D$40,AI$3:AI$40)*$BD74,0)</f>
        <v/>
      </c>
      <c r="AJ74" s="235">
        <f>IFERROR(_xlfn.XLOOKUP($C74,$D$3:$D$40,AJ$3:AJ$40)*$BD74,0)</f>
        <v/>
      </c>
      <c r="AK74" s="235">
        <f>IFERROR(_xlfn.XLOOKUP($C74,$D$3:$D$40,AK$3:AK$40)*$BD74,0)</f>
        <v/>
      </c>
      <c r="AL74" s="235">
        <f>IFERROR(_xlfn.XLOOKUP($C74,$D$3:$D$40,AL$3:AL$40)*$BD74,0)</f>
        <v/>
      </c>
      <c r="AM74" s="235">
        <f>IFERROR(_xlfn.XLOOKUP($C74,$D$3:$D$40,AM$3:AM$40)*$BD74,0)</f>
        <v/>
      </c>
      <c r="AN74" s="235">
        <f>IFERROR(_xlfn.XLOOKUP($C74,$D$3:$D$40,AN$3:AN$40)*$BD74,0)</f>
        <v/>
      </c>
      <c r="AO74" s="235">
        <f>IFERROR(_xlfn.XLOOKUP($C74,$D$3:$D$40,AO$3:AO$40)*$BD74,0)</f>
        <v/>
      </c>
      <c r="AP74" s="235">
        <f>IFERROR(_xlfn.XLOOKUP($C74,$D$3:$D$40,AP$3:AP$40)*$BD74,0)</f>
        <v/>
      </c>
      <c r="AQ74" s="235">
        <f>IFERROR(_xlfn.XLOOKUP($C74,$D$3:$D$40,AQ$3:AQ$40)*$BD74,0)</f>
        <v/>
      </c>
      <c r="AR74" s="235">
        <f>IFERROR(_xlfn.XLOOKUP($C74,$D$3:$D$40,AR$3:AR$40)*$BD74,0)</f>
        <v/>
      </c>
      <c r="AS74" s="235">
        <f>IFERROR(_xlfn.XLOOKUP($C74,$D$3:$D$40,AS$3:AS$40)*$BD74,0)</f>
        <v/>
      </c>
      <c r="AT74" s="235">
        <f>IFERROR(_xlfn.XLOOKUP($C74,$D$3:$D$40,AT$3:AT$40)*$BD74,0)</f>
        <v/>
      </c>
      <c r="AU74" s="235">
        <f>IFERROR(_xlfn.XLOOKUP($C74,$D$3:$D$40,AU$3:AU$40)*$BD74,0)</f>
        <v/>
      </c>
      <c r="AV74" s="235">
        <f>IFERROR(_xlfn.XLOOKUP($C74,$D$3:$D$40,AV$3:AV$40)*$BD74,0)</f>
        <v/>
      </c>
      <c r="AW74" s="235">
        <f>IFERROR(_xlfn.XLOOKUP($C74,$D$3:$D$40,AW$3:AW$40)*$BD74,0)</f>
        <v/>
      </c>
      <c r="AX74" s="235">
        <f>IFERROR(_xlfn.XLOOKUP($C74,$D$3:$D$40,AX$3:AX$40)*$BD74,0)</f>
        <v/>
      </c>
      <c r="AY74" s="235">
        <f>IFERROR(_xlfn.XLOOKUP($C74,$D$3:$D$40,AY$3:AY$40)*$BD74,0)</f>
        <v/>
      </c>
      <c r="AZ74" s="235">
        <f>IFERROR(_xlfn.XLOOKUP($C74,$D$3:$D$40,AZ$3:AZ$40)*$BD74,0)</f>
        <v/>
      </c>
      <c r="BA74" s="235">
        <f>IFERROR(_xlfn.XLOOKUP($C74,$D$3:$D$40,BA$3:BA$40)*$BD74,0)</f>
        <v/>
      </c>
      <c r="BB74" s="235">
        <f>IFERROR(_xlfn.XLOOKUP($C74,$D$3:$D$40,BB$3:BB$40)*$BD74,0)</f>
        <v/>
      </c>
      <c r="BC74" s="228">
        <f>IFERROR(_xlfn.XLOOKUP(D74,'2C 均值'!$A:$A,'2C 均值'!$E:$E),0)</f>
        <v/>
      </c>
      <c r="BD74" s="228">
        <f t="array" ref="BD74">IF(OR($D74=0,$D74=""),"",_xlfn.LET(
        _xlpm.channel,$D74,
        _xlpm.factorName,$C74,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5" ht="15.75" customHeight="1" s="179">
      <c r="C75" s="84">
        <f>IF(OR($D75=0,$D75=""),"",_xlfn.LET(
    _xlpm.channel,$D75,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5" s="119">
        <f>'2B RotationRule'!C20</f>
        <v/>
      </c>
      <c r="E75" s="227">
        <f>IFERROR(_xlfn.XLOOKUP($C75,$D$3:$D$40,E$3:E$40)*$BD75,0)</f>
        <v/>
      </c>
      <c r="F75" s="227">
        <f>IFERROR(_xlfn.XLOOKUP($C75,$D$3:$D$40,F$3:F$40)*$BD75,0)</f>
        <v/>
      </c>
      <c r="G75" s="227">
        <f>IFERROR(_xlfn.XLOOKUP($C75,$D$3:$D$40,G$3:G$40)*$BD75,0)</f>
        <v/>
      </c>
      <c r="H75" s="235">
        <f>IFERROR(_xlfn.XLOOKUP($C75,$D$3:$D$40,H$3:H$40)*$BD75,0)</f>
        <v/>
      </c>
      <c r="I75" s="235">
        <f>IFERROR(_xlfn.XLOOKUP($C75,$D$3:$D$40,I$3:I$40)*$BD75,0)</f>
        <v/>
      </c>
      <c r="J75" s="235">
        <f>IFERROR(_xlfn.XLOOKUP($C75,$D$3:$D$40,J$3:J$40)*$BD75,0)</f>
        <v/>
      </c>
      <c r="K75" s="235">
        <f>IFERROR(_xlfn.XLOOKUP($C75,$D$3:$D$40,K$3:K$40)*$BD75,0)</f>
        <v/>
      </c>
      <c r="L75" s="235">
        <f>IFERROR(_xlfn.XLOOKUP($C75,$D$3:$D$40,L$3:L$40)*$BD75,0)</f>
        <v/>
      </c>
      <c r="M75" s="235">
        <f>IFERROR(_xlfn.XLOOKUP($C75,$D$3:$D$40,M$3:M$40)*$BD75,0)</f>
        <v/>
      </c>
      <c r="N75" s="235">
        <f>IFERROR(_xlfn.XLOOKUP($C75,$D$3:$D$40,N$3:N$40)*$BD75,0)</f>
        <v/>
      </c>
      <c r="O75" s="235">
        <f>IFERROR(_xlfn.XLOOKUP($C75,$D$3:$D$40,O$3:O$40)*$BD75,0)</f>
        <v/>
      </c>
      <c r="P75" s="235">
        <f>IFERROR(_xlfn.XLOOKUP($C75,$D$3:$D$40,P$3:P$40)*$BD75,0)</f>
        <v/>
      </c>
      <c r="Q75" s="235">
        <f>IFERROR(_xlfn.XLOOKUP($C75,$D$3:$D$40,Q$3:Q$40)*$BD75,0)</f>
        <v/>
      </c>
      <c r="R75" s="235">
        <f>IFERROR(_xlfn.XLOOKUP($C75,$D$3:$D$40,R$3:R$40)*$BD75,0)</f>
        <v/>
      </c>
      <c r="S75" s="235">
        <f>IFERROR(_xlfn.XLOOKUP($C75,$D$3:$D$40,S$3:S$40)*$BD75,0)</f>
        <v/>
      </c>
      <c r="T75" s="235">
        <f>IFERROR(_xlfn.XLOOKUP($C75,$D$3:$D$40,T$3:T$40)*$BD75,0)</f>
        <v/>
      </c>
      <c r="U75" s="235">
        <f>IFERROR(_xlfn.XLOOKUP($C75,$D$3:$D$40,U$3:U$40)*$BD75,0)</f>
        <v/>
      </c>
      <c r="V75" s="235">
        <f>IFERROR(_xlfn.XLOOKUP($C75,$D$3:$D$40,V$3:V$40)*$BD75,0)</f>
        <v/>
      </c>
      <c r="W75" s="235">
        <f>IFERROR(_xlfn.XLOOKUP($C75,$D$3:$D$40,W$3:W$40)*$BD75,0)</f>
        <v/>
      </c>
      <c r="X75" s="235">
        <f>IFERROR(_xlfn.XLOOKUP($C75,$D$3:$D$40,X$3:X$40)*$BD75,0)</f>
        <v/>
      </c>
      <c r="Y75" s="235">
        <f>IFERROR(_xlfn.XLOOKUP($C75,$D$3:$D$40,Y$3:Y$40)*$BD75,0)</f>
        <v/>
      </c>
      <c r="Z75" s="235">
        <f>IFERROR(_xlfn.XLOOKUP($C75,$D$3:$D$40,Z$3:Z$40)*$BD75,0)</f>
        <v/>
      </c>
      <c r="AA75" s="235">
        <f>IFERROR(_xlfn.XLOOKUP($C75,$D$3:$D$40,AA$3:AA$40)*$BD75,0)</f>
        <v/>
      </c>
      <c r="AB75" s="235">
        <f>IFERROR(_xlfn.XLOOKUP($C75,$D$3:$D$40,AB$3:AB$40)*$BD75,0)</f>
        <v/>
      </c>
      <c r="AC75" s="235">
        <f>IFERROR(_xlfn.XLOOKUP($C75,$D$3:$D$40,AC$3:AC$40)*$BD75,0)</f>
        <v/>
      </c>
      <c r="AD75" s="235">
        <f>IFERROR(_xlfn.XLOOKUP($C75,$D$3:$D$40,AD$3:AD$40)*$BD75,0)</f>
        <v/>
      </c>
      <c r="AE75" s="235">
        <f>IFERROR(_xlfn.XLOOKUP($C75,$D$3:$D$40,AE$3:AE$40)*$BD75,0)</f>
        <v/>
      </c>
      <c r="AF75" s="235">
        <f>IFERROR(_xlfn.XLOOKUP($C75,$D$3:$D$40,AF$3:AF$40)*$BD75,0)</f>
        <v/>
      </c>
      <c r="AG75" s="235">
        <f>IFERROR(_xlfn.XLOOKUP($C75,$D$3:$D$40,AG$3:AG$40)*$BD75,0)</f>
        <v/>
      </c>
      <c r="AH75" s="235">
        <f>IFERROR(_xlfn.XLOOKUP($C75,$D$3:$D$40,AH$3:AH$40)*$BD75,0)</f>
        <v/>
      </c>
      <c r="AI75" s="235">
        <f>IFERROR(_xlfn.XLOOKUP($C75,$D$3:$D$40,AI$3:AI$40)*$BD75,0)</f>
        <v/>
      </c>
      <c r="AJ75" s="235">
        <f>IFERROR(_xlfn.XLOOKUP($C75,$D$3:$D$40,AJ$3:AJ$40)*$BD75,0)</f>
        <v/>
      </c>
      <c r="AK75" s="235">
        <f>IFERROR(_xlfn.XLOOKUP($C75,$D$3:$D$40,AK$3:AK$40)*$BD75,0)</f>
        <v/>
      </c>
      <c r="AL75" s="235">
        <f>IFERROR(_xlfn.XLOOKUP($C75,$D$3:$D$40,AL$3:AL$40)*$BD75,0)</f>
        <v/>
      </c>
      <c r="AM75" s="235">
        <f>IFERROR(_xlfn.XLOOKUP($C75,$D$3:$D$40,AM$3:AM$40)*$BD75,0)</f>
        <v/>
      </c>
      <c r="AN75" s="235">
        <f>IFERROR(_xlfn.XLOOKUP($C75,$D$3:$D$40,AN$3:AN$40)*$BD75,0)</f>
        <v/>
      </c>
      <c r="AO75" s="235">
        <f>IFERROR(_xlfn.XLOOKUP($C75,$D$3:$D$40,AO$3:AO$40)*$BD75,0)</f>
        <v/>
      </c>
      <c r="AP75" s="235">
        <f>IFERROR(_xlfn.XLOOKUP($C75,$D$3:$D$40,AP$3:AP$40)*$BD75,0)</f>
        <v/>
      </c>
      <c r="AQ75" s="235">
        <f>IFERROR(_xlfn.XLOOKUP($C75,$D$3:$D$40,AQ$3:AQ$40)*$BD75,0)</f>
        <v/>
      </c>
      <c r="AR75" s="235">
        <f>IFERROR(_xlfn.XLOOKUP($C75,$D$3:$D$40,AR$3:AR$40)*$BD75,0)</f>
        <v/>
      </c>
      <c r="AS75" s="235">
        <f>IFERROR(_xlfn.XLOOKUP($C75,$D$3:$D$40,AS$3:AS$40)*$BD75,0)</f>
        <v/>
      </c>
      <c r="AT75" s="235">
        <f>IFERROR(_xlfn.XLOOKUP($C75,$D$3:$D$40,AT$3:AT$40)*$BD75,0)</f>
        <v/>
      </c>
      <c r="AU75" s="235">
        <f>IFERROR(_xlfn.XLOOKUP($C75,$D$3:$D$40,AU$3:AU$40)*$BD75,0)</f>
        <v/>
      </c>
      <c r="AV75" s="235">
        <f>IFERROR(_xlfn.XLOOKUP($C75,$D$3:$D$40,AV$3:AV$40)*$BD75,0)</f>
        <v/>
      </c>
      <c r="AW75" s="235">
        <f>IFERROR(_xlfn.XLOOKUP($C75,$D$3:$D$40,AW$3:AW$40)*$BD75,0)</f>
        <v/>
      </c>
      <c r="AX75" s="235">
        <f>IFERROR(_xlfn.XLOOKUP($C75,$D$3:$D$40,AX$3:AX$40)*$BD75,0)</f>
        <v/>
      </c>
      <c r="AY75" s="235">
        <f>IFERROR(_xlfn.XLOOKUP($C75,$D$3:$D$40,AY$3:AY$40)*$BD75,0)</f>
        <v/>
      </c>
      <c r="AZ75" s="235">
        <f>IFERROR(_xlfn.XLOOKUP($C75,$D$3:$D$40,AZ$3:AZ$40)*$BD75,0)</f>
        <v/>
      </c>
      <c r="BA75" s="235">
        <f>IFERROR(_xlfn.XLOOKUP($C75,$D$3:$D$40,BA$3:BA$40)*$BD75,0)</f>
        <v/>
      </c>
      <c r="BB75" s="235">
        <f>IFERROR(_xlfn.XLOOKUP($C75,$D$3:$D$40,BB$3:BB$40)*$BD75,0)</f>
        <v/>
      </c>
      <c r="BC75" s="228">
        <f>IFERROR(_xlfn.XLOOKUP(D75,'2C 均值'!$A:$A,'2C 均值'!$E:$E),0)</f>
        <v/>
      </c>
      <c r="BD75" s="228">
        <f t="array" ref="BD75">IF(OR($D75=0,$D75=""),"",_xlfn.LET(
        _xlpm.channel,$D75,
        _xlpm.factorName,$C75,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6" ht="15.75" customHeight="1" s="179">
      <c r="C76" s="84">
        <f>IF(OR($D76=0,$D76=""),"",_xlfn.LET(
    _xlpm.channel,$D76,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6" s="119">
        <f>'2B RotationRule'!C21</f>
        <v/>
      </c>
      <c r="E76" s="227">
        <f>IFERROR(_xlfn.XLOOKUP($C76,$D$3:$D$40,E$3:E$40)*$BD76,0)</f>
        <v/>
      </c>
      <c r="F76" s="227">
        <f>IFERROR(_xlfn.XLOOKUP($C76,$D$3:$D$40,F$3:F$40)*$BD76,0)</f>
        <v/>
      </c>
      <c r="G76" s="227">
        <f>IFERROR(_xlfn.XLOOKUP($C76,$D$3:$D$40,G$3:G$40)*$BD76,0)</f>
        <v/>
      </c>
      <c r="H76" s="235">
        <f>IFERROR(_xlfn.XLOOKUP($C76,$D$3:$D$40,H$3:H$40)*$BD76,0)</f>
        <v/>
      </c>
      <c r="I76" s="235">
        <f>IFERROR(_xlfn.XLOOKUP($C76,$D$3:$D$40,I$3:I$40)*$BD76,0)</f>
        <v/>
      </c>
      <c r="J76" s="235">
        <f>IFERROR(_xlfn.XLOOKUP($C76,$D$3:$D$40,J$3:J$40)*$BD76,0)</f>
        <v/>
      </c>
      <c r="K76" s="235">
        <f>IFERROR(_xlfn.XLOOKUP($C76,$D$3:$D$40,K$3:K$40)*$BD76,0)</f>
        <v/>
      </c>
      <c r="L76" s="235">
        <f>IFERROR(_xlfn.XLOOKUP($C76,$D$3:$D$40,L$3:L$40)*$BD76,0)</f>
        <v/>
      </c>
      <c r="M76" s="235">
        <f>IFERROR(_xlfn.XLOOKUP($C76,$D$3:$D$40,M$3:M$40)*$BD76,0)</f>
        <v/>
      </c>
      <c r="N76" s="235">
        <f>IFERROR(_xlfn.XLOOKUP($C76,$D$3:$D$40,N$3:N$40)*$BD76,0)</f>
        <v/>
      </c>
      <c r="O76" s="235">
        <f>IFERROR(_xlfn.XLOOKUP($C76,$D$3:$D$40,O$3:O$40)*$BD76,0)</f>
        <v/>
      </c>
      <c r="P76" s="235">
        <f>IFERROR(_xlfn.XLOOKUP($C76,$D$3:$D$40,P$3:P$40)*$BD76,0)</f>
        <v/>
      </c>
      <c r="Q76" s="235">
        <f>IFERROR(_xlfn.XLOOKUP($C76,$D$3:$D$40,Q$3:Q$40)*$BD76,0)</f>
        <v/>
      </c>
      <c r="R76" s="235">
        <f>IFERROR(_xlfn.XLOOKUP($C76,$D$3:$D$40,R$3:R$40)*$BD76,0)</f>
        <v/>
      </c>
      <c r="S76" s="235">
        <f>IFERROR(_xlfn.XLOOKUP($C76,$D$3:$D$40,S$3:S$40)*$BD76,0)</f>
        <v/>
      </c>
      <c r="T76" s="235">
        <f>IFERROR(_xlfn.XLOOKUP($C76,$D$3:$D$40,T$3:T$40)*$BD76,0)</f>
        <v/>
      </c>
      <c r="U76" s="235">
        <f>IFERROR(_xlfn.XLOOKUP($C76,$D$3:$D$40,U$3:U$40)*$BD76,0)</f>
        <v/>
      </c>
      <c r="V76" s="235">
        <f>IFERROR(_xlfn.XLOOKUP($C76,$D$3:$D$40,V$3:V$40)*$BD76,0)</f>
        <v/>
      </c>
      <c r="W76" s="235">
        <f>IFERROR(_xlfn.XLOOKUP($C76,$D$3:$D$40,W$3:W$40)*$BD76,0)</f>
        <v/>
      </c>
      <c r="X76" s="235">
        <f>IFERROR(_xlfn.XLOOKUP($C76,$D$3:$D$40,X$3:X$40)*$BD76,0)</f>
        <v/>
      </c>
      <c r="Y76" s="235">
        <f>IFERROR(_xlfn.XLOOKUP($C76,$D$3:$D$40,Y$3:Y$40)*$BD76,0)</f>
        <v/>
      </c>
      <c r="Z76" s="235">
        <f>IFERROR(_xlfn.XLOOKUP($C76,$D$3:$D$40,Z$3:Z$40)*$BD76,0)</f>
        <v/>
      </c>
      <c r="AA76" s="235">
        <f>IFERROR(_xlfn.XLOOKUP($C76,$D$3:$D$40,AA$3:AA$40)*$BD76,0)</f>
        <v/>
      </c>
      <c r="AB76" s="235">
        <f>IFERROR(_xlfn.XLOOKUP($C76,$D$3:$D$40,AB$3:AB$40)*$BD76,0)</f>
        <v/>
      </c>
      <c r="AC76" s="235">
        <f>IFERROR(_xlfn.XLOOKUP($C76,$D$3:$D$40,AC$3:AC$40)*$BD76,0)</f>
        <v/>
      </c>
      <c r="AD76" s="235">
        <f>IFERROR(_xlfn.XLOOKUP($C76,$D$3:$D$40,AD$3:AD$40)*$BD76,0)</f>
        <v/>
      </c>
      <c r="AE76" s="235">
        <f>IFERROR(_xlfn.XLOOKUP($C76,$D$3:$D$40,AE$3:AE$40)*$BD76,0)</f>
        <v/>
      </c>
      <c r="AF76" s="235">
        <f>IFERROR(_xlfn.XLOOKUP($C76,$D$3:$D$40,AF$3:AF$40)*$BD76,0)</f>
        <v/>
      </c>
      <c r="AG76" s="235">
        <f>IFERROR(_xlfn.XLOOKUP($C76,$D$3:$D$40,AG$3:AG$40)*$BD76,0)</f>
        <v/>
      </c>
      <c r="AH76" s="235">
        <f>IFERROR(_xlfn.XLOOKUP($C76,$D$3:$D$40,AH$3:AH$40)*$BD76,0)</f>
        <v/>
      </c>
      <c r="AI76" s="235">
        <f>IFERROR(_xlfn.XLOOKUP($C76,$D$3:$D$40,AI$3:AI$40)*$BD76,0)</f>
        <v/>
      </c>
      <c r="AJ76" s="235">
        <f>IFERROR(_xlfn.XLOOKUP($C76,$D$3:$D$40,AJ$3:AJ$40)*$BD76,0)</f>
        <v/>
      </c>
      <c r="AK76" s="235">
        <f>IFERROR(_xlfn.XLOOKUP($C76,$D$3:$D$40,AK$3:AK$40)*$BD76,0)</f>
        <v/>
      </c>
      <c r="AL76" s="235">
        <f>IFERROR(_xlfn.XLOOKUP($C76,$D$3:$D$40,AL$3:AL$40)*$BD76,0)</f>
        <v/>
      </c>
      <c r="AM76" s="235">
        <f>IFERROR(_xlfn.XLOOKUP($C76,$D$3:$D$40,AM$3:AM$40)*$BD76,0)</f>
        <v/>
      </c>
      <c r="AN76" s="235">
        <f>IFERROR(_xlfn.XLOOKUP($C76,$D$3:$D$40,AN$3:AN$40)*$BD76,0)</f>
        <v/>
      </c>
      <c r="AO76" s="235">
        <f>IFERROR(_xlfn.XLOOKUP($C76,$D$3:$D$40,AO$3:AO$40)*$BD76,0)</f>
        <v/>
      </c>
      <c r="AP76" s="235">
        <f>IFERROR(_xlfn.XLOOKUP($C76,$D$3:$D$40,AP$3:AP$40)*$BD76,0)</f>
        <v/>
      </c>
      <c r="AQ76" s="235">
        <f>IFERROR(_xlfn.XLOOKUP($C76,$D$3:$D$40,AQ$3:AQ$40)*$BD76,0)</f>
        <v/>
      </c>
      <c r="AR76" s="235">
        <f>IFERROR(_xlfn.XLOOKUP($C76,$D$3:$D$40,AR$3:AR$40)*$BD76,0)</f>
        <v/>
      </c>
      <c r="AS76" s="235">
        <f>IFERROR(_xlfn.XLOOKUP($C76,$D$3:$D$40,AS$3:AS$40)*$BD76,0)</f>
        <v/>
      </c>
      <c r="AT76" s="235">
        <f>IFERROR(_xlfn.XLOOKUP($C76,$D$3:$D$40,AT$3:AT$40)*$BD76,0)</f>
        <v/>
      </c>
      <c r="AU76" s="235">
        <f>IFERROR(_xlfn.XLOOKUP($C76,$D$3:$D$40,AU$3:AU$40)*$BD76,0)</f>
        <v/>
      </c>
      <c r="AV76" s="235">
        <f>IFERROR(_xlfn.XLOOKUP($C76,$D$3:$D$40,AV$3:AV$40)*$BD76,0)</f>
        <v/>
      </c>
      <c r="AW76" s="235">
        <f>IFERROR(_xlfn.XLOOKUP($C76,$D$3:$D$40,AW$3:AW$40)*$BD76,0)</f>
        <v/>
      </c>
      <c r="AX76" s="235">
        <f>IFERROR(_xlfn.XLOOKUP($C76,$D$3:$D$40,AX$3:AX$40)*$BD76,0)</f>
        <v/>
      </c>
      <c r="AY76" s="235">
        <f>IFERROR(_xlfn.XLOOKUP($C76,$D$3:$D$40,AY$3:AY$40)*$BD76,0)</f>
        <v/>
      </c>
      <c r="AZ76" s="235">
        <f>IFERROR(_xlfn.XLOOKUP($C76,$D$3:$D$40,AZ$3:AZ$40)*$BD76,0)</f>
        <v/>
      </c>
      <c r="BA76" s="235">
        <f>IFERROR(_xlfn.XLOOKUP($C76,$D$3:$D$40,BA$3:BA$40)*$BD76,0)</f>
        <v/>
      </c>
      <c r="BB76" s="235">
        <f>IFERROR(_xlfn.XLOOKUP($C76,$D$3:$D$40,BB$3:BB$40)*$BD76,0)</f>
        <v/>
      </c>
      <c r="BC76" s="228">
        <f>IFERROR(_xlfn.XLOOKUP(D76,'2C 均值'!$A:$A,'2C 均值'!$E:$E),0)</f>
        <v/>
      </c>
      <c r="BD76" s="228">
        <f t="array" ref="BD76">IF(OR($D76=0,$D76=""),"",_xlfn.LET(
        _xlpm.channel,$D76,
        _xlpm.factorName,$C76,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7" ht="15.75" customHeight="1" s="179">
      <c r="C77" s="84">
        <f>IF(OR($D77=0,$D77=""),"",_xlfn.LET(
    _xlpm.channel,$D77,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7" s="119">
        <f>'2B RotationRule'!C22</f>
        <v/>
      </c>
      <c r="E77" s="227">
        <f>IFERROR(_xlfn.XLOOKUP($C77,$D$3:$D$40,E$3:E$40)*$BD77,0)</f>
        <v/>
      </c>
      <c r="F77" s="227">
        <f>IFERROR(_xlfn.XLOOKUP($C77,$D$3:$D$40,F$3:F$40)*$BD77,0)</f>
        <v/>
      </c>
      <c r="G77" s="227">
        <f>IFERROR(_xlfn.XLOOKUP($C77,$D$3:$D$40,G$3:G$40)*$BD77,0)</f>
        <v/>
      </c>
      <c r="H77" s="235">
        <f>IFERROR(_xlfn.XLOOKUP($C77,$D$3:$D$40,H$3:H$40)*$BD77,0)</f>
        <v/>
      </c>
      <c r="I77" s="235">
        <f>IFERROR(_xlfn.XLOOKUP($C77,$D$3:$D$40,I$3:I$40)*$BD77,0)</f>
        <v/>
      </c>
      <c r="J77" s="235">
        <f>IFERROR(_xlfn.XLOOKUP($C77,$D$3:$D$40,J$3:J$40)*$BD77,0)</f>
        <v/>
      </c>
      <c r="K77" s="235">
        <f>IFERROR(_xlfn.XLOOKUP($C77,$D$3:$D$40,K$3:K$40)*$BD77,0)</f>
        <v/>
      </c>
      <c r="L77" s="235">
        <f>IFERROR(_xlfn.XLOOKUP($C77,$D$3:$D$40,L$3:L$40)*$BD77,0)</f>
        <v/>
      </c>
      <c r="M77" s="235">
        <f>IFERROR(_xlfn.XLOOKUP($C77,$D$3:$D$40,M$3:M$40)*$BD77,0)</f>
        <v/>
      </c>
      <c r="N77" s="235">
        <f>IFERROR(_xlfn.XLOOKUP($C77,$D$3:$D$40,N$3:N$40)*$BD77,0)</f>
        <v/>
      </c>
      <c r="O77" s="235">
        <f>IFERROR(_xlfn.XLOOKUP($C77,$D$3:$D$40,O$3:O$40)*$BD77,0)</f>
        <v/>
      </c>
      <c r="P77" s="235">
        <f>IFERROR(_xlfn.XLOOKUP($C77,$D$3:$D$40,P$3:P$40)*$BD77,0)</f>
        <v/>
      </c>
      <c r="Q77" s="235">
        <f>IFERROR(_xlfn.XLOOKUP($C77,$D$3:$D$40,Q$3:Q$40)*$BD77,0)</f>
        <v/>
      </c>
      <c r="R77" s="235">
        <f>IFERROR(_xlfn.XLOOKUP($C77,$D$3:$D$40,R$3:R$40)*$BD77,0)</f>
        <v/>
      </c>
      <c r="S77" s="235">
        <f>IFERROR(_xlfn.XLOOKUP($C77,$D$3:$D$40,S$3:S$40)*$BD77,0)</f>
        <v/>
      </c>
      <c r="T77" s="235">
        <f>IFERROR(_xlfn.XLOOKUP($C77,$D$3:$D$40,T$3:T$40)*$BD77,0)</f>
        <v/>
      </c>
      <c r="U77" s="235">
        <f>IFERROR(_xlfn.XLOOKUP($C77,$D$3:$D$40,U$3:U$40)*$BD77,0)</f>
        <v/>
      </c>
      <c r="V77" s="235">
        <f>IFERROR(_xlfn.XLOOKUP($C77,$D$3:$D$40,V$3:V$40)*$BD77,0)</f>
        <v/>
      </c>
      <c r="W77" s="235">
        <f>IFERROR(_xlfn.XLOOKUP($C77,$D$3:$D$40,W$3:W$40)*$BD77,0)</f>
        <v/>
      </c>
      <c r="X77" s="235">
        <f>IFERROR(_xlfn.XLOOKUP($C77,$D$3:$D$40,X$3:X$40)*$BD77,0)</f>
        <v/>
      </c>
      <c r="Y77" s="235">
        <f>IFERROR(_xlfn.XLOOKUP($C77,$D$3:$D$40,Y$3:Y$40)*$BD77,0)</f>
        <v/>
      </c>
      <c r="Z77" s="235">
        <f>IFERROR(_xlfn.XLOOKUP($C77,$D$3:$D$40,Z$3:Z$40)*$BD77,0)</f>
        <v/>
      </c>
      <c r="AA77" s="235">
        <f>IFERROR(_xlfn.XLOOKUP($C77,$D$3:$D$40,AA$3:AA$40)*$BD77,0)</f>
        <v/>
      </c>
      <c r="AB77" s="235">
        <f>IFERROR(_xlfn.XLOOKUP($C77,$D$3:$D$40,AB$3:AB$40)*$BD77,0)</f>
        <v/>
      </c>
      <c r="AC77" s="235">
        <f>IFERROR(_xlfn.XLOOKUP($C77,$D$3:$D$40,AC$3:AC$40)*$BD77,0)</f>
        <v/>
      </c>
      <c r="AD77" s="235">
        <f>IFERROR(_xlfn.XLOOKUP($C77,$D$3:$D$40,AD$3:AD$40)*$BD77,0)</f>
        <v/>
      </c>
      <c r="AE77" s="235">
        <f>IFERROR(_xlfn.XLOOKUP($C77,$D$3:$D$40,AE$3:AE$40)*$BD77,0)</f>
        <v/>
      </c>
      <c r="AF77" s="235">
        <f>IFERROR(_xlfn.XLOOKUP($C77,$D$3:$D$40,AF$3:AF$40)*$BD77,0)</f>
        <v/>
      </c>
      <c r="AG77" s="235">
        <f>IFERROR(_xlfn.XLOOKUP($C77,$D$3:$D$40,AG$3:AG$40)*$BD77,0)</f>
        <v/>
      </c>
      <c r="AH77" s="235">
        <f>IFERROR(_xlfn.XLOOKUP($C77,$D$3:$D$40,AH$3:AH$40)*$BD77,0)</f>
        <v/>
      </c>
      <c r="AI77" s="235">
        <f>IFERROR(_xlfn.XLOOKUP($C77,$D$3:$D$40,AI$3:AI$40)*$BD77,0)</f>
        <v/>
      </c>
      <c r="AJ77" s="235">
        <f>IFERROR(_xlfn.XLOOKUP($C77,$D$3:$D$40,AJ$3:AJ$40)*$BD77,0)</f>
        <v/>
      </c>
      <c r="AK77" s="235">
        <f>IFERROR(_xlfn.XLOOKUP($C77,$D$3:$D$40,AK$3:AK$40)*$BD77,0)</f>
        <v/>
      </c>
      <c r="AL77" s="235">
        <f>IFERROR(_xlfn.XLOOKUP($C77,$D$3:$D$40,AL$3:AL$40)*$BD77,0)</f>
        <v/>
      </c>
      <c r="AM77" s="235">
        <f>IFERROR(_xlfn.XLOOKUP($C77,$D$3:$D$40,AM$3:AM$40)*$BD77,0)</f>
        <v/>
      </c>
      <c r="AN77" s="235">
        <f>IFERROR(_xlfn.XLOOKUP($C77,$D$3:$D$40,AN$3:AN$40)*$BD77,0)</f>
        <v/>
      </c>
      <c r="AO77" s="235">
        <f>IFERROR(_xlfn.XLOOKUP($C77,$D$3:$D$40,AO$3:AO$40)*$BD77,0)</f>
        <v/>
      </c>
      <c r="AP77" s="235">
        <f>IFERROR(_xlfn.XLOOKUP($C77,$D$3:$D$40,AP$3:AP$40)*$BD77,0)</f>
        <v/>
      </c>
      <c r="AQ77" s="235">
        <f>IFERROR(_xlfn.XLOOKUP($C77,$D$3:$D$40,AQ$3:AQ$40)*$BD77,0)</f>
        <v/>
      </c>
      <c r="AR77" s="235">
        <f>IFERROR(_xlfn.XLOOKUP($C77,$D$3:$D$40,AR$3:AR$40)*$BD77,0)</f>
        <v/>
      </c>
      <c r="AS77" s="235">
        <f>IFERROR(_xlfn.XLOOKUP($C77,$D$3:$D$40,AS$3:AS$40)*$BD77,0)</f>
        <v/>
      </c>
      <c r="AT77" s="235">
        <f>IFERROR(_xlfn.XLOOKUP($C77,$D$3:$D$40,AT$3:AT$40)*$BD77,0)</f>
        <v/>
      </c>
      <c r="AU77" s="235">
        <f>IFERROR(_xlfn.XLOOKUP($C77,$D$3:$D$40,AU$3:AU$40)*$BD77,0)</f>
        <v/>
      </c>
      <c r="AV77" s="235">
        <f>IFERROR(_xlfn.XLOOKUP($C77,$D$3:$D$40,AV$3:AV$40)*$BD77,0)</f>
        <v/>
      </c>
      <c r="AW77" s="235">
        <f>IFERROR(_xlfn.XLOOKUP($C77,$D$3:$D$40,AW$3:AW$40)*$BD77,0)</f>
        <v/>
      </c>
      <c r="AX77" s="235">
        <f>IFERROR(_xlfn.XLOOKUP($C77,$D$3:$D$40,AX$3:AX$40)*$BD77,0)</f>
        <v/>
      </c>
      <c r="AY77" s="235">
        <f>IFERROR(_xlfn.XLOOKUP($C77,$D$3:$D$40,AY$3:AY$40)*$BD77,0)</f>
        <v/>
      </c>
      <c r="AZ77" s="235">
        <f>IFERROR(_xlfn.XLOOKUP($C77,$D$3:$D$40,AZ$3:AZ$40)*$BD77,0)</f>
        <v/>
      </c>
      <c r="BA77" s="235">
        <f>IFERROR(_xlfn.XLOOKUP($C77,$D$3:$D$40,BA$3:BA$40)*$BD77,0)</f>
        <v/>
      </c>
      <c r="BB77" s="235">
        <f>IFERROR(_xlfn.XLOOKUP($C77,$D$3:$D$40,BB$3:BB$40)*$BD77,0)</f>
        <v/>
      </c>
      <c r="BC77" s="228">
        <f>IFERROR(_xlfn.XLOOKUP(D77,'2C 均值'!$A:$A,'2C 均值'!$E:$E),0)</f>
        <v/>
      </c>
      <c r="BD77" s="228">
        <f t="array" ref="BD77">IF(OR($D77=0,$D77=""),"",_xlfn.LET(
        _xlpm.channel,$D77,
        _xlpm.factorName,$C77,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8" ht="15.75" customHeight="1" s="179">
      <c r="C78" s="84">
        <f>IF(OR($D78=0,$D78=""),"",_xlfn.LET(
    _xlpm.channel,$D78,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8" s="119">
        <f>'2B RotationRule'!C23</f>
        <v/>
      </c>
      <c r="E78" s="227">
        <f>IFERROR(_xlfn.XLOOKUP($C78,$D$3:$D$40,E$3:E$40)*$BD78,0)</f>
        <v/>
      </c>
      <c r="F78" s="227">
        <f>IFERROR(_xlfn.XLOOKUP($C78,$D$3:$D$40,F$3:F$40)*$BD78,0)</f>
        <v/>
      </c>
      <c r="G78" s="227">
        <f>IFERROR(_xlfn.XLOOKUP($C78,$D$3:$D$40,G$3:G$40)*$BD78,0)</f>
        <v/>
      </c>
      <c r="H78" s="235">
        <f>IFERROR(_xlfn.XLOOKUP($C78,$D$3:$D$40,H$3:H$40)*$BD78,0)</f>
        <v/>
      </c>
      <c r="I78" s="235">
        <f>IFERROR(_xlfn.XLOOKUP($C78,$D$3:$D$40,I$3:I$40)*$BD78,0)</f>
        <v/>
      </c>
      <c r="J78" s="235">
        <f>IFERROR(_xlfn.XLOOKUP($C78,$D$3:$D$40,J$3:J$40)*$BD78,0)</f>
        <v/>
      </c>
      <c r="K78" s="235">
        <f>IFERROR(_xlfn.XLOOKUP($C78,$D$3:$D$40,K$3:K$40)*$BD78,0)</f>
        <v/>
      </c>
      <c r="L78" s="235">
        <f>IFERROR(_xlfn.XLOOKUP($C78,$D$3:$D$40,L$3:L$40)*$BD78,0)</f>
        <v/>
      </c>
      <c r="M78" s="235">
        <f>IFERROR(_xlfn.XLOOKUP($C78,$D$3:$D$40,M$3:M$40)*$BD78,0)</f>
        <v/>
      </c>
      <c r="N78" s="235">
        <f>IFERROR(_xlfn.XLOOKUP($C78,$D$3:$D$40,N$3:N$40)*$BD78,0)</f>
        <v/>
      </c>
      <c r="O78" s="235">
        <f>IFERROR(_xlfn.XLOOKUP($C78,$D$3:$D$40,O$3:O$40)*$BD78,0)</f>
        <v/>
      </c>
      <c r="P78" s="235">
        <f>IFERROR(_xlfn.XLOOKUP($C78,$D$3:$D$40,P$3:P$40)*$BD78,0)</f>
        <v/>
      </c>
      <c r="Q78" s="235">
        <f>IFERROR(_xlfn.XLOOKUP($C78,$D$3:$D$40,Q$3:Q$40)*$BD78,0)</f>
        <v/>
      </c>
      <c r="R78" s="235">
        <f>IFERROR(_xlfn.XLOOKUP($C78,$D$3:$D$40,R$3:R$40)*$BD78,0)</f>
        <v/>
      </c>
      <c r="S78" s="235">
        <f>IFERROR(_xlfn.XLOOKUP($C78,$D$3:$D$40,S$3:S$40)*$BD78,0)</f>
        <v/>
      </c>
      <c r="T78" s="235">
        <f>IFERROR(_xlfn.XLOOKUP($C78,$D$3:$D$40,T$3:T$40)*$BD78,0)</f>
        <v/>
      </c>
      <c r="U78" s="235">
        <f>IFERROR(_xlfn.XLOOKUP($C78,$D$3:$D$40,U$3:U$40)*$BD78,0)</f>
        <v/>
      </c>
      <c r="V78" s="235">
        <f>IFERROR(_xlfn.XLOOKUP($C78,$D$3:$D$40,V$3:V$40)*$BD78,0)</f>
        <v/>
      </c>
      <c r="W78" s="235">
        <f>IFERROR(_xlfn.XLOOKUP($C78,$D$3:$D$40,W$3:W$40)*$BD78,0)</f>
        <v/>
      </c>
      <c r="X78" s="235">
        <f>IFERROR(_xlfn.XLOOKUP($C78,$D$3:$D$40,X$3:X$40)*$BD78,0)</f>
        <v/>
      </c>
      <c r="Y78" s="235">
        <f>IFERROR(_xlfn.XLOOKUP($C78,$D$3:$D$40,Y$3:Y$40)*$BD78,0)</f>
        <v/>
      </c>
      <c r="Z78" s="235">
        <f>IFERROR(_xlfn.XLOOKUP($C78,$D$3:$D$40,Z$3:Z$40)*$BD78,0)</f>
        <v/>
      </c>
      <c r="AA78" s="235">
        <f>IFERROR(_xlfn.XLOOKUP($C78,$D$3:$D$40,AA$3:AA$40)*$BD78,0)</f>
        <v/>
      </c>
      <c r="AB78" s="235">
        <f>IFERROR(_xlfn.XLOOKUP($C78,$D$3:$D$40,AB$3:AB$40)*$BD78,0)</f>
        <v/>
      </c>
      <c r="AC78" s="235">
        <f>IFERROR(_xlfn.XLOOKUP($C78,$D$3:$D$40,AC$3:AC$40)*$BD78,0)</f>
        <v/>
      </c>
      <c r="AD78" s="235">
        <f>IFERROR(_xlfn.XLOOKUP($C78,$D$3:$D$40,AD$3:AD$40)*$BD78,0)</f>
        <v/>
      </c>
      <c r="AE78" s="235">
        <f>IFERROR(_xlfn.XLOOKUP($C78,$D$3:$D$40,AE$3:AE$40)*$BD78,0)</f>
        <v/>
      </c>
      <c r="AF78" s="235">
        <f>IFERROR(_xlfn.XLOOKUP($C78,$D$3:$D$40,AF$3:AF$40)*$BD78,0)</f>
        <v/>
      </c>
      <c r="AG78" s="235">
        <f>IFERROR(_xlfn.XLOOKUP($C78,$D$3:$D$40,AG$3:AG$40)*$BD78,0)</f>
        <v/>
      </c>
      <c r="AH78" s="235">
        <f>IFERROR(_xlfn.XLOOKUP($C78,$D$3:$D$40,AH$3:AH$40)*$BD78,0)</f>
        <v/>
      </c>
      <c r="AI78" s="235">
        <f>IFERROR(_xlfn.XLOOKUP($C78,$D$3:$D$40,AI$3:AI$40)*$BD78,0)</f>
        <v/>
      </c>
      <c r="AJ78" s="235">
        <f>IFERROR(_xlfn.XLOOKUP($C78,$D$3:$D$40,AJ$3:AJ$40)*$BD78,0)</f>
        <v/>
      </c>
      <c r="AK78" s="235">
        <f>IFERROR(_xlfn.XLOOKUP($C78,$D$3:$D$40,AK$3:AK$40)*$BD78,0)</f>
        <v/>
      </c>
      <c r="AL78" s="235">
        <f>IFERROR(_xlfn.XLOOKUP($C78,$D$3:$D$40,AL$3:AL$40)*$BD78,0)</f>
        <v/>
      </c>
      <c r="AM78" s="235">
        <f>IFERROR(_xlfn.XLOOKUP($C78,$D$3:$D$40,AM$3:AM$40)*$BD78,0)</f>
        <v/>
      </c>
      <c r="AN78" s="235">
        <f>IFERROR(_xlfn.XLOOKUP($C78,$D$3:$D$40,AN$3:AN$40)*$BD78,0)</f>
        <v/>
      </c>
      <c r="AO78" s="235">
        <f>IFERROR(_xlfn.XLOOKUP($C78,$D$3:$D$40,AO$3:AO$40)*$BD78,0)</f>
        <v/>
      </c>
      <c r="AP78" s="235">
        <f>IFERROR(_xlfn.XLOOKUP($C78,$D$3:$D$40,AP$3:AP$40)*$BD78,0)</f>
        <v/>
      </c>
      <c r="AQ78" s="235">
        <f>IFERROR(_xlfn.XLOOKUP($C78,$D$3:$D$40,AQ$3:AQ$40)*$BD78,0)</f>
        <v/>
      </c>
      <c r="AR78" s="235">
        <f>IFERROR(_xlfn.XLOOKUP($C78,$D$3:$D$40,AR$3:AR$40)*$BD78,0)</f>
        <v/>
      </c>
      <c r="AS78" s="235">
        <f>IFERROR(_xlfn.XLOOKUP($C78,$D$3:$D$40,AS$3:AS$40)*$BD78,0)</f>
        <v/>
      </c>
      <c r="AT78" s="235">
        <f>IFERROR(_xlfn.XLOOKUP($C78,$D$3:$D$40,AT$3:AT$40)*$BD78,0)</f>
        <v/>
      </c>
      <c r="AU78" s="235">
        <f>IFERROR(_xlfn.XLOOKUP($C78,$D$3:$D$40,AU$3:AU$40)*$BD78,0)</f>
        <v/>
      </c>
      <c r="AV78" s="235">
        <f>IFERROR(_xlfn.XLOOKUP($C78,$D$3:$D$40,AV$3:AV$40)*$BD78,0)</f>
        <v/>
      </c>
      <c r="AW78" s="235">
        <f>IFERROR(_xlfn.XLOOKUP($C78,$D$3:$D$40,AW$3:AW$40)*$BD78,0)</f>
        <v/>
      </c>
      <c r="AX78" s="235">
        <f>IFERROR(_xlfn.XLOOKUP($C78,$D$3:$D$40,AX$3:AX$40)*$BD78,0)</f>
        <v/>
      </c>
      <c r="AY78" s="235">
        <f>IFERROR(_xlfn.XLOOKUP($C78,$D$3:$D$40,AY$3:AY$40)*$BD78,0)</f>
        <v/>
      </c>
      <c r="AZ78" s="235">
        <f>IFERROR(_xlfn.XLOOKUP($C78,$D$3:$D$40,AZ$3:AZ$40)*$BD78,0)</f>
        <v/>
      </c>
      <c r="BA78" s="235">
        <f>IFERROR(_xlfn.XLOOKUP($C78,$D$3:$D$40,BA$3:BA$40)*$BD78,0)</f>
        <v/>
      </c>
      <c r="BB78" s="235">
        <f>IFERROR(_xlfn.XLOOKUP($C78,$D$3:$D$40,BB$3:BB$40)*$BD78,0)</f>
        <v/>
      </c>
      <c r="BC78" s="228">
        <f>IFERROR(_xlfn.XLOOKUP(D78,'2C 均值'!$A:$A,'2C 均值'!$E:$E),0)</f>
        <v/>
      </c>
      <c r="BD78" s="228">
        <f t="array" ref="BD78">IF(OR($D78=0,$D78=""),"",_xlfn.LET(
        _xlpm.channel,$D78,
        _xlpm.factorName,$C78,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9" ht="15.75" customHeight="1" s="179">
      <c r="C79" s="84">
        <f>IF(OR($D79=0,$D79=""),"",_xlfn.LET(
    _xlpm.channel,$D79,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9" s="119">
        <f>'2B RotationRule'!C24</f>
        <v/>
      </c>
      <c r="E79" s="227">
        <f>IFERROR(_xlfn.XLOOKUP($C79,$D$3:$D$40,E$3:E$40)*$BD79,0)</f>
        <v/>
      </c>
      <c r="F79" s="227">
        <f>IFERROR(_xlfn.XLOOKUP($C79,$D$3:$D$40,F$3:F$40)*$BD79,0)</f>
        <v/>
      </c>
      <c r="G79" s="227">
        <f>IFERROR(_xlfn.XLOOKUP($C79,$D$3:$D$40,G$3:G$40)*$BD79,0)</f>
        <v/>
      </c>
      <c r="H79" s="235">
        <f>IFERROR(_xlfn.XLOOKUP($C79,$D$3:$D$40,H$3:H$40)*$BD79,0)</f>
        <v/>
      </c>
      <c r="I79" s="235">
        <f>IFERROR(_xlfn.XLOOKUP($C79,$D$3:$D$40,I$3:I$40)*$BD79,0)</f>
        <v/>
      </c>
      <c r="J79" s="235">
        <f>IFERROR(_xlfn.XLOOKUP($C79,$D$3:$D$40,J$3:J$40)*$BD79,0)</f>
        <v/>
      </c>
      <c r="K79" s="235">
        <f>IFERROR(_xlfn.XLOOKUP($C79,$D$3:$D$40,K$3:K$40)*$BD79,0)</f>
        <v/>
      </c>
      <c r="L79" s="235">
        <f>IFERROR(_xlfn.XLOOKUP($C79,$D$3:$D$40,L$3:L$40)*$BD79,0)</f>
        <v/>
      </c>
      <c r="M79" s="235">
        <f>IFERROR(_xlfn.XLOOKUP($C79,$D$3:$D$40,M$3:M$40)*$BD79,0)</f>
        <v/>
      </c>
      <c r="N79" s="235">
        <f>IFERROR(_xlfn.XLOOKUP($C79,$D$3:$D$40,N$3:N$40)*$BD79,0)</f>
        <v/>
      </c>
      <c r="O79" s="235">
        <f>IFERROR(_xlfn.XLOOKUP($C79,$D$3:$D$40,O$3:O$40)*$BD79,0)</f>
        <v/>
      </c>
      <c r="P79" s="235">
        <f>IFERROR(_xlfn.XLOOKUP($C79,$D$3:$D$40,P$3:P$40)*$BD79,0)</f>
        <v/>
      </c>
      <c r="Q79" s="235">
        <f>IFERROR(_xlfn.XLOOKUP($C79,$D$3:$D$40,Q$3:Q$40)*$BD79,0)</f>
        <v/>
      </c>
      <c r="R79" s="235">
        <f>IFERROR(_xlfn.XLOOKUP($C79,$D$3:$D$40,R$3:R$40)*$BD79,0)</f>
        <v/>
      </c>
      <c r="S79" s="235">
        <f>IFERROR(_xlfn.XLOOKUP($C79,$D$3:$D$40,S$3:S$40)*$BD79,0)</f>
        <v/>
      </c>
      <c r="T79" s="235">
        <f>IFERROR(_xlfn.XLOOKUP($C79,$D$3:$D$40,T$3:T$40)*$BD79,0)</f>
        <v/>
      </c>
      <c r="U79" s="235">
        <f>IFERROR(_xlfn.XLOOKUP($C79,$D$3:$D$40,U$3:U$40)*$BD79,0)</f>
        <v/>
      </c>
      <c r="V79" s="235">
        <f>IFERROR(_xlfn.XLOOKUP($C79,$D$3:$D$40,V$3:V$40)*$BD79,0)</f>
        <v/>
      </c>
      <c r="W79" s="235">
        <f>IFERROR(_xlfn.XLOOKUP($C79,$D$3:$D$40,W$3:W$40)*$BD79,0)</f>
        <v/>
      </c>
      <c r="X79" s="235">
        <f>IFERROR(_xlfn.XLOOKUP($C79,$D$3:$D$40,X$3:X$40)*$BD79,0)</f>
        <v/>
      </c>
      <c r="Y79" s="235">
        <f>IFERROR(_xlfn.XLOOKUP($C79,$D$3:$D$40,Y$3:Y$40)*$BD79,0)</f>
        <v/>
      </c>
      <c r="Z79" s="235">
        <f>IFERROR(_xlfn.XLOOKUP($C79,$D$3:$D$40,Z$3:Z$40)*$BD79,0)</f>
        <v/>
      </c>
      <c r="AA79" s="235">
        <f>IFERROR(_xlfn.XLOOKUP($C79,$D$3:$D$40,AA$3:AA$40)*$BD79,0)</f>
        <v/>
      </c>
      <c r="AB79" s="235">
        <f>IFERROR(_xlfn.XLOOKUP($C79,$D$3:$D$40,AB$3:AB$40)*$BD79,0)</f>
        <v/>
      </c>
      <c r="AC79" s="235">
        <f>IFERROR(_xlfn.XLOOKUP($C79,$D$3:$D$40,AC$3:AC$40)*$BD79,0)</f>
        <v/>
      </c>
      <c r="AD79" s="235">
        <f>IFERROR(_xlfn.XLOOKUP($C79,$D$3:$D$40,AD$3:AD$40)*$BD79,0)</f>
        <v/>
      </c>
      <c r="AE79" s="235">
        <f>IFERROR(_xlfn.XLOOKUP($C79,$D$3:$D$40,AE$3:AE$40)*$BD79,0)</f>
        <v/>
      </c>
      <c r="AF79" s="235">
        <f>IFERROR(_xlfn.XLOOKUP($C79,$D$3:$D$40,AF$3:AF$40)*$BD79,0)</f>
        <v/>
      </c>
      <c r="AG79" s="235">
        <f>IFERROR(_xlfn.XLOOKUP($C79,$D$3:$D$40,AG$3:AG$40)*$BD79,0)</f>
        <v/>
      </c>
      <c r="AH79" s="235">
        <f>IFERROR(_xlfn.XLOOKUP($C79,$D$3:$D$40,AH$3:AH$40)*$BD79,0)</f>
        <v/>
      </c>
      <c r="AI79" s="235">
        <f>IFERROR(_xlfn.XLOOKUP($C79,$D$3:$D$40,AI$3:AI$40)*$BD79,0)</f>
        <v/>
      </c>
      <c r="AJ79" s="235">
        <f>IFERROR(_xlfn.XLOOKUP($C79,$D$3:$D$40,AJ$3:AJ$40)*$BD79,0)</f>
        <v/>
      </c>
      <c r="AK79" s="235">
        <f>IFERROR(_xlfn.XLOOKUP($C79,$D$3:$D$40,AK$3:AK$40)*$BD79,0)</f>
        <v/>
      </c>
      <c r="AL79" s="235">
        <f>IFERROR(_xlfn.XLOOKUP($C79,$D$3:$D$40,AL$3:AL$40)*$BD79,0)</f>
        <v/>
      </c>
      <c r="AM79" s="235">
        <f>IFERROR(_xlfn.XLOOKUP($C79,$D$3:$D$40,AM$3:AM$40)*$BD79,0)</f>
        <v/>
      </c>
      <c r="AN79" s="235">
        <f>IFERROR(_xlfn.XLOOKUP($C79,$D$3:$D$40,AN$3:AN$40)*$BD79,0)</f>
        <v/>
      </c>
      <c r="AO79" s="235">
        <f>IFERROR(_xlfn.XLOOKUP($C79,$D$3:$D$40,AO$3:AO$40)*$BD79,0)</f>
        <v/>
      </c>
      <c r="AP79" s="235">
        <f>IFERROR(_xlfn.XLOOKUP($C79,$D$3:$D$40,AP$3:AP$40)*$BD79,0)</f>
        <v/>
      </c>
      <c r="AQ79" s="235">
        <f>IFERROR(_xlfn.XLOOKUP($C79,$D$3:$D$40,AQ$3:AQ$40)*$BD79,0)</f>
        <v/>
      </c>
      <c r="AR79" s="235">
        <f>IFERROR(_xlfn.XLOOKUP($C79,$D$3:$D$40,AR$3:AR$40)*$BD79,0)</f>
        <v/>
      </c>
      <c r="AS79" s="235">
        <f>IFERROR(_xlfn.XLOOKUP($C79,$D$3:$D$40,AS$3:AS$40)*$BD79,0)</f>
        <v/>
      </c>
      <c r="AT79" s="235">
        <f>IFERROR(_xlfn.XLOOKUP($C79,$D$3:$D$40,AT$3:AT$40)*$BD79,0)</f>
        <v/>
      </c>
      <c r="AU79" s="235">
        <f>IFERROR(_xlfn.XLOOKUP($C79,$D$3:$D$40,AU$3:AU$40)*$BD79,0)</f>
        <v/>
      </c>
      <c r="AV79" s="235">
        <f>IFERROR(_xlfn.XLOOKUP($C79,$D$3:$D$40,AV$3:AV$40)*$BD79,0)</f>
        <v/>
      </c>
      <c r="AW79" s="235">
        <f>IFERROR(_xlfn.XLOOKUP($C79,$D$3:$D$40,AW$3:AW$40)*$BD79,0)</f>
        <v/>
      </c>
      <c r="AX79" s="235">
        <f>IFERROR(_xlfn.XLOOKUP($C79,$D$3:$D$40,AX$3:AX$40)*$BD79,0)</f>
        <v/>
      </c>
      <c r="AY79" s="235">
        <f>IFERROR(_xlfn.XLOOKUP($C79,$D$3:$D$40,AY$3:AY$40)*$BD79,0)</f>
        <v/>
      </c>
      <c r="AZ79" s="235">
        <f>IFERROR(_xlfn.XLOOKUP($C79,$D$3:$D$40,AZ$3:AZ$40)*$BD79,0)</f>
        <v/>
      </c>
      <c r="BA79" s="235">
        <f>IFERROR(_xlfn.XLOOKUP($C79,$D$3:$D$40,BA$3:BA$40)*$BD79,0)</f>
        <v/>
      </c>
      <c r="BB79" s="235">
        <f>IFERROR(_xlfn.XLOOKUP($C79,$D$3:$D$40,BB$3:BB$40)*$BD79,0)</f>
        <v/>
      </c>
      <c r="BC79" s="228">
        <f>IFERROR(_xlfn.XLOOKUP(D79,'2C 均值'!$A:$A,'2C 均值'!$E:$E),0)</f>
        <v/>
      </c>
      <c r="BD79" s="228">
        <f t="array" ref="BD79">IF(OR($D79=0,$D79=""),"",_xlfn.LET(
        _xlpm.channel,$D79,
        _xlpm.factorName,$C79,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0" ht="15.75" customHeight="1" s="179">
      <c r="C80" s="84">
        <f>IF(OR($D80=0,$D80=""),"",_xlfn.LET(
    _xlpm.channel,$D80,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0" s="119">
        <f>'2B RotationRule'!C25</f>
        <v/>
      </c>
      <c r="E80" s="227">
        <f>IFERROR(_xlfn.XLOOKUP($C80,$D$3:$D$40,E$3:E$40)*$BD80,0)</f>
        <v/>
      </c>
      <c r="F80" s="227">
        <f>IFERROR(_xlfn.XLOOKUP($C80,$D$3:$D$40,F$3:F$40)*$BD80,0)</f>
        <v/>
      </c>
      <c r="G80" s="227">
        <f>IFERROR(_xlfn.XLOOKUP($C80,$D$3:$D$40,G$3:G$40)*$BD80,0)</f>
        <v/>
      </c>
      <c r="H80" s="235">
        <f>IFERROR(_xlfn.XLOOKUP($C80,$D$3:$D$40,H$3:H$40)*$BD80,0)</f>
        <v/>
      </c>
      <c r="I80" s="235">
        <f>IFERROR(_xlfn.XLOOKUP($C80,$D$3:$D$40,I$3:I$40)*$BD80,0)</f>
        <v/>
      </c>
      <c r="J80" s="235">
        <f>IFERROR(_xlfn.XLOOKUP($C80,$D$3:$D$40,J$3:J$40)*$BD80,0)</f>
        <v/>
      </c>
      <c r="K80" s="235">
        <f>IFERROR(_xlfn.XLOOKUP($C80,$D$3:$D$40,K$3:K$40)*$BD80,0)</f>
        <v/>
      </c>
      <c r="L80" s="235">
        <f>IFERROR(_xlfn.XLOOKUP($C80,$D$3:$D$40,L$3:L$40)*$BD80,0)</f>
        <v/>
      </c>
      <c r="M80" s="235">
        <f>IFERROR(_xlfn.XLOOKUP($C80,$D$3:$D$40,M$3:M$40)*$BD80,0)</f>
        <v/>
      </c>
      <c r="N80" s="235">
        <f>IFERROR(_xlfn.XLOOKUP($C80,$D$3:$D$40,N$3:N$40)*$BD80,0)</f>
        <v/>
      </c>
      <c r="O80" s="235">
        <f>IFERROR(_xlfn.XLOOKUP($C80,$D$3:$D$40,O$3:O$40)*$BD80,0)</f>
        <v/>
      </c>
      <c r="P80" s="235">
        <f>IFERROR(_xlfn.XLOOKUP($C80,$D$3:$D$40,P$3:P$40)*$BD80,0)</f>
        <v/>
      </c>
      <c r="Q80" s="235">
        <f>IFERROR(_xlfn.XLOOKUP($C80,$D$3:$D$40,Q$3:Q$40)*$BD80,0)</f>
        <v/>
      </c>
      <c r="R80" s="235">
        <f>IFERROR(_xlfn.XLOOKUP($C80,$D$3:$D$40,R$3:R$40)*$BD80,0)</f>
        <v/>
      </c>
      <c r="S80" s="235">
        <f>IFERROR(_xlfn.XLOOKUP($C80,$D$3:$D$40,S$3:S$40)*$BD80,0)</f>
        <v/>
      </c>
      <c r="T80" s="235">
        <f>IFERROR(_xlfn.XLOOKUP($C80,$D$3:$D$40,T$3:T$40)*$BD80,0)</f>
        <v/>
      </c>
      <c r="U80" s="235">
        <f>IFERROR(_xlfn.XLOOKUP($C80,$D$3:$D$40,U$3:U$40)*$BD80,0)</f>
        <v/>
      </c>
      <c r="V80" s="235">
        <f>IFERROR(_xlfn.XLOOKUP($C80,$D$3:$D$40,V$3:V$40)*$BD80,0)</f>
        <v/>
      </c>
      <c r="W80" s="235">
        <f>IFERROR(_xlfn.XLOOKUP($C80,$D$3:$D$40,W$3:W$40)*$BD80,0)</f>
        <v/>
      </c>
      <c r="X80" s="235">
        <f>IFERROR(_xlfn.XLOOKUP($C80,$D$3:$D$40,X$3:X$40)*$BD80,0)</f>
        <v/>
      </c>
      <c r="Y80" s="235">
        <f>IFERROR(_xlfn.XLOOKUP($C80,$D$3:$D$40,Y$3:Y$40)*$BD80,0)</f>
        <v/>
      </c>
      <c r="Z80" s="235">
        <f>IFERROR(_xlfn.XLOOKUP($C80,$D$3:$D$40,Z$3:Z$40)*$BD80,0)</f>
        <v/>
      </c>
      <c r="AA80" s="235">
        <f>IFERROR(_xlfn.XLOOKUP($C80,$D$3:$D$40,AA$3:AA$40)*$BD80,0)</f>
        <v/>
      </c>
      <c r="AB80" s="235">
        <f>IFERROR(_xlfn.XLOOKUP($C80,$D$3:$D$40,AB$3:AB$40)*$BD80,0)</f>
        <v/>
      </c>
      <c r="AC80" s="235">
        <f>IFERROR(_xlfn.XLOOKUP($C80,$D$3:$D$40,AC$3:AC$40)*$BD80,0)</f>
        <v/>
      </c>
      <c r="AD80" s="235">
        <f>IFERROR(_xlfn.XLOOKUP($C80,$D$3:$D$40,AD$3:AD$40)*$BD80,0)</f>
        <v/>
      </c>
      <c r="AE80" s="235">
        <f>IFERROR(_xlfn.XLOOKUP($C80,$D$3:$D$40,AE$3:AE$40)*$BD80,0)</f>
        <v/>
      </c>
      <c r="AF80" s="235">
        <f>IFERROR(_xlfn.XLOOKUP($C80,$D$3:$D$40,AF$3:AF$40)*$BD80,0)</f>
        <v/>
      </c>
      <c r="AG80" s="235">
        <f>IFERROR(_xlfn.XLOOKUP($C80,$D$3:$D$40,AG$3:AG$40)*$BD80,0)</f>
        <v/>
      </c>
      <c r="AH80" s="235">
        <f>IFERROR(_xlfn.XLOOKUP($C80,$D$3:$D$40,AH$3:AH$40)*$BD80,0)</f>
        <v/>
      </c>
      <c r="AI80" s="235">
        <f>IFERROR(_xlfn.XLOOKUP($C80,$D$3:$D$40,AI$3:AI$40)*$BD80,0)</f>
        <v/>
      </c>
      <c r="AJ80" s="235">
        <f>IFERROR(_xlfn.XLOOKUP($C80,$D$3:$D$40,AJ$3:AJ$40)*$BD80,0)</f>
        <v/>
      </c>
      <c r="AK80" s="235">
        <f>IFERROR(_xlfn.XLOOKUP($C80,$D$3:$D$40,AK$3:AK$40)*$BD80,0)</f>
        <v/>
      </c>
      <c r="AL80" s="235">
        <f>IFERROR(_xlfn.XLOOKUP($C80,$D$3:$D$40,AL$3:AL$40)*$BD80,0)</f>
        <v/>
      </c>
      <c r="AM80" s="235">
        <f>IFERROR(_xlfn.XLOOKUP($C80,$D$3:$D$40,AM$3:AM$40)*$BD80,0)</f>
        <v/>
      </c>
      <c r="AN80" s="235">
        <f>IFERROR(_xlfn.XLOOKUP($C80,$D$3:$D$40,AN$3:AN$40)*$BD80,0)</f>
        <v/>
      </c>
      <c r="AO80" s="235">
        <f>IFERROR(_xlfn.XLOOKUP($C80,$D$3:$D$40,AO$3:AO$40)*$BD80,0)</f>
        <v/>
      </c>
      <c r="AP80" s="235">
        <f>IFERROR(_xlfn.XLOOKUP($C80,$D$3:$D$40,AP$3:AP$40)*$BD80,0)</f>
        <v/>
      </c>
      <c r="AQ80" s="235">
        <f>IFERROR(_xlfn.XLOOKUP($C80,$D$3:$D$40,AQ$3:AQ$40)*$BD80,0)</f>
        <v/>
      </c>
      <c r="AR80" s="235">
        <f>IFERROR(_xlfn.XLOOKUP($C80,$D$3:$D$40,AR$3:AR$40)*$BD80,0)</f>
        <v/>
      </c>
      <c r="AS80" s="235">
        <f>IFERROR(_xlfn.XLOOKUP($C80,$D$3:$D$40,AS$3:AS$40)*$BD80,0)</f>
        <v/>
      </c>
      <c r="AT80" s="235">
        <f>IFERROR(_xlfn.XLOOKUP($C80,$D$3:$D$40,AT$3:AT$40)*$BD80,0)</f>
        <v/>
      </c>
      <c r="AU80" s="235">
        <f>IFERROR(_xlfn.XLOOKUP($C80,$D$3:$D$40,AU$3:AU$40)*$BD80,0)</f>
        <v/>
      </c>
      <c r="AV80" s="235">
        <f>IFERROR(_xlfn.XLOOKUP($C80,$D$3:$D$40,AV$3:AV$40)*$BD80,0)</f>
        <v/>
      </c>
      <c r="AW80" s="235">
        <f>IFERROR(_xlfn.XLOOKUP($C80,$D$3:$D$40,AW$3:AW$40)*$BD80,0)</f>
        <v/>
      </c>
      <c r="AX80" s="235">
        <f>IFERROR(_xlfn.XLOOKUP($C80,$D$3:$D$40,AX$3:AX$40)*$BD80,0)</f>
        <v/>
      </c>
      <c r="AY80" s="235">
        <f>IFERROR(_xlfn.XLOOKUP($C80,$D$3:$D$40,AY$3:AY$40)*$BD80,0)</f>
        <v/>
      </c>
      <c r="AZ80" s="235">
        <f>IFERROR(_xlfn.XLOOKUP($C80,$D$3:$D$40,AZ$3:AZ$40)*$BD80,0)</f>
        <v/>
      </c>
      <c r="BA80" s="235">
        <f>IFERROR(_xlfn.XLOOKUP($C80,$D$3:$D$40,BA$3:BA$40)*$BD80,0)</f>
        <v/>
      </c>
      <c r="BB80" s="235">
        <f>IFERROR(_xlfn.XLOOKUP($C80,$D$3:$D$40,BB$3:BB$40)*$BD80,0)</f>
        <v/>
      </c>
      <c r="BC80" s="228">
        <f>IFERROR(_xlfn.XLOOKUP(D80,'2C 均值'!$A:$A,'2C 均值'!$E:$E),0)</f>
        <v/>
      </c>
      <c r="BD80" s="228">
        <f t="array" ref="BD80">IF(OR($D80=0,$D80=""),"",_xlfn.LET(
        _xlpm.channel,$D80,
        _xlpm.factorName,$C80,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1" ht="15.75" customHeight="1" s="179">
      <c r="C81" s="84">
        <f>IF(OR($D81=0,$D81=""),"",_xlfn.LET(
    _xlpm.channel,$D81,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1" s="119">
        <f>'2B RotationRule'!C26</f>
        <v/>
      </c>
      <c r="E81" s="227">
        <f>IFERROR(_xlfn.XLOOKUP($C81,$D$3:$D$40,E$3:E$40)*$BD81,0)</f>
        <v/>
      </c>
      <c r="F81" s="227">
        <f>IFERROR(_xlfn.XLOOKUP($C81,$D$3:$D$40,F$3:F$40)*$BD81,0)</f>
        <v/>
      </c>
      <c r="G81" s="227">
        <f>IFERROR(_xlfn.XLOOKUP($C81,$D$3:$D$40,G$3:G$40)*$BD81,0)</f>
        <v/>
      </c>
      <c r="H81" s="235">
        <f>IFERROR(_xlfn.XLOOKUP($C81,$D$3:$D$40,H$3:H$40)*$BD81,0)</f>
        <v/>
      </c>
      <c r="I81" s="235">
        <f>IFERROR(_xlfn.XLOOKUP($C81,$D$3:$D$40,I$3:I$40)*$BD81,0)</f>
        <v/>
      </c>
      <c r="J81" s="235">
        <f>IFERROR(_xlfn.XLOOKUP($C81,$D$3:$D$40,J$3:J$40)*$BD81,0)</f>
        <v/>
      </c>
      <c r="K81" s="235">
        <f>IFERROR(_xlfn.XLOOKUP($C81,$D$3:$D$40,K$3:K$40)*$BD81,0)</f>
        <v/>
      </c>
      <c r="L81" s="235">
        <f>IFERROR(_xlfn.XLOOKUP($C81,$D$3:$D$40,L$3:L$40)*$BD81,0)</f>
        <v/>
      </c>
      <c r="M81" s="235">
        <f>IFERROR(_xlfn.XLOOKUP($C81,$D$3:$D$40,M$3:M$40)*$BD81,0)</f>
        <v/>
      </c>
      <c r="N81" s="235">
        <f>IFERROR(_xlfn.XLOOKUP($C81,$D$3:$D$40,N$3:N$40)*$BD81,0)</f>
        <v/>
      </c>
      <c r="O81" s="235">
        <f>IFERROR(_xlfn.XLOOKUP($C81,$D$3:$D$40,O$3:O$40)*$BD81,0)</f>
        <v/>
      </c>
      <c r="P81" s="235">
        <f>IFERROR(_xlfn.XLOOKUP($C81,$D$3:$D$40,P$3:P$40)*$BD81,0)</f>
        <v/>
      </c>
      <c r="Q81" s="235">
        <f>IFERROR(_xlfn.XLOOKUP($C81,$D$3:$D$40,Q$3:Q$40)*$BD81,0)</f>
        <v/>
      </c>
      <c r="R81" s="235">
        <f>IFERROR(_xlfn.XLOOKUP($C81,$D$3:$D$40,R$3:R$40)*$BD81,0)</f>
        <v/>
      </c>
      <c r="S81" s="235">
        <f>IFERROR(_xlfn.XLOOKUP($C81,$D$3:$D$40,S$3:S$40)*$BD81,0)</f>
        <v/>
      </c>
      <c r="T81" s="235">
        <f>IFERROR(_xlfn.XLOOKUP($C81,$D$3:$D$40,T$3:T$40)*$BD81,0)</f>
        <v/>
      </c>
      <c r="U81" s="235">
        <f>IFERROR(_xlfn.XLOOKUP($C81,$D$3:$D$40,U$3:U$40)*$BD81,0)</f>
        <v/>
      </c>
      <c r="V81" s="235">
        <f>IFERROR(_xlfn.XLOOKUP($C81,$D$3:$D$40,V$3:V$40)*$BD81,0)</f>
        <v/>
      </c>
      <c r="W81" s="235">
        <f>IFERROR(_xlfn.XLOOKUP($C81,$D$3:$D$40,W$3:W$40)*$BD81,0)</f>
        <v/>
      </c>
      <c r="X81" s="235">
        <f>IFERROR(_xlfn.XLOOKUP($C81,$D$3:$D$40,X$3:X$40)*$BD81,0)</f>
        <v/>
      </c>
      <c r="Y81" s="235">
        <f>IFERROR(_xlfn.XLOOKUP($C81,$D$3:$D$40,Y$3:Y$40)*$BD81,0)</f>
        <v/>
      </c>
      <c r="Z81" s="235">
        <f>IFERROR(_xlfn.XLOOKUP($C81,$D$3:$D$40,Z$3:Z$40)*$BD81,0)</f>
        <v/>
      </c>
      <c r="AA81" s="235">
        <f>IFERROR(_xlfn.XLOOKUP($C81,$D$3:$D$40,AA$3:AA$40)*$BD81,0)</f>
        <v/>
      </c>
      <c r="AB81" s="235">
        <f>IFERROR(_xlfn.XLOOKUP($C81,$D$3:$D$40,AB$3:AB$40)*$BD81,0)</f>
        <v/>
      </c>
      <c r="AC81" s="235">
        <f>IFERROR(_xlfn.XLOOKUP($C81,$D$3:$D$40,AC$3:AC$40)*$BD81,0)</f>
        <v/>
      </c>
      <c r="AD81" s="235">
        <f>IFERROR(_xlfn.XLOOKUP($C81,$D$3:$D$40,AD$3:AD$40)*$BD81,0)</f>
        <v/>
      </c>
      <c r="AE81" s="235">
        <f>IFERROR(_xlfn.XLOOKUP($C81,$D$3:$D$40,AE$3:AE$40)*$BD81,0)</f>
        <v/>
      </c>
      <c r="AF81" s="235">
        <f>IFERROR(_xlfn.XLOOKUP($C81,$D$3:$D$40,AF$3:AF$40)*$BD81,0)</f>
        <v/>
      </c>
      <c r="AG81" s="235">
        <f>IFERROR(_xlfn.XLOOKUP($C81,$D$3:$D$40,AG$3:AG$40)*$BD81,0)</f>
        <v/>
      </c>
      <c r="AH81" s="235">
        <f>IFERROR(_xlfn.XLOOKUP($C81,$D$3:$D$40,AH$3:AH$40)*$BD81,0)</f>
        <v/>
      </c>
      <c r="AI81" s="235">
        <f>IFERROR(_xlfn.XLOOKUP($C81,$D$3:$D$40,AI$3:AI$40)*$BD81,0)</f>
        <v/>
      </c>
      <c r="AJ81" s="235">
        <f>IFERROR(_xlfn.XLOOKUP($C81,$D$3:$D$40,AJ$3:AJ$40)*$BD81,0)</f>
        <v/>
      </c>
      <c r="AK81" s="235">
        <f>IFERROR(_xlfn.XLOOKUP($C81,$D$3:$D$40,AK$3:AK$40)*$BD81,0)</f>
        <v/>
      </c>
      <c r="AL81" s="235">
        <f>IFERROR(_xlfn.XLOOKUP($C81,$D$3:$D$40,AL$3:AL$40)*$BD81,0)</f>
        <v/>
      </c>
      <c r="AM81" s="235">
        <f>IFERROR(_xlfn.XLOOKUP($C81,$D$3:$D$40,AM$3:AM$40)*$BD81,0)</f>
        <v/>
      </c>
      <c r="AN81" s="235">
        <f>IFERROR(_xlfn.XLOOKUP($C81,$D$3:$D$40,AN$3:AN$40)*$BD81,0)</f>
        <v/>
      </c>
      <c r="AO81" s="235">
        <f>IFERROR(_xlfn.XLOOKUP($C81,$D$3:$D$40,AO$3:AO$40)*$BD81,0)</f>
        <v/>
      </c>
      <c r="AP81" s="235">
        <f>IFERROR(_xlfn.XLOOKUP($C81,$D$3:$D$40,AP$3:AP$40)*$BD81,0)</f>
        <v/>
      </c>
      <c r="AQ81" s="235">
        <f>IFERROR(_xlfn.XLOOKUP($C81,$D$3:$D$40,AQ$3:AQ$40)*$BD81,0)</f>
        <v/>
      </c>
      <c r="AR81" s="235">
        <f>IFERROR(_xlfn.XLOOKUP($C81,$D$3:$D$40,AR$3:AR$40)*$BD81,0)</f>
        <v/>
      </c>
      <c r="AS81" s="235">
        <f>IFERROR(_xlfn.XLOOKUP($C81,$D$3:$D$40,AS$3:AS$40)*$BD81,0)</f>
        <v/>
      </c>
      <c r="AT81" s="235">
        <f>IFERROR(_xlfn.XLOOKUP($C81,$D$3:$D$40,AT$3:AT$40)*$BD81,0)</f>
        <v/>
      </c>
      <c r="AU81" s="235">
        <f>IFERROR(_xlfn.XLOOKUP($C81,$D$3:$D$40,AU$3:AU$40)*$BD81,0)</f>
        <v/>
      </c>
      <c r="AV81" s="235">
        <f>IFERROR(_xlfn.XLOOKUP($C81,$D$3:$D$40,AV$3:AV$40)*$BD81,0)</f>
        <v/>
      </c>
      <c r="AW81" s="235">
        <f>IFERROR(_xlfn.XLOOKUP($C81,$D$3:$D$40,AW$3:AW$40)*$BD81,0)</f>
        <v/>
      </c>
      <c r="AX81" s="235">
        <f>IFERROR(_xlfn.XLOOKUP($C81,$D$3:$D$40,AX$3:AX$40)*$BD81,0)</f>
        <v/>
      </c>
      <c r="AY81" s="235">
        <f>IFERROR(_xlfn.XLOOKUP($C81,$D$3:$D$40,AY$3:AY$40)*$BD81,0)</f>
        <v/>
      </c>
      <c r="AZ81" s="235">
        <f>IFERROR(_xlfn.XLOOKUP($C81,$D$3:$D$40,AZ$3:AZ$40)*$BD81,0)</f>
        <v/>
      </c>
      <c r="BA81" s="235">
        <f>IFERROR(_xlfn.XLOOKUP($C81,$D$3:$D$40,BA$3:BA$40)*$BD81,0)</f>
        <v/>
      </c>
      <c r="BB81" s="235">
        <f>IFERROR(_xlfn.XLOOKUP($C81,$D$3:$D$40,BB$3:BB$40)*$BD81,0)</f>
        <v/>
      </c>
      <c r="BC81" s="228">
        <f>IFERROR(_xlfn.XLOOKUP(D81,'2C 均值'!$A:$A,'2C 均值'!$E:$E),0)</f>
        <v/>
      </c>
      <c r="BD81" s="228">
        <f t="array" ref="BD81">IF(OR($D81=0,$D81=""),"",_xlfn.LET(
        _xlpm.channel,$D81,
        _xlpm.factorName,$C81,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2" ht="15.75" customHeight="1" s="179">
      <c r="C82" s="84">
        <f>IF(OR($D82=0,$D82=""),"",_xlfn.LET(
    _xlpm.channel,$D82,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2" s="119">
        <f>'2B RotationRule'!C27</f>
        <v/>
      </c>
      <c r="E82" s="227">
        <f>IFERROR(_xlfn.XLOOKUP($C82,$D$3:$D$40,E$3:E$40)*$BD82,0)</f>
        <v/>
      </c>
      <c r="F82" s="227">
        <f>IFERROR(_xlfn.XLOOKUP($C82,$D$3:$D$40,F$3:F$40)*$BD82,0)</f>
        <v/>
      </c>
      <c r="G82" s="227">
        <f>IFERROR(_xlfn.XLOOKUP($C82,$D$3:$D$40,G$3:G$40)*$BD82,0)</f>
        <v/>
      </c>
      <c r="H82" s="235">
        <f>IFERROR(_xlfn.XLOOKUP($C82,$D$3:$D$40,H$3:H$40)*$BD82,0)</f>
        <v/>
      </c>
      <c r="I82" s="235">
        <f>IFERROR(_xlfn.XLOOKUP($C82,$D$3:$D$40,I$3:I$40)*$BD82,0)</f>
        <v/>
      </c>
      <c r="J82" s="235">
        <f>IFERROR(_xlfn.XLOOKUP($C82,$D$3:$D$40,J$3:J$40)*$BD82,0)</f>
        <v/>
      </c>
      <c r="K82" s="235">
        <f>IFERROR(_xlfn.XLOOKUP($C82,$D$3:$D$40,K$3:K$40)*$BD82,0)</f>
        <v/>
      </c>
      <c r="L82" s="235">
        <f>IFERROR(_xlfn.XLOOKUP($C82,$D$3:$D$40,L$3:L$40)*$BD82,0)</f>
        <v/>
      </c>
      <c r="M82" s="235">
        <f>IFERROR(_xlfn.XLOOKUP($C82,$D$3:$D$40,M$3:M$40)*$BD82,0)</f>
        <v/>
      </c>
      <c r="N82" s="235">
        <f>IFERROR(_xlfn.XLOOKUP($C82,$D$3:$D$40,N$3:N$40)*$BD82,0)</f>
        <v/>
      </c>
      <c r="O82" s="235">
        <f>IFERROR(_xlfn.XLOOKUP($C82,$D$3:$D$40,O$3:O$40)*$BD82,0)</f>
        <v/>
      </c>
      <c r="P82" s="235">
        <f>IFERROR(_xlfn.XLOOKUP($C82,$D$3:$D$40,P$3:P$40)*$BD82,0)</f>
        <v/>
      </c>
      <c r="Q82" s="235">
        <f>IFERROR(_xlfn.XLOOKUP($C82,$D$3:$D$40,Q$3:Q$40)*$BD82,0)</f>
        <v/>
      </c>
      <c r="R82" s="235">
        <f>IFERROR(_xlfn.XLOOKUP($C82,$D$3:$D$40,R$3:R$40)*$BD82,0)</f>
        <v/>
      </c>
      <c r="S82" s="235">
        <f>IFERROR(_xlfn.XLOOKUP($C82,$D$3:$D$40,S$3:S$40)*$BD82,0)</f>
        <v/>
      </c>
      <c r="T82" s="235">
        <f>IFERROR(_xlfn.XLOOKUP($C82,$D$3:$D$40,T$3:T$40)*$BD82,0)</f>
        <v/>
      </c>
      <c r="U82" s="235">
        <f>IFERROR(_xlfn.XLOOKUP($C82,$D$3:$D$40,U$3:U$40)*$BD82,0)</f>
        <v/>
      </c>
      <c r="V82" s="235">
        <f>IFERROR(_xlfn.XLOOKUP($C82,$D$3:$D$40,V$3:V$40)*$BD82,0)</f>
        <v/>
      </c>
      <c r="W82" s="235">
        <f>IFERROR(_xlfn.XLOOKUP($C82,$D$3:$D$40,W$3:W$40)*$BD82,0)</f>
        <v/>
      </c>
      <c r="X82" s="235">
        <f>IFERROR(_xlfn.XLOOKUP($C82,$D$3:$D$40,X$3:X$40)*$BD82,0)</f>
        <v/>
      </c>
      <c r="Y82" s="235">
        <f>IFERROR(_xlfn.XLOOKUP($C82,$D$3:$D$40,Y$3:Y$40)*$BD82,0)</f>
        <v/>
      </c>
      <c r="Z82" s="235">
        <f>IFERROR(_xlfn.XLOOKUP($C82,$D$3:$D$40,Z$3:Z$40)*$BD82,0)</f>
        <v/>
      </c>
      <c r="AA82" s="235">
        <f>IFERROR(_xlfn.XLOOKUP($C82,$D$3:$D$40,AA$3:AA$40)*$BD82,0)</f>
        <v/>
      </c>
      <c r="AB82" s="235">
        <f>IFERROR(_xlfn.XLOOKUP($C82,$D$3:$D$40,AB$3:AB$40)*$BD82,0)</f>
        <v/>
      </c>
      <c r="AC82" s="235">
        <f>IFERROR(_xlfn.XLOOKUP($C82,$D$3:$D$40,AC$3:AC$40)*$BD82,0)</f>
        <v/>
      </c>
      <c r="AD82" s="235">
        <f>IFERROR(_xlfn.XLOOKUP($C82,$D$3:$D$40,AD$3:AD$40)*$BD82,0)</f>
        <v/>
      </c>
      <c r="AE82" s="235">
        <f>IFERROR(_xlfn.XLOOKUP($C82,$D$3:$D$40,AE$3:AE$40)*$BD82,0)</f>
        <v/>
      </c>
      <c r="AF82" s="235">
        <f>IFERROR(_xlfn.XLOOKUP($C82,$D$3:$D$40,AF$3:AF$40)*$BD82,0)</f>
        <v/>
      </c>
      <c r="AG82" s="235">
        <f>IFERROR(_xlfn.XLOOKUP($C82,$D$3:$D$40,AG$3:AG$40)*$BD82,0)</f>
        <v/>
      </c>
      <c r="AH82" s="235">
        <f>IFERROR(_xlfn.XLOOKUP($C82,$D$3:$D$40,AH$3:AH$40)*$BD82,0)</f>
        <v/>
      </c>
      <c r="AI82" s="235">
        <f>IFERROR(_xlfn.XLOOKUP($C82,$D$3:$D$40,AI$3:AI$40)*$BD82,0)</f>
        <v/>
      </c>
      <c r="AJ82" s="235">
        <f>IFERROR(_xlfn.XLOOKUP($C82,$D$3:$D$40,AJ$3:AJ$40)*$BD82,0)</f>
        <v/>
      </c>
      <c r="AK82" s="235">
        <f>IFERROR(_xlfn.XLOOKUP($C82,$D$3:$D$40,AK$3:AK$40)*$BD82,0)</f>
        <v/>
      </c>
      <c r="AL82" s="235">
        <f>IFERROR(_xlfn.XLOOKUP($C82,$D$3:$D$40,AL$3:AL$40)*$BD82,0)</f>
        <v/>
      </c>
      <c r="AM82" s="235">
        <f>IFERROR(_xlfn.XLOOKUP($C82,$D$3:$D$40,AM$3:AM$40)*$BD82,0)</f>
        <v/>
      </c>
      <c r="AN82" s="235">
        <f>IFERROR(_xlfn.XLOOKUP($C82,$D$3:$D$40,AN$3:AN$40)*$BD82,0)</f>
        <v/>
      </c>
      <c r="AO82" s="235">
        <f>IFERROR(_xlfn.XLOOKUP($C82,$D$3:$D$40,AO$3:AO$40)*$BD82,0)</f>
        <v/>
      </c>
      <c r="AP82" s="235">
        <f>IFERROR(_xlfn.XLOOKUP($C82,$D$3:$D$40,AP$3:AP$40)*$BD82,0)</f>
        <v/>
      </c>
      <c r="AQ82" s="235">
        <f>IFERROR(_xlfn.XLOOKUP($C82,$D$3:$D$40,AQ$3:AQ$40)*$BD82,0)</f>
        <v/>
      </c>
      <c r="AR82" s="235">
        <f>IFERROR(_xlfn.XLOOKUP($C82,$D$3:$D$40,AR$3:AR$40)*$BD82,0)</f>
        <v/>
      </c>
      <c r="AS82" s="235">
        <f>IFERROR(_xlfn.XLOOKUP($C82,$D$3:$D$40,AS$3:AS$40)*$BD82,0)</f>
        <v/>
      </c>
      <c r="AT82" s="235">
        <f>IFERROR(_xlfn.XLOOKUP($C82,$D$3:$D$40,AT$3:AT$40)*$BD82,0)</f>
        <v/>
      </c>
      <c r="AU82" s="235">
        <f>IFERROR(_xlfn.XLOOKUP($C82,$D$3:$D$40,AU$3:AU$40)*$BD82,0)</f>
        <v/>
      </c>
      <c r="AV82" s="235">
        <f>IFERROR(_xlfn.XLOOKUP($C82,$D$3:$D$40,AV$3:AV$40)*$BD82,0)</f>
        <v/>
      </c>
      <c r="AW82" s="235">
        <f>IFERROR(_xlfn.XLOOKUP($C82,$D$3:$D$40,AW$3:AW$40)*$BD82,0)</f>
        <v/>
      </c>
      <c r="AX82" s="235">
        <f>IFERROR(_xlfn.XLOOKUP($C82,$D$3:$D$40,AX$3:AX$40)*$BD82,0)</f>
        <v/>
      </c>
      <c r="AY82" s="235">
        <f>IFERROR(_xlfn.XLOOKUP($C82,$D$3:$D$40,AY$3:AY$40)*$BD82,0)</f>
        <v/>
      </c>
      <c r="AZ82" s="235">
        <f>IFERROR(_xlfn.XLOOKUP($C82,$D$3:$D$40,AZ$3:AZ$40)*$BD82,0)</f>
        <v/>
      </c>
      <c r="BA82" s="235">
        <f>IFERROR(_xlfn.XLOOKUP($C82,$D$3:$D$40,BA$3:BA$40)*$BD82,0)</f>
        <v/>
      </c>
      <c r="BB82" s="235">
        <f>IFERROR(_xlfn.XLOOKUP($C82,$D$3:$D$40,BB$3:BB$40)*$BD82,0)</f>
        <v/>
      </c>
      <c r="BC82" s="228">
        <f>IFERROR(_xlfn.XLOOKUP(D82,'2C 均值'!$A:$A,'2C 均值'!$E:$E),0)</f>
        <v/>
      </c>
      <c r="BD82" s="228">
        <f t="array" ref="BD82">IF(OR($D82=0,$D82=""),"",_xlfn.LET(
        _xlpm.channel,$D82,
        _xlpm.factorName,$C82,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3" ht="15.75" customHeight="1" s="179">
      <c r="C83" s="84">
        <f>IF(OR($D83=0,$D83=""),"",_xlfn.LET(
    _xlpm.channel,$D83,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3" s="119">
        <f>'2B RotationRule'!C28</f>
        <v/>
      </c>
      <c r="E83" s="227">
        <f>IFERROR(_xlfn.XLOOKUP($C83,$D$3:$D$40,E$3:E$40)*$BD83,0)</f>
        <v/>
      </c>
      <c r="F83" s="227">
        <f>IFERROR(_xlfn.XLOOKUP($C83,$D$3:$D$40,F$3:F$40)*$BD83,0)</f>
        <v/>
      </c>
      <c r="G83" s="227">
        <f>IFERROR(_xlfn.XLOOKUP($C83,$D$3:$D$40,G$3:G$40)*$BD83,0)</f>
        <v/>
      </c>
      <c r="H83" s="235">
        <f>IFERROR(_xlfn.XLOOKUP($C83,$D$3:$D$40,H$3:H$40)*$BD83,0)</f>
        <v/>
      </c>
      <c r="I83" s="235">
        <f>IFERROR(_xlfn.XLOOKUP($C83,$D$3:$D$40,I$3:I$40)*$BD83,0)</f>
        <v/>
      </c>
      <c r="J83" s="235">
        <f>IFERROR(_xlfn.XLOOKUP($C83,$D$3:$D$40,J$3:J$40)*$BD83,0)</f>
        <v/>
      </c>
      <c r="K83" s="235">
        <f>IFERROR(_xlfn.XLOOKUP($C83,$D$3:$D$40,K$3:K$40)*$BD83,0)</f>
        <v/>
      </c>
      <c r="L83" s="235">
        <f>IFERROR(_xlfn.XLOOKUP($C83,$D$3:$D$40,L$3:L$40)*$BD83,0)</f>
        <v/>
      </c>
      <c r="M83" s="235">
        <f>IFERROR(_xlfn.XLOOKUP($C83,$D$3:$D$40,M$3:M$40)*$BD83,0)</f>
        <v/>
      </c>
      <c r="N83" s="235">
        <f>IFERROR(_xlfn.XLOOKUP($C83,$D$3:$D$40,N$3:N$40)*$BD83,0)</f>
        <v/>
      </c>
      <c r="O83" s="235">
        <f>IFERROR(_xlfn.XLOOKUP($C83,$D$3:$D$40,O$3:O$40)*$BD83,0)</f>
        <v/>
      </c>
      <c r="P83" s="235">
        <f>IFERROR(_xlfn.XLOOKUP($C83,$D$3:$D$40,P$3:P$40)*$BD83,0)</f>
        <v/>
      </c>
      <c r="Q83" s="235">
        <f>IFERROR(_xlfn.XLOOKUP($C83,$D$3:$D$40,Q$3:Q$40)*$BD83,0)</f>
        <v/>
      </c>
      <c r="R83" s="235">
        <f>IFERROR(_xlfn.XLOOKUP($C83,$D$3:$D$40,R$3:R$40)*$BD83,0)</f>
        <v/>
      </c>
      <c r="S83" s="235">
        <f>IFERROR(_xlfn.XLOOKUP($C83,$D$3:$D$40,S$3:S$40)*$BD83,0)</f>
        <v/>
      </c>
      <c r="T83" s="235">
        <f>IFERROR(_xlfn.XLOOKUP($C83,$D$3:$D$40,T$3:T$40)*$BD83,0)</f>
        <v/>
      </c>
      <c r="U83" s="235">
        <f>IFERROR(_xlfn.XLOOKUP($C83,$D$3:$D$40,U$3:U$40)*$BD83,0)</f>
        <v/>
      </c>
      <c r="V83" s="235">
        <f>IFERROR(_xlfn.XLOOKUP($C83,$D$3:$D$40,V$3:V$40)*$BD83,0)</f>
        <v/>
      </c>
      <c r="W83" s="235">
        <f>IFERROR(_xlfn.XLOOKUP($C83,$D$3:$D$40,W$3:W$40)*$BD83,0)</f>
        <v/>
      </c>
      <c r="X83" s="235">
        <f>IFERROR(_xlfn.XLOOKUP($C83,$D$3:$D$40,X$3:X$40)*$BD83,0)</f>
        <v/>
      </c>
      <c r="Y83" s="235">
        <f>IFERROR(_xlfn.XLOOKUP($C83,$D$3:$D$40,Y$3:Y$40)*$BD83,0)</f>
        <v/>
      </c>
      <c r="Z83" s="235">
        <f>IFERROR(_xlfn.XLOOKUP($C83,$D$3:$D$40,Z$3:Z$40)*$BD83,0)</f>
        <v/>
      </c>
      <c r="AA83" s="235">
        <f>IFERROR(_xlfn.XLOOKUP($C83,$D$3:$D$40,AA$3:AA$40)*$BD83,0)</f>
        <v/>
      </c>
      <c r="AB83" s="235">
        <f>IFERROR(_xlfn.XLOOKUP($C83,$D$3:$D$40,AB$3:AB$40)*$BD83,0)</f>
        <v/>
      </c>
      <c r="AC83" s="235">
        <f>IFERROR(_xlfn.XLOOKUP($C83,$D$3:$D$40,AC$3:AC$40)*$BD83,0)</f>
        <v/>
      </c>
      <c r="AD83" s="235">
        <f>IFERROR(_xlfn.XLOOKUP($C83,$D$3:$D$40,AD$3:AD$40)*$BD83,0)</f>
        <v/>
      </c>
      <c r="AE83" s="235">
        <f>IFERROR(_xlfn.XLOOKUP($C83,$D$3:$D$40,AE$3:AE$40)*$BD83,0)</f>
        <v/>
      </c>
      <c r="AF83" s="235">
        <f>IFERROR(_xlfn.XLOOKUP($C83,$D$3:$D$40,AF$3:AF$40)*$BD83,0)</f>
        <v/>
      </c>
      <c r="AG83" s="235">
        <f>IFERROR(_xlfn.XLOOKUP($C83,$D$3:$D$40,AG$3:AG$40)*$BD83,0)</f>
        <v/>
      </c>
      <c r="AH83" s="235">
        <f>IFERROR(_xlfn.XLOOKUP($C83,$D$3:$D$40,AH$3:AH$40)*$BD83,0)</f>
        <v/>
      </c>
      <c r="AI83" s="235">
        <f>IFERROR(_xlfn.XLOOKUP($C83,$D$3:$D$40,AI$3:AI$40)*$BD83,0)</f>
        <v/>
      </c>
      <c r="AJ83" s="235">
        <f>IFERROR(_xlfn.XLOOKUP($C83,$D$3:$D$40,AJ$3:AJ$40)*$BD83,0)</f>
        <v/>
      </c>
      <c r="AK83" s="235">
        <f>IFERROR(_xlfn.XLOOKUP($C83,$D$3:$D$40,AK$3:AK$40)*$BD83,0)</f>
        <v/>
      </c>
      <c r="AL83" s="235">
        <f>IFERROR(_xlfn.XLOOKUP($C83,$D$3:$D$40,AL$3:AL$40)*$BD83,0)</f>
        <v/>
      </c>
      <c r="AM83" s="235">
        <f>IFERROR(_xlfn.XLOOKUP($C83,$D$3:$D$40,AM$3:AM$40)*$BD83,0)</f>
        <v/>
      </c>
      <c r="AN83" s="235">
        <f>IFERROR(_xlfn.XLOOKUP($C83,$D$3:$D$40,AN$3:AN$40)*$BD83,0)</f>
        <v/>
      </c>
      <c r="AO83" s="235">
        <f>IFERROR(_xlfn.XLOOKUP($C83,$D$3:$D$40,AO$3:AO$40)*$BD83,0)</f>
        <v/>
      </c>
      <c r="AP83" s="235">
        <f>IFERROR(_xlfn.XLOOKUP($C83,$D$3:$D$40,AP$3:AP$40)*$BD83,0)</f>
        <v/>
      </c>
      <c r="AQ83" s="235">
        <f>IFERROR(_xlfn.XLOOKUP($C83,$D$3:$D$40,AQ$3:AQ$40)*$BD83,0)</f>
        <v/>
      </c>
      <c r="AR83" s="235">
        <f>IFERROR(_xlfn.XLOOKUP($C83,$D$3:$D$40,AR$3:AR$40)*$BD83,0)</f>
        <v/>
      </c>
      <c r="AS83" s="235">
        <f>IFERROR(_xlfn.XLOOKUP($C83,$D$3:$D$40,AS$3:AS$40)*$BD83,0)</f>
        <v/>
      </c>
      <c r="AT83" s="235">
        <f>IFERROR(_xlfn.XLOOKUP($C83,$D$3:$D$40,AT$3:AT$40)*$BD83,0)</f>
        <v/>
      </c>
      <c r="AU83" s="235">
        <f>IFERROR(_xlfn.XLOOKUP($C83,$D$3:$D$40,AU$3:AU$40)*$BD83,0)</f>
        <v/>
      </c>
      <c r="AV83" s="235">
        <f>IFERROR(_xlfn.XLOOKUP($C83,$D$3:$D$40,AV$3:AV$40)*$BD83,0)</f>
        <v/>
      </c>
      <c r="AW83" s="235">
        <f>IFERROR(_xlfn.XLOOKUP($C83,$D$3:$D$40,AW$3:AW$40)*$BD83,0)</f>
        <v/>
      </c>
      <c r="AX83" s="235">
        <f>IFERROR(_xlfn.XLOOKUP($C83,$D$3:$D$40,AX$3:AX$40)*$BD83,0)</f>
        <v/>
      </c>
      <c r="AY83" s="235">
        <f>IFERROR(_xlfn.XLOOKUP($C83,$D$3:$D$40,AY$3:AY$40)*$BD83,0)</f>
        <v/>
      </c>
      <c r="AZ83" s="235">
        <f>IFERROR(_xlfn.XLOOKUP($C83,$D$3:$D$40,AZ$3:AZ$40)*$BD83,0)</f>
        <v/>
      </c>
      <c r="BA83" s="235">
        <f>IFERROR(_xlfn.XLOOKUP($C83,$D$3:$D$40,BA$3:BA$40)*$BD83,0)</f>
        <v/>
      </c>
      <c r="BB83" s="235">
        <f>IFERROR(_xlfn.XLOOKUP($C83,$D$3:$D$40,BB$3:BB$40)*$BD83,0)</f>
        <v/>
      </c>
      <c r="BC83" s="228">
        <f>IFERROR(_xlfn.XLOOKUP(D83,'2C 均值'!$A:$A,'2C 均值'!$E:$E),0)</f>
        <v/>
      </c>
      <c r="BD83" s="228">
        <f t="array" ref="BD83">IF(OR($D83=0,$D83=""),"",_xlfn.LET(
        _xlpm.channel,$D83,
        _xlpm.factorName,$C83,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4" ht="15.75" customHeight="1" s="179">
      <c r="C84" s="84">
        <f>IF(OR($D84=0,$D84=""),"",_xlfn.LET(
    _xlpm.channel,$D84,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4" s="119">
        <f>'2B RotationRule'!C29</f>
        <v/>
      </c>
      <c r="E84" s="227">
        <f>IFERROR(_xlfn.XLOOKUP($C84,$D$3:$D$40,E$3:E$40)*$BD84,0)</f>
        <v/>
      </c>
      <c r="F84" s="227">
        <f>IFERROR(_xlfn.XLOOKUP($C84,$D$3:$D$40,F$3:F$40)*$BD84,0)</f>
        <v/>
      </c>
      <c r="G84" s="227">
        <f>IFERROR(_xlfn.XLOOKUP($C84,$D$3:$D$40,G$3:G$40)*$BD84,0)</f>
        <v/>
      </c>
      <c r="H84" s="235">
        <f>IFERROR(_xlfn.XLOOKUP($C84,$D$3:$D$40,H$3:H$40)*$BD84,0)</f>
        <v/>
      </c>
      <c r="I84" s="235">
        <f>IFERROR(_xlfn.XLOOKUP($C84,$D$3:$D$40,I$3:I$40)*$BD84,0)</f>
        <v/>
      </c>
      <c r="J84" s="235">
        <f>IFERROR(_xlfn.XLOOKUP($C84,$D$3:$D$40,J$3:J$40)*$BD84,0)</f>
        <v/>
      </c>
      <c r="K84" s="235">
        <f>IFERROR(_xlfn.XLOOKUP($C84,$D$3:$D$40,K$3:K$40)*$BD84,0)</f>
        <v/>
      </c>
      <c r="L84" s="235">
        <f>IFERROR(_xlfn.XLOOKUP($C84,$D$3:$D$40,L$3:L$40)*$BD84,0)</f>
        <v/>
      </c>
      <c r="M84" s="235">
        <f>IFERROR(_xlfn.XLOOKUP($C84,$D$3:$D$40,M$3:M$40)*$BD84,0)</f>
        <v/>
      </c>
      <c r="N84" s="235">
        <f>IFERROR(_xlfn.XLOOKUP($C84,$D$3:$D$40,N$3:N$40)*$BD84,0)</f>
        <v/>
      </c>
      <c r="O84" s="235">
        <f>IFERROR(_xlfn.XLOOKUP($C84,$D$3:$D$40,O$3:O$40)*$BD84,0)</f>
        <v/>
      </c>
      <c r="P84" s="235">
        <f>IFERROR(_xlfn.XLOOKUP($C84,$D$3:$D$40,P$3:P$40)*$BD84,0)</f>
        <v/>
      </c>
      <c r="Q84" s="235">
        <f>IFERROR(_xlfn.XLOOKUP($C84,$D$3:$D$40,Q$3:Q$40)*$BD84,0)</f>
        <v/>
      </c>
      <c r="R84" s="235">
        <f>IFERROR(_xlfn.XLOOKUP($C84,$D$3:$D$40,R$3:R$40)*$BD84,0)</f>
        <v/>
      </c>
      <c r="S84" s="235">
        <f>IFERROR(_xlfn.XLOOKUP($C84,$D$3:$D$40,S$3:S$40)*$BD84,0)</f>
        <v/>
      </c>
      <c r="T84" s="235">
        <f>IFERROR(_xlfn.XLOOKUP($C84,$D$3:$D$40,T$3:T$40)*$BD84,0)</f>
        <v/>
      </c>
      <c r="U84" s="235">
        <f>IFERROR(_xlfn.XLOOKUP($C84,$D$3:$D$40,U$3:U$40)*$BD84,0)</f>
        <v/>
      </c>
      <c r="V84" s="235">
        <f>IFERROR(_xlfn.XLOOKUP($C84,$D$3:$D$40,V$3:V$40)*$BD84,0)</f>
        <v/>
      </c>
      <c r="W84" s="235">
        <f>IFERROR(_xlfn.XLOOKUP($C84,$D$3:$D$40,W$3:W$40)*$BD84,0)</f>
        <v/>
      </c>
      <c r="X84" s="235">
        <f>IFERROR(_xlfn.XLOOKUP($C84,$D$3:$D$40,X$3:X$40)*$BD84,0)</f>
        <v/>
      </c>
      <c r="Y84" s="235">
        <f>IFERROR(_xlfn.XLOOKUP($C84,$D$3:$D$40,Y$3:Y$40)*$BD84,0)</f>
        <v/>
      </c>
      <c r="Z84" s="235">
        <f>IFERROR(_xlfn.XLOOKUP($C84,$D$3:$D$40,Z$3:Z$40)*$BD84,0)</f>
        <v/>
      </c>
      <c r="AA84" s="235">
        <f>IFERROR(_xlfn.XLOOKUP($C84,$D$3:$D$40,AA$3:AA$40)*$BD84,0)</f>
        <v/>
      </c>
      <c r="AB84" s="235">
        <f>IFERROR(_xlfn.XLOOKUP($C84,$D$3:$D$40,AB$3:AB$40)*$BD84,0)</f>
        <v/>
      </c>
      <c r="AC84" s="235">
        <f>IFERROR(_xlfn.XLOOKUP($C84,$D$3:$D$40,AC$3:AC$40)*$BD84,0)</f>
        <v/>
      </c>
      <c r="AD84" s="235">
        <f>IFERROR(_xlfn.XLOOKUP($C84,$D$3:$D$40,AD$3:AD$40)*$BD84,0)</f>
        <v/>
      </c>
      <c r="AE84" s="235">
        <f>IFERROR(_xlfn.XLOOKUP($C84,$D$3:$D$40,AE$3:AE$40)*$BD84,0)</f>
        <v/>
      </c>
      <c r="AF84" s="235">
        <f>IFERROR(_xlfn.XLOOKUP($C84,$D$3:$D$40,AF$3:AF$40)*$BD84,0)</f>
        <v/>
      </c>
      <c r="AG84" s="235">
        <f>IFERROR(_xlfn.XLOOKUP($C84,$D$3:$D$40,AG$3:AG$40)*$BD84,0)</f>
        <v/>
      </c>
      <c r="AH84" s="235">
        <f>IFERROR(_xlfn.XLOOKUP($C84,$D$3:$D$40,AH$3:AH$40)*$BD84,0)</f>
        <v/>
      </c>
      <c r="AI84" s="235">
        <f>IFERROR(_xlfn.XLOOKUP($C84,$D$3:$D$40,AI$3:AI$40)*$BD84,0)</f>
        <v/>
      </c>
      <c r="AJ84" s="235">
        <f>IFERROR(_xlfn.XLOOKUP($C84,$D$3:$D$40,AJ$3:AJ$40)*$BD84,0)</f>
        <v/>
      </c>
      <c r="AK84" s="235">
        <f>IFERROR(_xlfn.XLOOKUP($C84,$D$3:$D$40,AK$3:AK$40)*$BD84,0)</f>
        <v/>
      </c>
      <c r="AL84" s="235">
        <f>IFERROR(_xlfn.XLOOKUP($C84,$D$3:$D$40,AL$3:AL$40)*$BD84,0)</f>
        <v/>
      </c>
      <c r="AM84" s="235">
        <f>IFERROR(_xlfn.XLOOKUP($C84,$D$3:$D$40,AM$3:AM$40)*$BD84,0)</f>
        <v/>
      </c>
      <c r="AN84" s="235">
        <f>IFERROR(_xlfn.XLOOKUP($C84,$D$3:$D$40,AN$3:AN$40)*$BD84,0)</f>
        <v/>
      </c>
      <c r="AO84" s="235">
        <f>IFERROR(_xlfn.XLOOKUP($C84,$D$3:$D$40,AO$3:AO$40)*$BD84,0)</f>
        <v/>
      </c>
      <c r="AP84" s="235">
        <f>IFERROR(_xlfn.XLOOKUP($C84,$D$3:$D$40,AP$3:AP$40)*$BD84,0)</f>
        <v/>
      </c>
      <c r="AQ84" s="235">
        <f>IFERROR(_xlfn.XLOOKUP($C84,$D$3:$D$40,AQ$3:AQ$40)*$BD84,0)</f>
        <v/>
      </c>
      <c r="AR84" s="235">
        <f>IFERROR(_xlfn.XLOOKUP($C84,$D$3:$D$40,AR$3:AR$40)*$BD84,0)</f>
        <v/>
      </c>
      <c r="AS84" s="235">
        <f>IFERROR(_xlfn.XLOOKUP($C84,$D$3:$D$40,AS$3:AS$40)*$BD84,0)</f>
        <v/>
      </c>
      <c r="AT84" s="235">
        <f>IFERROR(_xlfn.XLOOKUP($C84,$D$3:$D$40,AT$3:AT$40)*$BD84,0)</f>
        <v/>
      </c>
      <c r="AU84" s="235">
        <f>IFERROR(_xlfn.XLOOKUP($C84,$D$3:$D$40,AU$3:AU$40)*$BD84,0)</f>
        <v/>
      </c>
      <c r="AV84" s="235">
        <f>IFERROR(_xlfn.XLOOKUP($C84,$D$3:$D$40,AV$3:AV$40)*$BD84,0)</f>
        <v/>
      </c>
      <c r="AW84" s="235">
        <f>IFERROR(_xlfn.XLOOKUP($C84,$D$3:$D$40,AW$3:AW$40)*$BD84,0)</f>
        <v/>
      </c>
      <c r="AX84" s="235">
        <f>IFERROR(_xlfn.XLOOKUP($C84,$D$3:$D$40,AX$3:AX$40)*$BD84,0)</f>
        <v/>
      </c>
      <c r="AY84" s="235">
        <f>IFERROR(_xlfn.XLOOKUP($C84,$D$3:$D$40,AY$3:AY$40)*$BD84,0)</f>
        <v/>
      </c>
      <c r="AZ84" s="235">
        <f>IFERROR(_xlfn.XLOOKUP($C84,$D$3:$D$40,AZ$3:AZ$40)*$BD84,0)</f>
        <v/>
      </c>
      <c r="BA84" s="235">
        <f>IFERROR(_xlfn.XLOOKUP($C84,$D$3:$D$40,BA$3:BA$40)*$BD84,0)</f>
        <v/>
      </c>
      <c r="BB84" s="235">
        <f>IFERROR(_xlfn.XLOOKUP($C84,$D$3:$D$40,BB$3:BB$40)*$BD84,0)</f>
        <v/>
      </c>
      <c r="BC84" s="228">
        <f>IFERROR(_xlfn.XLOOKUP(D84,'2C 均值'!$A:$A,'2C 均值'!$E:$E),0)</f>
        <v/>
      </c>
      <c r="BD84" s="228">
        <f t="array" ref="BD84">IF(OR($D84=0,$D84=""),"",_xlfn.LET(
        _xlpm.channel,$D84,
        _xlpm.factorName,$C84,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5" ht="15.75" customHeight="1" s="179">
      <c r="C85" s="84">
        <f>IF(OR($D85=0,$D85=""),"",_xlfn.LET(
    _xlpm.channel,$D85,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5" s="119">
        <f>'2B RotationRule'!C30</f>
        <v/>
      </c>
      <c r="E85" s="227">
        <f>IFERROR(_xlfn.XLOOKUP($C85,$D$3:$D$40,E$3:E$40)*$BD85,0)</f>
        <v/>
      </c>
      <c r="F85" s="227">
        <f>IFERROR(_xlfn.XLOOKUP($C85,$D$3:$D$40,F$3:F$40)*$BD85,0)</f>
        <v/>
      </c>
      <c r="G85" s="227">
        <f>IFERROR(_xlfn.XLOOKUP($C85,$D$3:$D$40,G$3:G$40)*$BD85,0)</f>
        <v/>
      </c>
      <c r="H85" s="235">
        <f>IFERROR(_xlfn.XLOOKUP($C85,$D$3:$D$40,H$3:H$40)*$BD85,0)</f>
        <v/>
      </c>
      <c r="I85" s="235">
        <f>IFERROR(_xlfn.XLOOKUP($C85,$D$3:$D$40,I$3:I$40)*$BD85,0)</f>
        <v/>
      </c>
      <c r="J85" s="235">
        <f>IFERROR(_xlfn.XLOOKUP($C85,$D$3:$D$40,J$3:J$40)*$BD85,0)</f>
        <v/>
      </c>
      <c r="K85" s="235">
        <f>IFERROR(_xlfn.XLOOKUP($C85,$D$3:$D$40,K$3:K$40)*$BD85,0)</f>
        <v/>
      </c>
      <c r="L85" s="235">
        <f>IFERROR(_xlfn.XLOOKUP($C85,$D$3:$D$40,L$3:L$40)*$BD85,0)</f>
        <v/>
      </c>
      <c r="M85" s="235">
        <f>IFERROR(_xlfn.XLOOKUP($C85,$D$3:$D$40,M$3:M$40)*$BD85,0)</f>
        <v/>
      </c>
      <c r="N85" s="235">
        <f>IFERROR(_xlfn.XLOOKUP($C85,$D$3:$D$40,N$3:N$40)*$BD85,0)</f>
        <v/>
      </c>
      <c r="O85" s="235">
        <f>IFERROR(_xlfn.XLOOKUP($C85,$D$3:$D$40,O$3:O$40)*$BD85,0)</f>
        <v/>
      </c>
      <c r="P85" s="235">
        <f>IFERROR(_xlfn.XLOOKUP($C85,$D$3:$D$40,P$3:P$40)*$BD85,0)</f>
        <v/>
      </c>
      <c r="Q85" s="235">
        <f>IFERROR(_xlfn.XLOOKUP($C85,$D$3:$D$40,Q$3:Q$40)*$BD85,0)</f>
        <v/>
      </c>
      <c r="R85" s="235">
        <f>IFERROR(_xlfn.XLOOKUP($C85,$D$3:$D$40,R$3:R$40)*$BD85,0)</f>
        <v/>
      </c>
      <c r="S85" s="235">
        <f>IFERROR(_xlfn.XLOOKUP($C85,$D$3:$D$40,S$3:S$40)*$BD85,0)</f>
        <v/>
      </c>
      <c r="T85" s="235">
        <f>IFERROR(_xlfn.XLOOKUP($C85,$D$3:$D$40,T$3:T$40)*$BD85,0)</f>
        <v/>
      </c>
      <c r="U85" s="235">
        <f>IFERROR(_xlfn.XLOOKUP($C85,$D$3:$D$40,U$3:U$40)*$BD85,0)</f>
        <v/>
      </c>
      <c r="V85" s="235">
        <f>IFERROR(_xlfn.XLOOKUP($C85,$D$3:$D$40,V$3:V$40)*$BD85,0)</f>
        <v/>
      </c>
      <c r="W85" s="235">
        <f>IFERROR(_xlfn.XLOOKUP($C85,$D$3:$D$40,W$3:W$40)*$BD85,0)</f>
        <v/>
      </c>
      <c r="X85" s="235">
        <f>IFERROR(_xlfn.XLOOKUP($C85,$D$3:$D$40,X$3:X$40)*$BD85,0)</f>
        <v/>
      </c>
      <c r="Y85" s="235">
        <f>IFERROR(_xlfn.XLOOKUP($C85,$D$3:$D$40,Y$3:Y$40)*$BD85,0)</f>
        <v/>
      </c>
      <c r="Z85" s="235">
        <f>IFERROR(_xlfn.XLOOKUP($C85,$D$3:$D$40,Z$3:Z$40)*$BD85,0)</f>
        <v/>
      </c>
      <c r="AA85" s="235">
        <f>IFERROR(_xlfn.XLOOKUP($C85,$D$3:$D$40,AA$3:AA$40)*$BD85,0)</f>
        <v/>
      </c>
      <c r="AB85" s="235">
        <f>IFERROR(_xlfn.XLOOKUP($C85,$D$3:$D$40,AB$3:AB$40)*$BD85,0)</f>
        <v/>
      </c>
      <c r="AC85" s="235">
        <f>IFERROR(_xlfn.XLOOKUP($C85,$D$3:$D$40,AC$3:AC$40)*$BD85,0)</f>
        <v/>
      </c>
      <c r="AD85" s="235">
        <f>IFERROR(_xlfn.XLOOKUP($C85,$D$3:$D$40,AD$3:AD$40)*$BD85,0)</f>
        <v/>
      </c>
      <c r="AE85" s="235">
        <f>IFERROR(_xlfn.XLOOKUP($C85,$D$3:$D$40,AE$3:AE$40)*$BD85,0)</f>
        <v/>
      </c>
      <c r="AF85" s="235">
        <f>IFERROR(_xlfn.XLOOKUP($C85,$D$3:$D$40,AF$3:AF$40)*$BD85,0)</f>
        <v/>
      </c>
      <c r="AG85" s="235">
        <f>IFERROR(_xlfn.XLOOKUP($C85,$D$3:$D$40,AG$3:AG$40)*$BD85,0)</f>
        <v/>
      </c>
      <c r="AH85" s="235">
        <f>IFERROR(_xlfn.XLOOKUP($C85,$D$3:$D$40,AH$3:AH$40)*$BD85,0)</f>
        <v/>
      </c>
      <c r="AI85" s="235">
        <f>IFERROR(_xlfn.XLOOKUP($C85,$D$3:$D$40,AI$3:AI$40)*$BD85,0)</f>
        <v/>
      </c>
      <c r="AJ85" s="235">
        <f>IFERROR(_xlfn.XLOOKUP($C85,$D$3:$D$40,AJ$3:AJ$40)*$BD85,0)</f>
        <v/>
      </c>
      <c r="AK85" s="235">
        <f>IFERROR(_xlfn.XLOOKUP($C85,$D$3:$D$40,AK$3:AK$40)*$BD85,0)</f>
        <v/>
      </c>
      <c r="AL85" s="235">
        <f>IFERROR(_xlfn.XLOOKUP($C85,$D$3:$D$40,AL$3:AL$40)*$BD85,0)</f>
        <v/>
      </c>
      <c r="AM85" s="235">
        <f>IFERROR(_xlfn.XLOOKUP($C85,$D$3:$D$40,AM$3:AM$40)*$BD85,0)</f>
        <v/>
      </c>
      <c r="AN85" s="235">
        <f>IFERROR(_xlfn.XLOOKUP($C85,$D$3:$D$40,AN$3:AN$40)*$BD85,0)</f>
        <v/>
      </c>
      <c r="AO85" s="235">
        <f>IFERROR(_xlfn.XLOOKUP($C85,$D$3:$D$40,AO$3:AO$40)*$BD85,0)</f>
        <v/>
      </c>
      <c r="AP85" s="235">
        <f>IFERROR(_xlfn.XLOOKUP($C85,$D$3:$D$40,AP$3:AP$40)*$BD85,0)</f>
        <v/>
      </c>
      <c r="AQ85" s="235">
        <f>IFERROR(_xlfn.XLOOKUP($C85,$D$3:$D$40,AQ$3:AQ$40)*$BD85,0)</f>
        <v/>
      </c>
      <c r="AR85" s="235">
        <f>IFERROR(_xlfn.XLOOKUP($C85,$D$3:$D$40,AR$3:AR$40)*$BD85,0)</f>
        <v/>
      </c>
      <c r="AS85" s="235">
        <f>IFERROR(_xlfn.XLOOKUP($C85,$D$3:$D$40,AS$3:AS$40)*$BD85,0)</f>
        <v/>
      </c>
      <c r="AT85" s="235">
        <f>IFERROR(_xlfn.XLOOKUP($C85,$D$3:$D$40,AT$3:AT$40)*$BD85,0)</f>
        <v/>
      </c>
      <c r="AU85" s="235">
        <f>IFERROR(_xlfn.XLOOKUP($C85,$D$3:$D$40,AU$3:AU$40)*$BD85,0)</f>
        <v/>
      </c>
      <c r="AV85" s="235">
        <f>IFERROR(_xlfn.XLOOKUP($C85,$D$3:$D$40,AV$3:AV$40)*$BD85,0)</f>
        <v/>
      </c>
      <c r="AW85" s="235">
        <f>IFERROR(_xlfn.XLOOKUP($C85,$D$3:$D$40,AW$3:AW$40)*$BD85,0)</f>
        <v/>
      </c>
      <c r="AX85" s="235">
        <f>IFERROR(_xlfn.XLOOKUP($C85,$D$3:$D$40,AX$3:AX$40)*$BD85,0)</f>
        <v/>
      </c>
      <c r="AY85" s="235">
        <f>IFERROR(_xlfn.XLOOKUP($C85,$D$3:$D$40,AY$3:AY$40)*$BD85,0)</f>
        <v/>
      </c>
      <c r="AZ85" s="235">
        <f>IFERROR(_xlfn.XLOOKUP($C85,$D$3:$D$40,AZ$3:AZ$40)*$BD85,0)</f>
        <v/>
      </c>
      <c r="BA85" s="235">
        <f>IFERROR(_xlfn.XLOOKUP($C85,$D$3:$D$40,BA$3:BA$40)*$BD85,0)</f>
        <v/>
      </c>
      <c r="BB85" s="235">
        <f>IFERROR(_xlfn.XLOOKUP($C85,$D$3:$D$40,BB$3:BB$40)*$BD85,0)</f>
        <v/>
      </c>
      <c r="BC85" s="228">
        <f>IFERROR(_xlfn.XLOOKUP(D85,'2C 均值'!$A:$A,'2C 均值'!$E:$E),0)</f>
        <v/>
      </c>
      <c r="BD85" s="228">
        <f t="array" ref="BD85">IF(OR($D85=0,$D85=""),"",_xlfn.LET(
        _xlpm.channel,$D85,
        _xlpm.factorName,$C85,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6" ht="15.75" customHeight="1" s="179">
      <c r="C86" s="84">
        <f>IF(OR($D86=0,$D86=""),"",_xlfn.LET(
    _xlpm.channel,$D86,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6" s="119">
        <f>'2B RotationRule'!C31</f>
        <v/>
      </c>
      <c r="E86" s="227">
        <f>IFERROR(_xlfn.XLOOKUP($C86,$D$3:$D$40,E$3:E$40)*$BD86,0)</f>
        <v/>
      </c>
      <c r="F86" s="227">
        <f>IFERROR(_xlfn.XLOOKUP($C86,$D$3:$D$40,F$3:F$40)*$BD86,0)</f>
        <v/>
      </c>
      <c r="G86" s="227">
        <f>IFERROR(_xlfn.XLOOKUP($C86,$D$3:$D$40,G$3:G$40)*$BD86,0)</f>
        <v/>
      </c>
      <c r="H86" s="235">
        <f>IFERROR(_xlfn.XLOOKUP($C86,$D$3:$D$40,H$3:H$40)*$BD86,0)</f>
        <v/>
      </c>
      <c r="I86" s="235">
        <f>IFERROR(_xlfn.XLOOKUP($C86,$D$3:$D$40,I$3:I$40)*$BD86,0)</f>
        <v/>
      </c>
      <c r="J86" s="235">
        <f>IFERROR(_xlfn.XLOOKUP($C86,$D$3:$D$40,J$3:J$40)*$BD86,0)</f>
        <v/>
      </c>
      <c r="K86" s="235">
        <f>IFERROR(_xlfn.XLOOKUP($C86,$D$3:$D$40,K$3:K$40)*$BD86,0)</f>
        <v/>
      </c>
      <c r="L86" s="235">
        <f>IFERROR(_xlfn.XLOOKUP($C86,$D$3:$D$40,L$3:L$40)*$BD86,0)</f>
        <v/>
      </c>
      <c r="M86" s="235">
        <f>IFERROR(_xlfn.XLOOKUP($C86,$D$3:$D$40,M$3:M$40)*$BD86,0)</f>
        <v/>
      </c>
      <c r="N86" s="235">
        <f>IFERROR(_xlfn.XLOOKUP($C86,$D$3:$D$40,N$3:N$40)*$BD86,0)</f>
        <v/>
      </c>
      <c r="O86" s="235">
        <f>IFERROR(_xlfn.XLOOKUP($C86,$D$3:$D$40,O$3:O$40)*$BD86,0)</f>
        <v/>
      </c>
      <c r="P86" s="235">
        <f>IFERROR(_xlfn.XLOOKUP($C86,$D$3:$D$40,P$3:P$40)*$BD86,0)</f>
        <v/>
      </c>
      <c r="Q86" s="235">
        <f>IFERROR(_xlfn.XLOOKUP($C86,$D$3:$D$40,Q$3:Q$40)*$BD86,0)</f>
        <v/>
      </c>
      <c r="R86" s="235">
        <f>IFERROR(_xlfn.XLOOKUP($C86,$D$3:$D$40,R$3:R$40)*$BD86,0)</f>
        <v/>
      </c>
      <c r="S86" s="235">
        <f>IFERROR(_xlfn.XLOOKUP($C86,$D$3:$D$40,S$3:S$40)*$BD86,0)</f>
        <v/>
      </c>
      <c r="T86" s="235">
        <f>IFERROR(_xlfn.XLOOKUP($C86,$D$3:$D$40,T$3:T$40)*$BD86,0)</f>
        <v/>
      </c>
      <c r="U86" s="235">
        <f>IFERROR(_xlfn.XLOOKUP($C86,$D$3:$D$40,U$3:U$40)*$BD86,0)</f>
        <v/>
      </c>
      <c r="V86" s="235">
        <f>IFERROR(_xlfn.XLOOKUP($C86,$D$3:$D$40,V$3:V$40)*$BD86,0)</f>
        <v/>
      </c>
      <c r="W86" s="235">
        <f>IFERROR(_xlfn.XLOOKUP($C86,$D$3:$D$40,W$3:W$40)*$BD86,0)</f>
        <v/>
      </c>
      <c r="X86" s="235">
        <f>IFERROR(_xlfn.XLOOKUP($C86,$D$3:$D$40,X$3:X$40)*$BD86,0)</f>
        <v/>
      </c>
      <c r="Y86" s="235">
        <f>IFERROR(_xlfn.XLOOKUP($C86,$D$3:$D$40,Y$3:Y$40)*$BD86,0)</f>
        <v/>
      </c>
      <c r="Z86" s="235">
        <f>IFERROR(_xlfn.XLOOKUP($C86,$D$3:$D$40,Z$3:Z$40)*$BD86,0)</f>
        <v/>
      </c>
      <c r="AA86" s="235">
        <f>IFERROR(_xlfn.XLOOKUP($C86,$D$3:$D$40,AA$3:AA$40)*$BD86,0)</f>
        <v/>
      </c>
      <c r="AB86" s="235">
        <f>IFERROR(_xlfn.XLOOKUP($C86,$D$3:$D$40,AB$3:AB$40)*$BD86,0)</f>
        <v/>
      </c>
      <c r="AC86" s="235">
        <f>IFERROR(_xlfn.XLOOKUP($C86,$D$3:$D$40,AC$3:AC$40)*$BD86,0)</f>
        <v/>
      </c>
      <c r="AD86" s="235">
        <f>IFERROR(_xlfn.XLOOKUP($C86,$D$3:$D$40,AD$3:AD$40)*$BD86,0)</f>
        <v/>
      </c>
      <c r="AE86" s="235">
        <f>IFERROR(_xlfn.XLOOKUP($C86,$D$3:$D$40,AE$3:AE$40)*$BD86,0)</f>
        <v/>
      </c>
      <c r="AF86" s="235">
        <f>IFERROR(_xlfn.XLOOKUP($C86,$D$3:$D$40,AF$3:AF$40)*$BD86,0)</f>
        <v/>
      </c>
      <c r="AG86" s="235">
        <f>IFERROR(_xlfn.XLOOKUP($C86,$D$3:$D$40,AG$3:AG$40)*$BD86,0)</f>
        <v/>
      </c>
      <c r="AH86" s="235">
        <f>IFERROR(_xlfn.XLOOKUP($C86,$D$3:$D$40,AH$3:AH$40)*$BD86,0)</f>
        <v/>
      </c>
      <c r="AI86" s="235">
        <f>IFERROR(_xlfn.XLOOKUP($C86,$D$3:$D$40,AI$3:AI$40)*$BD86,0)</f>
        <v/>
      </c>
      <c r="AJ86" s="235">
        <f>IFERROR(_xlfn.XLOOKUP($C86,$D$3:$D$40,AJ$3:AJ$40)*$BD86,0)</f>
        <v/>
      </c>
      <c r="AK86" s="235">
        <f>IFERROR(_xlfn.XLOOKUP($C86,$D$3:$D$40,AK$3:AK$40)*$BD86,0)</f>
        <v/>
      </c>
      <c r="AL86" s="235">
        <f>IFERROR(_xlfn.XLOOKUP($C86,$D$3:$D$40,AL$3:AL$40)*$BD86,0)</f>
        <v/>
      </c>
      <c r="AM86" s="235">
        <f>IFERROR(_xlfn.XLOOKUP($C86,$D$3:$D$40,AM$3:AM$40)*$BD86,0)</f>
        <v/>
      </c>
      <c r="AN86" s="235">
        <f>IFERROR(_xlfn.XLOOKUP($C86,$D$3:$D$40,AN$3:AN$40)*$BD86,0)</f>
        <v/>
      </c>
      <c r="AO86" s="235">
        <f>IFERROR(_xlfn.XLOOKUP($C86,$D$3:$D$40,AO$3:AO$40)*$BD86,0)</f>
        <v/>
      </c>
      <c r="AP86" s="235">
        <f>IFERROR(_xlfn.XLOOKUP($C86,$D$3:$D$40,AP$3:AP$40)*$BD86,0)</f>
        <v/>
      </c>
      <c r="AQ86" s="235">
        <f>IFERROR(_xlfn.XLOOKUP($C86,$D$3:$D$40,AQ$3:AQ$40)*$BD86,0)</f>
        <v/>
      </c>
      <c r="AR86" s="235">
        <f>IFERROR(_xlfn.XLOOKUP($C86,$D$3:$D$40,AR$3:AR$40)*$BD86,0)</f>
        <v/>
      </c>
      <c r="AS86" s="235">
        <f>IFERROR(_xlfn.XLOOKUP($C86,$D$3:$D$40,AS$3:AS$40)*$BD86,0)</f>
        <v/>
      </c>
      <c r="AT86" s="235">
        <f>IFERROR(_xlfn.XLOOKUP($C86,$D$3:$D$40,AT$3:AT$40)*$BD86,0)</f>
        <v/>
      </c>
      <c r="AU86" s="235">
        <f>IFERROR(_xlfn.XLOOKUP($C86,$D$3:$D$40,AU$3:AU$40)*$BD86,0)</f>
        <v/>
      </c>
      <c r="AV86" s="235">
        <f>IFERROR(_xlfn.XLOOKUP($C86,$D$3:$D$40,AV$3:AV$40)*$BD86,0)</f>
        <v/>
      </c>
      <c r="AW86" s="235">
        <f>IFERROR(_xlfn.XLOOKUP($C86,$D$3:$D$40,AW$3:AW$40)*$BD86,0)</f>
        <v/>
      </c>
      <c r="AX86" s="235">
        <f>IFERROR(_xlfn.XLOOKUP($C86,$D$3:$D$40,AX$3:AX$40)*$BD86,0)</f>
        <v/>
      </c>
      <c r="AY86" s="235">
        <f>IFERROR(_xlfn.XLOOKUP($C86,$D$3:$D$40,AY$3:AY$40)*$BD86,0)</f>
        <v/>
      </c>
      <c r="AZ86" s="235">
        <f>IFERROR(_xlfn.XLOOKUP($C86,$D$3:$D$40,AZ$3:AZ$40)*$BD86,0)</f>
        <v/>
      </c>
      <c r="BA86" s="235">
        <f>IFERROR(_xlfn.XLOOKUP($C86,$D$3:$D$40,BA$3:BA$40)*$BD86,0)</f>
        <v/>
      </c>
      <c r="BB86" s="235">
        <f>IFERROR(_xlfn.XLOOKUP($C86,$D$3:$D$40,BB$3:BB$40)*$BD86,0)</f>
        <v/>
      </c>
      <c r="BC86" s="228">
        <f>IFERROR(_xlfn.XLOOKUP(D86,'2C 均值'!$A:$A,'2C 均值'!$E:$E),0)</f>
        <v/>
      </c>
      <c r="BD86" s="228">
        <f t="array" ref="BD86">IF(OR($D86=0,$D86=""),"",_xlfn.LET(
        _xlpm.channel,$D86,
        _xlpm.factorName,$C86,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7" ht="15.75" customHeight="1" s="179">
      <c r="C87" s="84">
        <f>IF(OR($D87=0,$D87=""),"",_xlfn.LET(
    _xlpm.channel,$D87,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7" s="119">
        <f>'2B RotationRule'!C32</f>
        <v/>
      </c>
      <c r="E87" s="227">
        <f>IFERROR(_xlfn.XLOOKUP($C87,$D$3:$D$40,E$3:E$40)*$BD87,0)</f>
        <v/>
      </c>
      <c r="F87" s="227">
        <f>IFERROR(_xlfn.XLOOKUP($C87,$D$3:$D$40,F$3:F$40)*$BD87,0)</f>
        <v/>
      </c>
      <c r="G87" s="227">
        <f>IFERROR(_xlfn.XLOOKUP($C87,$D$3:$D$40,G$3:G$40)*$BD87,0)</f>
        <v/>
      </c>
      <c r="H87" s="235">
        <f>IFERROR(_xlfn.XLOOKUP($C87,$D$3:$D$40,H$3:H$40)*$BD87,0)</f>
        <v/>
      </c>
      <c r="I87" s="235">
        <f>IFERROR(_xlfn.XLOOKUP($C87,$D$3:$D$40,I$3:I$40)*$BD87,0)</f>
        <v/>
      </c>
      <c r="J87" s="235">
        <f>IFERROR(_xlfn.XLOOKUP($C87,$D$3:$D$40,J$3:J$40)*$BD87,0)</f>
        <v/>
      </c>
      <c r="K87" s="235">
        <f>IFERROR(_xlfn.XLOOKUP($C87,$D$3:$D$40,K$3:K$40)*$BD87,0)</f>
        <v/>
      </c>
      <c r="L87" s="235">
        <f>IFERROR(_xlfn.XLOOKUP($C87,$D$3:$D$40,L$3:L$40)*$BD87,0)</f>
        <v/>
      </c>
      <c r="M87" s="235">
        <f>IFERROR(_xlfn.XLOOKUP($C87,$D$3:$D$40,M$3:M$40)*$BD87,0)</f>
        <v/>
      </c>
      <c r="N87" s="235">
        <f>IFERROR(_xlfn.XLOOKUP($C87,$D$3:$D$40,N$3:N$40)*$BD87,0)</f>
        <v/>
      </c>
      <c r="O87" s="235">
        <f>IFERROR(_xlfn.XLOOKUP($C87,$D$3:$D$40,O$3:O$40)*$BD87,0)</f>
        <v/>
      </c>
      <c r="P87" s="235">
        <f>IFERROR(_xlfn.XLOOKUP($C87,$D$3:$D$40,P$3:P$40)*$BD87,0)</f>
        <v/>
      </c>
      <c r="Q87" s="235">
        <f>IFERROR(_xlfn.XLOOKUP($C87,$D$3:$D$40,Q$3:Q$40)*$BD87,0)</f>
        <v/>
      </c>
      <c r="R87" s="235">
        <f>IFERROR(_xlfn.XLOOKUP($C87,$D$3:$D$40,R$3:R$40)*$BD87,0)</f>
        <v/>
      </c>
      <c r="S87" s="235">
        <f>IFERROR(_xlfn.XLOOKUP($C87,$D$3:$D$40,S$3:S$40)*$BD87,0)</f>
        <v/>
      </c>
      <c r="T87" s="235">
        <f>IFERROR(_xlfn.XLOOKUP($C87,$D$3:$D$40,T$3:T$40)*$BD87,0)</f>
        <v/>
      </c>
      <c r="U87" s="235">
        <f>IFERROR(_xlfn.XLOOKUP($C87,$D$3:$D$40,U$3:U$40)*$BD87,0)</f>
        <v/>
      </c>
      <c r="V87" s="235">
        <f>IFERROR(_xlfn.XLOOKUP($C87,$D$3:$D$40,V$3:V$40)*$BD87,0)</f>
        <v/>
      </c>
      <c r="W87" s="235">
        <f>IFERROR(_xlfn.XLOOKUP($C87,$D$3:$D$40,W$3:W$40)*$BD87,0)</f>
        <v/>
      </c>
      <c r="X87" s="235">
        <f>IFERROR(_xlfn.XLOOKUP($C87,$D$3:$D$40,X$3:X$40)*$BD87,0)</f>
        <v/>
      </c>
      <c r="Y87" s="235">
        <f>IFERROR(_xlfn.XLOOKUP($C87,$D$3:$D$40,Y$3:Y$40)*$BD87,0)</f>
        <v/>
      </c>
      <c r="Z87" s="235">
        <f>IFERROR(_xlfn.XLOOKUP($C87,$D$3:$D$40,Z$3:Z$40)*$BD87,0)</f>
        <v/>
      </c>
      <c r="AA87" s="235">
        <f>IFERROR(_xlfn.XLOOKUP($C87,$D$3:$D$40,AA$3:AA$40)*$BD87,0)</f>
        <v/>
      </c>
      <c r="AB87" s="235">
        <f>IFERROR(_xlfn.XLOOKUP($C87,$D$3:$D$40,AB$3:AB$40)*$BD87,0)</f>
        <v/>
      </c>
      <c r="AC87" s="235">
        <f>IFERROR(_xlfn.XLOOKUP($C87,$D$3:$D$40,AC$3:AC$40)*$BD87,0)</f>
        <v/>
      </c>
      <c r="AD87" s="235">
        <f>IFERROR(_xlfn.XLOOKUP($C87,$D$3:$D$40,AD$3:AD$40)*$BD87,0)</f>
        <v/>
      </c>
      <c r="AE87" s="235">
        <f>IFERROR(_xlfn.XLOOKUP($C87,$D$3:$D$40,AE$3:AE$40)*$BD87,0)</f>
        <v/>
      </c>
      <c r="AF87" s="235">
        <f>IFERROR(_xlfn.XLOOKUP($C87,$D$3:$D$40,AF$3:AF$40)*$BD87,0)</f>
        <v/>
      </c>
      <c r="AG87" s="235">
        <f>IFERROR(_xlfn.XLOOKUP($C87,$D$3:$D$40,AG$3:AG$40)*$BD87,0)</f>
        <v/>
      </c>
      <c r="AH87" s="235">
        <f>IFERROR(_xlfn.XLOOKUP($C87,$D$3:$D$40,AH$3:AH$40)*$BD87,0)</f>
        <v/>
      </c>
      <c r="AI87" s="235">
        <f>IFERROR(_xlfn.XLOOKUP($C87,$D$3:$D$40,AI$3:AI$40)*$BD87,0)</f>
        <v/>
      </c>
      <c r="AJ87" s="235">
        <f>IFERROR(_xlfn.XLOOKUP($C87,$D$3:$D$40,AJ$3:AJ$40)*$BD87,0)</f>
        <v/>
      </c>
      <c r="AK87" s="235">
        <f>IFERROR(_xlfn.XLOOKUP($C87,$D$3:$D$40,AK$3:AK$40)*$BD87,0)</f>
        <v/>
      </c>
      <c r="AL87" s="235">
        <f>IFERROR(_xlfn.XLOOKUP($C87,$D$3:$D$40,AL$3:AL$40)*$BD87,0)</f>
        <v/>
      </c>
      <c r="AM87" s="235">
        <f>IFERROR(_xlfn.XLOOKUP($C87,$D$3:$D$40,AM$3:AM$40)*$BD87,0)</f>
        <v/>
      </c>
      <c r="AN87" s="235">
        <f>IFERROR(_xlfn.XLOOKUP($C87,$D$3:$D$40,AN$3:AN$40)*$BD87,0)</f>
        <v/>
      </c>
      <c r="AO87" s="235">
        <f>IFERROR(_xlfn.XLOOKUP($C87,$D$3:$D$40,AO$3:AO$40)*$BD87,0)</f>
        <v/>
      </c>
      <c r="AP87" s="235">
        <f>IFERROR(_xlfn.XLOOKUP($C87,$D$3:$D$40,AP$3:AP$40)*$BD87,0)</f>
        <v/>
      </c>
      <c r="AQ87" s="235">
        <f>IFERROR(_xlfn.XLOOKUP($C87,$D$3:$D$40,AQ$3:AQ$40)*$BD87,0)</f>
        <v/>
      </c>
      <c r="AR87" s="235">
        <f>IFERROR(_xlfn.XLOOKUP($C87,$D$3:$D$40,AR$3:AR$40)*$BD87,0)</f>
        <v/>
      </c>
      <c r="AS87" s="235">
        <f>IFERROR(_xlfn.XLOOKUP($C87,$D$3:$D$40,AS$3:AS$40)*$BD87,0)</f>
        <v/>
      </c>
      <c r="AT87" s="235">
        <f>IFERROR(_xlfn.XLOOKUP($C87,$D$3:$D$40,AT$3:AT$40)*$BD87,0)</f>
        <v/>
      </c>
      <c r="AU87" s="235">
        <f>IFERROR(_xlfn.XLOOKUP($C87,$D$3:$D$40,AU$3:AU$40)*$BD87,0)</f>
        <v/>
      </c>
      <c r="AV87" s="235">
        <f>IFERROR(_xlfn.XLOOKUP($C87,$D$3:$D$40,AV$3:AV$40)*$BD87,0)</f>
        <v/>
      </c>
      <c r="AW87" s="235">
        <f>IFERROR(_xlfn.XLOOKUP($C87,$D$3:$D$40,AW$3:AW$40)*$BD87,0)</f>
        <v/>
      </c>
      <c r="AX87" s="235">
        <f>IFERROR(_xlfn.XLOOKUP($C87,$D$3:$D$40,AX$3:AX$40)*$BD87,0)</f>
        <v/>
      </c>
      <c r="AY87" s="235">
        <f>IFERROR(_xlfn.XLOOKUP($C87,$D$3:$D$40,AY$3:AY$40)*$BD87,0)</f>
        <v/>
      </c>
      <c r="AZ87" s="235">
        <f>IFERROR(_xlfn.XLOOKUP($C87,$D$3:$D$40,AZ$3:AZ$40)*$BD87,0)</f>
        <v/>
      </c>
      <c r="BA87" s="235">
        <f>IFERROR(_xlfn.XLOOKUP($C87,$D$3:$D$40,BA$3:BA$40)*$BD87,0)</f>
        <v/>
      </c>
      <c r="BB87" s="235">
        <f>IFERROR(_xlfn.XLOOKUP($C87,$D$3:$D$40,BB$3:BB$40)*$BD87,0)</f>
        <v/>
      </c>
      <c r="BC87" s="228">
        <f>IFERROR(_xlfn.XLOOKUP(D87,'2C 均值'!$A:$A,'2C 均值'!$E:$E),0)</f>
        <v/>
      </c>
      <c r="BD87" s="228">
        <f t="array" ref="BD87">IF(OR($D87=0,$D87=""),"",_xlfn.LET(
        _xlpm.channel,$D87,
        _xlpm.factorName,$C87,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8" ht="15.75" customHeight="1" s="179">
      <c r="C88" s="84">
        <f>IF(OR($D88=0,$D88=""),"",_xlfn.LET(
    _xlpm.channel,$D88,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8" s="119">
        <f>'2B RotationRule'!C33</f>
        <v/>
      </c>
      <c r="E88" s="227">
        <f>IFERROR(_xlfn.XLOOKUP($C88,$D$3:$D$40,E$3:E$40)*$BD88,0)</f>
        <v/>
      </c>
      <c r="F88" s="227">
        <f>IFERROR(_xlfn.XLOOKUP($C88,$D$3:$D$40,F$3:F$40)*$BD88,0)</f>
        <v/>
      </c>
      <c r="G88" s="227">
        <f>IFERROR(_xlfn.XLOOKUP($C88,$D$3:$D$40,G$3:G$40)*$BD88,0)</f>
        <v/>
      </c>
      <c r="H88" s="235">
        <f>IFERROR(_xlfn.XLOOKUP($C88,$D$3:$D$40,H$3:H$40)*$BD88,0)</f>
        <v/>
      </c>
      <c r="I88" s="235">
        <f>IFERROR(_xlfn.XLOOKUP($C88,$D$3:$D$40,I$3:I$40)*$BD88,0)</f>
        <v/>
      </c>
      <c r="J88" s="235">
        <f>IFERROR(_xlfn.XLOOKUP($C88,$D$3:$D$40,J$3:J$40)*$BD88,0)</f>
        <v/>
      </c>
      <c r="K88" s="235">
        <f>IFERROR(_xlfn.XLOOKUP($C88,$D$3:$D$40,K$3:K$40)*$BD88,0)</f>
        <v/>
      </c>
      <c r="L88" s="235">
        <f>IFERROR(_xlfn.XLOOKUP($C88,$D$3:$D$40,L$3:L$40)*$BD88,0)</f>
        <v/>
      </c>
      <c r="M88" s="235">
        <f>IFERROR(_xlfn.XLOOKUP($C88,$D$3:$D$40,M$3:M$40)*$BD88,0)</f>
        <v/>
      </c>
      <c r="N88" s="235">
        <f>IFERROR(_xlfn.XLOOKUP($C88,$D$3:$D$40,N$3:N$40)*$BD88,0)</f>
        <v/>
      </c>
      <c r="O88" s="235">
        <f>IFERROR(_xlfn.XLOOKUP($C88,$D$3:$D$40,O$3:O$40)*$BD88,0)</f>
        <v/>
      </c>
      <c r="P88" s="235">
        <f>IFERROR(_xlfn.XLOOKUP($C88,$D$3:$D$40,P$3:P$40)*$BD88,0)</f>
        <v/>
      </c>
      <c r="Q88" s="235">
        <f>IFERROR(_xlfn.XLOOKUP($C88,$D$3:$D$40,Q$3:Q$40)*$BD88,0)</f>
        <v/>
      </c>
      <c r="R88" s="235">
        <f>IFERROR(_xlfn.XLOOKUP($C88,$D$3:$D$40,R$3:R$40)*$BD88,0)</f>
        <v/>
      </c>
      <c r="S88" s="235">
        <f>IFERROR(_xlfn.XLOOKUP($C88,$D$3:$D$40,S$3:S$40)*$BD88,0)</f>
        <v/>
      </c>
      <c r="T88" s="235">
        <f>IFERROR(_xlfn.XLOOKUP($C88,$D$3:$D$40,T$3:T$40)*$BD88,0)</f>
        <v/>
      </c>
      <c r="U88" s="235">
        <f>IFERROR(_xlfn.XLOOKUP($C88,$D$3:$D$40,U$3:U$40)*$BD88,0)</f>
        <v/>
      </c>
      <c r="V88" s="235">
        <f>IFERROR(_xlfn.XLOOKUP($C88,$D$3:$D$40,V$3:V$40)*$BD88,0)</f>
        <v/>
      </c>
      <c r="W88" s="235">
        <f>IFERROR(_xlfn.XLOOKUP($C88,$D$3:$D$40,W$3:W$40)*$BD88,0)</f>
        <v/>
      </c>
      <c r="X88" s="235">
        <f>IFERROR(_xlfn.XLOOKUP($C88,$D$3:$D$40,X$3:X$40)*$BD88,0)</f>
        <v/>
      </c>
      <c r="Y88" s="235">
        <f>IFERROR(_xlfn.XLOOKUP($C88,$D$3:$D$40,Y$3:Y$40)*$BD88,0)</f>
        <v/>
      </c>
      <c r="Z88" s="235">
        <f>IFERROR(_xlfn.XLOOKUP($C88,$D$3:$D$40,Z$3:Z$40)*$BD88,0)</f>
        <v/>
      </c>
      <c r="AA88" s="235">
        <f>IFERROR(_xlfn.XLOOKUP($C88,$D$3:$D$40,AA$3:AA$40)*$BD88,0)</f>
        <v/>
      </c>
      <c r="AB88" s="235">
        <f>IFERROR(_xlfn.XLOOKUP($C88,$D$3:$D$40,AB$3:AB$40)*$BD88,0)</f>
        <v/>
      </c>
      <c r="AC88" s="235">
        <f>IFERROR(_xlfn.XLOOKUP($C88,$D$3:$D$40,AC$3:AC$40)*$BD88,0)</f>
        <v/>
      </c>
      <c r="AD88" s="235">
        <f>IFERROR(_xlfn.XLOOKUP($C88,$D$3:$D$40,AD$3:AD$40)*$BD88,0)</f>
        <v/>
      </c>
      <c r="AE88" s="235">
        <f>IFERROR(_xlfn.XLOOKUP($C88,$D$3:$D$40,AE$3:AE$40)*$BD88,0)</f>
        <v/>
      </c>
      <c r="AF88" s="235">
        <f>IFERROR(_xlfn.XLOOKUP($C88,$D$3:$D$40,AF$3:AF$40)*$BD88,0)</f>
        <v/>
      </c>
      <c r="AG88" s="235">
        <f>IFERROR(_xlfn.XLOOKUP($C88,$D$3:$D$40,AG$3:AG$40)*$BD88,0)</f>
        <v/>
      </c>
      <c r="AH88" s="235">
        <f>IFERROR(_xlfn.XLOOKUP($C88,$D$3:$D$40,AH$3:AH$40)*$BD88,0)</f>
        <v/>
      </c>
      <c r="AI88" s="235">
        <f>IFERROR(_xlfn.XLOOKUP($C88,$D$3:$D$40,AI$3:AI$40)*$BD88,0)</f>
        <v/>
      </c>
      <c r="AJ88" s="235">
        <f>IFERROR(_xlfn.XLOOKUP($C88,$D$3:$D$40,AJ$3:AJ$40)*$BD88,0)</f>
        <v/>
      </c>
      <c r="AK88" s="235">
        <f>IFERROR(_xlfn.XLOOKUP($C88,$D$3:$D$40,AK$3:AK$40)*$BD88,0)</f>
        <v/>
      </c>
      <c r="AL88" s="235">
        <f>IFERROR(_xlfn.XLOOKUP($C88,$D$3:$D$40,AL$3:AL$40)*$BD88,0)</f>
        <v/>
      </c>
      <c r="AM88" s="235">
        <f>IFERROR(_xlfn.XLOOKUP($C88,$D$3:$D$40,AM$3:AM$40)*$BD88,0)</f>
        <v/>
      </c>
      <c r="AN88" s="235">
        <f>IFERROR(_xlfn.XLOOKUP($C88,$D$3:$D$40,AN$3:AN$40)*$BD88,0)</f>
        <v/>
      </c>
      <c r="AO88" s="235">
        <f>IFERROR(_xlfn.XLOOKUP($C88,$D$3:$D$40,AO$3:AO$40)*$BD88,0)</f>
        <v/>
      </c>
      <c r="AP88" s="235">
        <f>IFERROR(_xlfn.XLOOKUP($C88,$D$3:$D$40,AP$3:AP$40)*$BD88,0)</f>
        <v/>
      </c>
      <c r="AQ88" s="235">
        <f>IFERROR(_xlfn.XLOOKUP($C88,$D$3:$D$40,AQ$3:AQ$40)*$BD88,0)</f>
        <v/>
      </c>
      <c r="AR88" s="235">
        <f>IFERROR(_xlfn.XLOOKUP($C88,$D$3:$D$40,AR$3:AR$40)*$BD88,0)</f>
        <v/>
      </c>
      <c r="AS88" s="235">
        <f>IFERROR(_xlfn.XLOOKUP($C88,$D$3:$D$40,AS$3:AS$40)*$BD88,0)</f>
        <v/>
      </c>
      <c r="AT88" s="235">
        <f>IFERROR(_xlfn.XLOOKUP($C88,$D$3:$D$40,AT$3:AT$40)*$BD88,0)</f>
        <v/>
      </c>
      <c r="AU88" s="235">
        <f>IFERROR(_xlfn.XLOOKUP($C88,$D$3:$D$40,AU$3:AU$40)*$BD88,0)</f>
        <v/>
      </c>
      <c r="AV88" s="235">
        <f>IFERROR(_xlfn.XLOOKUP($C88,$D$3:$D$40,AV$3:AV$40)*$BD88,0)</f>
        <v/>
      </c>
      <c r="AW88" s="235">
        <f>IFERROR(_xlfn.XLOOKUP($C88,$D$3:$D$40,AW$3:AW$40)*$BD88,0)</f>
        <v/>
      </c>
      <c r="AX88" s="235">
        <f>IFERROR(_xlfn.XLOOKUP($C88,$D$3:$D$40,AX$3:AX$40)*$BD88,0)</f>
        <v/>
      </c>
      <c r="AY88" s="235">
        <f>IFERROR(_xlfn.XLOOKUP($C88,$D$3:$D$40,AY$3:AY$40)*$BD88,0)</f>
        <v/>
      </c>
      <c r="AZ88" s="235">
        <f>IFERROR(_xlfn.XLOOKUP($C88,$D$3:$D$40,AZ$3:AZ$40)*$BD88,0)</f>
        <v/>
      </c>
      <c r="BA88" s="235">
        <f>IFERROR(_xlfn.XLOOKUP($C88,$D$3:$D$40,BA$3:BA$40)*$BD88,0)</f>
        <v/>
      </c>
      <c r="BB88" s="235">
        <f>IFERROR(_xlfn.XLOOKUP($C88,$D$3:$D$40,BB$3:BB$40)*$BD88,0)</f>
        <v/>
      </c>
      <c r="BC88" s="228">
        <f>IFERROR(_xlfn.XLOOKUP(D88,'2C 均值'!$A:$A,'2C 均值'!$E:$E),0)</f>
        <v/>
      </c>
      <c r="BD88" s="228">
        <f t="array" ref="BD88">IF(OR($D88=0,$D88=""),"",_xlfn.LET(
        _xlpm.channel,$D88,
        _xlpm.factorName,$C88,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9" ht="15.75" customHeight="1" s="179">
      <c r="C89" s="84">
        <f>IF(OR($D89=0,$D89=""),"",_xlfn.LET(
    _xlpm.channel,$D89,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9" s="119">
        <f>'2B RotationRule'!C34</f>
        <v/>
      </c>
      <c r="E89" s="227">
        <f>IFERROR(_xlfn.XLOOKUP($C89,$D$3:$D$40,E$3:E$40)*$BD89,0)</f>
        <v/>
      </c>
      <c r="F89" s="227">
        <f>IFERROR(_xlfn.XLOOKUP($C89,$D$3:$D$40,F$3:F$40)*$BD89,0)</f>
        <v/>
      </c>
      <c r="G89" s="227">
        <f>IFERROR(_xlfn.XLOOKUP($C89,$D$3:$D$40,G$3:G$40)*$BD89,0)</f>
        <v/>
      </c>
      <c r="H89" s="235">
        <f>IFERROR(_xlfn.XLOOKUP($C89,$D$3:$D$40,H$3:H$40)*$BD89,0)</f>
        <v/>
      </c>
      <c r="I89" s="235">
        <f>IFERROR(_xlfn.XLOOKUP($C89,$D$3:$D$40,I$3:I$40)*$BD89,0)</f>
        <v/>
      </c>
      <c r="J89" s="235">
        <f>IFERROR(_xlfn.XLOOKUP($C89,$D$3:$D$40,J$3:J$40)*$BD89,0)</f>
        <v/>
      </c>
      <c r="K89" s="235">
        <f>IFERROR(_xlfn.XLOOKUP($C89,$D$3:$D$40,K$3:K$40)*$BD89,0)</f>
        <v/>
      </c>
      <c r="L89" s="235">
        <f>IFERROR(_xlfn.XLOOKUP($C89,$D$3:$D$40,L$3:L$40)*$BD89,0)</f>
        <v/>
      </c>
      <c r="M89" s="235">
        <f>IFERROR(_xlfn.XLOOKUP($C89,$D$3:$D$40,M$3:M$40)*$BD89,0)</f>
        <v/>
      </c>
      <c r="N89" s="235">
        <f>IFERROR(_xlfn.XLOOKUP($C89,$D$3:$D$40,N$3:N$40)*$BD89,0)</f>
        <v/>
      </c>
      <c r="O89" s="235">
        <f>IFERROR(_xlfn.XLOOKUP($C89,$D$3:$D$40,O$3:O$40)*$BD89,0)</f>
        <v/>
      </c>
      <c r="P89" s="235">
        <f>IFERROR(_xlfn.XLOOKUP($C89,$D$3:$D$40,P$3:P$40)*$BD89,0)</f>
        <v/>
      </c>
      <c r="Q89" s="235">
        <f>IFERROR(_xlfn.XLOOKUP($C89,$D$3:$D$40,Q$3:Q$40)*$BD89,0)</f>
        <v/>
      </c>
      <c r="R89" s="235">
        <f>IFERROR(_xlfn.XLOOKUP($C89,$D$3:$D$40,R$3:R$40)*$BD89,0)</f>
        <v/>
      </c>
      <c r="S89" s="235">
        <f>IFERROR(_xlfn.XLOOKUP($C89,$D$3:$D$40,S$3:S$40)*$BD89,0)</f>
        <v/>
      </c>
      <c r="T89" s="235">
        <f>IFERROR(_xlfn.XLOOKUP($C89,$D$3:$D$40,T$3:T$40)*$BD89,0)</f>
        <v/>
      </c>
      <c r="U89" s="235">
        <f>IFERROR(_xlfn.XLOOKUP($C89,$D$3:$D$40,U$3:U$40)*$BD89,0)</f>
        <v/>
      </c>
      <c r="V89" s="235">
        <f>IFERROR(_xlfn.XLOOKUP($C89,$D$3:$D$40,V$3:V$40)*$BD89,0)</f>
        <v/>
      </c>
      <c r="W89" s="235">
        <f>IFERROR(_xlfn.XLOOKUP($C89,$D$3:$D$40,W$3:W$40)*$BD89,0)</f>
        <v/>
      </c>
      <c r="X89" s="235">
        <f>IFERROR(_xlfn.XLOOKUP($C89,$D$3:$D$40,X$3:X$40)*$BD89,0)</f>
        <v/>
      </c>
      <c r="Y89" s="235">
        <f>IFERROR(_xlfn.XLOOKUP($C89,$D$3:$D$40,Y$3:Y$40)*$BD89,0)</f>
        <v/>
      </c>
      <c r="Z89" s="235">
        <f>IFERROR(_xlfn.XLOOKUP($C89,$D$3:$D$40,Z$3:Z$40)*$BD89,0)</f>
        <v/>
      </c>
      <c r="AA89" s="235">
        <f>IFERROR(_xlfn.XLOOKUP($C89,$D$3:$D$40,AA$3:AA$40)*$BD89,0)</f>
        <v/>
      </c>
      <c r="AB89" s="235">
        <f>IFERROR(_xlfn.XLOOKUP($C89,$D$3:$D$40,AB$3:AB$40)*$BD89,0)</f>
        <v/>
      </c>
      <c r="AC89" s="235">
        <f>IFERROR(_xlfn.XLOOKUP($C89,$D$3:$D$40,AC$3:AC$40)*$BD89,0)</f>
        <v/>
      </c>
      <c r="AD89" s="235">
        <f>IFERROR(_xlfn.XLOOKUP($C89,$D$3:$D$40,AD$3:AD$40)*$BD89,0)</f>
        <v/>
      </c>
      <c r="AE89" s="235">
        <f>IFERROR(_xlfn.XLOOKUP($C89,$D$3:$D$40,AE$3:AE$40)*$BD89,0)</f>
        <v/>
      </c>
      <c r="AF89" s="235">
        <f>IFERROR(_xlfn.XLOOKUP($C89,$D$3:$D$40,AF$3:AF$40)*$BD89,0)</f>
        <v/>
      </c>
      <c r="AG89" s="235">
        <f>IFERROR(_xlfn.XLOOKUP($C89,$D$3:$D$40,AG$3:AG$40)*$BD89,0)</f>
        <v/>
      </c>
      <c r="AH89" s="235">
        <f>IFERROR(_xlfn.XLOOKUP($C89,$D$3:$D$40,AH$3:AH$40)*$BD89,0)</f>
        <v/>
      </c>
      <c r="AI89" s="235">
        <f>IFERROR(_xlfn.XLOOKUP($C89,$D$3:$D$40,AI$3:AI$40)*$BD89,0)</f>
        <v/>
      </c>
      <c r="AJ89" s="235">
        <f>IFERROR(_xlfn.XLOOKUP($C89,$D$3:$D$40,AJ$3:AJ$40)*$BD89,0)</f>
        <v/>
      </c>
      <c r="AK89" s="235">
        <f>IFERROR(_xlfn.XLOOKUP($C89,$D$3:$D$40,AK$3:AK$40)*$BD89,0)</f>
        <v/>
      </c>
      <c r="AL89" s="235">
        <f>IFERROR(_xlfn.XLOOKUP($C89,$D$3:$D$40,AL$3:AL$40)*$BD89,0)</f>
        <v/>
      </c>
      <c r="AM89" s="235">
        <f>IFERROR(_xlfn.XLOOKUP($C89,$D$3:$D$40,AM$3:AM$40)*$BD89,0)</f>
        <v/>
      </c>
      <c r="AN89" s="235">
        <f>IFERROR(_xlfn.XLOOKUP($C89,$D$3:$D$40,AN$3:AN$40)*$BD89,0)</f>
        <v/>
      </c>
      <c r="AO89" s="235">
        <f>IFERROR(_xlfn.XLOOKUP($C89,$D$3:$D$40,AO$3:AO$40)*$BD89,0)</f>
        <v/>
      </c>
      <c r="AP89" s="235">
        <f>IFERROR(_xlfn.XLOOKUP($C89,$D$3:$D$40,AP$3:AP$40)*$BD89,0)</f>
        <v/>
      </c>
      <c r="AQ89" s="235">
        <f>IFERROR(_xlfn.XLOOKUP($C89,$D$3:$D$40,AQ$3:AQ$40)*$BD89,0)</f>
        <v/>
      </c>
      <c r="AR89" s="235">
        <f>IFERROR(_xlfn.XLOOKUP($C89,$D$3:$D$40,AR$3:AR$40)*$BD89,0)</f>
        <v/>
      </c>
      <c r="AS89" s="235">
        <f>IFERROR(_xlfn.XLOOKUP($C89,$D$3:$D$40,AS$3:AS$40)*$BD89,0)</f>
        <v/>
      </c>
      <c r="AT89" s="235">
        <f>IFERROR(_xlfn.XLOOKUP($C89,$D$3:$D$40,AT$3:AT$40)*$BD89,0)</f>
        <v/>
      </c>
      <c r="AU89" s="235">
        <f>IFERROR(_xlfn.XLOOKUP($C89,$D$3:$D$40,AU$3:AU$40)*$BD89,0)</f>
        <v/>
      </c>
      <c r="AV89" s="235">
        <f>IFERROR(_xlfn.XLOOKUP($C89,$D$3:$D$40,AV$3:AV$40)*$BD89,0)</f>
        <v/>
      </c>
      <c r="AW89" s="235">
        <f>IFERROR(_xlfn.XLOOKUP($C89,$D$3:$D$40,AW$3:AW$40)*$BD89,0)</f>
        <v/>
      </c>
      <c r="AX89" s="235">
        <f>IFERROR(_xlfn.XLOOKUP($C89,$D$3:$D$40,AX$3:AX$40)*$BD89,0)</f>
        <v/>
      </c>
      <c r="AY89" s="235">
        <f>IFERROR(_xlfn.XLOOKUP($C89,$D$3:$D$40,AY$3:AY$40)*$BD89,0)</f>
        <v/>
      </c>
      <c r="AZ89" s="235">
        <f>IFERROR(_xlfn.XLOOKUP($C89,$D$3:$D$40,AZ$3:AZ$40)*$BD89,0)</f>
        <v/>
      </c>
      <c r="BA89" s="235">
        <f>IFERROR(_xlfn.XLOOKUP($C89,$D$3:$D$40,BA$3:BA$40)*$BD89,0)</f>
        <v/>
      </c>
      <c r="BB89" s="235">
        <f>IFERROR(_xlfn.XLOOKUP($C89,$D$3:$D$40,BB$3:BB$40)*$BD89,0)</f>
        <v/>
      </c>
      <c r="BC89" s="228">
        <f>IFERROR(_xlfn.XLOOKUP(D89,'2C 均值'!$A:$A,'2C 均值'!$E:$E),0)</f>
        <v/>
      </c>
      <c r="BD89" s="228">
        <f t="array" ref="BD89">IF(OR($D89=0,$D89=""),"",_xlfn.LET(
        _xlpm.channel,$D89,
        _xlpm.factorName,$C89,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90" ht="15.75" customHeight="1" s="179">
      <c r="C90" s="84">
        <f>IF(OR($D90=0,$D90=""),"",_xlfn.LET(
    _xlpm.channel,$D90,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90" s="119">
        <f>'2B RotationRule'!C35</f>
        <v/>
      </c>
      <c r="E90" s="227">
        <f>IFERROR(_xlfn.XLOOKUP($C90,$D$3:$D$40,E$3:E$40)*$BD90,0)</f>
        <v/>
      </c>
      <c r="F90" s="227">
        <f>IFERROR(_xlfn.XLOOKUP($C90,$D$3:$D$40,F$3:F$40)*$BD90,0)</f>
        <v/>
      </c>
      <c r="G90" s="227">
        <f>IFERROR(_xlfn.XLOOKUP($C90,$D$3:$D$40,G$3:G$40)*$BD90,0)</f>
        <v/>
      </c>
      <c r="H90" s="235">
        <f>IFERROR(_xlfn.XLOOKUP($C90,$D$3:$D$40,H$3:H$40)*$BD90,0)</f>
        <v/>
      </c>
      <c r="I90" s="235">
        <f>IFERROR(_xlfn.XLOOKUP($C90,$D$3:$D$40,I$3:I$40)*$BD90,0)</f>
        <v/>
      </c>
      <c r="J90" s="235">
        <f>IFERROR(_xlfn.XLOOKUP($C90,$D$3:$D$40,J$3:J$40)*$BD90,0)</f>
        <v/>
      </c>
      <c r="K90" s="235">
        <f>IFERROR(_xlfn.XLOOKUP($C90,$D$3:$D$40,K$3:K$40)*$BD90,0)</f>
        <v/>
      </c>
      <c r="L90" s="235">
        <f>IFERROR(_xlfn.XLOOKUP($C90,$D$3:$D$40,L$3:L$40)*$BD90,0)</f>
        <v/>
      </c>
      <c r="M90" s="235">
        <f>IFERROR(_xlfn.XLOOKUP($C90,$D$3:$D$40,M$3:M$40)*$BD90,0)</f>
        <v/>
      </c>
      <c r="N90" s="235">
        <f>IFERROR(_xlfn.XLOOKUP($C90,$D$3:$D$40,N$3:N$40)*$BD90,0)</f>
        <v/>
      </c>
      <c r="O90" s="235">
        <f>IFERROR(_xlfn.XLOOKUP($C90,$D$3:$D$40,O$3:O$40)*$BD90,0)</f>
        <v/>
      </c>
      <c r="P90" s="235">
        <f>IFERROR(_xlfn.XLOOKUP($C90,$D$3:$D$40,P$3:P$40)*$BD90,0)</f>
        <v/>
      </c>
      <c r="Q90" s="235">
        <f>IFERROR(_xlfn.XLOOKUP($C90,$D$3:$D$40,Q$3:Q$40)*$BD90,0)</f>
        <v/>
      </c>
      <c r="R90" s="235">
        <f>IFERROR(_xlfn.XLOOKUP($C90,$D$3:$D$40,R$3:R$40)*$BD90,0)</f>
        <v/>
      </c>
      <c r="S90" s="235">
        <f>IFERROR(_xlfn.XLOOKUP($C90,$D$3:$D$40,S$3:S$40)*$BD90,0)</f>
        <v/>
      </c>
      <c r="T90" s="235">
        <f>IFERROR(_xlfn.XLOOKUP($C90,$D$3:$D$40,T$3:T$40)*$BD90,0)</f>
        <v/>
      </c>
      <c r="U90" s="235">
        <f>IFERROR(_xlfn.XLOOKUP($C90,$D$3:$D$40,U$3:U$40)*$BD90,0)</f>
        <v/>
      </c>
      <c r="V90" s="235">
        <f>IFERROR(_xlfn.XLOOKUP($C90,$D$3:$D$40,V$3:V$40)*$BD90,0)</f>
        <v/>
      </c>
      <c r="W90" s="235">
        <f>IFERROR(_xlfn.XLOOKUP($C90,$D$3:$D$40,W$3:W$40)*$BD90,0)</f>
        <v/>
      </c>
      <c r="X90" s="235">
        <f>IFERROR(_xlfn.XLOOKUP($C90,$D$3:$D$40,X$3:X$40)*$BD90,0)</f>
        <v/>
      </c>
      <c r="Y90" s="235">
        <f>IFERROR(_xlfn.XLOOKUP($C90,$D$3:$D$40,Y$3:Y$40)*$BD90,0)</f>
        <v/>
      </c>
      <c r="Z90" s="235">
        <f>IFERROR(_xlfn.XLOOKUP($C90,$D$3:$D$40,Z$3:Z$40)*$BD90,0)</f>
        <v/>
      </c>
      <c r="AA90" s="235">
        <f>IFERROR(_xlfn.XLOOKUP($C90,$D$3:$D$40,AA$3:AA$40)*$BD90,0)</f>
        <v/>
      </c>
      <c r="AB90" s="235">
        <f>IFERROR(_xlfn.XLOOKUP($C90,$D$3:$D$40,AB$3:AB$40)*$BD90,0)</f>
        <v/>
      </c>
      <c r="AC90" s="235">
        <f>IFERROR(_xlfn.XLOOKUP($C90,$D$3:$D$40,AC$3:AC$40)*$BD90,0)</f>
        <v/>
      </c>
      <c r="AD90" s="235">
        <f>IFERROR(_xlfn.XLOOKUP($C90,$D$3:$D$40,AD$3:AD$40)*$BD90,0)</f>
        <v/>
      </c>
      <c r="AE90" s="235">
        <f>IFERROR(_xlfn.XLOOKUP($C90,$D$3:$D$40,AE$3:AE$40)*$BD90,0)</f>
        <v/>
      </c>
      <c r="AF90" s="235">
        <f>IFERROR(_xlfn.XLOOKUP($C90,$D$3:$D$40,AF$3:AF$40)*$BD90,0)</f>
        <v/>
      </c>
      <c r="AG90" s="235">
        <f>IFERROR(_xlfn.XLOOKUP($C90,$D$3:$D$40,AG$3:AG$40)*$BD90,0)</f>
        <v/>
      </c>
      <c r="AH90" s="235">
        <f>IFERROR(_xlfn.XLOOKUP($C90,$D$3:$D$40,AH$3:AH$40)*$BD90,0)</f>
        <v/>
      </c>
      <c r="AI90" s="235">
        <f>IFERROR(_xlfn.XLOOKUP($C90,$D$3:$D$40,AI$3:AI$40)*$BD90,0)</f>
        <v/>
      </c>
      <c r="AJ90" s="235">
        <f>IFERROR(_xlfn.XLOOKUP($C90,$D$3:$D$40,AJ$3:AJ$40)*$BD90,0)</f>
        <v/>
      </c>
      <c r="AK90" s="235">
        <f>IFERROR(_xlfn.XLOOKUP($C90,$D$3:$D$40,AK$3:AK$40)*$BD90,0)</f>
        <v/>
      </c>
      <c r="AL90" s="235">
        <f>IFERROR(_xlfn.XLOOKUP($C90,$D$3:$D$40,AL$3:AL$40)*$BD90,0)</f>
        <v/>
      </c>
      <c r="AM90" s="235">
        <f>IFERROR(_xlfn.XLOOKUP($C90,$D$3:$D$40,AM$3:AM$40)*$BD90,0)</f>
        <v/>
      </c>
      <c r="AN90" s="235">
        <f>IFERROR(_xlfn.XLOOKUP($C90,$D$3:$D$40,AN$3:AN$40)*$BD90,0)</f>
        <v/>
      </c>
      <c r="AO90" s="235">
        <f>IFERROR(_xlfn.XLOOKUP($C90,$D$3:$D$40,AO$3:AO$40)*$BD90,0)</f>
        <v/>
      </c>
      <c r="AP90" s="235">
        <f>IFERROR(_xlfn.XLOOKUP($C90,$D$3:$D$40,AP$3:AP$40)*$BD90,0)</f>
        <v/>
      </c>
      <c r="AQ90" s="235">
        <f>IFERROR(_xlfn.XLOOKUP($C90,$D$3:$D$40,AQ$3:AQ$40)*$BD90,0)</f>
        <v/>
      </c>
      <c r="AR90" s="235">
        <f>IFERROR(_xlfn.XLOOKUP($C90,$D$3:$D$40,AR$3:AR$40)*$BD90,0)</f>
        <v/>
      </c>
      <c r="AS90" s="235">
        <f>IFERROR(_xlfn.XLOOKUP($C90,$D$3:$D$40,AS$3:AS$40)*$BD90,0)</f>
        <v/>
      </c>
      <c r="AT90" s="235">
        <f>IFERROR(_xlfn.XLOOKUP($C90,$D$3:$D$40,AT$3:AT$40)*$BD90,0)</f>
        <v/>
      </c>
      <c r="AU90" s="235">
        <f>IFERROR(_xlfn.XLOOKUP($C90,$D$3:$D$40,AU$3:AU$40)*$BD90,0)</f>
        <v/>
      </c>
      <c r="AV90" s="235">
        <f>IFERROR(_xlfn.XLOOKUP($C90,$D$3:$D$40,AV$3:AV$40)*$BD90,0)</f>
        <v/>
      </c>
      <c r="AW90" s="235">
        <f>IFERROR(_xlfn.XLOOKUP($C90,$D$3:$D$40,AW$3:AW$40)*$BD90,0)</f>
        <v/>
      </c>
      <c r="AX90" s="235">
        <f>IFERROR(_xlfn.XLOOKUP($C90,$D$3:$D$40,AX$3:AX$40)*$BD90,0)</f>
        <v/>
      </c>
      <c r="AY90" s="235">
        <f>IFERROR(_xlfn.XLOOKUP($C90,$D$3:$D$40,AY$3:AY$40)*$BD90,0)</f>
        <v/>
      </c>
      <c r="AZ90" s="235">
        <f>IFERROR(_xlfn.XLOOKUP($C90,$D$3:$D$40,AZ$3:AZ$40)*$BD90,0)</f>
        <v/>
      </c>
      <c r="BA90" s="235">
        <f>IFERROR(_xlfn.XLOOKUP($C90,$D$3:$D$40,BA$3:BA$40)*$BD90,0)</f>
        <v/>
      </c>
      <c r="BB90" s="235">
        <f>IFERROR(_xlfn.XLOOKUP($C90,$D$3:$D$40,BB$3:BB$40)*$BD90,0)</f>
        <v/>
      </c>
      <c r="BC90" s="228">
        <f>IFERROR(_xlfn.XLOOKUP(D90,'2C 均值'!$A:$A,'2C 均值'!$E:$E),0)</f>
        <v/>
      </c>
      <c r="BD90" s="228">
        <f t="array" ref="BD90">IF(OR($D90=0,$D90=""),"",_xlfn.LET(
        _xlpm.channel,$D90,
        _xlpm.factorName,$C90,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91" ht="15.75" customHeight="1" s="179">
      <c r="C91" s="84">
        <f>IF(OR($D91=0,$D91=""),"",_xlfn.LET(
    _xlpm.channel,$D91,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91" s="119">
        <f>'2B RotationRule'!C36</f>
        <v/>
      </c>
      <c r="E91" s="227">
        <f>IFERROR(_xlfn.XLOOKUP($C91,$D$3:$D$40,E$3:E$40)*$BD91,0)</f>
        <v/>
      </c>
      <c r="F91" s="227">
        <f>IFERROR(_xlfn.XLOOKUP($C91,$D$3:$D$40,F$3:F$40)*$BD91,0)</f>
        <v/>
      </c>
      <c r="G91" s="227">
        <f>IFERROR(_xlfn.XLOOKUP($C91,$D$3:$D$40,G$3:G$40)*$BD91,0)</f>
        <v/>
      </c>
      <c r="H91" s="235">
        <f>IFERROR(_xlfn.XLOOKUP($C91,$D$3:$D$40,H$3:H$40)*$BD91,0)</f>
        <v/>
      </c>
      <c r="I91" s="235">
        <f>IFERROR(_xlfn.XLOOKUP($C91,$D$3:$D$40,I$3:I$40)*$BD91,0)</f>
        <v/>
      </c>
      <c r="J91" s="235">
        <f>IFERROR(_xlfn.XLOOKUP($C91,$D$3:$D$40,J$3:J$40)*$BD91,0)</f>
        <v/>
      </c>
      <c r="K91" s="235">
        <f>IFERROR(_xlfn.XLOOKUP($C91,$D$3:$D$40,K$3:K$40)*$BD91,0)</f>
        <v/>
      </c>
      <c r="L91" s="235">
        <f>IFERROR(_xlfn.XLOOKUP($C91,$D$3:$D$40,L$3:L$40)*$BD91,0)</f>
        <v/>
      </c>
      <c r="M91" s="235">
        <f>IFERROR(_xlfn.XLOOKUP($C91,$D$3:$D$40,M$3:M$40)*$BD91,0)</f>
        <v/>
      </c>
      <c r="N91" s="235">
        <f>IFERROR(_xlfn.XLOOKUP($C91,$D$3:$D$40,N$3:N$40)*$BD91,0)</f>
        <v/>
      </c>
      <c r="O91" s="235">
        <f>IFERROR(_xlfn.XLOOKUP($C91,$D$3:$D$40,O$3:O$40)*$BD91,0)</f>
        <v/>
      </c>
      <c r="P91" s="235">
        <f>IFERROR(_xlfn.XLOOKUP($C91,$D$3:$D$40,P$3:P$40)*$BD91,0)</f>
        <v/>
      </c>
      <c r="Q91" s="235">
        <f>IFERROR(_xlfn.XLOOKUP($C91,$D$3:$D$40,Q$3:Q$40)*$BD91,0)</f>
        <v/>
      </c>
      <c r="R91" s="235">
        <f>IFERROR(_xlfn.XLOOKUP($C91,$D$3:$D$40,R$3:R$40)*$BD91,0)</f>
        <v/>
      </c>
      <c r="S91" s="235">
        <f>IFERROR(_xlfn.XLOOKUP($C91,$D$3:$D$40,S$3:S$40)*$BD91,0)</f>
        <v/>
      </c>
      <c r="T91" s="235">
        <f>IFERROR(_xlfn.XLOOKUP($C91,$D$3:$D$40,T$3:T$40)*$BD91,0)</f>
        <v/>
      </c>
      <c r="U91" s="235">
        <f>IFERROR(_xlfn.XLOOKUP($C91,$D$3:$D$40,U$3:U$40)*$BD91,0)</f>
        <v/>
      </c>
      <c r="V91" s="235">
        <f>IFERROR(_xlfn.XLOOKUP($C91,$D$3:$D$40,V$3:V$40)*$BD91,0)</f>
        <v/>
      </c>
      <c r="W91" s="235">
        <f>IFERROR(_xlfn.XLOOKUP($C91,$D$3:$D$40,W$3:W$40)*$BD91,0)</f>
        <v/>
      </c>
      <c r="X91" s="235">
        <f>IFERROR(_xlfn.XLOOKUP($C91,$D$3:$D$40,X$3:X$40)*$BD91,0)</f>
        <v/>
      </c>
      <c r="Y91" s="235">
        <f>IFERROR(_xlfn.XLOOKUP($C91,$D$3:$D$40,Y$3:Y$40)*$BD91,0)</f>
        <v/>
      </c>
      <c r="Z91" s="235">
        <f>IFERROR(_xlfn.XLOOKUP($C91,$D$3:$D$40,Z$3:Z$40)*$BD91,0)</f>
        <v/>
      </c>
      <c r="AA91" s="235">
        <f>IFERROR(_xlfn.XLOOKUP($C91,$D$3:$D$40,AA$3:AA$40)*$BD91,0)</f>
        <v/>
      </c>
      <c r="AB91" s="235">
        <f>IFERROR(_xlfn.XLOOKUP($C91,$D$3:$D$40,AB$3:AB$40)*$BD91,0)</f>
        <v/>
      </c>
      <c r="AC91" s="235">
        <f>IFERROR(_xlfn.XLOOKUP($C91,$D$3:$D$40,AC$3:AC$40)*$BD91,0)</f>
        <v/>
      </c>
      <c r="AD91" s="235">
        <f>IFERROR(_xlfn.XLOOKUP($C91,$D$3:$D$40,AD$3:AD$40)*$BD91,0)</f>
        <v/>
      </c>
      <c r="AE91" s="235">
        <f>IFERROR(_xlfn.XLOOKUP($C91,$D$3:$D$40,AE$3:AE$40)*$BD91,0)</f>
        <v/>
      </c>
      <c r="AF91" s="235">
        <f>IFERROR(_xlfn.XLOOKUP($C91,$D$3:$D$40,AF$3:AF$40)*$BD91,0)</f>
        <v/>
      </c>
      <c r="AG91" s="235">
        <f>IFERROR(_xlfn.XLOOKUP($C91,$D$3:$D$40,AG$3:AG$40)*$BD91,0)</f>
        <v/>
      </c>
      <c r="AH91" s="235">
        <f>IFERROR(_xlfn.XLOOKUP($C91,$D$3:$D$40,AH$3:AH$40)*$BD91,0)</f>
        <v/>
      </c>
      <c r="AI91" s="235">
        <f>IFERROR(_xlfn.XLOOKUP($C91,$D$3:$D$40,AI$3:AI$40)*$BD91,0)</f>
        <v/>
      </c>
      <c r="AJ91" s="235">
        <f>IFERROR(_xlfn.XLOOKUP($C91,$D$3:$D$40,AJ$3:AJ$40)*$BD91,0)</f>
        <v/>
      </c>
      <c r="AK91" s="235">
        <f>IFERROR(_xlfn.XLOOKUP($C91,$D$3:$D$40,AK$3:AK$40)*$BD91,0)</f>
        <v/>
      </c>
      <c r="AL91" s="235">
        <f>IFERROR(_xlfn.XLOOKUP($C91,$D$3:$D$40,AL$3:AL$40)*$BD91,0)</f>
        <v/>
      </c>
      <c r="AM91" s="235">
        <f>IFERROR(_xlfn.XLOOKUP($C91,$D$3:$D$40,AM$3:AM$40)*$BD91,0)</f>
        <v/>
      </c>
      <c r="AN91" s="235">
        <f>IFERROR(_xlfn.XLOOKUP($C91,$D$3:$D$40,AN$3:AN$40)*$BD91,0)</f>
        <v/>
      </c>
      <c r="AO91" s="235">
        <f>IFERROR(_xlfn.XLOOKUP($C91,$D$3:$D$40,AO$3:AO$40)*$BD91,0)</f>
        <v/>
      </c>
      <c r="AP91" s="235">
        <f>IFERROR(_xlfn.XLOOKUP($C91,$D$3:$D$40,AP$3:AP$40)*$BD91,0)</f>
        <v/>
      </c>
      <c r="AQ91" s="235">
        <f>IFERROR(_xlfn.XLOOKUP($C91,$D$3:$D$40,AQ$3:AQ$40)*$BD91,0)</f>
        <v/>
      </c>
      <c r="AR91" s="235">
        <f>IFERROR(_xlfn.XLOOKUP($C91,$D$3:$D$40,AR$3:AR$40)*$BD91,0)</f>
        <v/>
      </c>
      <c r="AS91" s="235">
        <f>IFERROR(_xlfn.XLOOKUP($C91,$D$3:$D$40,AS$3:AS$40)*$BD91,0)</f>
        <v/>
      </c>
      <c r="AT91" s="235">
        <f>IFERROR(_xlfn.XLOOKUP($C91,$D$3:$D$40,AT$3:AT$40)*$BD91,0)</f>
        <v/>
      </c>
      <c r="AU91" s="235">
        <f>IFERROR(_xlfn.XLOOKUP($C91,$D$3:$D$40,AU$3:AU$40)*$BD91,0)</f>
        <v/>
      </c>
      <c r="AV91" s="235">
        <f>IFERROR(_xlfn.XLOOKUP($C91,$D$3:$D$40,AV$3:AV$40)*$BD91,0)</f>
        <v/>
      </c>
      <c r="AW91" s="235">
        <f>IFERROR(_xlfn.XLOOKUP($C91,$D$3:$D$40,AW$3:AW$40)*$BD91,0)</f>
        <v/>
      </c>
      <c r="AX91" s="235">
        <f>IFERROR(_xlfn.XLOOKUP($C91,$D$3:$D$40,AX$3:AX$40)*$BD91,0)</f>
        <v/>
      </c>
      <c r="AY91" s="235">
        <f>IFERROR(_xlfn.XLOOKUP($C91,$D$3:$D$40,AY$3:AY$40)*$BD91,0)</f>
        <v/>
      </c>
      <c r="AZ91" s="235">
        <f>IFERROR(_xlfn.XLOOKUP($C91,$D$3:$D$40,AZ$3:AZ$40)*$BD91,0)</f>
        <v/>
      </c>
      <c r="BA91" s="235">
        <f>IFERROR(_xlfn.XLOOKUP($C91,$D$3:$D$40,BA$3:BA$40)*$BD91,0)</f>
        <v/>
      </c>
      <c r="BB91" s="235">
        <f>IFERROR(_xlfn.XLOOKUP($C91,$D$3:$D$40,BB$3:BB$40)*$BD91,0)</f>
        <v/>
      </c>
      <c r="BC91" s="228">
        <f>IFERROR(_xlfn.XLOOKUP(D91,'2C 均值'!$A:$A,'2C 均值'!$E:$E),0)</f>
        <v/>
      </c>
      <c r="BD91" s="228">
        <f t="array" ref="BD91">IF(OR($D91=0,$D91=""),"",_xlfn.LET(
        _xlpm.channel,$D91,
        _xlpm.factorName,$C91,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92" ht="15.75" customHeight="1" s="179">
      <c r="C92" s="84">
        <f>IF(OR($D92=0,$D92=""),"",_xlfn.LET(
    _xlpm.channel,$D92,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92" s="119">
        <f>'2B RotationRule'!C37</f>
        <v/>
      </c>
      <c r="E92" s="227">
        <f>IFERROR(_xlfn.XLOOKUP($C92,$D$3:$D$40,E$3:E$40)*$BD92,0)</f>
        <v/>
      </c>
      <c r="F92" s="227">
        <f>IFERROR(_xlfn.XLOOKUP($C92,$D$3:$D$40,F$3:F$40)*$BD92,0)</f>
        <v/>
      </c>
      <c r="G92" s="227">
        <f>IFERROR(_xlfn.XLOOKUP($C92,$D$3:$D$40,G$3:G$40)*$BD92,0)</f>
        <v/>
      </c>
      <c r="H92" s="235">
        <f>IFERROR(_xlfn.XLOOKUP($C92,$D$3:$D$40,H$3:H$40)*$BD92,0)</f>
        <v/>
      </c>
      <c r="I92" s="235">
        <f>IFERROR(_xlfn.XLOOKUP($C92,$D$3:$D$40,I$3:I$40)*$BD92,0)</f>
        <v/>
      </c>
      <c r="J92" s="235">
        <f>IFERROR(_xlfn.XLOOKUP($C92,$D$3:$D$40,J$3:J$40)*$BD92,0)</f>
        <v/>
      </c>
      <c r="K92" s="235">
        <f>IFERROR(_xlfn.XLOOKUP($C92,$D$3:$D$40,K$3:K$40)*$BD92,0)</f>
        <v/>
      </c>
      <c r="L92" s="235">
        <f>IFERROR(_xlfn.XLOOKUP($C92,$D$3:$D$40,L$3:L$40)*$BD92,0)</f>
        <v/>
      </c>
      <c r="M92" s="235">
        <f>IFERROR(_xlfn.XLOOKUP($C92,$D$3:$D$40,M$3:M$40)*$BD92,0)</f>
        <v/>
      </c>
      <c r="N92" s="235">
        <f>IFERROR(_xlfn.XLOOKUP($C92,$D$3:$D$40,N$3:N$40)*$BD92,0)</f>
        <v/>
      </c>
      <c r="O92" s="235">
        <f>IFERROR(_xlfn.XLOOKUP($C92,$D$3:$D$40,O$3:O$40)*$BD92,0)</f>
        <v/>
      </c>
      <c r="P92" s="235">
        <f>IFERROR(_xlfn.XLOOKUP($C92,$D$3:$D$40,P$3:P$40)*$BD92,0)</f>
        <v/>
      </c>
      <c r="Q92" s="235">
        <f>IFERROR(_xlfn.XLOOKUP($C92,$D$3:$D$40,Q$3:Q$40)*$BD92,0)</f>
        <v/>
      </c>
      <c r="R92" s="235">
        <f>IFERROR(_xlfn.XLOOKUP($C92,$D$3:$D$40,R$3:R$40)*$BD92,0)</f>
        <v/>
      </c>
      <c r="S92" s="235">
        <f>IFERROR(_xlfn.XLOOKUP($C92,$D$3:$D$40,S$3:S$40)*$BD92,0)</f>
        <v/>
      </c>
      <c r="T92" s="235">
        <f>IFERROR(_xlfn.XLOOKUP($C92,$D$3:$D$40,T$3:T$40)*$BD92,0)</f>
        <v/>
      </c>
      <c r="U92" s="235">
        <f>IFERROR(_xlfn.XLOOKUP($C92,$D$3:$D$40,U$3:U$40)*$BD92,0)</f>
        <v/>
      </c>
      <c r="V92" s="235">
        <f>IFERROR(_xlfn.XLOOKUP($C92,$D$3:$D$40,V$3:V$40)*$BD92,0)</f>
        <v/>
      </c>
      <c r="W92" s="235">
        <f>IFERROR(_xlfn.XLOOKUP($C92,$D$3:$D$40,W$3:W$40)*$BD92,0)</f>
        <v/>
      </c>
      <c r="X92" s="235">
        <f>IFERROR(_xlfn.XLOOKUP($C92,$D$3:$D$40,X$3:X$40)*$BD92,0)</f>
        <v/>
      </c>
      <c r="Y92" s="235">
        <f>IFERROR(_xlfn.XLOOKUP($C92,$D$3:$D$40,Y$3:Y$40)*$BD92,0)</f>
        <v/>
      </c>
      <c r="Z92" s="235">
        <f>IFERROR(_xlfn.XLOOKUP($C92,$D$3:$D$40,Z$3:Z$40)*$BD92,0)</f>
        <v/>
      </c>
      <c r="AA92" s="235">
        <f>IFERROR(_xlfn.XLOOKUP($C92,$D$3:$D$40,AA$3:AA$40)*$BD92,0)</f>
        <v/>
      </c>
      <c r="AB92" s="235">
        <f>IFERROR(_xlfn.XLOOKUP($C92,$D$3:$D$40,AB$3:AB$40)*$BD92,0)</f>
        <v/>
      </c>
      <c r="AC92" s="235">
        <f>IFERROR(_xlfn.XLOOKUP($C92,$D$3:$D$40,AC$3:AC$40)*$BD92,0)</f>
        <v/>
      </c>
      <c r="AD92" s="235">
        <f>IFERROR(_xlfn.XLOOKUP($C92,$D$3:$D$40,AD$3:AD$40)*$BD92,0)</f>
        <v/>
      </c>
      <c r="AE92" s="235">
        <f>IFERROR(_xlfn.XLOOKUP($C92,$D$3:$D$40,AE$3:AE$40)*$BD92,0)</f>
        <v/>
      </c>
      <c r="AF92" s="235">
        <f>IFERROR(_xlfn.XLOOKUP($C92,$D$3:$D$40,AF$3:AF$40)*$BD92,0)</f>
        <v/>
      </c>
      <c r="AG92" s="235">
        <f>IFERROR(_xlfn.XLOOKUP($C92,$D$3:$D$40,AG$3:AG$40)*$BD92,0)</f>
        <v/>
      </c>
      <c r="AH92" s="235">
        <f>IFERROR(_xlfn.XLOOKUP($C92,$D$3:$D$40,AH$3:AH$40)*$BD92,0)</f>
        <v/>
      </c>
      <c r="AI92" s="235">
        <f>IFERROR(_xlfn.XLOOKUP($C92,$D$3:$D$40,AI$3:AI$40)*$BD92,0)</f>
        <v/>
      </c>
      <c r="AJ92" s="235">
        <f>IFERROR(_xlfn.XLOOKUP($C92,$D$3:$D$40,AJ$3:AJ$40)*$BD92,0)</f>
        <v/>
      </c>
      <c r="AK92" s="235">
        <f>IFERROR(_xlfn.XLOOKUP($C92,$D$3:$D$40,AK$3:AK$40)*$BD92,0)</f>
        <v/>
      </c>
      <c r="AL92" s="235">
        <f>IFERROR(_xlfn.XLOOKUP($C92,$D$3:$D$40,AL$3:AL$40)*$BD92,0)</f>
        <v/>
      </c>
      <c r="AM92" s="235">
        <f>IFERROR(_xlfn.XLOOKUP($C92,$D$3:$D$40,AM$3:AM$40)*$BD92,0)</f>
        <v/>
      </c>
      <c r="AN92" s="235">
        <f>IFERROR(_xlfn.XLOOKUP($C92,$D$3:$D$40,AN$3:AN$40)*$BD92,0)</f>
        <v/>
      </c>
      <c r="AO92" s="235">
        <f>IFERROR(_xlfn.XLOOKUP($C92,$D$3:$D$40,AO$3:AO$40)*$BD92,0)</f>
        <v/>
      </c>
      <c r="AP92" s="235">
        <f>IFERROR(_xlfn.XLOOKUP($C92,$D$3:$D$40,AP$3:AP$40)*$BD92,0)</f>
        <v/>
      </c>
      <c r="AQ92" s="235">
        <f>IFERROR(_xlfn.XLOOKUP($C92,$D$3:$D$40,AQ$3:AQ$40)*$BD92,0)</f>
        <v/>
      </c>
      <c r="AR92" s="235">
        <f>IFERROR(_xlfn.XLOOKUP($C92,$D$3:$D$40,AR$3:AR$40)*$BD92,0)</f>
        <v/>
      </c>
      <c r="AS92" s="235">
        <f>IFERROR(_xlfn.XLOOKUP($C92,$D$3:$D$40,AS$3:AS$40)*$BD92,0)</f>
        <v/>
      </c>
      <c r="AT92" s="235">
        <f>IFERROR(_xlfn.XLOOKUP($C92,$D$3:$D$40,AT$3:AT$40)*$BD92,0)</f>
        <v/>
      </c>
      <c r="AU92" s="235">
        <f>IFERROR(_xlfn.XLOOKUP($C92,$D$3:$D$40,AU$3:AU$40)*$BD92,0)</f>
        <v/>
      </c>
      <c r="AV92" s="235">
        <f>IFERROR(_xlfn.XLOOKUP($C92,$D$3:$D$40,AV$3:AV$40)*$BD92,0)</f>
        <v/>
      </c>
      <c r="AW92" s="235">
        <f>IFERROR(_xlfn.XLOOKUP($C92,$D$3:$D$40,AW$3:AW$40)*$BD92,0)</f>
        <v/>
      </c>
      <c r="AX92" s="235">
        <f>IFERROR(_xlfn.XLOOKUP($C92,$D$3:$D$40,AX$3:AX$40)*$BD92,0)</f>
        <v/>
      </c>
      <c r="AY92" s="235">
        <f>IFERROR(_xlfn.XLOOKUP($C92,$D$3:$D$40,AY$3:AY$40)*$BD92,0)</f>
        <v/>
      </c>
      <c r="AZ92" s="235">
        <f>IFERROR(_xlfn.XLOOKUP($C92,$D$3:$D$40,AZ$3:AZ$40)*$BD92,0)</f>
        <v/>
      </c>
      <c r="BA92" s="235">
        <f>IFERROR(_xlfn.XLOOKUP($C92,$D$3:$D$40,BA$3:BA$40)*$BD92,0)</f>
        <v/>
      </c>
      <c r="BB92" s="235">
        <f>IFERROR(_xlfn.XLOOKUP($C92,$D$3:$D$40,BB$3:BB$40)*$BD92,0)</f>
        <v/>
      </c>
      <c r="BC92" s="228">
        <f>IFERROR(_xlfn.XLOOKUP(D92,'2C 均值'!$A:$A,'2C 均值'!$E:$E),0)</f>
        <v/>
      </c>
      <c r="BD92" s="228">
        <f t="array" ref="BD92">IF(OR($D92=0,$D92=""),"",_xlfn.LET(
        _xlpm.channel,$D92,
        _xlpm.factorName,$C92,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93">
      <c r="D93" s="27" t="n"/>
      <c r="E93" s="227" t="n"/>
      <c r="F93" s="227" t="n"/>
      <c r="G93" s="227" t="n"/>
      <c r="H93" s="227" t="n"/>
      <c r="I93" s="227" t="n"/>
      <c r="J93" s="227" t="n"/>
      <c r="K93" s="227" t="n"/>
      <c r="L93" s="227" t="n"/>
      <c r="M93" s="227" t="n"/>
      <c r="N93" s="227" t="n"/>
      <c r="O93" s="227" t="n"/>
      <c r="P93" s="227" t="n"/>
      <c r="Q93" s="227" t="n"/>
      <c r="R93" s="227" t="n"/>
      <c r="S93" s="227" t="n"/>
      <c r="T93" s="227" t="n"/>
      <c r="U93" s="228" t="n"/>
      <c r="V93" s="228" t="n"/>
      <c r="W93" s="229" t="n"/>
    </row>
    <row r="94">
      <c r="D94" s="27" t="n"/>
      <c r="E94" s="227" t="n"/>
      <c r="F94" s="227" t="n"/>
      <c r="G94" s="227" t="n"/>
      <c r="H94" s="227" t="n"/>
      <c r="I94" s="227" t="n"/>
      <c r="J94" s="227" t="n"/>
      <c r="K94" s="227" t="n"/>
      <c r="L94" s="227" t="n"/>
      <c r="M94" s="227" t="n"/>
      <c r="N94" s="227" t="n"/>
      <c r="O94" s="227" t="n"/>
      <c r="P94" s="227" t="n"/>
      <c r="Q94" s="227" t="n"/>
      <c r="R94" s="227" t="n"/>
      <c r="S94" s="227" t="n"/>
      <c r="T94" s="227" t="n"/>
      <c r="U94" s="228" t="n"/>
      <c r="V94" s="228" t="n"/>
      <c r="W94" s="229" t="n"/>
    </row>
    <row r="95">
      <c r="D95" s="236" t="n"/>
      <c r="E95" s="227" t="n"/>
      <c r="F95" s="227" t="n"/>
      <c r="G95" s="227" t="n"/>
      <c r="H95" s="227" t="n"/>
      <c r="I95" s="227" t="n"/>
      <c r="J95" s="227" t="n"/>
      <c r="K95" s="227" t="n"/>
      <c r="L95" s="227" t="n"/>
      <c r="M95" s="227" t="n"/>
      <c r="N95" s="227" t="n"/>
      <c r="O95" s="227" t="n"/>
      <c r="P95" s="227" t="n"/>
      <c r="Q95" s="227" t="n"/>
      <c r="R95" s="227" t="n"/>
      <c r="S95" s="227" t="n"/>
      <c r="T95" s="227" t="n"/>
      <c r="V95" s="228" t="n"/>
      <c r="W95" s="229" t="n"/>
    </row>
    <row r="96" ht="48.75" customFormat="1" customHeight="1" s="175">
      <c r="A96" s="174" t="inlineStr">
        <is>
          <t>将负系数的标准化系数替换成一个很小的数值(最小正数的1/3），确保结果合理</t>
        </is>
      </c>
      <c r="D96" s="19" t="inlineStr">
        <is>
          <t>Channel Adjusted Coefficient</t>
        </is>
      </c>
      <c r="E96" s="12">
        <f>E57</f>
        <v/>
      </c>
      <c r="F96" s="12">
        <f>F57</f>
        <v/>
      </c>
      <c r="G96" s="12">
        <f>G57</f>
        <v/>
      </c>
      <c r="H96" s="12">
        <f>H57</f>
        <v/>
      </c>
      <c r="I96" s="12">
        <f>I57</f>
        <v/>
      </c>
      <c r="J96" s="12">
        <f>J57</f>
        <v/>
      </c>
      <c r="K96" s="12">
        <f>K57</f>
        <v/>
      </c>
      <c r="L96" s="12">
        <f>L57</f>
        <v/>
      </c>
      <c r="M96" s="12">
        <f>M57</f>
        <v/>
      </c>
      <c r="N96" s="12">
        <f>N57</f>
        <v/>
      </c>
      <c r="O96" s="12">
        <f>O57</f>
        <v/>
      </c>
      <c r="P96" s="12">
        <f>P57</f>
        <v/>
      </c>
      <c r="Q96" s="12">
        <f>Q57</f>
        <v/>
      </c>
      <c r="R96" s="12">
        <f>R57</f>
        <v/>
      </c>
      <c r="S96" s="12">
        <f>S57</f>
        <v/>
      </c>
      <c r="T96" s="12">
        <f>T57</f>
        <v/>
      </c>
      <c r="U96" s="12">
        <f>U57</f>
        <v/>
      </c>
      <c r="V96" s="12">
        <f>V57</f>
        <v/>
      </c>
      <c r="W96" s="12">
        <f>W57</f>
        <v/>
      </c>
      <c r="X96" s="12">
        <f>X57</f>
        <v/>
      </c>
      <c r="Y96" s="12">
        <f>Y57</f>
        <v/>
      </c>
      <c r="Z96" s="12">
        <f>Z57</f>
        <v/>
      </c>
      <c r="AA96" s="12">
        <f>AA57</f>
        <v/>
      </c>
      <c r="AB96" s="12">
        <f>AB57</f>
        <v/>
      </c>
      <c r="AC96" s="12">
        <f>AC57</f>
        <v/>
      </c>
      <c r="AD96" s="12">
        <f>AD57</f>
        <v/>
      </c>
      <c r="AE96" s="12">
        <f>AE57</f>
        <v/>
      </c>
      <c r="AF96" s="12">
        <f>AF57</f>
        <v/>
      </c>
      <c r="AG96" s="12">
        <f>AG57</f>
        <v/>
      </c>
      <c r="AH96" s="12">
        <f>AH57</f>
        <v/>
      </c>
      <c r="AI96" s="12">
        <f>AI57</f>
        <v/>
      </c>
      <c r="AJ96" s="12">
        <f>AJ57</f>
        <v/>
      </c>
      <c r="AK96" s="12">
        <f>AK57</f>
        <v/>
      </c>
      <c r="AL96" s="12">
        <f>AL57</f>
        <v/>
      </c>
      <c r="AM96" s="12">
        <f>AM57</f>
        <v/>
      </c>
      <c r="AN96" s="12">
        <f>AN57</f>
        <v/>
      </c>
      <c r="AO96" s="12">
        <f>AO57</f>
        <v/>
      </c>
      <c r="AP96" s="12">
        <f>AP57</f>
        <v/>
      </c>
      <c r="AQ96" s="12">
        <f>AQ57</f>
        <v/>
      </c>
      <c r="AR96" s="12">
        <f>AR57</f>
        <v/>
      </c>
      <c r="AS96" s="12">
        <f>AS57</f>
        <v/>
      </c>
      <c r="AT96" s="12">
        <f>AT57</f>
        <v/>
      </c>
      <c r="AU96" s="12">
        <f>AU57</f>
        <v/>
      </c>
      <c r="AV96" s="12">
        <f>AV57</f>
        <v/>
      </c>
      <c r="AW96" s="12">
        <f>AW57</f>
        <v/>
      </c>
      <c r="AX96" s="12">
        <f>AX57</f>
        <v/>
      </c>
      <c r="AY96" s="12">
        <f>AY57</f>
        <v/>
      </c>
      <c r="AZ96" s="12">
        <f>AZ57</f>
        <v/>
      </c>
      <c r="BA96" s="12">
        <f>BA57</f>
        <v/>
      </c>
      <c r="BB96" s="12">
        <f>BB57</f>
        <v/>
      </c>
    </row>
    <row r="97" ht="16.5" customHeight="1" s="179">
      <c r="C97" s="66" t="n"/>
      <c r="D97" s="237">
        <f>D58</f>
        <v/>
      </c>
      <c r="E97" s="238">
        <f>IF(ABS(E58)&gt;0,IF(E58&gt;0.001,E58,_xlfn.MINIFS(E$58:E$92,E$58:E$92,"&gt;0")/3),0)</f>
        <v/>
      </c>
      <c r="F97" s="238">
        <f>IF(ABS(F58)&gt;0,IF(F58&gt;0.001,F58,_xlfn.MINIFS(F$58:F$92,F$58:F$92,"&gt;0")/3),0)</f>
        <v/>
      </c>
      <c r="G97" s="238">
        <f>IF(ABS(G58)&gt;0,IF(G58&gt;0.001,G58,_xlfn.MINIFS(G$58:G$92,G$58:G$92,"&gt;0")/3),0)</f>
        <v/>
      </c>
      <c r="H97" s="238">
        <f>IF(ABS(H58)&gt;0,IF(H58&gt;0.001,H58,_xlfn.MINIFS(H$58:H$92,H$58:H$92,"&gt;0")/3),0)</f>
        <v/>
      </c>
      <c r="I97" s="238">
        <f>IF(ABS(I58)&gt;0,IF(I58&gt;0.001,I58,_xlfn.MINIFS(I$58:I$92,I$58:I$92,"&gt;0")/3),0)</f>
        <v/>
      </c>
      <c r="J97" s="238">
        <f>IF(ABS(J58)&gt;0,IF(J58&gt;0.001,J58,_xlfn.MINIFS(J$58:J$92,J$58:J$92,"&gt;0")/3),0)</f>
        <v/>
      </c>
      <c r="K97" s="238">
        <f>IF(ABS(K58)&gt;0,IF(K58&gt;0.001,K58,_xlfn.MINIFS(K$58:K$92,K$58:K$92,"&gt;0")/3),0)</f>
        <v/>
      </c>
      <c r="L97" s="238">
        <f>IF(ABS(L58)&gt;0,IF(L58&gt;0.001,L58,_xlfn.MINIFS(L$58:L$92,L$58:L$92,"&gt;0")/3),0)</f>
        <v/>
      </c>
      <c r="M97" s="238">
        <f>IF(ABS(M58)&gt;0,IF(M58&gt;0.001,M58,_xlfn.MINIFS(M$58:M$92,M$58:M$92,"&gt;0")/3),0)</f>
        <v/>
      </c>
      <c r="N97" s="238">
        <f>IF(ABS(N58)&gt;0,IF(N58&gt;0.001,N58,_xlfn.MINIFS(N$58:N$92,N$58:N$92,"&gt;0")/3),0)</f>
        <v/>
      </c>
      <c r="O97" s="238">
        <f>IF(ABS(O58)&gt;0,IF(O58&gt;0.001,O58,_xlfn.MINIFS(O$58:O$92,O$58:O$92,"&gt;0")/3),0)</f>
        <v/>
      </c>
      <c r="P97" s="238">
        <f>IF(ABS(P58)&gt;0,IF(P58&gt;0.001,P58,_xlfn.MINIFS(P$58:P$92,P$58:P$92,"&gt;0")/3),0)</f>
        <v/>
      </c>
      <c r="Q97" s="238">
        <f>IF(ABS(Q58)&gt;0,IF(Q58&gt;0.001,Q58,_xlfn.MINIFS(Q$58:Q$92,Q$58:Q$92,"&gt;0")/3),0)</f>
        <v/>
      </c>
      <c r="R97" s="238">
        <f>IF(ABS(R58)&gt;0,IF(R58&gt;0.001,R58,_xlfn.MINIFS(R$58:R$92,R$58:R$92,"&gt;0")/3),0)</f>
        <v/>
      </c>
      <c r="S97" s="238">
        <f>IF(ABS(S58)&gt;0,IF(S58&gt;0.001,S58,_xlfn.MINIFS(S$58:S$92,S$58:S$92,"&gt;0")/3),0)</f>
        <v/>
      </c>
      <c r="T97" s="238">
        <f>IF(ABS(T58)&gt;0,IF(T58&gt;0.001,T58,_xlfn.MINIFS(T$58:T$92,T$58:T$92,"&gt;0")/3),0)</f>
        <v/>
      </c>
      <c r="U97" s="238">
        <f>IF(ABS(U58)&gt;0,IF(U58&gt;0.001,U58,_xlfn.MINIFS(U$58:U$92,U$58:U$92,"&gt;0")/3),0)</f>
        <v/>
      </c>
      <c r="V97" s="238">
        <f>IF(ABS(V58)&gt;0,IF(V58&gt;0.001,V58,_xlfn.MINIFS(V$58:V$92,V$58:V$92,"&gt;0")/3),0)</f>
        <v/>
      </c>
      <c r="W97" s="238">
        <f>IF(ABS(W58)&gt;0,IF(W58&gt;0.001,W58,_xlfn.MINIFS(W$58:W$92,W$58:W$92,"&gt;0")/3),0)</f>
        <v/>
      </c>
      <c r="X97" s="238">
        <f>IF(ABS(X58)&gt;0,IF(X58&gt;0.001,X58,_xlfn.MINIFS(X$58:X$92,X$58:X$92,"&gt;0")/3),0)</f>
        <v/>
      </c>
      <c r="Y97" s="238">
        <f>IF(ABS(Y58)&gt;0,IF(Y58&gt;0.001,Y58,_xlfn.MINIFS(Y$58:Y$92,Y$58:Y$92,"&gt;0")/3),0)</f>
        <v/>
      </c>
      <c r="Z97" s="238">
        <f>IF(ABS(Z58)&gt;0,IF(Z58&gt;0.001,Z58,_xlfn.MINIFS(Z$58:Z$92,Z$58:Z$92,"&gt;0")/3),0)</f>
        <v/>
      </c>
      <c r="AA97" s="238">
        <f>IF(ABS(AA58)&gt;0,IF(AA58&gt;0.001,AA58,_xlfn.MINIFS(AA$58:AA$92,AA$58:AA$92,"&gt;0")/3),0)</f>
        <v/>
      </c>
      <c r="AB97" s="238">
        <f>IF(ABS(AB58)&gt;0,IF(AB58&gt;0.001,AB58,_xlfn.MINIFS(AB$58:AB$92,AB$58:AB$92,"&gt;0")/3),0)</f>
        <v/>
      </c>
      <c r="AC97" s="238">
        <f>IF(ABS(AC58)&gt;0,IF(AC58&gt;0.001,AC58,_xlfn.MINIFS(AC$58:AC$92,AC$58:AC$92,"&gt;0")/3),0)</f>
        <v/>
      </c>
      <c r="AD97" s="238">
        <f>IF(ABS(AD58)&gt;0,IF(AD58&gt;0.001,AD58,_xlfn.MINIFS(AD$58:AD$92,AD$58:AD$92,"&gt;0")/3),0)</f>
        <v/>
      </c>
      <c r="AE97" s="238">
        <f>IF(ABS(AE58)&gt;0,IF(AE58&gt;0.001,AE58,_xlfn.MINIFS(AE$58:AE$92,AE$58:AE$92,"&gt;0")/3),0)</f>
        <v/>
      </c>
      <c r="AF97" s="238">
        <f>IF(ABS(AF58)&gt;0,IF(AF58&gt;0.001,AF58,_xlfn.MINIFS(AF$58:AF$92,AF$58:AF$92,"&gt;0")/3),0)</f>
        <v/>
      </c>
      <c r="AG97" s="238">
        <f>IF(ABS(AG58)&gt;0,IF(AG58&gt;0.001,AG58,_xlfn.MINIFS(AG$58:AG$92,AG$58:AG$92,"&gt;0")/3),0)</f>
        <v/>
      </c>
      <c r="AH97" s="238">
        <f>IF(ABS(AH58)&gt;0,IF(AH58&gt;0.001,AH58,_xlfn.MINIFS(AH$58:AH$92,AH$58:AH$92,"&gt;0")/3),0)</f>
        <v/>
      </c>
      <c r="AI97" s="238">
        <f>IF(ABS(AI58)&gt;0,IF(AI58&gt;0.001,AI58,_xlfn.MINIFS(AI$58:AI$92,AI$58:AI$92,"&gt;0")/3),0)</f>
        <v/>
      </c>
      <c r="AJ97" s="238">
        <f>IF(ABS(AJ58)&gt;0,IF(AJ58&gt;0.001,AJ58,_xlfn.MINIFS(AJ$58:AJ$92,AJ$58:AJ$92,"&gt;0")/3),0)</f>
        <v/>
      </c>
      <c r="AK97" s="238">
        <f>IF(ABS(AK58)&gt;0,IF(AK58&gt;0.001,AK58,_xlfn.MINIFS(AK$58:AK$92,AK$58:AK$92,"&gt;0")/3),0)</f>
        <v/>
      </c>
      <c r="AL97" s="238">
        <f>IF(ABS(AL58)&gt;0,IF(AL58&gt;0.001,AL58,_xlfn.MINIFS(AL$58:AL$92,AL$58:AL$92,"&gt;0")/3),0)</f>
        <v/>
      </c>
      <c r="AM97" s="238">
        <f>IF(ABS(AM58)&gt;0,IF(AM58&gt;0.001,AM58,_xlfn.MINIFS(AM$58:AM$92,AM$58:AM$92,"&gt;0")/3),0)</f>
        <v/>
      </c>
      <c r="AN97" s="238">
        <f>IF(ABS(AN58)&gt;0,IF(AN58&gt;0.001,AN58,_xlfn.MINIFS(AN$58:AN$92,AN$58:AN$92,"&gt;0")/3),0)</f>
        <v/>
      </c>
      <c r="AO97" s="238">
        <f>IF(ABS(AO58)&gt;0,IF(AO58&gt;0.001,AO58,_xlfn.MINIFS(AO$58:AO$92,AO$58:AO$92,"&gt;0")/3),0)</f>
        <v/>
      </c>
      <c r="AP97" s="238">
        <f>IF(ABS(AP58)&gt;0,IF(AP58&gt;0.001,AP58,_xlfn.MINIFS(AP$58:AP$92,AP$58:AP$92,"&gt;0")/3),0)</f>
        <v/>
      </c>
      <c r="AQ97" s="238">
        <f>IF(ABS(AQ58)&gt;0,IF(AQ58&gt;0.001,AQ58,_xlfn.MINIFS(AQ$58:AQ$92,AQ$58:AQ$92,"&gt;0")/3),0)</f>
        <v/>
      </c>
      <c r="AR97" s="238">
        <f>IF(ABS(AR58)&gt;0,IF(AR58&gt;0.001,AR58,_xlfn.MINIFS(AR$58:AR$92,AR$58:AR$92,"&gt;0")/3),0)</f>
        <v/>
      </c>
      <c r="AS97" s="238">
        <f>IF(ABS(AS58)&gt;0,IF(AS58&gt;0.001,AS58,_xlfn.MINIFS(AS$58:AS$92,AS$58:AS$92,"&gt;0")/3),0)</f>
        <v/>
      </c>
      <c r="AT97" s="238">
        <f>IF(ABS(AT58)&gt;0,IF(AT58&gt;0.001,AT58,_xlfn.MINIFS(AT$58:AT$92,AT$58:AT$92,"&gt;0")/3),0)</f>
        <v/>
      </c>
      <c r="AU97" s="238">
        <f>IF(ABS(AU58)&gt;0,IF(AU58&gt;0.001,AU58,_xlfn.MINIFS(AU$58:AU$92,AU$58:AU$92,"&gt;0")/3),0)</f>
        <v/>
      </c>
      <c r="AV97" s="238">
        <f>IF(ABS(AV58)&gt;0,IF(AV58&gt;0.001,AV58,_xlfn.MINIFS(AV$58:AV$92,AV$58:AV$92,"&gt;0")/3),0)</f>
        <v/>
      </c>
      <c r="AW97" s="238">
        <f>IF(ABS(AW58)&gt;0,IF(AW58&gt;0.001,AW58,_xlfn.MINIFS(AW$58:AW$92,AW$58:AW$92,"&gt;0")/3),0)</f>
        <v/>
      </c>
      <c r="AX97" s="238">
        <f>IF(ABS(AX58)&gt;0,IF(AX58&gt;0.001,AX58,_xlfn.MINIFS(AX$58:AX$92,AX$58:AX$92,"&gt;0")/3),0)</f>
        <v/>
      </c>
      <c r="AY97" s="238">
        <f>IF(ABS(AY58)&gt;0,IF(AY58&gt;0.001,AY58,_xlfn.MINIFS(AY$58:AY$92,AY$58:AY$92,"&gt;0")/3),0)</f>
        <v/>
      </c>
      <c r="AZ97" s="238">
        <f>IF(ABS(AZ58)&gt;0,IF(AZ58&gt;0.001,AZ58,_xlfn.MINIFS(AZ$58:AZ$92,AZ$58:AZ$92,"&gt;0")/3),0)</f>
        <v/>
      </c>
      <c r="BA97" s="238">
        <f>IF(ABS(BA58)&gt;0,IF(BA58&gt;0.001,BA58,_xlfn.MINIFS(BA$58:BA$92,BA$58:BA$92,"&gt;0")/3),0)</f>
        <v/>
      </c>
      <c r="BB97" s="238">
        <f>IF(ABS(BB58)&gt;0,IF(BB58&gt;0.001,BB58,_xlfn.MINIFS(BB$58:BB$92,BB$58:BB$92,"&gt;0")/3),0)</f>
        <v/>
      </c>
    </row>
    <row r="98" ht="16.5" customHeight="1" s="179">
      <c r="C98" s="66" t="n"/>
      <c r="D98" s="237">
        <f>D59</f>
        <v/>
      </c>
      <c r="E98" s="238">
        <f>IF(ABS(E59)&gt;0,IF(E59&gt;0.001,E59,_xlfn.MINIFS(E$58:E$92,E$58:E$92,"&gt;0")/3),0)</f>
        <v/>
      </c>
      <c r="F98" s="238">
        <f>IF(ABS(F59)&gt;0,IF(F59&gt;0.001,F59,_xlfn.MINIFS(F$58:F$92,F$58:F$92,"&gt;0")/3),0)</f>
        <v/>
      </c>
      <c r="G98" s="238">
        <f>IF(ABS(G59)&gt;0,IF(G59&gt;0.001,G59,_xlfn.MINIFS(G$58:G$92,G$58:G$92,"&gt;0")/3),0)</f>
        <v/>
      </c>
      <c r="H98" s="238">
        <f>IF(ABS(H59)&gt;0,IF(H59&gt;0.001,H59,_xlfn.MINIFS(H$58:H$92,H$58:H$92,"&gt;0")/3),0)</f>
        <v/>
      </c>
      <c r="I98" s="238">
        <f>IF(ABS(I59)&gt;0,IF(I59&gt;0.001,I59,_xlfn.MINIFS(I$58:I$92,I$58:I$92,"&gt;0")/3),0)</f>
        <v/>
      </c>
      <c r="J98" s="238">
        <f>IF(ABS(J59)&gt;0,IF(J59&gt;0.001,J59,_xlfn.MINIFS(J$58:J$92,J$58:J$92,"&gt;0")/3),0)</f>
        <v/>
      </c>
      <c r="K98" s="238">
        <f>IF(ABS(K59)&gt;0,IF(K59&gt;0.001,K59,_xlfn.MINIFS(K$58:K$92,K$58:K$92,"&gt;0")/3),0)</f>
        <v/>
      </c>
      <c r="L98" s="238">
        <f>IF(ABS(L59)&gt;0,IF(L59&gt;0.001,L59,_xlfn.MINIFS(L$58:L$92,L$58:L$92,"&gt;0")/3),0)</f>
        <v/>
      </c>
      <c r="M98" s="238">
        <f>IF(ABS(M59)&gt;0,IF(M59&gt;0.001,M59,_xlfn.MINIFS(M$58:M$92,M$58:M$92,"&gt;0")/3),0)</f>
        <v/>
      </c>
      <c r="N98" s="238">
        <f>IF(ABS(N59)&gt;0,IF(N59&gt;0.001,N59,_xlfn.MINIFS(N$58:N$92,N$58:N$92,"&gt;0")/3),0)</f>
        <v/>
      </c>
      <c r="O98" s="238">
        <f>IF(ABS(O59)&gt;0,IF(O59&gt;0.001,O59,_xlfn.MINIFS(O$58:O$92,O$58:O$92,"&gt;0")/3),0)</f>
        <v/>
      </c>
      <c r="P98" s="238">
        <f>IF(ABS(P59)&gt;0,IF(P59&gt;0.001,P59,_xlfn.MINIFS(P$58:P$92,P$58:P$92,"&gt;0")/3),0)</f>
        <v/>
      </c>
      <c r="Q98" s="238">
        <f>IF(ABS(Q59)&gt;0,IF(Q59&gt;0.001,Q59,_xlfn.MINIFS(Q$58:Q$92,Q$58:Q$92,"&gt;0")/3),0)</f>
        <v/>
      </c>
      <c r="R98" s="238">
        <f>IF(ABS(R59)&gt;0,IF(R59&gt;0.001,R59,_xlfn.MINIFS(R$58:R$92,R$58:R$92,"&gt;0")/3),0)</f>
        <v/>
      </c>
      <c r="S98" s="238">
        <f>IF(ABS(S59)&gt;0,IF(S59&gt;0.001,S59,_xlfn.MINIFS(S$58:S$92,S$58:S$92,"&gt;0")/3),0)</f>
        <v/>
      </c>
      <c r="T98" s="238">
        <f>IF(ABS(T59)&gt;0,IF(T59&gt;0.001,T59,_xlfn.MINIFS(T$58:T$92,T$58:T$92,"&gt;0")/3),0)</f>
        <v/>
      </c>
      <c r="U98" s="238">
        <f>IF(ABS(U59)&gt;0,IF(U59&gt;0.001,U59,_xlfn.MINIFS(U$58:U$92,U$58:U$92,"&gt;0")/3),0)</f>
        <v/>
      </c>
      <c r="V98" s="238">
        <f>IF(ABS(V59)&gt;0,IF(V59&gt;0.001,V59,_xlfn.MINIFS(V$58:V$92,V$58:V$92,"&gt;0")/3),0)</f>
        <v/>
      </c>
      <c r="W98" s="238">
        <f>IF(ABS(W59)&gt;0,IF(W59&gt;0.001,W59,_xlfn.MINIFS(W$58:W$92,W$58:W$92,"&gt;0")/3),0)</f>
        <v/>
      </c>
      <c r="X98" s="238">
        <f>IF(ABS(X59)&gt;0,IF(X59&gt;0.001,X59,_xlfn.MINIFS(X$58:X$92,X$58:X$92,"&gt;0")/3),0)</f>
        <v/>
      </c>
      <c r="Y98" s="238">
        <f>IF(ABS(Y59)&gt;0,IF(Y59&gt;0.001,Y59,_xlfn.MINIFS(Y$58:Y$92,Y$58:Y$92,"&gt;0")/3),0)</f>
        <v/>
      </c>
      <c r="Z98" s="238">
        <f>IF(ABS(Z59)&gt;0,IF(Z59&gt;0.001,Z59,_xlfn.MINIFS(Z$58:Z$92,Z$58:Z$92,"&gt;0")/3),0)</f>
        <v/>
      </c>
      <c r="AA98" s="238">
        <f>IF(ABS(AA59)&gt;0,IF(AA59&gt;0.001,AA59,_xlfn.MINIFS(AA$58:AA$92,AA$58:AA$92,"&gt;0")/3),0)</f>
        <v/>
      </c>
      <c r="AB98" s="238">
        <f>IF(ABS(AB59)&gt;0,IF(AB59&gt;0.001,AB59,_xlfn.MINIFS(AB$58:AB$92,AB$58:AB$92,"&gt;0")/3),0)</f>
        <v/>
      </c>
      <c r="AC98" s="238">
        <f>IF(ABS(AC59)&gt;0,IF(AC59&gt;0.001,AC59,_xlfn.MINIFS(AC$58:AC$92,AC$58:AC$92,"&gt;0")/3),0)</f>
        <v/>
      </c>
      <c r="AD98" s="238">
        <f>IF(ABS(AD59)&gt;0,IF(AD59&gt;0.001,AD59,_xlfn.MINIFS(AD$58:AD$92,AD$58:AD$92,"&gt;0")/3),0)</f>
        <v/>
      </c>
      <c r="AE98" s="238">
        <f>IF(ABS(AE59)&gt;0,IF(AE59&gt;0.001,AE59,_xlfn.MINIFS(AE$58:AE$92,AE$58:AE$92,"&gt;0")/3),0)</f>
        <v/>
      </c>
      <c r="AF98" s="238">
        <f>IF(ABS(AF59)&gt;0,IF(AF59&gt;0.001,AF59,_xlfn.MINIFS(AF$58:AF$92,AF$58:AF$92,"&gt;0")/3),0)</f>
        <v/>
      </c>
      <c r="AG98" s="238">
        <f>IF(ABS(AG59)&gt;0,IF(AG59&gt;0.001,AG59,_xlfn.MINIFS(AG$58:AG$92,AG$58:AG$92,"&gt;0")/3),0)</f>
        <v/>
      </c>
      <c r="AH98" s="238">
        <f>IF(ABS(AH59)&gt;0,IF(AH59&gt;0.001,AH59,_xlfn.MINIFS(AH$58:AH$92,AH$58:AH$92,"&gt;0")/3),0)</f>
        <v/>
      </c>
      <c r="AI98" s="238">
        <f>IF(ABS(AI59)&gt;0,IF(AI59&gt;0.001,AI59,_xlfn.MINIFS(AI$58:AI$92,AI$58:AI$92,"&gt;0")/3),0)</f>
        <v/>
      </c>
      <c r="AJ98" s="238">
        <f>IF(ABS(AJ59)&gt;0,IF(AJ59&gt;0.001,AJ59,_xlfn.MINIFS(AJ$58:AJ$92,AJ$58:AJ$92,"&gt;0")/3),0)</f>
        <v/>
      </c>
      <c r="AK98" s="238">
        <f>IF(ABS(AK59)&gt;0,IF(AK59&gt;0.001,AK59,_xlfn.MINIFS(AK$58:AK$92,AK$58:AK$92,"&gt;0")/3),0)</f>
        <v/>
      </c>
      <c r="AL98" s="238">
        <f>IF(ABS(AL59)&gt;0,IF(AL59&gt;0.001,AL59,_xlfn.MINIFS(AL$58:AL$92,AL$58:AL$92,"&gt;0")/3),0)</f>
        <v/>
      </c>
      <c r="AM98" s="238">
        <f>IF(ABS(AM59)&gt;0,IF(AM59&gt;0.001,AM59,_xlfn.MINIFS(AM$58:AM$92,AM$58:AM$92,"&gt;0")/3),0)</f>
        <v/>
      </c>
      <c r="AN98" s="238">
        <f>IF(ABS(AN59)&gt;0,IF(AN59&gt;0.001,AN59,_xlfn.MINIFS(AN$58:AN$92,AN$58:AN$92,"&gt;0")/3),0)</f>
        <v/>
      </c>
      <c r="AO98" s="238">
        <f>IF(ABS(AO59)&gt;0,IF(AO59&gt;0.001,AO59,_xlfn.MINIFS(AO$58:AO$92,AO$58:AO$92,"&gt;0")/3),0)</f>
        <v/>
      </c>
      <c r="AP98" s="238">
        <f>IF(ABS(AP59)&gt;0,IF(AP59&gt;0.001,AP59,_xlfn.MINIFS(AP$58:AP$92,AP$58:AP$92,"&gt;0")/3),0)</f>
        <v/>
      </c>
      <c r="AQ98" s="238">
        <f>IF(ABS(AQ59)&gt;0,IF(AQ59&gt;0.001,AQ59,_xlfn.MINIFS(AQ$58:AQ$92,AQ$58:AQ$92,"&gt;0")/3),0)</f>
        <v/>
      </c>
      <c r="AR98" s="238">
        <f>IF(ABS(AR59)&gt;0,IF(AR59&gt;0.001,AR59,_xlfn.MINIFS(AR$58:AR$92,AR$58:AR$92,"&gt;0")/3),0)</f>
        <v/>
      </c>
      <c r="AS98" s="238">
        <f>IF(ABS(AS59)&gt;0,IF(AS59&gt;0.001,AS59,_xlfn.MINIFS(AS$58:AS$92,AS$58:AS$92,"&gt;0")/3),0)</f>
        <v/>
      </c>
      <c r="AT98" s="238">
        <f>IF(ABS(AT59)&gt;0,IF(AT59&gt;0.001,AT59,_xlfn.MINIFS(AT$58:AT$92,AT$58:AT$92,"&gt;0")/3),0)</f>
        <v/>
      </c>
      <c r="AU98" s="238">
        <f>IF(ABS(AU59)&gt;0,IF(AU59&gt;0.001,AU59,_xlfn.MINIFS(AU$58:AU$92,AU$58:AU$92,"&gt;0")/3),0)</f>
        <v/>
      </c>
      <c r="AV98" s="238">
        <f>IF(ABS(AV59)&gt;0,IF(AV59&gt;0.001,AV59,_xlfn.MINIFS(AV$58:AV$92,AV$58:AV$92,"&gt;0")/3),0)</f>
        <v/>
      </c>
      <c r="AW98" s="238">
        <f>IF(ABS(AW59)&gt;0,IF(AW59&gt;0.001,AW59,_xlfn.MINIFS(AW$58:AW$92,AW$58:AW$92,"&gt;0")/3),0)</f>
        <v/>
      </c>
      <c r="AX98" s="238">
        <f>IF(ABS(AX59)&gt;0,IF(AX59&gt;0.001,AX59,_xlfn.MINIFS(AX$58:AX$92,AX$58:AX$92,"&gt;0")/3),0)</f>
        <v/>
      </c>
      <c r="AY98" s="238">
        <f>IF(ABS(AY59)&gt;0,IF(AY59&gt;0.001,AY59,_xlfn.MINIFS(AY$58:AY$92,AY$58:AY$92,"&gt;0")/3),0)</f>
        <v/>
      </c>
      <c r="AZ98" s="238">
        <f>IF(ABS(AZ59)&gt;0,IF(AZ59&gt;0.001,AZ59,_xlfn.MINIFS(AZ$58:AZ$92,AZ$58:AZ$92,"&gt;0")/3),0)</f>
        <v/>
      </c>
      <c r="BA98" s="238">
        <f>IF(ABS(BA59)&gt;0,IF(BA59&gt;0.001,BA59,_xlfn.MINIFS(BA$58:BA$92,BA$58:BA$92,"&gt;0")/3),0)</f>
        <v/>
      </c>
      <c r="BB98" s="238">
        <f>IF(ABS(BB59)&gt;0,IF(BB59&gt;0.001,BB59,_xlfn.MINIFS(BB$58:BB$92,BB$58:BB$92,"&gt;0")/3),0)</f>
        <v/>
      </c>
    </row>
    <row r="99" ht="16.5" customHeight="1" s="179">
      <c r="C99" s="66" t="n"/>
      <c r="D99" s="237">
        <f>D60</f>
        <v/>
      </c>
      <c r="E99" s="238">
        <f>IF(ABS(E60)&gt;0,IF(E60&gt;0.001,E60,_xlfn.MINIFS(E$58:E$92,E$58:E$92,"&gt;0")/3),0)</f>
        <v/>
      </c>
      <c r="F99" s="238">
        <f>IF(ABS(F60)&gt;0,IF(F60&gt;0.001,F60,_xlfn.MINIFS(F$58:F$92,F$58:F$92,"&gt;0")/3),0)</f>
        <v/>
      </c>
      <c r="G99" s="238">
        <f>IF(ABS(G60)&gt;0,IF(G60&gt;0.001,G60,_xlfn.MINIFS(G$58:G$92,G$58:G$92,"&gt;0")/3),0)</f>
        <v/>
      </c>
      <c r="H99" s="238">
        <f>IF(ABS(H60)&gt;0,IF(H60&gt;0.001,H60,_xlfn.MINIFS(H$58:H$92,H$58:H$92,"&gt;0")/3),0)</f>
        <v/>
      </c>
      <c r="I99" s="238">
        <f>IF(ABS(I60)&gt;0,IF(I60&gt;0.001,I60,_xlfn.MINIFS(I$58:I$92,I$58:I$92,"&gt;0")/3),0)</f>
        <v/>
      </c>
      <c r="J99" s="238">
        <f>IF(ABS(J60)&gt;0,IF(J60&gt;0.001,J60,_xlfn.MINIFS(J$58:J$92,J$58:J$92,"&gt;0")/3),0)</f>
        <v/>
      </c>
      <c r="K99" s="238">
        <f>IF(ABS(K60)&gt;0,IF(K60&gt;0.001,K60,_xlfn.MINIFS(K$58:K$92,K$58:K$92,"&gt;0")/3),0)</f>
        <v/>
      </c>
      <c r="L99" s="238">
        <f>IF(ABS(L60)&gt;0,IF(L60&gt;0.001,L60,_xlfn.MINIFS(L$58:L$92,L$58:L$92,"&gt;0")/3),0)</f>
        <v/>
      </c>
      <c r="M99" s="238">
        <f>IF(ABS(M60)&gt;0,IF(M60&gt;0.001,M60,_xlfn.MINIFS(M$58:M$92,M$58:M$92,"&gt;0")/3),0)</f>
        <v/>
      </c>
      <c r="N99" s="238">
        <f>IF(ABS(N60)&gt;0,IF(N60&gt;0.001,N60,_xlfn.MINIFS(N$58:N$92,N$58:N$92,"&gt;0")/3),0)</f>
        <v/>
      </c>
      <c r="O99" s="238">
        <f>IF(ABS(O60)&gt;0,IF(O60&gt;0.001,O60,_xlfn.MINIFS(O$58:O$92,O$58:O$92,"&gt;0")/3),0)</f>
        <v/>
      </c>
      <c r="P99" s="238">
        <f>IF(ABS(P60)&gt;0,IF(P60&gt;0.001,P60,_xlfn.MINIFS(P$58:P$92,P$58:P$92,"&gt;0")/3),0)</f>
        <v/>
      </c>
      <c r="Q99" s="238">
        <f>IF(ABS(Q60)&gt;0,IF(Q60&gt;0.001,Q60,_xlfn.MINIFS(Q$58:Q$92,Q$58:Q$92,"&gt;0")/3),0)</f>
        <v/>
      </c>
      <c r="R99" s="238">
        <f>IF(ABS(R60)&gt;0,IF(R60&gt;0.001,R60,_xlfn.MINIFS(R$58:R$92,R$58:R$92,"&gt;0")/3),0)</f>
        <v/>
      </c>
      <c r="S99" s="238">
        <f>IF(ABS(S60)&gt;0,IF(S60&gt;0.001,S60,_xlfn.MINIFS(S$58:S$92,S$58:S$92,"&gt;0")/3),0)</f>
        <v/>
      </c>
      <c r="T99" s="238">
        <f>IF(ABS(T60)&gt;0,IF(T60&gt;0.001,T60,_xlfn.MINIFS(T$58:T$92,T$58:T$92,"&gt;0")/3),0)</f>
        <v/>
      </c>
      <c r="U99" s="238">
        <f>IF(ABS(U60)&gt;0,IF(U60&gt;0.001,U60,_xlfn.MINIFS(U$58:U$92,U$58:U$92,"&gt;0")/3),0)</f>
        <v/>
      </c>
      <c r="V99" s="238">
        <f>IF(ABS(V60)&gt;0,IF(V60&gt;0.001,V60,_xlfn.MINIFS(V$58:V$92,V$58:V$92,"&gt;0")/3),0)</f>
        <v/>
      </c>
      <c r="W99" s="238">
        <f>IF(ABS(W60)&gt;0,IF(W60&gt;0.001,W60,_xlfn.MINIFS(W$58:W$92,W$58:W$92,"&gt;0")/3),0)</f>
        <v/>
      </c>
      <c r="X99" s="238">
        <f>IF(ABS(X60)&gt;0,IF(X60&gt;0.001,X60,_xlfn.MINIFS(X$58:X$92,X$58:X$92,"&gt;0")/3),0)</f>
        <v/>
      </c>
      <c r="Y99" s="238">
        <f>IF(ABS(Y60)&gt;0,IF(Y60&gt;0.001,Y60,_xlfn.MINIFS(Y$58:Y$92,Y$58:Y$92,"&gt;0")/3),0)</f>
        <v/>
      </c>
      <c r="Z99" s="238">
        <f>IF(ABS(Z60)&gt;0,IF(Z60&gt;0.001,Z60,_xlfn.MINIFS(Z$58:Z$92,Z$58:Z$92,"&gt;0")/3),0)</f>
        <v/>
      </c>
      <c r="AA99" s="238">
        <f>IF(ABS(AA60)&gt;0,IF(AA60&gt;0.001,AA60,_xlfn.MINIFS(AA$58:AA$92,AA$58:AA$92,"&gt;0")/3),0)</f>
        <v/>
      </c>
      <c r="AB99" s="238">
        <f>IF(ABS(AB60)&gt;0,IF(AB60&gt;0.001,AB60,_xlfn.MINIFS(AB$58:AB$92,AB$58:AB$92,"&gt;0")/3),0)</f>
        <v/>
      </c>
      <c r="AC99" s="238">
        <f>IF(ABS(AC60)&gt;0,IF(AC60&gt;0.001,AC60,_xlfn.MINIFS(AC$58:AC$92,AC$58:AC$92,"&gt;0")/3),0)</f>
        <v/>
      </c>
      <c r="AD99" s="238">
        <f>IF(ABS(AD60)&gt;0,IF(AD60&gt;0.001,AD60,_xlfn.MINIFS(AD$58:AD$92,AD$58:AD$92,"&gt;0")/3),0)</f>
        <v/>
      </c>
      <c r="AE99" s="238">
        <f>IF(ABS(AE60)&gt;0,IF(AE60&gt;0.001,AE60,_xlfn.MINIFS(AE$58:AE$92,AE$58:AE$92,"&gt;0")/3),0)</f>
        <v/>
      </c>
      <c r="AF99" s="238">
        <f>IF(ABS(AF60)&gt;0,IF(AF60&gt;0.001,AF60,_xlfn.MINIFS(AF$58:AF$92,AF$58:AF$92,"&gt;0")/3),0)</f>
        <v/>
      </c>
      <c r="AG99" s="238">
        <f>IF(ABS(AG60)&gt;0,IF(AG60&gt;0.001,AG60,_xlfn.MINIFS(AG$58:AG$92,AG$58:AG$92,"&gt;0")/3),0)</f>
        <v/>
      </c>
      <c r="AH99" s="238">
        <f>IF(ABS(AH60)&gt;0,IF(AH60&gt;0.001,AH60,_xlfn.MINIFS(AH$58:AH$92,AH$58:AH$92,"&gt;0")/3),0)</f>
        <v/>
      </c>
      <c r="AI99" s="238">
        <f>IF(ABS(AI60)&gt;0,IF(AI60&gt;0.001,AI60,_xlfn.MINIFS(AI$58:AI$92,AI$58:AI$92,"&gt;0")/3),0)</f>
        <v/>
      </c>
      <c r="AJ99" s="238">
        <f>IF(ABS(AJ60)&gt;0,IF(AJ60&gt;0.001,AJ60,_xlfn.MINIFS(AJ$58:AJ$92,AJ$58:AJ$92,"&gt;0")/3),0)</f>
        <v/>
      </c>
      <c r="AK99" s="238">
        <f>IF(ABS(AK60)&gt;0,IF(AK60&gt;0.001,AK60,_xlfn.MINIFS(AK$58:AK$92,AK$58:AK$92,"&gt;0")/3),0)</f>
        <v/>
      </c>
      <c r="AL99" s="238">
        <f>IF(ABS(AL60)&gt;0,IF(AL60&gt;0.001,AL60,_xlfn.MINIFS(AL$58:AL$92,AL$58:AL$92,"&gt;0")/3),0)</f>
        <v/>
      </c>
      <c r="AM99" s="238">
        <f>IF(ABS(AM60)&gt;0,IF(AM60&gt;0.001,AM60,_xlfn.MINIFS(AM$58:AM$92,AM$58:AM$92,"&gt;0")/3),0)</f>
        <v/>
      </c>
      <c r="AN99" s="238">
        <f>IF(ABS(AN60)&gt;0,IF(AN60&gt;0.001,AN60,_xlfn.MINIFS(AN$58:AN$92,AN$58:AN$92,"&gt;0")/3),0)</f>
        <v/>
      </c>
      <c r="AO99" s="238">
        <f>IF(ABS(AO60)&gt;0,IF(AO60&gt;0.001,AO60,_xlfn.MINIFS(AO$58:AO$92,AO$58:AO$92,"&gt;0")/3),0)</f>
        <v/>
      </c>
      <c r="AP99" s="238">
        <f>IF(ABS(AP60)&gt;0,IF(AP60&gt;0.001,AP60,_xlfn.MINIFS(AP$58:AP$92,AP$58:AP$92,"&gt;0")/3),0)</f>
        <v/>
      </c>
      <c r="AQ99" s="238">
        <f>IF(ABS(AQ60)&gt;0,IF(AQ60&gt;0.001,AQ60,_xlfn.MINIFS(AQ$58:AQ$92,AQ$58:AQ$92,"&gt;0")/3),0)</f>
        <v/>
      </c>
      <c r="AR99" s="238">
        <f>IF(ABS(AR60)&gt;0,IF(AR60&gt;0.001,AR60,_xlfn.MINIFS(AR$58:AR$92,AR$58:AR$92,"&gt;0")/3),0)</f>
        <v/>
      </c>
      <c r="AS99" s="238">
        <f>IF(ABS(AS60)&gt;0,IF(AS60&gt;0.001,AS60,_xlfn.MINIFS(AS$58:AS$92,AS$58:AS$92,"&gt;0")/3),0)</f>
        <v/>
      </c>
      <c r="AT99" s="238">
        <f>IF(ABS(AT60)&gt;0,IF(AT60&gt;0.001,AT60,_xlfn.MINIFS(AT$58:AT$92,AT$58:AT$92,"&gt;0")/3),0)</f>
        <v/>
      </c>
      <c r="AU99" s="238">
        <f>IF(ABS(AU60)&gt;0,IF(AU60&gt;0.001,AU60,_xlfn.MINIFS(AU$58:AU$92,AU$58:AU$92,"&gt;0")/3),0)</f>
        <v/>
      </c>
      <c r="AV99" s="238">
        <f>IF(ABS(AV60)&gt;0,IF(AV60&gt;0.001,AV60,_xlfn.MINIFS(AV$58:AV$92,AV$58:AV$92,"&gt;0")/3),0)</f>
        <v/>
      </c>
      <c r="AW99" s="238">
        <f>IF(ABS(AW60)&gt;0,IF(AW60&gt;0.001,AW60,_xlfn.MINIFS(AW$58:AW$92,AW$58:AW$92,"&gt;0")/3),0)</f>
        <v/>
      </c>
      <c r="AX99" s="238">
        <f>IF(ABS(AX60)&gt;0,IF(AX60&gt;0.001,AX60,_xlfn.MINIFS(AX$58:AX$92,AX$58:AX$92,"&gt;0")/3),0)</f>
        <v/>
      </c>
      <c r="AY99" s="238">
        <f>IF(ABS(AY60)&gt;0,IF(AY60&gt;0.001,AY60,_xlfn.MINIFS(AY$58:AY$92,AY$58:AY$92,"&gt;0")/3),0)</f>
        <v/>
      </c>
      <c r="AZ99" s="238">
        <f>IF(ABS(AZ60)&gt;0,IF(AZ60&gt;0.001,AZ60,_xlfn.MINIFS(AZ$58:AZ$92,AZ$58:AZ$92,"&gt;0")/3),0)</f>
        <v/>
      </c>
      <c r="BA99" s="238">
        <f>IF(ABS(BA60)&gt;0,IF(BA60&gt;0.001,BA60,_xlfn.MINIFS(BA$58:BA$92,BA$58:BA$92,"&gt;0")/3),0)</f>
        <v/>
      </c>
      <c r="BB99" s="238">
        <f>IF(ABS(BB60)&gt;0,IF(BB60&gt;0.001,BB60,_xlfn.MINIFS(BB$58:BB$92,BB$58:BB$92,"&gt;0")/3),0)</f>
        <v/>
      </c>
    </row>
    <row r="100" ht="16.5" customHeight="1" s="179">
      <c r="C100" s="66" t="n"/>
      <c r="D100" s="237">
        <f>D61</f>
        <v/>
      </c>
      <c r="E100" s="238">
        <f>IF(ABS(E61)&gt;0,IF(E61&gt;0.001,E61,_xlfn.MINIFS(E$58:E$92,E$58:E$92,"&gt;0")/3),0)</f>
        <v/>
      </c>
      <c r="F100" s="238">
        <f>IF(ABS(F61)&gt;0,IF(F61&gt;0.001,F61,_xlfn.MINIFS(F$58:F$92,F$58:F$92,"&gt;0")/3),0)</f>
        <v/>
      </c>
      <c r="G100" s="238">
        <f>IF(ABS(G61)&gt;0,IF(G61&gt;0.001,G61,_xlfn.MINIFS(G$58:G$92,G$58:G$92,"&gt;0")/3),0)</f>
        <v/>
      </c>
      <c r="H100" s="238">
        <f>IF(ABS(H61)&gt;0,IF(H61&gt;0.001,H61,_xlfn.MINIFS(H$58:H$92,H$58:H$92,"&gt;0")/3),0)</f>
        <v/>
      </c>
      <c r="I100" s="238">
        <f>IF(ABS(I61)&gt;0,IF(I61&gt;0.001,I61,_xlfn.MINIFS(I$58:I$92,I$58:I$92,"&gt;0")/3),0)</f>
        <v/>
      </c>
      <c r="J100" s="238">
        <f>IF(ABS(J61)&gt;0,IF(J61&gt;0.001,J61,_xlfn.MINIFS(J$58:J$92,J$58:J$92,"&gt;0")/3),0)</f>
        <v/>
      </c>
      <c r="K100" s="238">
        <f>IF(ABS(K61)&gt;0,IF(K61&gt;0.001,K61,_xlfn.MINIFS(K$58:K$92,K$58:K$92,"&gt;0")/3),0)</f>
        <v/>
      </c>
      <c r="L100" s="238">
        <f>IF(ABS(L61)&gt;0,IF(L61&gt;0.001,L61,_xlfn.MINIFS(L$58:L$92,L$58:L$92,"&gt;0")/3),0)</f>
        <v/>
      </c>
      <c r="M100" s="238">
        <f>IF(ABS(M61)&gt;0,IF(M61&gt;0.001,M61,_xlfn.MINIFS(M$58:M$92,M$58:M$92,"&gt;0")/3),0)</f>
        <v/>
      </c>
      <c r="N100" s="238">
        <f>IF(ABS(N61)&gt;0,IF(N61&gt;0.001,N61,_xlfn.MINIFS(N$58:N$92,N$58:N$92,"&gt;0")/3),0)</f>
        <v/>
      </c>
      <c r="O100" s="238">
        <f>IF(ABS(O61)&gt;0,IF(O61&gt;0.001,O61,_xlfn.MINIFS(O$58:O$92,O$58:O$92,"&gt;0")/3),0)</f>
        <v/>
      </c>
      <c r="P100" s="238">
        <f>IF(ABS(P61)&gt;0,IF(P61&gt;0.001,P61,_xlfn.MINIFS(P$58:P$92,P$58:P$92,"&gt;0")/3),0)</f>
        <v/>
      </c>
      <c r="Q100" s="238">
        <f>IF(ABS(Q61)&gt;0,IF(Q61&gt;0.001,Q61,_xlfn.MINIFS(Q$58:Q$92,Q$58:Q$92,"&gt;0")/3),0)</f>
        <v/>
      </c>
      <c r="R100" s="238">
        <f>IF(ABS(R61)&gt;0,IF(R61&gt;0.001,R61,_xlfn.MINIFS(R$58:R$92,R$58:R$92,"&gt;0")/3),0)</f>
        <v/>
      </c>
      <c r="S100" s="238">
        <f>IF(ABS(S61)&gt;0,IF(S61&gt;0.001,S61,_xlfn.MINIFS(S$58:S$92,S$58:S$92,"&gt;0")/3),0)</f>
        <v/>
      </c>
      <c r="T100" s="238">
        <f>IF(ABS(T61)&gt;0,IF(T61&gt;0.001,T61,_xlfn.MINIFS(T$58:T$92,T$58:T$92,"&gt;0")/3),0)</f>
        <v/>
      </c>
      <c r="U100" s="238">
        <f>IF(ABS(U61)&gt;0,IF(U61&gt;0.001,U61,_xlfn.MINIFS(U$58:U$92,U$58:U$92,"&gt;0")/3),0)</f>
        <v/>
      </c>
      <c r="V100" s="238">
        <f>IF(ABS(V61)&gt;0,IF(V61&gt;0.001,V61,_xlfn.MINIFS(V$58:V$92,V$58:V$92,"&gt;0")/3),0)</f>
        <v/>
      </c>
      <c r="W100" s="238">
        <f>IF(ABS(W61)&gt;0,IF(W61&gt;0.001,W61,_xlfn.MINIFS(W$58:W$92,W$58:W$92,"&gt;0")/3),0)</f>
        <v/>
      </c>
      <c r="X100" s="238">
        <f>IF(ABS(X61)&gt;0,IF(X61&gt;0.001,X61,_xlfn.MINIFS(X$58:X$92,X$58:X$92,"&gt;0")/3),0)</f>
        <v/>
      </c>
      <c r="Y100" s="238">
        <f>IF(ABS(Y61)&gt;0,IF(Y61&gt;0.001,Y61,_xlfn.MINIFS(Y$58:Y$92,Y$58:Y$92,"&gt;0")/3),0)</f>
        <v/>
      </c>
      <c r="Z100" s="238">
        <f>IF(ABS(Z61)&gt;0,IF(Z61&gt;0.001,Z61,_xlfn.MINIFS(Z$58:Z$92,Z$58:Z$92,"&gt;0")/3),0)</f>
        <v/>
      </c>
      <c r="AA100" s="238">
        <f>IF(ABS(AA61)&gt;0,IF(AA61&gt;0.001,AA61,_xlfn.MINIFS(AA$58:AA$92,AA$58:AA$92,"&gt;0")/3),0)</f>
        <v/>
      </c>
      <c r="AB100" s="238">
        <f>IF(ABS(AB61)&gt;0,IF(AB61&gt;0.001,AB61,_xlfn.MINIFS(AB$58:AB$92,AB$58:AB$92,"&gt;0")/3),0)</f>
        <v/>
      </c>
      <c r="AC100" s="238">
        <f>IF(ABS(AC61)&gt;0,IF(AC61&gt;0.001,AC61,_xlfn.MINIFS(AC$58:AC$92,AC$58:AC$92,"&gt;0")/3),0)</f>
        <v/>
      </c>
      <c r="AD100" s="238">
        <f>IF(ABS(AD61)&gt;0,IF(AD61&gt;0.001,AD61,_xlfn.MINIFS(AD$58:AD$92,AD$58:AD$92,"&gt;0")/3),0)</f>
        <v/>
      </c>
      <c r="AE100" s="238">
        <f>IF(ABS(AE61)&gt;0,IF(AE61&gt;0.001,AE61,_xlfn.MINIFS(AE$58:AE$92,AE$58:AE$92,"&gt;0")/3),0)</f>
        <v/>
      </c>
      <c r="AF100" s="238">
        <f>IF(ABS(AF61)&gt;0,IF(AF61&gt;0.001,AF61,_xlfn.MINIFS(AF$58:AF$92,AF$58:AF$92,"&gt;0")/3),0)</f>
        <v/>
      </c>
      <c r="AG100" s="238">
        <f>IF(ABS(AG61)&gt;0,IF(AG61&gt;0.001,AG61,_xlfn.MINIFS(AG$58:AG$92,AG$58:AG$92,"&gt;0")/3),0)</f>
        <v/>
      </c>
      <c r="AH100" s="238">
        <f>IF(ABS(AH61)&gt;0,IF(AH61&gt;0.001,AH61,_xlfn.MINIFS(AH$58:AH$92,AH$58:AH$92,"&gt;0")/3),0)</f>
        <v/>
      </c>
      <c r="AI100" s="238">
        <f>IF(ABS(AI61)&gt;0,IF(AI61&gt;0.001,AI61,_xlfn.MINIFS(AI$58:AI$92,AI$58:AI$92,"&gt;0")/3),0)</f>
        <v/>
      </c>
      <c r="AJ100" s="238">
        <f>IF(ABS(AJ61)&gt;0,IF(AJ61&gt;0.001,AJ61,_xlfn.MINIFS(AJ$58:AJ$92,AJ$58:AJ$92,"&gt;0")/3),0)</f>
        <v/>
      </c>
      <c r="AK100" s="238">
        <f>IF(ABS(AK61)&gt;0,IF(AK61&gt;0.001,AK61,_xlfn.MINIFS(AK$58:AK$92,AK$58:AK$92,"&gt;0")/3),0)</f>
        <v/>
      </c>
      <c r="AL100" s="238">
        <f>IF(ABS(AL61)&gt;0,IF(AL61&gt;0.001,AL61,_xlfn.MINIFS(AL$58:AL$92,AL$58:AL$92,"&gt;0")/3),0)</f>
        <v/>
      </c>
      <c r="AM100" s="238">
        <f>IF(ABS(AM61)&gt;0,IF(AM61&gt;0.001,AM61,_xlfn.MINIFS(AM$58:AM$92,AM$58:AM$92,"&gt;0")/3),0)</f>
        <v/>
      </c>
      <c r="AN100" s="238">
        <f>IF(ABS(AN61)&gt;0,IF(AN61&gt;0.001,AN61,_xlfn.MINIFS(AN$58:AN$92,AN$58:AN$92,"&gt;0")/3),0)</f>
        <v/>
      </c>
      <c r="AO100" s="238">
        <f>IF(ABS(AO61)&gt;0,IF(AO61&gt;0.001,AO61,_xlfn.MINIFS(AO$58:AO$92,AO$58:AO$92,"&gt;0")/3),0)</f>
        <v/>
      </c>
      <c r="AP100" s="238">
        <f>IF(ABS(AP61)&gt;0,IF(AP61&gt;0.001,AP61,_xlfn.MINIFS(AP$58:AP$92,AP$58:AP$92,"&gt;0")/3),0)</f>
        <v/>
      </c>
      <c r="AQ100" s="238">
        <f>IF(ABS(AQ61)&gt;0,IF(AQ61&gt;0.001,AQ61,_xlfn.MINIFS(AQ$58:AQ$92,AQ$58:AQ$92,"&gt;0")/3),0)</f>
        <v/>
      </c>
      <c r="AR100" s="238">
        <f>IF(ABS(AR61)&gt;0,IF(AR61&gt;0.001,AR61,_xlfn.MINIFS(AR$58:AR$92,AR$58:AR$92,"&gt;0")/3),0)</f>
        <v/>
      </c>
      <c r="AS100" s="238">
        <f>IF(ABS(AS61)&gt;0,IF(AS61&gt;0.001,AS61,_xlfn.MINIFS(AS$58:AS$92,AS$58:AS$92,"&gt;0")/3),0)</f>
        <v/>
      </c>
      <c r="AT100" s="238">
        <f>IF(ABS(AT61)&gt;0,IF(AT61&gt;0.001,AT61,_xlfn.MINIFS(AT$58:AT$92,AT$58:AT$92,"&gt;0")/3),0)</f>
        <v/>
      </c>
      <c r="AU100" s="238">
        <f>IF(ABS(AU61)&gt;0,IF(AU61&gt;0.001,AU61,_xlfn.MINIFS(AU$58:AU$92,AU$58:AU$92,"&gt;0")/3),0)</f>
        <v/>
      </c>
      <c r="AV100" s="238">
        <f>IF(ABS(AV61)&gt;0,IF(AV61&gt;0.001,AV61,_xlfn.MINIFS(AV$58:AV$92,AV$58:AV$92,"&gt;0")/3),0)</f>
        <v/>
      </c>
      <c r="AW100" s="238">
        <f>IF(ABS(AW61)&gt;0,IF(AW61&gt;0.001,AW61,_xlfn.MINIFS(AW$58:AW$92,AW$58:AW$92,"&gt;0")/3),0)</f>
        <v/>
      </c>
      <c r="AX100" s="238">
        <f>IF(ABS(AX61)&gt;0,IF(AX61&gt;0.001,AX61,_xlfn.MINIFS(AX$58:AX$92,AX$58:AX$92,"&gt;0")/3),0)</f>
        <v/>
      </c>
      <c r="AY100" s="238">
        <f>IF(ABS(AY61)&gt;0,IF(AY61&gt;0.001,AY61,_xlfn.MINIFS(AY$58:AY$92,AY$58:AY$92,"&gt;0")/3),0)</f>
        <v/>
      </c>
      <c r="AZ100" s="238">
        <f>IF(ABS(AZ61)&gt;0,IF(AZ61&gt;0.001,AZ61,_xlfn.MINIFS(AZ$58:AZ$92,AZ$58:AZ$92,"&gt;0")/3),0)</f>
        <v/>
      </c>
      <c r="BA100" s="238">
        <f>IF(ABS(BA61)&gt;0,IF(BA61&gt;0.001,BA61,_xlfn.MINIFS(BA$58:BA$92,BA$58:BA$92,"&gt;0")/3),0)</f>
        <v/>
      </c>
      <c r="BB100" s="238">
        <f>IF(ABS(BB61)&gt;0,IF(BB61&gt;0.001,BB61,_xlfn.MINIFS(BB$58:BB$92,BB$58:BB$92,"&gt;0")/3),0)</f>
        <v/>
      </c>
    </row>
    <row r="101" ht="16.5" customHeight="1" s="179">
      <c r="C101" s="66" t="n"/>
      <c r="D101" s="237">
        <f>D62</f>
        <v/>
      </c>
      <c r="E101" s="238">
        <f>IF(ABS(E62)&gt;0,IF(E62&gt;0.001,E62,_xlfn.MINIFS(E$58:E$92,E$58:E$92,"&gt;0")/3),0)</f>
        <v/>
      </c>
      <c r="F101" s="238">
        <f>IF(ABS(F62)&gt;0,IF(F62&gt;0.001,F62,_xlfn.MINIFS(F$58:F$92,F$58:F$92,"&gt;0")/3),0)</f>
        <v/>
      </c>
      <c r="G101" s="238">
        <f>IF(ABS(G62)&gt;0,IF(G62&gt;0.001,G62,_xlfn.MINIFS(G$58:G$92,G$58:G$92,"&gt;0")/3),0)</f>
        <v/>
      </c>
      <c r="H101" s="238">
        <f>IF(ABS(H62)&gt;0,IF(H62&gt;0.001,H62,_xlfn.MINIFS(H$58:H$92,H$58:H$92,"&gt;0")/3),0)</f>
        <v/>
      </c>
      <c r="I101" s="238">
        <f>IF(ABS(I62)&gt;0,IF(I62&gt;0.001,I62,_xlfn.MINIFS(I$58:I$92,I$58:I$92,"&gt;0")/3),0)</f>
        <v/>
      </c>
      <c r="J101" s="238">
        <f>IF(ABS(J62)&gt;0,IF(J62&gt;0.001,J62,_xlfn.MINIFS(J$58:J$92,J$58:J$92,"&gt;0")/3),0)</f>
        <v/>
      </c>
      <c r="K101" s="238">
        <f>IF(ABS(K62)&gt;0,IF(K62&gt;0.001,K62,_xlfn.MINIFS(K$58:K$92,K$58:K$92,"&gt;0")/3),0)</f>
        <v/>
      </c>
      <c r="L101" s="238">
        <f>IF(ABS(L62)&gt;0,IF(L62&gt;0.001,L62,_xlfn.MINIFS(L$58:L$92,L$58:L$92,"&gt;0")/3),0)</f>
        <v/>
      </c>
      <c r="M101" s="238">
        <f>IF(ABS(M62)&gt;0,IF(M62&gt;0.001,M62,_xlfn.MINIFS(M$58:M$92,M$58:M$92,"&gt;0")/3),0)</f>
        <v/>
      </c>
      <c r="N101" s="238">
        <f>IF(ABS(N62)&gt;0,IF(N62&gt;0.001,N62,_xlfn.MINIFS(N$58:N$92,N$58:N$92,"&gt;0")/3),0)</f>
        <v/>
      </c>
      <c r="O101" s="238">
        <f>IF(ABS(O62)&gt;0,IF(O62&gt;0.001,O62,_xlfn.MINIFS(O$58:O$92,O$58:O$92,"&gt;0")/3),0)</f>
        <v/>
      </c>
      <c r="P101" s="238">
        <f>IF(ABS(P62)&gt;0,IF(P62&gt;0.001,P62,_xlfn.MINIFS(P$58:P$92,P$58:P$92,"&gt;0")/3),0)</f>
        <v/>
      </c>
      <c r="Q101" s="238">
        <f>IF(ABS(Q62)&gt;0,IF(Q62&gt;0.001,Q62,_xlfn.MINIFS(Q$58:Q$92,Q$58:Q$92,"&gt;0")/3),0)</f>
        <v/>
      </c>
      <c r="R101" s="238">
        <f>IF(ABS(R62)&gt;0,IF(R62&gt;0.001,R62,_xlfn.MINIFS(R$58:R$92,R$58:R$92,"&gt;0")/3),0)</f>
        <v/>
      </c>
      <c r="S101" s="238">
        <f>IF(ABS(S62)&gt;0,IF(S62&gt;0.001,S62,_xlfn.MINIFS(S$58:S$92,S$58:S$92,"&gt;0")/3),0)</f>
        <v/>
      </c>
      <c r="T101" s="238">
        <f>IF(ABS(T62)&gt;0,IF(T62&gt;0.001,T62,_xlfn.MINIFS(T$58:T$92,T$58:T$92,"&gt;0")/3),0)</f>
        <v/>
      </c>
      <c r="U101" s="238">
        <f>IF(ABS(U62)&gt;0,IF(U62&gt;0.001,U62,_xlfn.MINIFS(U$58:U$92,U$58:U$92,"&gt;0")/3),0)</f>
        <v/>
      </c>
      <c r="V101" s="238">
        <f>IF(ABS(V62)&gt;0,IF(V62&gt;0.001,V62,_xlfn.MINIFS(V$58:V$92,V$58:V$92,"&gt;0")/3),0)</f>
        <v/>
      </c>
      <c r="W101" s="238">
        <f>IF(ABS(W62)&gt;0,IF(W62&gt;0.001,W62,_xlfn.MINIFS(W$58:W$92,W$58:W$92,"&gt;0")/3),0)</f>
        <v/>
      </c>
      <c r="X101" s="238">
        <f>IF(ABS(X62)&gt;0,IF(X62&gt;0.001,X62,_xlfn.MINIFS(X$58:X$92,X$58:X$92,"&gt;0")/3),0)</f>
        <v/>
      </c>
      <c r="Y101" s="238">
        <f>IF(ABS(Y62)&gt;0,IF(Y62&gt;0.001,Y62,_xlfn.MINIFS(Y$58:Y$92,Y$58:Y$92,"&gt;0")/3),0)</f>
        <v/>
      </c>
      <c r="Z101" s="238">
        <f>IF(ABS(Z62)&gt;0,IF(Z62&gt;0.001,Z62,_xlfn.MINIFS(Z$58:Z$92,Z$58:Z$92,"&gt;0")/3),0)</f>
        <v/>
      </c>
      <c r="AA101" s="238">
        <f>IF(ABS(AA62)&gt;0,IF(AA62&gt;0.001,AA62,_xlfn.MINIFS(AA$58:AA$92,AA$58:AA$92,"&gt;0")/3),0)</f>
        <v/>
      </c>
      <c r="AB101" s="238">
        <f>IF(ABS(AB62)&gt;0,IF(AB62&gt;0.001,AB62,_xlfn.MINIFS(AB$58:AB$92,AB$58:AB$92,"&gt;0")/3),0)</f>
        <v/>
      </c>
      <c r="AC101" s="238">
        <f>IF(ABS(AC62)&gt;0,IF(AC62&gt;0.001,AC62,_xlfn.MINIFS(AC$58:AC$92,AC$58:AC$92,"&gt;0")/3),0)</f>
        <v/>
      </c>
      <c r="AD101" s="238">
        <f>IF(ABS(AD62)&gt;0,IF(AD62&gt;0.001,AD62,_xlfn.MINIFS(AD$58:AD$92,AD$58:AD$92,"&gt;0")/3),0)</f>
        <v/>
      </c>
      <c r="AE101" s="238">
        <f>IF(ABS(AE62)&gt;0,IF(AE62&gt;0.001,AE62,_xlfn.MINIFS(AE$58:AE$92,AE$58:AE$92,"&gt;0")/3),0)</f>
        <v/>
      </c>
      <c r="AF101" s="238">
        <f>IF(ABS(AF62)&gt;0,IF(AF62&gt;0.001,AF62,_xlfn.MINIFS(AF$58:AF$92,AF$58:AF$92,"&gt;0")/3),0)</f>
        <v/>
      </c>
      <c r="AG101" s="238">
        <f>IF(ABS(AG62)&gt;0,IF(AG62&gt;0.001,AG62,_xlfn.MINIFS(AG$58:AG$92,AG$58:AG$92,"&gt;0")/3),0)</f>
        <v/>
      </c>
      <c r="AH101" s="238">
        <f>IF(ABS(AH62)&gt;0,IF(AH62&gt;0.001,AH62,_xlfn.MINIFS(AH$58:AH$92,AH$58:AH$92,"&gt;0")/3),0)</f>
        <v/>
      </c>
      <c r="AI101" s="238">
        <f>IF(ABS(AI62)&gt;0,IF(AI62&gt;0.001,AI62,_xlfn.MINIFS(AI$58:AI$92,AI$58:AI$92,"&gt;0")/3),0)</f>
        <v/>
      </c>
      <c r="AJ101" s="238">
        <f>IF(ABS(AJ62)&gt;0,IF(AJ62&gt;0.001,AJ62,_xlfn.MINIFS(AJ$58:AJ$92,AJ$58:AJ$92,"&gt;0")/3),0)</f>
        <v/>
      </c>
      <c r="AK101" s="238">
        <f>IF(ABS(AK62)&gt;0,IF(AK62&gt;0.001,AK62,_xlfn.MINIFS(AK$58:AK$92,AK$58:AK$92,"&gt;0")/3),0)</f>
        <v/>
      </c>
      <c r="AL101" s="238">
        <f>IF(ABS(AL62)&gt;0,IF(AL62&gt;0.001,AL62,_xlfn.MINIFS(AL$58:AL$92,AL$58:AL$92,"&gt;0")/3),0)</f>
        <v/>
      </c>
      <c r="AM101" s="238">
        <f>IF(ABS(AM62)&gt;0,IF(AM62&gt;0.001,AM62,_xlfn.MINIFS(AM$58:AM$92,AM$58:AM$92,"&gt;0")/3),0)</f>
        <v/>
      </c>
      <c r="AN101" s="238">
        <f>IF(ABS(AN62)&gt;0,IF(AN62&gt;0.001,AN62,_xlfn.MINIFS(AN$58:AN$92,AN$58:AN$92,"&gt;0")/3),0)</f>
        <v/>
      </c>
      <c r="AO101" s="238">
        <f>IF(ABS(AO62)&gt;0,IF(AO62&gt;0.001,AO62,_xlfn.MINIFS(AO$58:AO$92,AO$58:AO$92,"&gt;0")/3),0)</f>
        <v/>
      </c>
      <c r="AP101" s="238">
        <f>IF(ABS(AP62)&gt;0,IF(AP62&gt;0.001,AP62,_xlfn.MINIFS(AP$58:AP$92,AP$58:AP$92,"&gt;0")/3),0)</f>
        <v/>
      </c>
      <c r="AQ101" s="238">
        <f>IF(ABS(AQ62)&gt;0,IF(AQ62&gt;0.001,AQ62,_xlfn.MINIFS(AQ$58:AQ$92,AQ$58:AQ$92,"&gt;0")/3),0)</f>
        <v/>
      </c>
      <c r="AR101" s="238">
        <f>IF(ABS(AR62)&gt;0,IF(AR62&gt;0.001,AR62,_xlfn.MINIFS(AR$58:AR$92,AR$58:AR$92,"&gt;0")/3),0)</f>
        <v/>
      </c>
      <c r="AS101" s="238">
        <f>IF(ABS(AS62)&gt;0,IF(AS62&gt;0.001,AS62,_xlfn.MINIFS(AS$58:AS$92,AS$58:AS$92,"&gt;0")/3),0)</f>
        <v/>
      </c>
      <c r="AT101" s="238">
        <f>IF(ABS(AT62)&gt;0,IF(AT62&gt;0.001,AT62,_xlfn.MINIFS(AT$58:AT$92,AT$58:AT$92,"&gt;0")/3),0)</f>
        <v/>
      </c>
      <c r="AU101" s="238">
        <f>IF(ABS(AU62)&gt;0,IF(AU62&gt;0.001,AU62,_xlfn.MINIFS(AU$58:AU$92,AU$58:AU$92,"&gt;0")/3),0)</f>
        <v/>
      </c>
      <c r="AV101" s="238">
        <f>IF(ABS(AV62)&gt;0,IF(AV62&gt;0.001,AV62,_xlfn.MINIFS(AV$58:AV$92,AV$58:AV$92,"&gt;0")/3),0)</f>
        <v/>
      </c>
      <c r="AW101" s="238">
        <f>IF(ABS(AW62)&gt;0,IF(AW62&gt;0.001,AW62,_xlfn.MINIFS(AW$58:AW$92,AW$58:AW$92,"&gt;0")/3),0)</f>
        <v/>
      </c>
      <c r="AX101" s="238">
        <f>IF(ABS(AX62)&gt;0,IF(AX62&gt;0.001,AX62,_xlfn.MINIFS(AX$58:AX$92,AX$58:AX$92,"&gt;0")/3),0)</f>
        <v/>
      </c>
      <c r="AY101" s="238">
        <f>IF(ABS(AY62)&gt;0,IF(AY62&gt;0.001,AY62,_xlfn.MINIFS(AY$58:AY$92,AY$58:AY$92,"&gt;0")/3),0)</f>
        <v/>
      </c>
      <c r="AZ101" s="238">
        <f>IF(ABS(AZ62)&gt;0,IF(AZ62&gt;0.001,AZ62,_xlfn.MINIFS(AZ$58:AZ$92,AZ$58:AZ$92,"&gt;0")/3),0)</f>
        <v/>
      </c>
      <c r="BA101" s="238">
        <f>IF(ABS(BA62)&gt;0,IF(BA62&gt;0.001,BA62,_xlfn.MINIFS(BA$58:BA$92,BA$58:BA$92,"&gt;0")/3),0)</f>
        <v/>
      </c>
      <c r="BB101" s="238">
        <f>IF(ABS(BB62)&gt;0,IF(BB62&gt;0.001,BB62,_xlfn.MINIFS(BB$58:BB$92,BB$58:BB$92,"&gt;0")/3),0)</f>
        <v/>
      </c>
    </row>
    <row r="102" ht="16.5" customHeight="1" s="179">
      <c r="C102" s="66" t="n"/>
      <c r="D102" s="237">
        <f>D63</f>
        <v/>
      </c>
      <c r="E102" s="238">
        <f>IF(ABS(E63)&gt;0,IF(E63&gt;0.001,E63,_xlfn.MINIFS(E$58:E$92,E$58:E$92,"&gt;0")/3),0)</f>
        <v/>
      </c>
      <c r="F102" s="238">
        <f>IF(ABS(F63)&gt;0,IF(F63&gt;0.001,F63,_xlfn.MINIFS(F$58:F$92,F$58:F$92,"&gt;0")/3),0)</f>
        <v/>
      </c>
      <c r="G102" s="238">
        <f>IF(ABS(G63)&gt;0,IF(G63&gt;0.001,G63,_xlfn.MINIFS(G$58:G$92,G$58:G$92,"&gt;0")/3),0)</f>
        <v/>
      </c>
      <c r="H102" s="238">
        <f>IF(ABS(H63)&gt;0,IF(H63&gt;0.001,H63,_xlfn.MINIFS(H$58:H$92,H$58:H$92,"&gt;0")/3),0)</f>
        <v/>
      </c>
      <c r="I102" s="238">
        <f>IF(ABS(I63)&gt;0,IF(I63&gt;0.001,I63,_xlfn.MINIFS(I$58:I$92,I$58:I$92,"&gt;0")/3),0)</f>
        <v/>
      </c>
      <c r="J102" s="238">
        <f>IF(ABS(J63)&gt;0,IF(J63&gt;0.001,J63,_xlfn.MINIFS(J$58:J$92,J$58:J$92,"&gt;0")/3),0)</f>
        <v/>
      </c>
      <c r="K102" s="238">
        <f>IF(ABS(K63)&gt;0,IF(K63&gt;0.001,K63,_xlfn.MINIFS(K$58:K$92,K$58:K$92,"&gt;0")/3),0)</f>
        <v/>
      </c>
      <c r="L102" s="238">
        <f>IF(ABS(L63)&gt;0,IF(L63&gt;0.001,L63,_xlfn.MINIFS(L$58:L$92,L$58:L$92,"&gt;0")/3),0)</f>
        <v/>
      </c>
      <c r="M102" s="238">
        <f>IF(ABS(M63)&gt;0,IF(M63&gt;0.001,M63,_xlfn.MINIFS(M$58:M$92,M$58:M$92,"&gt;0")/3),0)</f>
        <v/>
      </c>
      <c r="N102" s="238">
        <f>IF(ABS(N63)&gt;0,IF(N63&gt;0.001,N63,_xlfn.MINIFS(N$58:N$92,N$58:N$92,"&gt;0")/3),0)</f>
        <v/>
      </c>
      <c r="O102" s="238">
        <f>IF(ABS(O63)&gt;0,IF(O63&gt;0.001,O63,_xlfn.MINIFS(O$58:O$92,O$58:O$92,"&gt;0")/3),0)</f>
        <v/>
      </c>
      <c r="P102" s="238">
        <f>IF(ABS(P63)&gt;0,IF(P63&gt;0.001,P63,_xlfn.MINIFS(P$58:P$92,P$58:P$92,"&gt;0")/3),0)</f>
        <v/>
      </c>
      <c r="Q102" s="238">
        <f>IF(ABS(Q63)&gt;0,IF(Q63&gt;0.001,Q63,_xlfn.MINIFS(Q$58:Q$92,Q$58:Q$92,"&gt;0")/3),0)</f>
        <v/>
      </c>
      <c r="R102" s="238">
        <f>IF(ABS(R63)&gt;0,IF(R63&gt;0.001,R63,_xlfn.MINIFS(R$58:R$92,R$58:R$92,"&gt;0")/3),0)</f>
        <v/>
      </c>
      <c r="S102" s="238">
        <f>IF(ABS(S63)&gt;0,IF(S63&gt;0.001,S63,_xlfn.MINIFS(S$58:S$92,S$58:S$92,"&gt;0")/3),0)</f>
        <v/>
      </c>
      <c r="T102" s="238">
        <f>IF(ABS(T63)&gt;0,IF(T63&gt;0.001,T63,_xlfn.MINIFS(T$58:T$92,T$58:T$92,"&gt;0")/3),0)</f>
        <v/>
      </c>
      <c r="U102" s="238">
        <f>IF(ABS(U63)&gt;0,IF(U63&gt;0.001,U63,_xlfn.MINIFS(U$58:U$92,U$58:U$92,"&gt;0")/3),0)</f>
        <v/>
      </c>
      <c r="V102" s="238">
        <f>IF(ABS(V63)&gt;0,IF(V63&gt;0.001,V63,_xlfn.MINIFS(V$58:V$92,V$58:V$92,"&gt;0")/3),0)</f>
        <v/>
      </c>
      <c r="W102" s="238">
        <f>IF(ABS(W63)&gt;0,IF(W63&gt;0.001,W63,_xlfn.MINIFS(W$58:W$92,W$58:W$92,"&gt;0")/3),0)</f>
        <v/>
      </c>
      <c r="X102" s="238">
        <f>IF(ABS(X63)&gt;0,IF(X63&gt;0.001,X63,_xlfn.MINIFS(X$58:X$92,X$58:X$92,"&gt;0")/3),0)</f>
        <v/>
      </c>
      <c r="Y102" s="238">
        <f>IF(ABS(Y63)&gt;0,IF(Y63&gt;0.001,Y63,_xlfn.MINIFS(Y$58:Y$92,Y$58:Y$92,"&gt;0")/3),0)</f>
        <v/>
      </c>
      <c r="Z102" s="238">
        <f>IF(ABS(Z63)&gt;0,IF(Z63&gt;0.001,Z63,_xlfn.MINIFS(Z$58:Z$92,Z$58:Z$92,"&gt;0")/3),0)</f>
        <v/>
      </c>
      <c r="AA102" s="238">
        <f>IF(ABS(AA63)&gt;0,IF(AA63&gt;0.001,AA63,_xlfn.MINIFS(AA$58:AA$92,AA$58:AA$92,"&gt;0")/3),0)</f>
        <v/>
      </c>
      <c r="AB102" s="238">
        <f>IF(ABS(AB63)&gt;0,IF(AB63&gt;0.001,AB63,_xlfn.MINIFS(AB$58:AB$92,AB$58:AB$92,"&gt;0")/3),0)</f>
        <v/>
      </c>
      <c r="AC102" s="238">
        <f>IF(ABS(AC63)&gt;0,IF(AC63&gt;0.001,AC63,_xlfn.MINIFS(AC$58:AC$92,AC$58:AC$92,"&gt;0")/3),0)</f>
        <v/>
      </c>
      <c r="AD102" s="238">
        <f>IF(ABS(AD63)&gt;0,IF(AD63&gt;0.001,AD63,_xlfn.MINIFS(AD$58:AD$92,AD$58:AD$92,"&gt;0")/3),0)</f>
        <v/>
      </c>
      <c r="AE102" s="238">
        <f>IF(ABS(AE63)&gt;0,IF(AE63&gt;0.001,AE63,_xlfn.MINIFS(AE$58:AE$92,AE$58:AE$92,"&gt;0")/3),0)</f>
        <v/>
      </c>
      <c r="AF102" s="238">
        <f>IF(ABS(AF63)&gt;0,IF(AF63&gt;0.001,AF63,_xlfn.MINIFS(AF$58:AF$92,AF$58:AF$92,"&gt;0")/3),0)</f>
        <v/>
      </c>
      <c r="AG102" s="238">
        <f>IF(ABS(AG63)&gt;0,IF(AG63&gt;0.001,AG63,_xlfn.MINIFS(AG$58:AG$92,AG$58:AG$92,"&gt;0")/3),0)</f>
        <v/>
      </c>
      <c r="AH102" s="238">
        <f>IF(ABS(AH63)&gt;0,IF(AH63&gt;0.001,AH63,_xlfn.MINIFS(AH$58:AH$92,AH$58:AH$92,"&gt;0")/3),0)</f>
        <v/>
      </c>
      <c r="AI102" s="238">
        <f>IF(ABS(AI63)&gt;0,IF(AI63&gt;0.001,AI63,_xlfn.MINIFS(AI$58:AI$92,AI$58:AI$92,"&gt;0")/3),0)</f>
        <v/>
      </c>
      <c r="AJ102" s="238">
        <f>IF(ABS(AJ63)&gt;0,IF(AJ63&gt;0.001,AJ63,_xlfn.MINIFS(AJ$58:AJ$92,AJ$58:AJ$92,"&gt;0")/3),0)</f>
        <v/>
      </c>
      <c r="AK102" s="238">
        <f>IF(ABS(AK63)&gt;0,IF(AK63&gt;0.001,AK63,_xlfn.MINIFS(AK$58:AK$92,AK$58:AK$92,"&gt;0")/3),0)</f>
        <v/>
      </c>
      <c r="AL102" s="238">
        <f>IF(ABS(AL63)&gt;0,IF(AL63&gt;0.001,AL63,_xlfn.MINIFS(AL$58:AL$92,AL$58:AL$92,"&gt;0")/3),0)</f>
        <v/>
      </c>
      <c r="AM102" s="238">
        <f>IF(ABS(AM63)&gt;0,IF(AM63&gt;0.001,AM63,_xlfn.MINIFS(AM$58:AM$92,AM$58:AM$92,"&gt;0")/3),0)</f>
        <v/>
      </c>
      <c r="AN102" s="238">
        <f>IF(ABS(AN63)&gt;0,IF(AN63&gt;0.001,AN63,_xlfn.MINIFS(AN$58:AN$92,AN$58:AN$92,"&gt;0")/3),0)</f>
        <v/>
      </c>
      <c r="AO102" s="238">
        <f>IF(ABS(AO63)&gt;0,IF(AO63&gt;0.001,AO63,_xlfn.MINIFS(AO$58:AO$92,AO$58:AO$92,"&gt;0")/3),0)</f>
        <v/>
      </c>
      <c r="AP102" s="238">
        <f>IF(ABS(AP63)&gt;0,IF(AP63&gt;0.001,AP63,_xlfn.MINIFS(AP$58:AP$92,AP$58:AP$92,"&gt;0")/3),0)</f>
        <v/>
      </c>
      <c r="AQ102" s="238">
        <f>IF(ABS(AQ63)&gt;0,IF(AQ63&gt;0.001,AQ63,_xlfn.MINIFS(AQ$58:AQ$92,AQ$58:AQ$92,"&gt;0")/3),0)</f>
        <v/>
      </c>
      <c r="AR102" s="238">
        <f>IF(ABS(AR63)&gt;0,IF(AR63&gt;0.001,AR63,_xlfn.MINIFS(AR$58:AR$92,AR$58:AR$92,"&gt;0")/3),0)</f>
        <v/>
      </c>
      <c r="AS102" s="238">
        <f>IF(ABS(AS63)&gt;0,IF(AS63&gt;0.001,AS63,_xlfn.MINIFS(AS$58:AS$92,AS$58:AS$92,"&gt;0")/3),0)</f>
        <v/>
      </c>
      <c r="AT102" s="238">
        <f>IF(ABS(AT63)&gt;0,IF(AT63&gt;0.001,AT63,_xlfn.MINIFS(AT$58:AT$92,AT$58:AT$92,"&gt;0")/3),0)</f>
        <v/>
      </c>
      <c r="AU102" s="238">
        <f>IF(ABS(AU63)&gt;0,IF(AU63&gt;0.001,AU63,_xlfn.MINIFS(AU$58:AU$92,AU$58:AU$92,"&gt;0")/3),0)</f>
        <v/>
      </c>
      <c r="AV102" s="238">
        <f>IF(ABS(AV63)&gt;0,IF(AV63&gt;0.001,AV63,_xlfn.MINIFS(AV$58:AV$92,AV$58:AV$92,"&gt;0")/3),0)</f>
        <v/>
      </c>
      <c r="AW102" s="238">
        <f>IF(ABS(AW63)&gt;0,IF(AW63&gt;0.001,AW63,_xlfn.MINIFS(AW$58:AW$92,AW$58:AW$92,"&gt;0")/3),0)</f>
        <v/>
      </c>
      <c r="AX102" s="238">
        <f>IF(ABS(AX63)&gt;0,IF(AX63&gt;0.001,AX63,_xlfn.MINIFS(AX$58:AX$92,AX$58:AX$92,"&gt;0")/3),0)</f>
        <v/>
      </c>
      <c r="AY102" s="238">
        <f>IF(ABS(AY63)&gt;0,IF(AY63&gt;0.001,AY63,_xlfn.MINIFS(AY$58:AY$92,AY$58:AY$92,"&gt;0")/3),0)</f>
        <v/>
      </c>
      <c r="AZ102" s="238">
        <f>IF(ABS(AZ63)&gt;0,IF(AZ63&gt;0.001,AZ63,_xlfn.MINIFS(AZ$58:AZ$92,AZ$58:AZ$92,"&gt;0")/3),0)</f>
        <v/>
      </c>
      <c r="BA102" s="238">
        <f>IF(ABS(BA63)&gt;0,IF(BA63&gt;0.001,BA63,_xlfn.MINIFS(BA$58:BA$92,BA$58:BA$92,"&gt;0")/3),0)</f>
        <v/>
      </c>
      <c r="BB102" s="238">
        <f>IF(ABS(BB63)&gt;0,IF(BB63&gt;0.001,BB63,_xlfn.MINIFS(BB$58:BB$92,BB$58:BB$92,"&gt;0")/3),0)</f>
        <v/>
      </c>
    </row>
    <row r="103">
      <c r="C103" s="1" t="n"/>
      <c r="D103" s="237">
        <f>D64</f>
        <v/>
      </c>
      <c r="E103" s="238">
        <f>IF(ABS(E64)&gt;0,IF(E64&gt;0.001,E64,_xlfn.MINIFS(E$58:E$92,E$58:E$92,"&gt;0")/3),0)</f>
        <v/>
      </c>
      <c r="F103" s="238">
        <f>IF(ABS(F64)&gt;0,IF(F64&gt;0.001,F64,_xlfn.MINIFS(F$58:F$92,F$58:F$92,"&gt;0")/3),0)</f>
        <v/>
      </c>
      <c r="G103" s="238">
        <f>IF(ABS(G64)&gt;0,IF(G64&gt;0.001,G64,_xlfn.MINIFS(G$58:G$92,G$58:G$92,"&gt;0")/3),0)</f>
        <v/>
      </c>
      <c r="H103" s="238">
        <f>IF(ABS(H64)&gt;0,IF(H64&gt;0.001,H64,_xlfn.MINIFS(H$58:H$92,H$58:H$92,"&gt;0")/3),0)</f>
        <v/>
      </c>
      <c r="I103" s="238">
        <f>IF(ABS(I64)&gt;0,IF(I64&gt;0.001,I64,_xlfn.MINIFS(I$58:I$92,I$58:I$92,"&gt;0")/3),0)</f>
        <v/>
      </c>
      <c r="J103" s="238">
        <f>IF(ABS(J64)&gt;0,IF(J64&gt;0.001,J64,_xlfn.MINIFS(J$58:J$92,J$58:J$92,"&gt;0")/3),0)</f>
        <v/>
      </c>
      <c r="K103" s="238">
        <f>IF(ABS(K64)&gt;0,IF(K64&gt;0.001,K64,_xlfn.MINIFS(K$58:K$92,K$58:K$92,"&gt;0")/3),0)</f>
        <v/>
      </c>
      <c r="L103" s="238">
        <f>IF(ABS(L64)&gt;0,IF(L64&gt;0.001,L64,_xlfn.MINIFS(L$58:L$92,L$58:L$92,"&gt;0")/3),0)</f>
        <v/>
      </c>
      <c r="M103" s="238">
        <f>IF(ABS(M64)&gt;0,IF(M64&gt;0.001,M64,_xlfn.MINIFS(M$58:M$92,M$58:M$92,"&gt;0")/3),0)</f>
        <v/>
      </c>
      <c r="N103" s="238">
        <f>IF(ABS(N64)&gt;0,IF(N64&gt;0.001,N64,_xlfn.MINIFS(N$58:N$92,N$58:N$92,"&gt;0")/3),0)</f>
        <v/>
      </c>
      <c r="O103" s="238">
        <f>IF(ABS(O64)&gt;0,IF(O64&gt;0.001,O64,_xlfn.MINIFS(O$58:O$92,O$58:O$92,"&gt;0")/3),0)</f>
        <v/>
      </c>
      <c r="P103" s="238">
        <f>IF(ABS(P64)&gt;0,IF(P64&gt;0.001,P64,_xlfn.MINIFS(P$58:P$92,P$58:P$92,"&gt;0")/3),0)</f>
        <v/>
      </c>
      <c r="Q103" s="238">
        <f>IF(ABS(Q64)&gt;0,IF(Q64&gt;0.001,Q64,_xlfn.MINIFS(Q$58:Q$92,Q$58:Q$92,"&gt;0")/3),0)</f>
        <v/>
      </c>
      <c r="R103" s="238">
        <f>IF(ABS(R64)&gt;0,IF(R64&gt;0.001,R64,_xlfn.MINIFS(R$58:R$92,R$58:R$92,"&gt;0")/3),0)</f>
        <v/>
      </c>
      <c r="S103" s="238">
        <f>IF(ABS(S64)&gt;0,IF(S64&gt;0.001,S64,_xlfn.MINIFS(S$58:S$92,S$58:S$92,"&gt;0")/3),0)</f>
        <v/>
      </c>
      <c r="T103" s="238">
        <f>IF(ABS(T64)&gt;0,IF(T64&gt;0.001,T64,_xlfn.MINIFS(T$58:T$92,T$58:T$92,"&gt;0")/3),0)</f>
        <v/>
      </c>
      <c r="U103" s="238">
        <f>IF(ABS(U64)&gt;0,IF(U64&gt;0.001,U64,_xlfn.MINIFS(U$58:U$92,U$58:U$92,"&gt;0")/3),0)</f>
        <v/>
      </c>
      <c r="V103" s="238">
        <f>IF(ABS(V64)&gt;0,IF(V64&gt;0.001,V64,_xlfn.MINIFS(V$58:V$92,V$58:V$92,"&gt;0")/3),0)</f>
        <v/>
      </c>
      <c r="W103" s="238">
        <f>IF(ABS(W64)&gt;0,IF(W64&gt;0.001,W64,_xlfn.MINIFS(W$58:W$92,W$58:W$92,"&gt;0")/3),0)</f>
        <v/>
      </c>
      <c r="X103" s="238">
        <f>IF(ABS(X64)&gt;0,IF(X64&gt;0.001,X64,_xlfn.MINIFS(X$58:X$92,X$58:X$92,"&gt;0")/3),0)</f>
        <v/>
      </c>
      <c r="Y103" s="238">
        <f>IF(ABS(Y64)&gt;0,IF(Y64&gt;0.001,Y64,_xlfn.MINIFS(Y$58:Y$92,Y$58:Y$92,"&gt;0")/3),0)</f>
        <v/>
      </c>
      <c r="Z103" s="238">
        <f>IF(ABS(Z64)&gt;0,IF(Z64&gt;0.001,Z64,_xlfn.MINIFS(Z$58:Z$92,Z$58:Z$92,"&gt;0")/3),0)</f>
        <v/>
      </c>
      <c r="AA103" s="238">
        <f>IF(ABS(AA64)&gt;0,IF(AA64&gt;0.001,AA64,_xlfn.MINIFS(AA$58:AA$92,AA$58:AA$92,"&gt;0")/3),0)</f>
        <v/>
      </c>
      <c r="AB103" s="238">
        <f>IF(ABS(AB64)&gt;0,IF(AB64&gt;0.001,AB64,_xlfn.MINIFS(AB$58:AB$92,AB$58:AB$92,"&gt;0")/3),0)</f>
        <v/>
      </c>
      <c r="AC103" s="238">
        <f>IF(ABS(AC64)&gt;0,IF(AC64&gt;0.001,AC64,_xlfn.MINIFS(AC$58:AC$92,AC$58:AC$92,"&gt;0")/3),0)</f>
        <v/>
      </c>
      <c r="AD103" s="238">
        <f>IF(ABS(AD64)&gt;0,IF(AD64&gt;0.001,AD64,_xlfn.MINIFS(AD$58:AD$92,AD$58:AD$92,"&gt;0")/3),0)</f>
        <v/>
      </c>
      <c r="AE103" s="238">
        <f>IF(ABS(AE64)&gt;0,IF(AE64&gt;0.001,AE64,_xlfn.MINIFS(AE$58:AE$92,AE$58:AE$92,"&gt;0")/3),0)</f>
        <v/>
      </c>
      <c r="AF103" s="238">
        <f>IF(ABS(AF64)&gt;0,IF(AF64&gt;0.001,AF64,_xlfn.MINIFS(AF$58:AF$92,AF$58:AF$92,"&gt;0")/3),0)</f>
        <v/>
      </c>
      <c r="AG103" s="238">
        <f>IF(ABS(AG64)&gt;0,IF(AG64&gt;0.001,AG64,_xlfn.MINIFS(AG$58:AG$92,AG$58:AG$92,"&gt;0")/3),0)</f>
        <v/>
      </c>
      <c r="AH103" s="238">
        <f>IF(ABS(AH64)&gt;0,IF(AH64&gt;0.001,AH64,_xlfn.MINIFS(AH$58:AH$92,AH$58:AH$92,"&gt;0")/3),0)</f>
        <v/>
      </c>
      <c r="AI103" s="238">
        <f>IF(ABS(AI64)&gt;0,IF(AI64&gt;0.001,AI64,_xlfn.MINIFS(AI$58:AI$92,AI$58:AI$92,"&gt;0")/3),0)</f>
        <v/>
      </c>
      <c r="AJ103" s="238">
        <f>IF(ABS(AJ64)&gt;0,IF(AJ64&gt;0.001,AJ64,_xlfn.MINIFS(AJ$58:AJ$92,AJ$58:AJ$92,"&gt;0")/3),0)</f>
        <v/>
      </c>
      <c r="AK103" s="238">
        <f>IF(ABS(AK64)&gt;0,IF(AK64&gt;0.001,AK64,_xlfn.MINIFS(AK$58:AK$92,AK$58:AK$92,"&gt;0")/3),0)</f>
        <v/>
      </c>
      <c r="AL103" s="238">
        <f>IF(ABS(AL64)&gt;0,IF(AL64&gt;0.001,AL64,_xlfn.MINIFS(AL$58:AL$92,AL$58:AL$92,"&gt;0")/3),0)</f>
        <v/>
      </c>
      <c r="AM103" s="238">
        <f>IF(ABS(AM64)&gt;0,IF(AM64&gt;0.001,AM64,_xlfn.MINIFS(AM$58:AM$92,AM$58:AM$92,"&gt;0")/3),0)</f>
        <v/>
      </c>
      <c r="AN103" s="238">
        <f>IF(ABS(AN64)&gt;0,IF(AN64&gt;0.001,AN64,_xlfn.MINIFS(AN$58:AN$92,AN$58:AN$92,"&gt;0")/3),0)</f>
        <v/>
      </c>
      <c r="AO103" s="238">
        <f>IF(ABS(AO64)&gt;0,IF(AO64&gt;0.001,AO64,_xlfn.MINIFS(AO$58:AO$92,AO$58:AO$92,"&gt;0")/3),0)</f>
        <v/>
      </c>
      <c r="AP103" s="238">
        <f>IF(ABS(AP64)&gt;0,IF(AP64&gt;0.001,AP64,_xlfn.MINIFS(AP$58:AP$92,AP$58:AP$92,"&gt;0")/3),0)</f>
        <v/>
      </c>
      <c r="AQ103" s="238">
        <f>IF(ABS(AQ64)&gt;0,IF(AQ64&gt;0.001,AQ64,_xlfn.MINIFS(AQ$58:AQ$92,AQ$58:AQ$92,"&gt;0")/3),0)</f>
        <v/>
      </c>
      <c r="AR103" s="238">
        <f>IF(ABS(AR64)&gt;0,IF(AR64&gt;0.001,AR64,_xlfn.MINIFS(AR$58:AR$92,AR$58:AR$92,"&gt;0")/3),0)</f>
        <v/>
      </c>
      <c r="AS103" s="238">
        <f>IF(ABS(AS64)&gt;0,IF(AS64&gt;0.001,AS64,_xlfn.MINIFS(AS$58:AS$92,AS$58:AS$92,"&gt;0")/3),0)</f>
        <v/>
      </c>
      <c r="AT103" s="238">
        <f>IF(ABS(AT64)&gt;0,IF(AT64&gt;0.001,AT64,_xlfn.MINIFS(AT$58:AT$92,AT$58:AT$92,"&gt;0")/3),0)</f>
        <v/>
      </c>
      <c r="AU103" s="238">
        <f>IF(ABS(AU64)&gt;0,IF(AU64&gt;0.001,AU64,_xlfn.MINIFS(AU$58:AU$92,AU$58:AU$92,"&gt;0")/3),0)</f>
        <v/>
      </c>
      <c r="AV103" s="238">
        <f>IF(ABS(AV64)&gt;0,IF(AV64&gt;0.001,AV64,_xlfn.MINIFS(AV$58:AV$92,AV$58:AV$92,"&gt;0")/3),0)</f>
        <v/>
      </c>
      <c r="AW103" s="238">
        <f>IF(ABS(AW64)&gt;0,IF(AW64&gt;0.001,AW64,_xlfn.MINIFS(AW$58:AW$92,AW$58:AW$92,"&gt;0")/3),0)</f>
        <v/>
      </c>
      <c r="AX103" s="238">
        <f>IF(ABS(AX64)&gt;0,IF(AX64&gt;0.001,AX64,_xlfn.MINIFS(AX$58:AX$92,AX$58:AX$92,"&gt;0")/3),0)</f>
        <v/>
      </c>
      <c r="AY103" s="238">
        <f>IF(ABS(AY64)&gt;0,IF(AY64&gt;0.001,AY64,_xlfn.MINIFS(AY$58:AY$92,AY$58:AY$92,"&gt;0")/3),0)</f>
        <v/>
      </c>
      <c r="AZ103" s="238">
        <f>IF(ABS(AZ64)&gt;0,IF(AZ64&gt;0.001,AZ64,_xlfn.MINIFS(AZ$58:AZ$92,AZ$58:AZ$92,"&gt;0")/3),0)</f>
        <v/>
      </c>
      <c r="BA103" s="238">
        <f>IF(ABS(BA64)&gt;0,IF(BA64&gt;0.001,BA64,_xlfn.MINIFS(BA$58:BA$92,BA$58:BA$92,"&gt;0")/3),0)</f>
        <v/>
      </c>
      <c r="BB103" s="238">
        <f>IF(ABS(BB64)&gt;0,IF(BB64&gt;0.001,BB64,_xlfn.MINIFS(BB$58:BB$92,BB$58:BB$92,"&gt;0")/3),0)</f>
        <v/>
      </c>
    </row>
    <row r="104">
      <c r="C104" s="1" t="n"/>
      <c r="D104" s="237">
        <f>D65</f>
        <v/>
      </c>
      <c r="E104" s="238">
        <f>IF(ABS(E65)&gt;0,IF(E65&gt;0.001,E65,_xlfn.MINIFS(E$58:E$92,E$58:E$92,"&gt;0")/3),0)</f>
        <v/>
      </c>
      <c r="F104" s="238">
        <f>IF(ABS(F65)&gt;0,IF(F65&gt;0.001,F65,_xlfn.MINIFS(F$58:F$92,F$58:F$92,"&gt;0")/3),0)</f>
        <v/>
      </c>
      <c r="G104" s="238">
        <f>IF(ABS(G65)&gt;0,IF(G65&gt;0.001,G65,_xlfn.MINIFS(G$58:G$92,G$58:G$92,"&gt;0")/3),0)</f>
        <v/>
      </c>
      <c r="H104" s="238">
        <f>IF(ABS(H65)&gt;0,IF(H65&gt;0.001,H65,_xlfn.MINIFS(H$58:H$92,H$58:H$92,"&gt;0")/3),0)</f>
        <v/>
      </c>
      <c r="I104" s="238">
        <f>IF(ABS(I65)&gt;0,IF(I65&gt;0.001,I65,_xlfn.MINIFS(I$58:I$92,I$58:I$92,"&gt;0")/3),0)</f>
        <v/>
      </c>
      <c r="J104" s="238">
        <f>IF(ABS(J65)&gt;0,IF(J65&gt;0.001,J65,_xlfn.MINIFS(J$58:J$92,J$58:J$92,"&gt;0")/3),0)</f>
        <v/>
      </c>
      <c r="K104" s="238">
        <f>IF(ABS(K65)&gt;0,IF(K65&gt;0.001,K65,_xlfn.MINIFS(K$58:K$92,K$58:K$92,"&gt;0")/3),0)</f>
        <v/>
      </c>
      <c r="L104" s="238">
        <f>IF(ABS(L65)&gt;0,IF(L65&gt;0.001,L65,_xlfn.MINIFS(L$58:L$92,L$58:L$92,"&gt;0")/3),0)</f>
        <v/>
      </c>
      <c r="M104" s="238">
        <f>IF(ABS(M65)&gt;0,IF(M65&gt;0.001,M65,_xlfn.MINIFS(M$58:M$92,M$58:M$92,"&gt;0")/3),0)</f>
        <v/>
      </c>
      <c r="N104" s="238">
        <f>IF(ABS(N65)&gt;0,IF(N65&gt;0.001,N65,_xlfn.MINIFS(N$58:N$92,N$58:N$92,"&gt;0")/3),0)</f>
        <v/>
      </c>
      <c r="O104" s="238">
        <f>IF(ABS(O65)&gt;0,IF(O65&gt;0.001,O65,_xlfn.MINIFS(O$58:O$92,O$58:O$92,"&gt;0")/3),0)</f>
        <v/>
      </c>
      <c r="P104" s="238">
        <f>IF(ABS(P65)&gt;0,IF(P65&gt;0.001,P65,_xlfn.MINIFS(P$58:P$92,P$58:P$92,"&gt;0")/3),0)</f>
        <v/>
      </c>
      <c r="Q104" s="238">
        <f>IF(ABS(Q65)&gt;0,IF(Q65&gt;0.001,Q65,_xlfn.MINIFS(Q$58:Q$92,Q$58:Q$92,"&gt;0")/3),0)</f>
        <v/>
      </c>
      <c r="R104" s="238">
        <f>IF(ABS(R65)&gt;0,IF(R65&gt;0.001,R65,_xlfn.MINIFS(R$58:R$92,R$58:R$92,"&gt;0")/3),0)</f>
        <v/>
      </c>
      <c r="S104" s="238">
        <f>IF(ABS(S65)&gt;0,IF(S65&gt;0.001,S65,_xlfn.MINIFS(S$58:S$92,S$58:S$92,"&gt;0")/3),0)</f>
        <v/>
      </c>
      <c r="T104" s="238">
        <f>IF(ABS(T65)&gt;0,IF(T65&gt;0.001,T65,_xlfn.MINIFS(T$58:T$92,T$58:T$92,"&gt;0")/3),0)</f>
        <v/>
      </c>
      <c r="U104" s="238">
        <f>IF(ABS(U65)&gt;0,IF(U65&gt;0.001,U65,_xlfn.MINIFS(U$58:U$92,U$58:U$92,"&gt;0")/3),0)</f>
        <v/>
      </c>
      <c r="V104" s="238">
        <f>IF(ABS(V65)&gt;0,IF(V65&gt;0.001,V65,_xlfn.MINIFS(V$58:V$92,V$58:V$92,"&gt;0")/3),0)</f>
        <v/>
      </c>
      <c r="W104" s="238">
        <f>IF(ABS(W65)&gt;0,IF(W65&gt;0.001,W65,_xlfn.MINIFS(W$58:W$92,W$58:W$92,"&gt;0")/3),0)</f>
        <v/>
      </c>
      <c r="X104" s="238">
        <f>IF(ABS(X65)&gt;0,IF(X65&gt;0.001,X65,_xlfn.MINIFS(X$58:X$92,X$58:X$92,"&gt;0")/3),0)</f>
        <v/>
      </c>
      <c r="Y104" s="238">
        <f>IF(ABS(Y65)&gt;0,IF(Y65&gt;0.001,Y65,_xlfn.MINIFS(Y$58:Y$92,Y$58:Y$92,"&gt;0")/3),0)</f>
        <v/>
      </c>
      <c r="Z104" s="238">
        <f>IF(ABS(Z65)&gt;0,IF(Z65&gt;0.001,Z65,_xlfn.MINIFS(Z$58:Z$92,Z$58:Z$92,"&gt;0")/3),0)</f>
        <v/>
      </c>
      <c r="AA104" s="238">
        <f>IF(ABS(AA65)&gt;0,IF(AA65&gt;0.001,AA65,_xlfn.MINIFS(AA$58:AA$92,AA$58:AA$92,"&gt;0")/3),0)</f>
        <v/>
      </c>
      <c r="AB104" s="238">
        <f>IF(ABS(AB65)&gt;0,IF(AB65&gt;0.001,AB65,_xlfn.MINIFS(AB$58:AB$92,AB$58:AB$92,"&gt;0")/3),0)</f>
        <v/>
      </c>
      <c r="AC104" s="238">
        <f>IF(ABS(AC65)&gt;0,IF(AC65&gt;0.001,AC65,_xlfn.MINIFS(AC$58:AC$92,AC$58:AC$92,"&gt;0")/3),0)</f>
        <v/>
      </c>
      <c r="AD104" s="238">
        <f>IF(ABS(AD65)&gt;0,IF(AD65&gt;0.001,AD65,_xlfn.MINIFS(AD$58:AD$92,AD$58:AD$92,"&gt;0")/3),0)</f>
        <v/>
      </c>
      <c r="AE104" s="238">
        <f>IF(ABS(AE65)&gt;0,IF(AE65&gt;0.001,AE65,_xlfn.MINIFS(AE$58:AE$92,AE$58:AE$92,"&gt;0")/3),0)</f>
        <v/>
      </c>
      <c r="AF104" s="238">
        <f>IF(ABS(AF65)&gt;0,IF(AF65&gt;0.001,AF65,_xlfn.MINIFS(AF$58:AF$92,AF$58:AF$92,"&gt;0")/3),0)</f>
        <v/>
      </c>
      <c r="AG104" s="238">
        <f>IF(ABS(AG65)&gt;0,IF(AG65&gt;0.001,AG65,_xlfn.MINIFS(AG$58:AG$92,AG$58:AG$92,"&gt;0")/3),0)</f>
        <v/>
      </c>
      <c r="AH104" s="238">
        <f>IF(ABS(AH65)&gt;0,IF(AH65&gt;0.001,AH65,_xlfn.MINIFS(AH$58:AH$92,AH$58:AH$92,"&gt;0")/3),0)</f>
        <v/>
      </c>
      <c r="AI104" s="238">
        <f>IF(ABS(AI65)&gt;0,IF(AI65&gt;0.001,AI65,_xlfn.MINIFS(AI$58:AI$92,AI$58:AI$92,"&gt;0")/3),0)</f>
        <v/>
      </c>
      <c r="AJ104" s="238">
        <f>IF(ABS(AJ65)&gt;0,IF(AJ65&gt;0.001,AJ65,_xlfn.MINIFS(AJ$58:AJ$92,AJ$58:AJ$92,"&gt;0")/3),0)</f>
        <v/>
      </c>
      <c r="AK104" s="238">
        <f>IF(ABS(AK65)&gt;0,IF(AK65&gt;0.001,AK65,_xlfn.MINIFS(AK$58:AK$92,AK$58:AK$92,"&gt;0")/3),0)</f>
        <v/>
      </c>
      <c r="AL104" s="238">
        <f>IF(ABS(AL65)&gt;0,IF(AL65&gt;0.001,AL65,_xlfn.MINIFS(AL$58:AL$92,AL$58:AL$92,"&gt;0")/3),0)</f>
        <v/>
      </c>
      <c r="AM104" s="238">
        <f>IF(ABS(AM65)&gt;0,IF(AM65&gt;0.001,AM65,_xlfn.MINIFS(AM$58:AM$92,AM$58:AM$92,"&gt;0")/3),0)</f>
        <v/>
      </c>
      <c r="AN104" s="238">
        <f>IF(ABS(AN65)&gt;0,IF(AN65&gt;0.001,AN65,_xlfn.MINIFS(AN$58:AN$92,AN$58:AN$92,"&gt;0")/3),0)</f>
        <v/>
      </c>
      <c r="AO104" s="238">
        <f>IF(ABS(AO65)&gt;0,IF(AO65&gt;0.001,AO65,_xlfn.MINIFS(AO$58:AO$92,AO$58:AO$92,"&gt;0")/3),0)</f>
        <v/>
      </c>
      <c r="AP104" s="238">
        <f>IF(ABS(AP65)&gt;0,IF(AP65&gt;0.001,AP65,_xlfn.MINIFS(AP$58:AP$92,AP$58:AP$92,"&gt;0")/3),0)</f>
        <v/>
      </c>
      <c r="AQ104" s="238">
        <f>IF(ABS(AQ65)&gt;0,IF(AQ65&gt;0.001,AQ65,_xlfn.MINIFS(AQ$58:AQ$92,AQ$58:AQ$92,"&gt;0")/3),0)</f>
        <v/>
      </c>
      <c r="AR104" s="238">
        <f>IF(ABS(AR65)&gt;0,IF(AR65&gt;0.001,AR65,_xlfn.MINIFS(AR$58:AR$92,AR$58:AR$92,"&gt;0")/3),0)</f>
        <v/>
      </c>
      <c r="AS104" s="238">
        <f>IF(ABS(AS65)&gt;0,IF(AS65&gt;0.001,AS65,_xlfn.MINIFS(AS$58:AS$92,AS$58:AS$92,"&gt;0")/3),0)</f>
        <v/>
      </c>
      <c r="AT104" s="238">
        <f>IF(ABS(AT65)&gt;0,IF(AT65&gt;0.001,AT65,_xlfn.MINIFS(AT$58:AT$92,AT$58:AT$92,"&gt;0")/3),0)</f>
        <v/>
      </c>
      <c r="AU104" s="238">
        <f>IF(ABS(AU65)&gt;0,IF(AU65&gt;0.001,AU65,_xlfn.MINIFS(AU$58:AU$92,AU$58:AU$92,"&gt;0")/3),0)</f>
        <v/>
      </c>
      <c r="AV104" s="238">
        <f>IF(ABS(AV65)&gt;0,IF(AV65&gt;0.001,AV65,_xlfn.MINIFS(AV$58:AV$92,AV$58:AV$92,"&gt;0")/3),0)</f>
        <v/>
      </c>
      <c r="AW104" s="238">
        <f>IF(ABS(AW65)&gt;0,IF(AW65&gt;0.001,AW65,_xlfn.MINIFS(AW$58:AW$92,AW$58:AW$92,"&gt;0")/3),0)</f>
        <v/>
      </c>
      <c r="AX104" s="238">
        <f>IF(ABS(AX65)&gt;0,IF(AX65&gt;0.001,AX65,_xlfn.MINIFS(AX$58:AX$92,AX$58:AX$92,"&gt;0")/3),0)</f>
        <v/>
      </c>
      <c r="AY104" s="238">
        <f>IF(ABS(AY65)&gt;0,IF(AY65&gt;0.001,AY65,_xlfn.MINIFS(AY$58:AY$92,AY$58:AY$92,"&gt;0")/3),0)</f>
        <v/>
      </c>
      <c r="AZ104" s="238">
        <f>IF(ABS(AZ65)&gt;0,IF(AZ65&gt;0.001,AZ65,_xlfn.MINIFS(AZ$58:AZ$92,AZ$58:AZ$92,"&gt;0")/3),0)</f>
        <v/>
      </c>
      <c r="BA104" s="238">
        <f>IF(ABS(BA65)&gt;0,IF(BA65&gt;0.001,BA65,_xlfn.MINIFS(BA$58:BA$92,BA$58:BA$92,"&gt;0")/3),0)</f>
        <v/>
      </c>
      <c r="BB104" s="238">
        <f>IF(ABS(BB65)&gt;0,IF(BB65&gt;0.001,BB65,_xlfn.MINIFS(BB$58:BB$92,BB$58:BB$92,"&gt;0")/3),0)</f>
        <v/>
      </c>
    </row>
    <row r="105">
      <c r="C105" s="1" t="n"/>
      <c r="D105" s="237">
        <f>D66</f>
        <v/>
      </c>
      <c r="E105" s="238">
        <f>IF(ABS(E66)&gt;0,IF(E66&gt;0.001,E66,_xlfn.MINIFS(E$58:E$92,E$58:E$92,"&gt;0")/3),0)</f>
        <v/>
      </c>
      <c r="F105" s="238">
        <f>IF(ABS(F66)&gt;0,IF(F66&gt;0.001,F66,_xlfn.MINIFS(F$58:F$92,F$58:F$92,"&gt;0")/3),0)</f>
        <v/>
      </c>
      <c r="G105" s="238">
        <f>IF(ABS(G66)&gt;0,IF(G66&gt;0.001,G66,_xlfn.MINIFS(G$58:G$92,G$58:G$92,"&gt;0")/3),0)</f>
        <v/>
      </c>
      <c r="H105" s="238">
        <f>IF(ABS(H66)&gt;0,IF(H66&gt;0.001,H66,_xlfn.MINIFS(H$58:H$92,H$58:H$92,"&gt;0")/3),0)</f>
        <v/>
      </c>
      <c r="I105" s="238">
        <f>IF(ABS(I66)&gt;0,IF(I66&gt;0.001,I66,_xlfn.MINIFS(I$58:I$92,I$58:I$92,"&gt;0")/3),0)</f>
        <v/>
      </c>
      <c r="J105" s="238">
        <f>IF(ABS(J66)&gt;0,IF(J66&gt;0.001,J66,_xlfn.MINIFS(J$58:J$92,J$58:J$92,"&gt;0")/3),0)</f>
        <v/>
      </c>
      <c r="K105" s="238">
        <f>IF(ABS(K66)&gt;0,IF(K66&gt;0.001,K66,_xlfn.MINIFS(K$58:K$92,K$58:K$92,"&gt;0")/3),0)</f>
        <v/>
      </c>
      <c r="L105" s="238">
        <f>IF(ABS(L66)&gt;0,IF(L66&gt;0.001,L66,_xlfn.MINIFS(L$58:L$92,L$58:L$92,"&gt;0")/3),0)</f>
        <v/>
      </c>
      <c r="M105" s="238">
        <f>IF(ABS(M66)&gt;0,IF(M66&gt;0.001,M66,_xlfn.MINIFS(M$58:M$92,M$58:M$92,"&gt;0")/3),0)</f>
        <v/>
      </c>
      <c r="N105" s="238">
        <f>IF(ABS(N66)&gt;0,IF(N66&gt;0.001,N66,_xlfn.MINIFS(N$58:N$92,N$58:N$92,"&gt;0")/3),0)</f>
        <v/>
      </c>
      <c r="O105" s="238">
        <f>IF(ABS(O66)&gt;0,IF(O66&gt;0.001,O66,_xlfn.MINIFS(O$58:O$92,O$58:O$92,"&gt;0")/3),0)</f>
        <v/>
      </c>
      <c r="P105" s="238">
        <f>IF(ABS(P66)&gt;0,IF(P66&gt;0.001,P66,_xlfn.MINIFS(P$58:P$92,P$58:P$92,"&gt;0")/3),0)</f>
        <v/>
      </c>
      <c r="Q105" s="238">
        <f>IF(ABS(Q66)&gt;0,IF(Q66&gt;0.001,Q66,_xlfn.MINIFS(Q$58:Q$92,Q$58:Q$92,"&gt;0")/3),0)</f>
        <v/>
      </c>
      <c r="R105" s="238">
        <f>IF(ABS(R66)&gt;0,IF(R66&gt;0.001,R66,_xlfn.MINIFS(R$58:R$92,R$58:R$92,"&gt;0")/3),0)</f>
        <v/>
      </c>
      <c r="S105" s="238">
        <f>IF(ABS(S66)&gt;0,IF(S66&gt;0.001,S66,_xlfn.MINIFS(S$58:S$92,S$58:S$92,"&gt;0")/3),0)</f>
        <v/>
      </c>
      <c r="T105" s="238">
        <f>IF(ABS(T66)&gt;0,IF(T66&gt;0.001,T66,_xlfn.MINIFS(T$58:T$92,T$58:T$92,"&gt;0")/3),0)</f>
        <v/>
      </c>
      <c r="U105" s="238">
        <f>IF(ABS(U66)&gt;0,IF(U66&gt;0.001,U66,_xlfn.MINIFS(U$58:U$92,U$58:U$92,"&gt;0")/3),0)</f>
        <v/>
      </c>
      <c r="V105" s="238">
        <f>IF(ABS(V66)&gt;0,IF(V66&gt;0.001,V66,_xlfn.MINIFS(V$58:V$92,V$58:V$92,"&gt;0")/3),0)</f>
        <v/>
      </c>
      <c r="W105" s="238">
        <f>IF(ABS(W66)&gt;0,IF(W66&gt;0.001,W66,_xlfn.MINIFS(W$58:W$92,W$58:W$92,"&gt;0")/3),0)</f>
        <v/>
      </c>
      <c r="X105" s="238">
        <f>IF(ABS(X66)&gt;0,IF(X66&gt;0.001,X66,_xlfn.MINIFS(X$58:X$92,X$58:X$92,"&gt;0")/3),0)</f>
        <v/>
      </c>
      <c r="Y105" s="238">
        <f>IF(ABS(Y66)&gt;0,IF(Y66&gt;0.001,Y66,_xlfn.MINIFS(Y$58:Y$92,Y$58:Y$92,"&gt;0")/3),0)</f>
        <v/>
      </c>
      <c r="Z105" s="238">
        <f>IF(ABS(Z66)&gt;0,IF(Z66&gt;0.001,Z66,_xlfn.MINIFS(Z$58:Z$92,Z$58:Z$92,"&gt;0")/3),0)</f>
        <v/>
      </c>
      <c r="AA105" s="238">
        <f>IF(ABS(AA66)&gt;0,IF(AA66&gt;0.001,AA66,_xlfn.MINIFS(AA$58:AA$92,AA$58:AA$92,"&gt;0")/3),0)</f>
        <v/>
      </c>
      <c r="AB105" s="238">
        <f>IF(ABS(AB66)&gt;0,IF(AB66&gt;0.001,AB66,_xlfn.MINIFS(AB$58:AB$92,AB$58:AB$92,"&gt;0")/3),0)</f>
        <v/>
      </c>
      <c r="AC105" s="238">
        <f>IF(ABS(AC66)&gt;0,IF(AC66&gt;0.001,AC66,_xlfn.MINIFS(AC$58:AC$92,AC$58:AC$92,"&gt;0")/3),0)</f>
        <v/>
      </c>
      <c r="AD105" s="238">
        <f>IF(ABS(AD66)&gt;0,IF(AD66&gt;0.001,AD66,_xlfn.MINIFS(AD$58:AD$92,AD$58:AD$92,"&gt;0")/3),0)</f>
        <v/>
      </c>
      <c r="AE105" s="238">
        <f>IF(ABS(AE66)&gt;0,IF(AE66&gt;0.001,AE66,_xlfn.MINIFS(AE$58:AE$92,AE$58:AE$92,"&gt;0")/3),0)</f>
        <v/>
      </c>
      <c r="AF105" s="238">
        <f>IF(ABS(AF66)&gt;0,IF(AF66&gt;0.001,AF66,_xlfn.MINIFS(AF$58:AF$92,AF$58:AF$92,"&gt;0")/3),0)</f>
        <v/>
      </c>
      <c r="AG105" s="238">
        <f>IF(ABS(AG66)&gt;0,IF(AG66&gt;0.001,AG66,_xlfn.MINIFS(AG$58:AG$92,AG$58:AG$92,"&gt;0")/3),0)</f>
        <v/>
      </c>
      <c r="AH105" s="238">
        <f>IF(ABS(AH66)&gt;0,IF(AH66&gt;0.001,AH66,_xlfn.MINIFS(AH$58:AH$92,AH$58:AH$92,"&gt;0")/3),0)</f>
        <v/>
      </c>
      <c r="AI105" s="238">
        <f>IF(ABS(AI66)&gt;0,IF(AI66&gt;0.001,AI66,_xlfn.MINIFS(AI$58:AI$92,AI$58:AI$92,"&gt;0")/3),0)</f>
        <v/>
      </c>
      <c r="AJ105" s="238">
        <f>IF(ABS(AJ66)&gt;0,IF(AJ66&gt;0.001,AJ66,_xlfn.MINIFS(AJ$58:AJ$92,AJ$58:AJ$92,"&gt;0")/3),0)</f>
        <v/>
      </c>
      <c r="AK105" s="238">
        <f>IF(ABS(AK66)&gt;0,IF(AK66&gt;0.001,AK66,_xlfn.MINIFS(AK$58:AK$92,AK$58:AK$92,"&gt;0")/3),0)</f>
        <v/>
      </c>
      <c r="AL105" s="238">
        <f>IF(ABS(AL66)&gt;0,IF(AL66&gt;0.001,AL66,_xlfn.MINIFS(AL$58:AL$92,AL$58:AL$92,"&gt;0")/3),0)</f>
        <v/>
      </c>
      <c r="AM105" s="238">
        <f>IF(ABS(AM66)&gt;0,IF(AM66&gt;0.001,AM66,_xlfn.MINIFS(AM$58:AM$92,AM$58:AM$92,"&gt;0")/3),0)</f>
        <v/>
      </c>
      <c r="AN105" s="238">
        <f>IF(ABS(AN66)&gt;0,IF(AN66&gt;0.001,AN66,_xlfn.MINIFS(AN$58:AN$92,AN$58:AN$92,"&gt;0")/3),0)</f>
        <v/>
      </c>
      <c r="AO105" s="238">
        <f>IF(ABS(AO66)&gt;0,IF(AO66&gt;0.001,AO66,_xlfn.MINIFS(AO$58:AO$92,AO$58:AO$92,"&gt;0")/3),0)</f>
        <v/>
      </c>
      <c r="AP105" s="238">
        <f>IF(ABS(AP66)&gt;0,IF(AP66&gt;0.001,AP66,_xlfn.MINIFS(AP$58:AP$92,AP$58:AP$92,"&gt;0")/3),0)</f>
        <v/>
      </c>
      <c r="AQ105" s="238">
        <f>IF(ABS(AQ66)&gt;0,IF(AQ66&gt;0.001,AQ66,_xlfn.MINIFS(AQ$58:AQ$92,AQ$58:AQ$92,"&gt;0")/3),0)</f>
        <v/>
      </c>
      <c r="AR105" s="238">
        <f>IF(ABS(AR66)&gt;0,IF(AR66&gt;0.001,AR66,_xlfn.MINIFS(AR$58:AR$92,AR$58:AR$92,"&gt;0")/3),0)</f>
        <v/>
      </c>
      <c r="AS105" s="238">
        <f>IF(ABS(AS66)&gt;0,IF(AS66&gt;0.001,AS66,_xlfn.MINIFS(AS$58:AS$92,AS$58:AS$92,"&gt;0")/3),0)</f>
        <v/>
      </c>
      <c r="AT105" s="238">
        <f>IF(ABS(AT66)&gt;0,IF(AT66&gt;0.001,AT66,_xlfn.MINIFS(AT$58:AT$92,AT$58:AT$92,"&gt;0")/3),0)</f>
        <v/>
      </c>
      <c r="AU105" s="238">
        <f>IF(ABS(AU66)&gt;0,IF(AU66&gt;0.001,AU66,_xlfn.MINIFS(AU$58:AU$92,AU$58:AU$92,"&gt;0")/3),0)</f>
        <v/>
      </c>
      <c r="AV105" s="238">
        <f>IF(ABS(AV66)&gt;0,IF(AV66&gt;0.001,AV66,_xlfn.MINIFS(AV$58:AV$92,AV$58:AV$92,"&gt;0")/3),0)</f>
        <v/>
      </c>
      <c r="AW105" s="238">
        <f>IF(ABS(AW66)&gt;0,IF(AW66&gt;0.001,AW66,_xlfn.MINIFS(AW$58:AW$92,AW$58:AW$92,"&gt;0")/3),0)</f>
        <v/>
      </c>
      <c r="AX105" s="238">
        <f>IF(ABS(AX66)&gt;0,IF(AX66&gt;0.001,AX66,_xlfn.MINIFS(AX$58:AX$92,AX$58:AX$92,"&gt;0")/3),0)</f>
        <v/>
      </c>
      <c r="AY105" s="238">
        <f>IF(ABS(AY66)&gt;0,IF(AY66&gt;0.001,AY66,_xlfn.MINIFS(AY$58:AY$92,AY$58:AY$92,"&gt;0")/3),0)</f>
        <v/>
      </c>
      <c r="AZ105" s="238">
        <f>IF(ABS(AZ66)&gt;0,IF(AZ66&gt;0.001,AZ66,_xlfn.MINIFS(AZ$58:AZ$92,AZ$58:AZ$92,"&gt;0")/3),0)</f>
        <v/>
      </c>
      <c r="BA105" s="238">
        <f>IF(ABS(BA66)&gt;0,IF(BA66&gt;0.001,BA66,_xlfn.MINIFS(BA$58:BA$92,BA$58:BA$92,"&gt;0")/3),0)</f>
        <v/>
      </c>
      <c r="BB105" s="238">
        <f>IF(ABS(BB66)&gt;0,IF(BB66&gt;0.001,BB66,_xlfn.MINIFS(BB$58:BB$92,BB$58:BB$92,"&gt;0")/3),0)</f>
        <v/>
      </c>
    </row>
    <row r="106">
      <c r="C106" s="1" t="n"/>
      <c r="D106" s="237">
        <f>D67</f>
        <v/>
      </c>
      <c r="E106" s="238">
        <f>IF(ABS(E67)&gt;0,IF(E67&gt;0.001,E67,_xlfn.MINIFS(E$58:E$92,E$58:E$92,"&gt;0")/3),0)</f>
        <v/>
      </c>
      <c r="F106" s="238">
        <f>IF(ABS(F67)&gt;0,IF(F67&gt;0.001,F67,_xlfn.MINIFS(F$58:F$92,F$58:F$92,"&gt;0")/3),0)</f>
        <v/>
      </c>
      <c r="G106" s="238">
        <f>IF(ABS(G67)&gt;0,IF(G67&gt;0.001,G67,_xlfn.MINIFS(G$58:G$92,G$58:G$92,"&gt;0")/3),0)</f>
        <v/>
      </c>
      <c r="H106" s="238">
        <f>IF(ABS(H67)&gt;0,IF(H67&gt;0.001,H67,_xlfn.MINIFS(H$58:H$92,H$58:H$92,"&gt;0")/3),0)</f>
        <v/>
      </c>
      <c r="I106" s="238">
        <f>IF(ABS(I67)&gt;0,IF(I67&gt;0.001,I67,_xlfn.MINIFS(I$58:I$92,I$58:I$92,"&gt;0")/3),0)</f>
        <v/>
      </c>
      <c r="J106" s="238">
        <f>IF(ABS(J67)&gt;0,IF(J67&gt;0.001,J67,_xlfn.MINIFS(J$58:J$92,J$58:J$92,"&gt;0")/3),0)</f>
        <v/>
      </c>
      <c r="K106" s="238">
        <f>IF(ABS(K67)&gt;0,IF(K67&gt;0.001,K67,_xlfn.MINIFS(K$58:K$92,K$58:K$92,"&gt;0")/3),0)</f>
        <v/>
      </c>
      <c r="L106" s="238">
        <f>IF(ABS(L67)&gt;0,IF(L67&gt;0.001,L67,_xlfn.MINIFS(L$58:L$92,L$58:L$92,"&gt;0")/3),0)</f>
        <v/>
      </c>
      <c r="M106" s="238">
        <f>IF(ABS(M67)&gt;0,IF(M67&gt;0.001,M67,_xlfn.MINIFS(M$58:M$92,M$58:M$92,"&gt;0")/3),0)</f>
        <v/>
      </c>
      <c r="N106" s="238">
        <f>IF(ABS(N67)&gt;0,IF(N67&gt;0.001,N67,_xlfn.MINIFS(N$58:N$92,N$58:N$92,"&gt;0")/3),0)</f>
        <v/>
      </c>
      <c r="O106" s="238">
        <f>IF(ABS(O67)&gt;0,IF(O67&gt;0.001,O67,_xlfn.MINIFS(O$58:O$92,O$58:O$92,"&gt;0")/3),0)</f>
        <v/>
      </c>
      <c r="P106" s="238">
        <f>IF(ABS(P67)&gt;0,IF(P67&gt;0.001,P67,_xlfn.MINIFS(P$58:P$92,P$58:P$92,"&gt;0")/3),0)</f>
        <v/>
      </c>
      <c r="Q106" s="238">
        <f>IF(ABS(Q67)&gt;0,IF(Q67&gt;0.001,Q67,_xlfn.MINIFS(Q$58:Q$92,Q$58:Q$92,"&gt;0")/3),0)</f>
        <v/>
      </c>
      <c r="R106" s="238">
        <f>IF(ABS(R67)&gt;0,IF(R67&gt;0.001,R67,_xlfn.MINIFS(R$58:R$92,R$58:R$92,"&gt;0")/3),0)</f>
        <v/>
      </c>
      <c r="S106" s="238">
        <f>IF(ABS(S67)&gt;0,IF(S67&gt;0.001,S67,_xlfn.MINIFS(S$58:S$92,S$58:S$92,"&gt;0")/3),0)</f>
        <v/>
      </c>
      <c r="T106" s="238">
        <f>IF(ABS(T67)&gt;0,IF(T67&gt;0.001,T67,_xlfn.MINIFS(T$58:T$92,T$58:T$92,"&gt;0")/3),0)</f>
        <v/>
      </c>
      <c r="U106" s="238">
        <f>IF(ABS(U67)&gt;0,IF(U67&gt;0.001,U67,_xlfn.MINIFS(U$58:U$92,U$58:U$92,"&gt;0")/3),0)</f>
        <v/>
      </c>
      <c r="V106" s="238">
        <f>IF(ABS(V67)&gt;0,IF(V67&gt;0.001,V67,_xlfn.MINIFS(V$58:V$92,V$58:V$92,"&gt;0")/3),0)</f>
        <v/>
      </c>
      <c r="W106" s="238">
        <f>IF(ABS(W67)&gt;0,IF(W67&gt;0.001,W67,_xlfn.MINIFS(W$58:W$92,W$58:W$92,"&gt;0")/3),0)</f>
        <v/>
      </c>
      <c r="X106" s="238">
        <f>IF(ABS(X67)&gt;0,IF(X67&gt;0.001,X67,_xlfn.MINIFS(X$58:X$92,X$58:X$92,"&gt;0")/3),0)</f>
        <v/>
      </c>
      <c r="Y106" s="238">
        <f>IF(ABS(Y67)&gt;0,IF(Y67&gt;0.001,Y67,_xlfn.MINIFS(Y$58:Y$92,Y$58:Y$92,"&gt;0")/3),0)</f>
        <v/>
      </c>
      <c r="Z106" s="238">
        <f>IF(ABS(Z67)&gt;0,IF(Z67&gt;0.001,Z67,_xlfn.MINIFS(Z$58:Z$92,Z$58:Z$92,"&gt;0")/3),0)</f>
        <v/>
      </c>
      <c r="AA106" s="238">
        <f>IF(ABS(AA67)&gt;0,IF(AA67&gt;0.001,AA67,_xlfn.MINIFS(AA$58:AA$92,AA$58:AA$92,"&gt;0")/3),0)</f>
        <v/>
      </c>
      <c r="AB106" s="238">
        <f>IF(ABS(AB67)&gt;0,IF(AB67&gt;0.001,AB67,_xlfn.MINIFS(AB$58:AB$92,AB$58:AB$92,"&gt;0")/3),0)</f>
        <v/>
      </c>
      <c r="AC106" s="238">
        <f>IF(ABS(AC67)&gt;0,IF(AC67&gt;0.001,AC67,_xlfn.MINIFS(AC$58:AC$92,AC$58:AC$92,"&gt;0")/3),0)</f>
        <v/>
      </c>
      <c r="AD106" s="238">
        <f>IF(ABS(AD67)&gt;0,IF(AD67&gt;0.001,AD67,_xlfn.MINIFS(AD$58:AD$92,AD$58:AD$92,"&gt;0")/3),0)</f>
        <v/>
      </c>
      <c r="AE106" s="238">
        <f>IF(ABS(AE67)&gt;0,IF(AE67&gt;0.001,AE67,_xlfn.MINIFS(AE$58:AE$92,AE$58:AE$92,"&gt;0")/3),0)</f>
        <v/>
      </c>
      <c r="AF106" s="238">
        <f>IF(ABS(AF67)&gt;0,IF(AF67&gt;0.001,AF67,_xlfn.MINIFS(AF$58:AF$92,AF$58:AF$92,"&gt;0")/3),0)</f>
        <v/>
      </c>
      <c r="AG106" s="238">
        <f>IF(ABS(AG67)&gt;0,IF(AG67&gt;0.001,AG67,_xlfn.MINIFS(AG$58:AG$92,AG$58:AG$92,"&gt;0")/3),0)</f>
        <v/>
      </c>
      <c r="AH106" s="238">
        <f>IF(ABS(AH67)&gt;0,IF(AH67&gt;0.001,AH67,_xlfn.MINIFS(AH$58:AH$92,AH$58:AH$92,"&gt;0")/3),0)</f>
        <v/>
      </c>
      <c r="AI106" s="238">
        <f>IF(ABS(AI67)&gt;0,IF(AI67&gt;0.001,AI67,_xlfn.MINIFS(AI$58:AI$92,AI$58:AI$92,"&gt;0")/3),0)</f>
        <v/>
      </c>
      <c r="AJ106" s="238">
        <f>IF(ABS(AJ67)&gt;0,IF(AJ67&gt;0.001,AJ67,_xlfn.MINIFS(AJ$58:AJ$92,AJ$58:AJ$92,"&gt;0")/3),0)</f>
        <v/>
      </c>
      <c r="AK106" s="238">
        <f>IF(ABS(AK67)&gt;0,IF(AK67&gt;0.001,AK67,_xlfn.MINIFS(AK$58:AK$92,AK$58:AK$92,"&gt;0")/3),0)</f>
        <v/>
      </c>
      <c r="AL106" s="238">
        <f>IF(ABS(AL67)&gt;0,IF(AL67&gt;0.001,AL67,_xlfn.MINIFS(AL$58:AL$92,AL$58:AL$92,"&gt;0")/3),0)</f>
        <v/>
      </c>
      <c r="AM106" s="238">
        <f>IF(ABS(AM67)&gt;0,IF(AM67&gt;0.001,AM67,_xlfn.MINIFS(AM$58:AM$92,AM$58:AM$92,"&gt;0")/3),0)</f>
        <v/>
      </c>
      <c r="AN106" s="238">
        <f>IF(ABS(AN67)&gt;0,IF(AN67&gt;0.001,AN67,_xlfn.MINIFS(AN$58:AN$92,AN$58:AN$92,"&gt;0")/3),0)</f>
        <v/>
      </c>
      <c r="AO106" s="238">
        <f>IF(ABS(AO67)&gt;0,IF(AO67&gt;0.001,AO67,_xlfn.MINIFS(AO$58:AO$92,AO$58:AO$92,"&gt;0")/3),0)</f>
        <v/>
      </c>
      <c r="AP106" s="238">
        <f>IF(ABS(AP67)&gt;0,IF(AP67&gt;0.001,AP67,_xlfn.MINIFS(AP$58:AP$92,AP$58:AP$92,"&gt;0")/3),0)</f>
        <v/>
      </c>
      <c r="AQ106" s="238">
        <f>IF(ABS(AQ67)&gt;0,IF(AQ67&gt;0.001,AQ67,_xlfn.MINIFS(AQ$58:AQ$92,AQ$58:AQ$92,"&gt;0")/3),0)</f>
        <v/>
      </c>
      <c r="AR106" s="238">
        <f>IF(ABS(AR67)&gt;0,IF(AR67&gt;0.001,AR67,_xlfn.MINIFS(AR$58:AR$92,AR$58:AR$92,"&gt;0")/3),0)</f>
        <v/>
      </c>
      <c r="AS106" s="238">
        <f>IF(ABS(AS67)&gt;0,IF(AS67&gt;0.001,AS67,_xlfn.MINIFS(AS$58:AS$92,AS$58:AS$92,"&gt;0")/3),0)</f>
        <v/>
      </c>
      <c r="AT106" s="238">
        <f>IF(ABS(AT67)&gt;0,IF(AT67&gt;0.001,AT67,_xlfn.MINIFS(AT$58:AT$92,AT$58:AT$92,"&gt;0")/3),0)</f>
        <v/>
      </c>
      <c r="AU106" s="238">
        <f>IF(ABS(AU67)&gt;0,IF(AU67&gt;0.001,AU67,_xlfn.MINIFS(AU$58:AU$92,AU$58:AU$92,"&gt;0")/3),0)</f>
        <v/>
      </c>
      <c r="AV106" s="238">
        <f>IF(ABS(AV67)&gt;0,IF(AV67&gt;0.001,AV67,_xlfn.MINIFS(AV$58:AV$92,AV$58:AV$92,"&gt;0")/3),0)</f>
        <v/>
      </c>
      <c r="AW106" s="238">
        <f>IF(ABS(AW67)&gt;0,IF(AW67&gt;0.001,AW67,_xlfn.MINIFS(AW$58:AW$92,AW$58:AW$92,"&gt;0")/3),0)</f>
        <v/>
      </c>
      <c r="AX106" s="238">
        <f>IF(ABS(AX67)&gt;0,IF(AX67&gt;0.001,AX67,_xlfn.MINIFS(AX$58:AX$92,AX$58:AX$92,"&gt;0")/3),0)</f>
        <v/>
      </c>
      <c r="AY106" s="238">
        <f>IF(ABS(AY67)&gt;0,IF(AY67&gt;0.001,AY67,_xlfn.MINIFS(AY$58:AY$92,AY$58:AY$92,"&gt;0")/3),0)</f>
        <v/>
      </c>
      <c r="AZ106" s="238">
        <f>IF(ABS(AZ67)&gt;0,IF(AZ67&gt;0.001,AZ67,_xlfn.MINIFS(AZ$58:AZ$92,AZ$58:AZ$92,"&gt;0")/3),0)</f>
        <v/>
      </c>
      <c r="BA106" s="238">
        <f>IF(ABS(BA67)&gt;0,IF(BA67&gt;0.001,BA67,_xlfn.MINIFS(BA$58:BA$92,BA$58:BA$92,"&gt;0")/3),0)</f>
        <v/>
      </c>
      <c r="BB106" s="238">
        <f>IF(ABS(BB67)&gt;0,IF(BB67&gt;0.001,BB67,_xlfn.MINIFS(BB$58:BB$92,BB$58:BB$92,"&gt;0")/3),0)</f>
        <v/>
      </c>
    </row>
    <row r="107">
      <c r="C107" s="1" t="n"/>
      <c r="D107" s="237">
        <f>D68</f>
        <v/>
      </c>
      <c r="E107" s="238">
        <f>IF(ABS(E68)&gt;0,IF(E68&gt;0.001,E68,_xlfn.MINIFS(E$58:E$92,E$58:E$92,"&gt;0")/3),0)</f>
        <v/>
      </c>
      <c r="F107" s="238">
        <f>IF(ABS(F68)&gt;0,IF(F68&gt;0.001,F68,_xlfn.MINIFS(F$58:F$92,F$58:F$92,"&gt;0")/3),0)</f>
        <v/>
      </c>
      <c r="G107" s="238">
        <f>IF(ABS(G68)&gt;0,IF(G68&gt;0.001,G68,_xlfn.MINIFS(G$58:G$92,G$58:G$92,"&gt;0")/3),0)</f>
        <v/>
      </c>
      <c r="H107" s="238">
        <f>IF(ABS(H68)&gt;0,IF(H68&gt;0.001,H68,_xlfn.MINIFS(H$58:H$92,H$58:H$92,"&gt;0")/3),0)</f>
        <v/>
      </c>
      <c r="I107" s="238">
        <f>IF(ABS(I68)&gt;0,IF(I68&gt;0.001,I68,_xlfn.MINIFS(I$58:I$92,I$58:I$92,"&gt;0")/3),0)</f>
        <v/>
      </c>
      <c r="J107" s="238">
        <f>IF(ABS(J68)&gt;0,IF(J68&gt;0.001,J68,_xlfn.MINIFS(J$58:J$92,J$58:J$92,"&gt;0")/3),0)</f>
        <v/>
      </c>
      <c r="K107" s="238">
        <f>IF(ABS(K68)&gt;0,IF(K68&gt;0.001,K68,_xlfn.MINIFS(K$58:K$92,K$58:K$92,"&gt;0")/3),0)</f>
        <v/>
      </c>
      <c r="L107" s="238">
        <f>IF(ABS(L68)&gt;0,IF(L68&gt;0.001,L68,_xlfn.MINIFS(L$58:L$92,L$58:L$92,"&gt;0")/3),0)</f>
        <v/>
      </c>
      <c r="M107" s="238">
        <f>IF(ABS(M68)&gt;0,IF(M68&gt;0.001,M68,_xlfn.MINIFS(M$58:M$92,M$58:M$92,"&gt;0")/3),0)</f>
        <v/>
      </c>
      <c r="N107" s="238">
        <f>IF(ABS(N68)&gt;0,IF(N68&gt;0.001,N68,_xlfn.MINIFS(N$58:N$92,N$58:N$92,"&gt;0")/3),0)</f>
        <v/>
      </c>
      <c r="O107" s="238">
        <f>IF(ABS(O68)&gt;0,IF(O68&gt;0.001,O68,_xlfn.MINIFS(O$58:O$92,O$58:O$92,"&gt;0")/3),0)</f>
        <v/>
      </c>
      <c r="P107" s="238">
        <f>IF(ABS(P68)&gt;0,IF(P68&gt;0.001,P68,_xlfn.MINIFS(P$58:P$92,P$58:P$92,"&gt;0")/3),0)</f>
        <v/>
      </c>
      <c r="Q107" s="238">
        <f>IF(ABS(Q68)&gt;0,IF(Q68&gt;0.001,Q68,_xlfn.MINIFS(Q$58:Q$92,Q$58:Q$92,"&gt;0")/3),0)</f>
        <v/>
      </c>
      <c r="R107" s="238">
        <f>IF(ABS(R68)&gt;0,IF(R68&gt;0.001,R68,_xlfn.MINIFS(R$58:R$92,R$58:R$92,"&gt;0")/3),0)</f>
        <v/>
      </c>
      <c r="S107" s="238">
        <f>IF(ABS(S68)&gt;0,IF(S68&gt;0.001,S68,_xlfn.MINIFS(S$58:S$92,S$58:S$92,"&gt;0")/3),0)</f>
        <v/>
      </c>
      <c r="T107" s="238">
        <f>IF(ABS(T68)&gt;0,IF(T68&gt;0.001,T68,_xlfn.MINIFS(T$58:T$92,T$58:T$92,"&gt;0")/3),0)</f>
        <v/>
      </c>
      <c r="U107" s="238">
        <f>IF(ABS(U68)&gt;0,IF(U68&gt;0.001,U68,_xlfn.MINIFS(U$58:U$92,U$58:U$92,"&gt;0")/3),0)</f>
        <v/>
      </c>
      <c r="V107" s="238">
        <f>IF(ABS(V68)&gt;0,IF(V68&gt;0.001,V68,_xlfn.MINIFS(V$58:V$92,V$58:V$92,"&gt;0")/3),0)</f>
        <v/>
      </c>
      <c r="W107" s="238">
        <f>IF(ABS(W68)&gt;0,IF(W68&gt;0.001,W68,_xlfn.MINIFS(W$58:W$92,W$58:W$92,"&gt;0")/3),0)</f>
        <v/>
      </c>
      <c r="X107" s="238">
        <f>IF(ABS(X68)&gt;0,IF(X68&gt;0.001,X68,_xlfn.MINIFS(X$58:X$92,X$58:X$92,"&gt;0")/3),0)</f>
        <v/>
      </c>
      <c r="Y107" s="238">
        <f>IF(ABS(Y68)&gt;0,IF(Y68&gt;0.001,Y68,_xlfn.MINIFS(Y$58:Y$92,Y$58:Y$92,"&gt;0")/3),0)</f>
        <v/>
      </c>
      <c r="Z107" s="238">
        <f>IF(ABS(Z68)&gt;0,IF(Z68&gt;0.001,Z68,_xlfn.MINIFS(Z$58:Z$92,Z$58:Z$92,"&gt;0")/3),0)</f>
        <v/>
      </c>
      <c r="AA107" s="238">
        <f>IF(ABS(AA68)&gt;0,IF(AA68&gt;0.001,AA68,_xlfn.MINIFS(AA$58:AA$92,AA$58:AA$92,"&gt;0")/3),0)</f>
        <v/>
      </c>
      <c r="AB107" s="238">
        <f>IF(ABS(AB68)&gt;0,IF(AB68&gt;0.001,AB68,_xlfn.MINIFS(AB$58:AB$92,AB$58:AB$92,"&gt;0")/3),0)</f>
        <v/>
      </c>
      <c r="AC107" s="238">
        <f>IF(ABS(AC68)&gt;0,IF(AC68&gt;0.001,AC68,_xlfn.MINIFS(AC$58:AC$92,AC$58:AC$92,"&gt;0")/3),0)</f>
        <v/>
      </c>
      <c r="AD107" s="238">
        <f>IF(ABS(AD68)&gt;0,IF(AD68&gt;0.001,AD68,_xlfn.MINIFS(AD$58:AD$92,AD$58:AD$92,"&gt;0")/3),0)</f>
        <v/>
      </c>
      <c r="AE107" s="238">
        <f>IF(ABS(AE68)&gt;0,IF(AE68&gt;0.001,AE68,_xlfn.MINIFS(AE$58:AE$92,AE$58:AE$92,"&gt;0")/3),0)</f>
        <v/>
      </c>
      <c r="AF107" s="238">
        <f>IF(ABS(AF68)&gt;0,IF(AF68&gt;0.001,AF68,_xlfn.MINIFS(AF$58:AF$92,AF$58:AF$92,"&gt;0")/3),0)</f>
        <v/>
      </c>
      <c r="AG107" s="238">
        <f>IF(ABS(AG68)&gt;0,IF(AG68&gt;0.001,AG68,_xlfn.MINIFS(AG$58:AG$92,AG$58:AG$92,"&gt;0")/3),0)</f>
        <v/>
      </c>
      <c r="AH107" s="238">
        <f>IF(ABS(AH68)&gt;0,IF(AH68&gt;0.001,AH68,_xlfn.MINIFS(AH$58:AH$92,AH$58:AH$92,"&gt;0")/3),0)</f>
        <v/>
      </c>
      <c r="AI107" s="238">
        <f>IF(ABS(AI68)&gt;0,IF(AI68&gt;0.001,AI68,_xlfn.MINIFS(AI$58:AI$92,AI$58:AI$92,"&gt;0")/3),0)</f>
        <v/>
      </c>
      <c r="AJ107" s="238">
        <f>IF(ABS(AJ68)&gt;0,IF(AJ68&gt;0.001,AJ68,_xlfn.MINIFS(AJ$58:AJ$92,AJ$58:AJ$92,"&gt;0")/3),0)</f>
        <v/>
      </c>
      <c r="AK107" s="238">
        <f>IF(ABS(AK68)&gt;0,IF(AK68&gt;0.001,AK68,_xlfn.MINIFS(AK$58:AK$92,AK$58:AK$92,"&gt;0")/3),0)</f>
        <v/>
      </c>
      <c r="AL107" s="238">
        <f>IF(ABS(AL68)&gt;0,IF(AL68&gt;0.001,AL68,_xlfn.MINIFS(AL$58:AL$92,AL$58:AL$92,"&gt;0")/3),0)</f>
        <v/>
      </c>
      <c r="AM107" s="238">
        <f>IF(ABS(AM68)&gt;0,IF(AM68&gt;0.001,AM68,_xlfn.MINIFS(AM$58:AM$92,AM$58:AM$92,"&gt;0")/3),0)</f>
        <v/>
      </c>
      <c r="AN107" s="238">
        <f>IF(ABS(AN68)&gt;0,IF(AN68&gt;0.001,AN68,_xlfn.MINIFS(AN$58:AN$92,AN$58:AN$92,"&gt;0")/3),0)</f>
        <v/>
      </c>
      <c r="AO107" s="238">
        <f>IF(ABS(AO68)&gt;0,IF(AO68&gt;0.001,AO68,_xlfn.MINIFS(AO$58:AO$92,AO$58:AO$92,"&gt;0")/3),0)</f>
        <v/>
      </c>
      <c r="AP107" s="238">
        <f>IF(ABS(AP68)&gt;0,IF(AP68&gt;0.001,AP68,_xlfn.MINIFS(AP$58:AP$92,AP$58:AP$92,"&gt;0")/3),0)</f>
        <v/>
      </c>
      <c r="AQ107" s="238">
        <f>IF(ABS(AQ68)&gt;0,IF(AQ68&gt;0.001,AQ68,_xlfn.MINIFS(AQ$58:AQ$92,AQ$58:AQ$92,"&gt;0")/3),0)</f>
        <v/>
      </c>
      <c r="AR107" s="238">
        <f>IF(ABS(AR68)&gt;0,IF(AR68&gt;0.001,AR68,_xlfn.MINIFS(AR$58:AR$92,AR$58:AR$92,"&gt;0")/3),0)</f>
        <v/>
      </c>
      <c r="AS107" s="238">
        <f>IF(ABS(AS68)&gt;0,IF(AS68&gt;0.001,AS68,_xlfn.MINIFS(AS$58:AS$92,AS$58:AS$92,"&gt;0")/3),0)</f>
        <v/>
      </c>
      <c r="AT107" s="238">
        <f>IF(ABS(AT68)&gt;0,IF(AT68&gt;0.001,AT68,_xlfn.MINIFS(AT$58:AT$92,AT$58:AT$92,"&gt;0")/3),0)</f>
        <v/>
      </c>
      <c r="AU107" s="238">
        <f>IF(ABS(AU68)&gt;0,IF(AU68&gt;0.001,AU68,_xlfn.MINIFS(AU$58:AU$92,AU$58:AU$92,"&gt;0")/3),0)</f>
        <v/>
      </c>
      <c r="AV107" s="238">
        <f>IF(ABS(AV68)&gt;0,IF(AV68&gt;0.001,AV68,_xlfn.MINIFS(AV$58:AV$92,AV$58:AV$92,"&gt;0")/3),0)</f>
        <v/>
      </c>
      <c r="AW107" s="238">
        <f>IF(ABS(AW68)&gt;0,IF(AW68&gt;0.001,AW68,_xlfn.MINIFS(AW$58:AW$92,AW$58:AW$92,"&gt;0")/3),0)</f>
        <v/>
      </c>
      <c r="AX107" s="238">
        <f>IF(ABS(AX68)&gt;0,IF(AX68&gt;0.001,AX68,_xlfn.MINIFS(AX$58:AX$92,AX$58:AX$92,"&gt;0")/3),0)</f>
        <v/>
      </c>
      <c r="AY107" s="238">
        <f>IF(ABS(AY68)&gt;0,IF(AY68&gt;0.001,AY68,_xlfn.MINIFS(AY$58:AY$92,AY$58:AY$92,"&gt;0")/3),0)</f>
        <v/>
      </c>
      <c r="AZ107" s="238">
        <f>IF(ABS(AZ68)&gt;0,IF(AZ68&gt;0.001,AZ68,_xlfn.MINIFS(AZ$58:AZ$92,AZ$58:AZ$92,"&gt;0")/3),0)</f>
        <v/>
      </c>
      <c r="BA107" s="238">
        <f>IF(ABS(BA68)&gt;0,IF(BA68&gt;0.001,BA68,_xlfn.MINIFS(BA$58:BA$92,BA$58:BA$92,"&gt;0")/3),0)</f>
        <v/>
      </c>
      <c r="BB107" s="238">
        <f>IF(ABS(BB68)&gt;0,IF(BB68&gt;0.001,BB68,_xlfn.MINIFS(BB$58:BB$92,BB$58:BB$92,"&gt;0")/3),0)</f>
        <v/>
      </c>
    </row>
    <row r="108">
      <c r="C108" s="1" t="n"/>
      <c r="D108" s="237">
        <f>D69</f>
        <v/>
      </c>
      <c r="E108" s="238">
        <f>IF(ABS(E69)&gt;0,IF(E69&gt;0.001,E69,_xlfn.MINIFS(E$58:E$92,E$58:E$92,"&gt;0")/3),0)</f>
        <v/>
      </c>
      <c r="F108" s="238">
        <f>IF(ABS(F69)&gt;0,IF(F69&gt;0.001,F69,_xlfn.MINIFS(F$58:F$92,F$58:F$92,"&gt;0")/3),0)</f>
        <v/>
      </c>
      <c r="G108" s="238">
        <f>IF(ABS(G69)&gt;0,IF(G69&gt;0.001,G69,_xlfn.MINIFS(G$58:G$92,G$58:G$92,"&gt;0")/3),0)</f>
        <v/>
      </c>
      <c r="H108" s="238">
        <f>IF(ABS(H69)&gt;0,IF(H69&gt;0.001,H69,_xlfn.MINIFS(H$58:H$92,H$58:H$92,"&gt;0")/3),0)</f>
        <v/>
      </c>
      <c r="I108" s="238">
        <f>IF(ABS(I69)&gt;0,IF(I69&gt;0.001,I69,_xlfn.MINIFS(I$58:I$92,I$58:I$92,"&gt;0")/3),0)</f>
        <v/>
      </c>
      <c r="J108" s="238">
        <f>IF(ABS(J69)&gt;0,IF(J69&gt;0.001,J69,_xlfn.MINIFS(J$58:J$92,J$58:J$92,"&gt;0")/3),0)</f>
        <v/>
      </c>
      <c r="K108" s="238">
        <f>IF(ABS(K69)&gt;0,IF(K69&gt;0.001,K69,_xlfn.MINIFS(K$58:K$92,K$58:K$92,"&gt;0")/3),0)</f>
        <v/>
      </c>
      <c r="L108" s="238">
        <f>IF(ABS(L69)&gt;0,IF(L69&gt;0.001,L69,_xlfn.MINIFS(L$58:L$92,L$58:L$92,"&gt;0")/3),0)</f>
        <v/>
      </c>
      <c r="M108" s="238">
        <f>IF(ABS(M69)&gt;0,IF(M69&gt;0.001,M69,_xlfn.MINIFS(M$58:M$92,M$58:M$92,"&gt;0")/3),0)</f>
        <v/>
      </c>
      <c r="N108" s="238">
        <f>IF(ABS(N69)&gt;0,IF(N69&gt;0.001,N69,_xlfn.MINIFS(N$58:N$92,N$58:N$92,"&gt;0")/3),0)</f>
        <v/>
      </c>
      <c r="O108" s="238">
        <f>IF(ABS(O69)&gt;0,IF(O69&gt;0.001,O69,_xlfn.MINIFS(O$58:O$92,O$58:O$92,"&gt;0")/3),0)</f>
        <v/>
      </c>
      <c r="P108" s="238">
        <f>IF(ABS(P69)&gt;0,IF(P69&gt;0.001,P69,_xlfn.MINIFS(P$58:P$92,P$58:P$92,"&gt;0")/3),0)</f>
        <v/>
      </c>
      <c r="Q108" s="238">
        <f>IF(ABS(Q69)&gt;0,IF(Q69&gt;0.001,Q69,_xlfn.MINIFS(Q$58:Q$92,Q$58:Q$92,"&gt;0")/3),0)</f>
        <v/>
      </c>
      <c r="R108" s="238">
        <f>IF(ABS(R69)&gt;0,IF(R69&gt;0.001,R69,_xlfn.MINIFS(R$58:R$92,R$58:R$92,"&gt;0")/3),0)</f>
        <v/>
      </c>
      <c r="S108" s="238">
        <f>IF(ABS(S69)&gt;0,IF(S69&gt;0.001,S69,_xlfn.MINIFS(S$58:S$92,S$58:S$92,"&gt;0")/3),0)</f>
        <v/>
      </c>
      <c r="T108" s="238">
        <f>IF(ABS(T69)&gt;0,IF(T69&gt;0.001,T69,_xlfn.MINIFS(T$58:T$92,T$58:T$92,"&gt;0")/3),0)</f>
        <v/>
      </c>
      <c r="U108" s="238">
        <f>IF(ABS(U69)&gt;0,IF(U69&gt;0.001,U69,_xlfn.MINIFS(U$58:U$92,U$58:U$92,"&gt;0")/3),0)</f>
        <v/>
      </c>
      <c r="V108" s="238">
        <f>IF(ABS(V69)&gt;0,IF(V69&gt;0.001,V69,_xlfn.MINIFS(V$58:V$92,V$58:V$92,"&gt;0")/3),0)</f>
        <v/>
      </c>
      <c r="W108" s="238">
        <f>IF(ABS(W69)&gt;0,IF(W69&gt;0.001,W69,_xlfn.MINIFS(W$58:W$92,W$58:W$92,"&gt;0")/3),0)</f>
        <v/>
      </c>
      <c r="X108" s="238">
        <f>IF(ABS(X69)&gt;0,IF(X69&gt;0.001,X69,_xlfn.MINIFS(X$58:X$92,X$58:X$92,"&gt;0")/3),0)</f>
        <v/>
      </c>
      <c r="Y108" s="238">
        <f>IF(ABS(Y69)&gt;0,IF(Y69&gt;0.001,Y69,_xlfn.MINIFS(Y$58:Y$92,Y$58:Y$92,"&gt;0")/3),0)</f>
        <v/>
      </c>
      <c r="Z108" s="238">
        <f>IF(ABS(Z69)&gt;0,IF(Z69&gt;0.001,Z69,_xlfn.MINIFS(Z$58:Z$92,Z$58:Z$92,"&gt;0")/3),0)</f>
        <v/>
      </c>
      <c r="AA108" s="238">
        <f>IF(ABS(AA69)&gt;0,IF(AA69&gt;0.001,AA69,_xlfn.MINIFS(AA$58:AA$92,AA$58:AA$92,"&gt;0")/3),0)</f>
        <v/>
      </c>
      <c r="AB108" s="238">
        <f>IF(ABS(AB69)&gt;0,IF(AB69&gt;0.001,AB69,_xlfn.MINIFS(AB$58:AB$92,AB$58:AB$92,"&gt;0")/3),0)</f>
        <v/>
      </c>
      <c r="AC108" s="238">
        <f>IF(ABS(AC69)&gt;0,IF(AC69&gt;0.001,AC69,_xlfn.MINIFS(AC$58:AC$92,AC$58:AC$92,"&gt;0")/3),0)</f>
        <v/>
      </c>
      <c r="AD108" s="238">
        <f>IF(ABS(AD69)&gt;0,IF(AD69&gt;0.001,AD69,_xlfn.MINIFS(AD$58:AD$92,AD$58:AD$92,"&gt;0")/3),0)</f>
        <v/>
      </c>
      <c r="AE108" s="238">
        <f>IF(ABS(AE69)&gt;0,IF(AE69&gt;0.001,AE69,_xlfn.MINIFS(AE$58:AE$92,AE$58:AE$92,"&gt;0")/3),0)</f>
        <v/>
      </c>
      <c r="AF108" s="238">
        <f>IF(ABS(AF69)&gt;0,IF(AF69&gt;0.001,AF69,_xlfn.MINIFS(AF$58:AF$92,AF$58:AF$92,"&gt;0")/3),0)</f>
        <v/>
      </c>
      <c r="AG108" s="238">
        <f>IF(ABS(AG69)&gt;0,IF(AG69&gt;0.001,AG69,_xlfn.MINIFS(AG$58:AG$92,AG$58:AG$92,"&gt;0")/3),0)</f>
        <v/>
      </c>
      <c r="AH108" s="238">
        <f>IF(ABS(AH69)&gt;0,IF(AH69&gt;0.001,AH69,_xlfn.MINIFS(AH$58:AH$92,AH$58:AH$92,"&gt;0")/3),0)</f>
        <v/>
      </c>
      <c r="AI108" s="238">
        <f>IF(ABS(AI69)&gt;0,IF(AI69&gt;0.001,AI69,_xlfn.MINIFS(AI$58:AI$92,AI$58:AI$92,"&gt;0")/3),0)</f>
        <v/>
      </c>
      <c r="AJ108" s="238">
        <f>IF(ABS(AJ69)&gt;0,IF(AJ69&gt;0.001,AJ69,_xlfn.MINIFS(AJ$58:AJ$92,AJ$58:AJ$92,"&gt;0")/3),0)</f>
        <v/>
      </c>
      <c r="AK108" s="238">
        <f>IF(ABS(AK69)&gt;0,IF(AK69&gt;0.001,AK69,_xlfn.MINIFS(AK$58:AK$92,AK$58:AK$92,"&gt;0")/3),0)</f>
        <v/>
      </c>
      <c r="AL108" s="238">
        <f>IF(ABS(AL69)&gt;0,IF(AL69&gt;0.001,AL69,_xlfn.MINIFS(AL$58:AL$92,AL$58:AL$92,"&gt;0")/3),0)</f>
        <v/>
      </c>
      <c r="AM108" s="238">
        <f>IF(ABS(AM69)&gt;0,IF(AM69&gt;0.001,AM69,_xlfn.MINIFS(AM$58:AM$92,AM$58:AM$92,"&gt;0")/3),0)</f>
        <v/>
      </c>
      <c r="AN108" s="238">
        <f>IF(ABS(AN69)&gt;0,IF(AN69&gt;0.001,AN69,_xlfn.MINIFS(AN$58:AN$92,AN$58:AN$92,"&gt;0")/3),0)</f>
        <v/>
      </c>
      <c r="AO108" s="238">
        <f>IF(ABS(AO69)&gt;0,IF(AO69&gt;0.001,AO69,_xlfn.MINIFS(AO$58:AO$92,AO$58:AO$92,"&gt;0")/3),0)</f>
        <v/>
      </c>
      <c r="AP108" s="238">
        <f>IF(ABS(AP69)&gt;0,IF(AP69&gt;0.001,AP69,_xlfn.MINIFS(AP$58:AP$92,AP$58:AP$92,"&gt;0")/3),0)</f>
        <v/>
      </c>
      <c r="AQ108" s="238">
        <f>IF(ABS(AQ69)&gt;0,IF(AQ69&gt;0.001,AQ69,_xlfn.MINIFS(AQ$58:AQ$92,AQ$58:AQ$92,"&gt;0")/3),0)</f>
        <v/>
      </c>
      <c r="AR108" s="238">
        <f>IF(ABS(AR69)&gt;0,IF(AR69&gt;0.001,AR69,_xlfn.MINIFS(AR$58:AR$92,AR$58:AR$92,"&gt;0")/3),0)</f>
        <v/>
      </c>
      <c r="AS108" s="238">
        <f>IF(ABS(AS69)&gt;0,IF(AS69&gt;0.001,AS69,_xlfn.MINIFS(AS$58:AS$92,AS$58:AS$92,"&gt;0")/3),0)</f>
        <v/>
      </c>
      <c r="AT108" s="238">
        <f>IF(ABS(AT69)&gt;0,IF(AT69&gt;0.001,AT69,_xlfn.MINIFS(AT$58:AT$92,AT$58:AT$92,"&gt;0")/3),0)</f>
        <v/>
      </c>
      <c r="AU108" s="238">
        <f>IF(ABS(AU69)&gt;0,IF(AU69&gt;0.001,AU69,_xlfn.MINIFS(AU$58:AU$92,AU$58:AU$92,"&gt;0")/3),0)</f>
        <v/>
      </c>
      <c r="AV108" s="238">
        <f>IF(ABS(AV69)&gt;0,IF(AV69&gt;0.001,AV69,_xlfn.MINIFS(AV$58:AV$92,AV$58:AV$92,"&gt;0")/3),0)</f>
        <v/>
      </c>
      <c r="AW108" s="238">
        <f>IF(ABS(AW69)&gt;0,IF(AW69&gt;0.001,AW69,_xlfn.MINIFS(AW$58:AW$92,AW$58:AW$92,"&gt;0")/3),0)</f>
        <v/>
      </c>
      <c r="AX108" s="238">
        <f>IF(ABS(AX69)&gt;0,IF(AX69&gt;0.001,AX69,_xlfn.MINIFS(AX$58:AX$92,AX$58:AX$92,"&gt;0")/3),0)</f>
        <v/>
      </c>
      <c r="AY108" s="238">
        <f>IF(ABS(AY69)&gt;0,IF(AY69&gt;0.001,AY69,_xlfn.MINIFS(AY$58:AY$92,AY$58:AY$92,"&gt;0")/3),0)</f>
        <v/>
      </c>
      <c r="AZ108" s="238">
        <f>IF(ABS(AZ69)&gt;0,IF(AZ69&gt;0.001,AZ69,_xlfn.MINIFS(AZ$58:AZ$92,AZ$58:AZ$92,"&gt;0")/3),0)</f>
        <v/>
      </c>
      <c r="BA108" s="238">
        <f>IF(ABS(BA69)&gt;0,IF(BA69&gt;0.001,BA69,_xlfn.MINIFS(BA$58:BA$92,BA$58:BA$92,"&gt;0")/3),0)</f>
        <v/>
      </c>
      <c r="BB108" s="238">
        <f>IF(ABS(BB69)&gt;0,IF(BB69&gt;0.001,BB69,_xlfn.MINIFS(BB$58:BB$92,BB$58:BB$92,"&gt;0")/3),0)</f>
        <v/>
      </c>
    </row>
    <row r="109">
      <c r="C109" s="1" t="n"/>
      <c r="D109" s="237">
        <f>D70</f>
        <v/>
      </c>
      <c r="E109" s="238">
        <f>IF(ABS(E70)&gt;0,IF(E70&gt;0.001,E70,_xlfn.MINIFS(E$58:E$92,E$58:E$92,"&gt;0")/3),0)</f>
        <v/>
      </c>
      <c r="F109" s="238">
        <f>IF(ABS(F70)&gt;0,IF(F70&gt;0.001,F70,_xlfn.MINIFS(F$58:F$92,F$58:F$92,"&gt;0")/3),0)</f>
        <v/>
      </c>
      <c r="G109" s="238">
        <f>IF(ABS(G70)&gt;0,IF(G70&gt;0.001,G70,_xlfn.MINIFS(G$58:G$92,G$58:G$92,"&gt;0")/3),0)</f>
        <v/>
      </c>
      <c r="H109" s="238">
        <f>IF(ABS(H70)&gt;0,IF(H70&gt;0.001,H70,_xlfn.MINIFS(H$58:H$92,H$58:H$92,"&gt;0")/3),0)</f>
        <v/>
      </c>
      <c r="I109" s="238">
        <f>IF(ABS(I70)&gt;0,IF(I70&gt;0.001,I70,_xlfn.MINIFS(I$58:I$92,I$58:I$92,"&gt;0")/3),0)</f>
        <v/>
      </c>
      <c r="J109" s="238">
        <f>IF(ABS(J70)&gt;0,IF(J70&gt;0.001,J70,_xlfn.MINIFS(J$58:J$92,J$58:J$92,"&gt;0")/3),0)</f>
        <v/>
      </c>
      <c r="K109" s="238">
        <f>IF(ABS(K70)&gt;0,IF(K70&gt;0.001,K70,_xlfn.MINIFS(K$58:K$92,K$58:K$92,"&gt;0")/3),0)</f>
        <v/>
      </c>
      <c r="L109" s="238">
        <f>IF(ABS(L70)&gt;0,IF(L70&gt;0.001,L70,_xlfn.MINIFS(L$58:L$92,L$58:L$92,"&gt;0")/3),0)</f>
        <v/>
      </c>
      <c r="M109" s="238">
        <f>IF(ABS(M70)&gt;0,IF(M70&gt;0.001,M70,_xlfn.MINIFS(M$58:M$92,M$58:M$92,"&gt;0")/3),0)</f>
        <v/>
      </c>
      <c r="N109" s="238">
        <f>IF(ABS(N70)&gt;0,IF(N70&gt;0.001,N70,_xlfn.MINIFS(N$58:N$92,N$58:N$92,"&gt;0")/3),0)</f>
        <v/>
      </c>
      <c r="O109" s="238">
        <f>IF(ABS(O70)&gt;0,IF(O70&gt;0.001,O70,_xlfn.MINIFS(O$58:O$92,O$58:O$92,"&gt;0")/3),0)</f>
        <v/>
      </c>
      <c r="P109" s="238">
        <f>IF(ABS(P70)&gt;0,IF(P70&gt;0.001,P70,_xlfn.MINIFS(P$58:P$92,P$58:P$92,"&gt;0")/3),0)</f>
        <v/>
      </c>
      <c r="Q109" s="238">
        <f>IF(ABS(Q70)&gt;0,IF(Q70&gt;0.001,Q70,_xlfn.MINIFS(Q$58:Q$92,Q$58:Q$92,"&gt;0")/3),0)</f>
        <v/>
      </c>
      <c r="R109" s="238">
        <f>IF(ABS(R70)&gt;0,IF(R70&gt;0.001,R70,_xlfn.MINIFS(R$58:R$92,R$58:R$92,"&gt;0")/3),0)</f>
        <v/>
      </c>
      <c r="S109" s="238">
        <f>IF(ABS(S70)&gt;0,IF(S70&gt;0.001,S70,_xlfn.MINIFS(S$58:S$92,S$58:S$92,"&gt;0")/3),0)</f>
        <v/>
      </c>
      <c r="T109" s="238">
        <f>IF(ABS(T70)&gt;0,IF(T70&gt;0.001,T70,_xlfn.MINIFS(T$58:T$92,T$58:T$92,"&gt;0")/3),0)</f>
        <v/>
      </c>
      <c r="U109" s="238">
        <f>IF(ABS(U70)&gt;0,IF(U70&gt;0.001,U70,_xlfn.MINIFS(U$58:U$92,U$58:U$92,"&gt;0")/3),0)</f>
        <v/>
      </c>
      <c r="V109" s="238">
        <f>IF(ABS(V70)&gt;0,IF(V70&gt;0.001,V70,_xlfn.MINIFS(V$58:V$92,V$58:V$92,"&gt;0")/3),0)</f>
        <v/>
      </c>
      <c r="W109" s="238">
        <f>IF(ABS(W70)&gt;0,IF(W70&gt;0.001,W70,_xlfn.MINIFS(W$58:W$92,W$58:W$92,"&gt;0")/3),0)</f>
        <v/>
      </c>
      <c r="X109" s="238">
        <f>IF(ABS(X70)&gt;0,IF(X70&gt;0.001,X70,_xlfn.MINIFS(X$58:X$92,X$58:X$92,"&gt;0")/3),0)</f>
        <v/>
      </c>
      <c r="Y109" s="238">
        <f>IF(ABS(Y70)&gt;0,IF(Y70&gt;0.001,Y70,_xlfn.MINIFS(Y$58:Y$92,Y$58:Y$92,"&gt;0")/3),0)</f>
        <v/>
      </c>
      <c r="Z109" s="238">
        <f>IF(ABS(Z70)&gt;0,IF(Z70&gt;0.001,Z70,_xlfn.MINIFS(Z$58:Z$92,Z$58:Z$92,"&gt;0")/3),0)</f>
        <v/>
      </c>
      <c r="AA109" s="238">
        <f>IF(ABS(AA70)&gt;0,IF(AA70&gt;0.001,AA70,_xlfn.MINIFS(AA$58:AA$92,AA$58:AA$92,"&gt;0")/3),0)</f>
        <v/>
      </c>
      <c r="AB109" s="238">
        <f>IF(ABS(AB70)&gt;0,IF(AB70&gt;0.001,AB70,_xlfn.MINIFS(AB$58:AB$92,AB$58:AB$92,"&gt;0")/3),0)</f>
        <v/>
      </c>
      <c r="AC109" s="238">
        <f>IF(ABS(AC70)&gt;0,IF(AC70&gt;0.001,AC70,_xlfn.MINIFS(AC$58:AC$92,AC$58:AC$92,"&gt;0")/3),0)</f>
        <v/>
      </c>
      <c r="AD109" s="238">
        <f>IF(ABS(AD70)&gt;0,IF(AD70&gt;0.001,AD70,_xlfn.MINIFS(AD$58:AD$92,AD$58:AD$92,"&gt;0")/3),0)</f>
        <v/>
      </c>
      <c r="AE109" s="238">
        <f>IF(ABS(AE70)&gt;0,IF(AE70&gt;0.001,AE70,_xlfn.MINIFS(AE$58:AE$92,AE$58:AE$92,"&gt;0")/3),0)</f>
        <v/>
      </c>
      <c r="AF109" s="238">
        <f>IF(ABS(AF70)&gt;0,IF(AF70&gt;0.001,AF70,_xlfn.MINIFS(AF$58:AF$92,AF$58:AF$92,"&gt;0")/3),0)</f>
        <v/>
      </c>
      <c r="AG109" s="238">
        <f>IF(ABS(AG70)&gt;0,IF(AG70&gt;0.001,AG70,_xlfn.MINIFS(AG$58:AG$92,AG$58:AG$92,"&gt;0")/3),0)</f>
        <v/>
      </c>
      <c r="AH109" s="238">
        <f>IF(ABS(AH70)&gt;0,IF(AH70&gt;0.001,AH70,_xlfn.MINIFS(AH$58:AH$92,AH$58:AH$92,"&gt;0")/3),0)</f>
        <v/>
      </c>
      <c r="AI109" s="238">
        <f>IF(ABS(AI70)&gt;0,IF(AI70&gt;0.001,AI70,_xlfn.MINIFS(AI$58:AI$92,AI$58:AI$92,"&gt;0")/3),0)</f>
        <v/>
      </c>
      <c r="AJ109" s="238">
        <f>IF(ABS(AJ70)&gt;0,IF(AJ70&gt;0.001,AJ70,_xlfn.MINIFS(AJ$58:AJ$92,AJ$58:AJ$92,"&gt;0")/3),0)</f>
        <v/>
      </c>
      <c r="AK109" s="238">
        <f>IF(ABS(AK70)&gt;0,IF(AK70&gt;0.001,AK70,_xlfn.MINIFS(AK$58:AK$92,AK$58:AK$92,"&gt;0")/3),0)</f>
        <v/>
      </c>
      <c r="AL109" s="238">
        <f>IF(ABS(AL70)&gt;0,IF(AL70&gt;0.001,AL70,_xlfn.MINIFS(AL$58:AL$92,AL$58:AL$92,"&gt;0")/3),0)</f>
        <v/>
      </c>
      <c r="AM109" s="238">
        <f>IF(ABS(AM70)&gt;0,IF(AM70&gt;0.001,AM70,_xlfn.MINIFS(AM$58:AM$92,AM$58:AM$92,"&gt;0")/3),0)</f>
        <v/>
      </c>
      <c r="AN109" s="238">
        <f>IF(ABS(AN70)&gt;0,IF(AN70&gt;0.001,AN70,_xlfn.MINIFS(AN$58:AN$92,AN$58:AN$92,"&gt;0")/3),0)</f>
        <v/>
      </c>
      <c r="AO109" s="238">
        <f>IF(ABS(AO70)&gt;0,IF(AO70&gt;0.001,AO70,_xlfn.MINIFS(AO$58:AO$92,AO$58:AO$92,"&gt;0")/3),0)</f>
        <v/>
      </c>
      <c r="AP109" s="238">
        <f>IF(ABS(AP70)&gt;0,IF(AP70&gt;0.001,AP70,_xlfn.MINIFS(AP$58:AP$92,AP$58:AP$92,"&gt;0")/3),0)</f>
        <v/>
      </c>
      <c r="AQ109" s="238">
        <f>IF(ABS(AQ70)&gt;0,IF(AQ70&gt;0.001,AQ70,_xlfn.MINIFS(AQ$58:AQ$92,AQ$58:AQ$92,"&gt;0")/3),0)</f>
        <v/>
      </c>
      <c r="AR109" s="238">
        <f>IF(ABS(AR70)&gt;0,IF(AR70&gt;0.001,AR70,_xlfn.MINIFS(AR$58:AR$92,AR$58:AR$92,"&gt;0")/3),0)</f>
        <v/>
      </c>
      <c r="AS109" s="238">
        <f>IF(ABS(AS70)&gt;0,IF(AS70&gt;0.001,AS70,_xlfn.MINIFS(AS$58:AS$92,AS$58:AS$92,"&gt;0")/3),0)</f>
        <v/>
      </c>
      <c r="AT109" s="238">
        <f>IF(ABS(AT70)&gt;0,IF(AT70&gt;0.001,AT70,_xlfn.MINIFS(AT$58:AT$92,AT$58:AT$92,"&gt;0")/3),0)</f>
        <v/>
      </c>
      <c r="AU109" s="238">
        <f>IF(ABS(AU70)&gt;0,IF(AU70&gt;0.001,AU70,_xlfn.MINIFS(AU$58:AU$92,AU$58:AU$92,"&gt;0")/3),0)</f>
        <v/>
      </c>
      <c r="AV109" s="238">
        <f>IF(ABS(AV70)&gt;0,IF(AV70&gt;0.001,AV70,_xlfn.MINIFS(AV$58:AV$92,AV$58:AV$92,"&gt;0")/3),0)</f>
        <v/>
      </c>
      <c r="AW109" s="238">
        <f>IF(ABS(AW70)&gt;0,IF(AW70&gt;0.001,AW70,_xlfn.MINIFS(AW$58:AW$92,AW$58:AW$92,"&gt;0")/3),0)</f>
        <v/>
      </c>
      <c r="AX109" s="238">
        <f>IF(ABS(AX70)&gt;0,IF(AX70&gt;0.001,AX70,_xlfn.MINIFS(AX$58:AX$92,AX$58:AX$92,"&gt;0")/3),0)</f>
        <v/>
      </c>
      <c r="AY109" s="238">
        <f>IF(ABS(AY70)&gt;0,IF(AY70&gt;0.001,AY70,_xlfn.MINIFS(AY$58:AY$92,AY$58:AY$92,"&gt;0")/3),0)</f>
        <v/>
      </c>
      <c r="AZ109" s="238">
        <f>IF(ABS(AZ70)&gt;0,IF(AZ70&gt;0.001,AZ70,_xlfn.MINIFS(AZ$58:AZ$92,AZ$58:AZ$92,"&gt;0")/3),0)</f>
        <v/>
      </c>
      <c r="BA109" s="238">
        <f>IF(ABS(BA70)&gt;0,IF(BA70&gt;0.001,BA70,_xlfn.MINIFS(BA$58:BA$92,BA$58:BA$92,"&gt;0")/3),0)</f>
        <v/>
      </c>
      <c r="BB109" s="238">
        <f>IF(ABS(BB70)&gt;0,IF(BB70&gt;0.001,BB70,_xlfn.MINIFS(BB$58:BB$92,BB$58:BB$92,"&gt;0")/3),0)</f>
        <v/>
      </c>
    </row>
    <row r="110">
      <c r="C110" s="1" t="n"/>
      <c r="D110" s="237">
        <f>D71</f>
        <v/>
      </c>
      <c r="E110" s="238">
        <f>IF(ABS(E71)&gt;0,IF(E71&gt;0.001,E71,_xlfn.MINIFS(E$58:E$92,E$58:E$92,"&gt;0")/3),0)</f>
        <v/>
      </c>
      <c r="F110" s="238">
        <f>IF(ABS(F71)&gt;0,IF(F71&gt;0.001,F71,_xlfn.MINIFS(F$58:F$92,F$58:F$92,"&gt;0")/3),0)</f>
        <v/>
      </c>
      <c r="G110" s="238">
        <f>IF(ABS(G71)&gt;0,IF(G71&gt;0.001,G71,_xlfn.MINIFS(G$58:G$92,G$58:G$92,"&gt;0")/3),0)</f>
        <v/>
      </c>
      <c r="H110" s="238">
        <f>IF(ABS(H71)&gt;0,IF(H71&gt;0.001,H71,_xlfn.MINIFS(H$58:H$92,H$58:H$92,"&gt;0")/3),0)</f>
        <v/>
      </c>
      <c r="I110" s="238">
        <f>IF(ABS(I71)&gt;0,IF(I71&gt;0.001,I71,_xlfn.MINIFS(I$58:I$92,I$58:I$92,"&gt;0")/3),0)</f>
        <v/>
      </c>
      <c r="J110" s="238">
        <f>IF(ABS(J71)&gt;0,IF(J71&gt;0.001,J71,_xlfn.MINIFS(J$58:J$92,J$58:J$92,"&gt;0")/3),0)</f>
        <v/>
      </c>
      <c r="K110" s="238">
        <f>IF(ABS(K71)&gt;0,IF(K71&gt;0.001,K71,_xlfn.MINIFS(K$58:K$92,K$58:K$92,"&gt;0")/3),0)</f>
        <v/>
      </c>
      <c r="L110" s="238">
        <f>IF(ABS(L71)&gt;0,IF(L71&gt;0.001,L71,_xlfn.MINIFS(L$58:L$92,L$58:L$92,"&gt;0")/3),0)</f>
        <v/>
      </c>
      <c r="M110" s="238">
        <f>IF(ABS(M71)&gt;0,IF(M71&gt;0.001,M71,_xlfn.MINIFS(M$58:M$92,M$58:M$92,"&gt;0")/3),0)</f>
        <v/>
      </c>
      <c r="N110" s="238">
        <f>IF(ABS(N71)&gt;0,IF(N71&gt;0.001,N71,_xlfn.MINIFS(N$58:N$92,N$58:N$92,"&gt;0")/3),0)</f>
        <v/>
      </c>
      <c r="O110" s="238">
        <f>IF(ABS(O71)&gt;0,IF(O71&gt;0.001,O71,_xlfn.MINIFS(O$58:O$92,O$58:O$92,"&gt;0")/3),0)</f>
        <v/>
      </c>
      <c r="P110" s="238">
        <f>IF(ABS(P71)&gt;0,IF(P71&gt;0.001,P71,_xlfn.MINIFS(P$58:P$92,P$58:P$92,"&gt;0")/3),0)</f>
        <v/>
      </c>
      <c r="Q110" s="238">
        <f>IF(ABS(Q71)&gt;0,IF(Q71&gt;0.001,Q71,_xlfn.MINIFS(Q$58:Q$92,Q$58:Q$92,"&gt;0")/3),0)</f>
        <v/>
      </c>
      <c r="R110" s="238">
        <f>IF(ABS(R71)&gt;0,IF(R71&gt;0.001,R71,_xlfn.MINIFS(R$58:R$92,R$58:R$92,"&gt;0")/3),0)</f>
        <v/>
      </c>
      <c r="S110" s="238">
        <f>IF(ABS(S71)&gt;0,IF(S71&gt;0.001,S71,_xlfn.MINIFS(S$58:S$92,S$58:S$92,"&gt;0")/3),0)</f>
        <v/>
      </c>
      <c r="T110" s="238">
        <f>IF(ABS(T71)&gt;0,IF(T71&gt;0.001,T71,_xlfn.MINIFS(T$58:T$92,T$58:T$92,"&gt;0")/3),0)</f>
        <v/>
      </c>
      <c r="U110" s="238">
        <f>IF(ABS(U71)&gt;0,IF(U71&gt;0.001,U71,_xlfn.MINIFS(U$58:U$92,U$58:U$92,"&gt;0")/3),0)</f>
        <v/>
      </c>
      <c r="V110" s="238">
        <f>IF(ABS(V71)&gt;0,IF(V71&gt;0.001,V71,_xlfn.MINIFS(V$58:V$92,V$58:V$92,"&gt;0")/3),0)</f>
        <v/>
      </c>
      <c r="W110" s="238">
        <f>IF(ABS(W71)&gt;0,IF(W71&gt;0.001,W71,_xlfn.MINIFS(W$58:W$92,W$58:W$92,"&gt;0")/3),0)</f>
        <v/>
      </c>
      <c r="X110" s="238">
        <f>IF(ABS(X71)&gt;0,IF(X71&gt;0.001,X71,_xlfn.MINIFS(X$58:X$92,X$58:X$92,"&gt;0")/3),0)</f>
        <v/>
      </c>
      <c r="Y110" s="238">
        <f>IF(ABS(Y71)&gt;0,IF(Y71&gt;0.001,Y71,_xlfn.MINIFS(Y$58:Y$92,Y$58:Y$92,"&gt;0")/3),0)</f>
        <v/>
      </c>
      <c r="Z110" s="238">
        <f>IF(ABS(Z71)&gt;0,IF(Z71&gt;0.001,Z71,_xlfn.MINIFS(Z$58:Z$92,Z$58:Z$92,"&gt;0")/3),0)</f>
        <v/>
      </c>
      <c r="AA110" s="238">
        <f>IF(ABS(AA71)&gt;0,IF(AA71&gt;0.001,AA71,_xlfn.MINIFS(AA$58:AA$92,AA$58:AA$92,"&gt;0")/3),0)</f>
        <v/>
      </c>
      <c r="AB110" s="238">
        <f>IF(ABS(AB71)&gt;0,IF(AB71&gt;0.001,AB71,_xlfn.MINIFS(AB$58:AB$92,AB$58:AB$92,"&gt;0")/3),0)</f>
        <v/>
      </c>
      <c r="AC110" s="238">
        <f>IF(ABS(AC71)&gt;0,IF(AC71&gt;0.001,AC71,_xlfn.MINIFS(AC$58:AC$92,AC$58:AC$92,"&gt;0")/3),0)</f>
        <v/>
      </c>
      <c r="AD110" s="238">
        <f>IF(ABS(AD71)&gt;0,IF(AD71&gt;0.001,AD71,_xlfn.MINIFS(AD$58:AD$92,AD$58:AD$92,"&gt;0")/3),0)</f>
        <v/>
      </c>
      <c r="AE110" s="238">
        <f>IF(ABS(AE71)&gt;0,IF(AE71&gt;0.001,AE71,_xlfn.MINIFS(AE$58:AE$92,AE$58:AE$92,"&gt;0")/3),0)</f>
        <v/>
      </c>
      <c r="AF110" s="238">
        <f>IF(ABS(AF71)&gt;0,IF(AF71&gt;0.001,AF71,_xlfn.MINIFS(AF$58:AF$92,AF$58:AF$92,"&gt;0")/3),0)</f>
        <v/>
      </c>
      <c r="AG110" s="238">
        <f>IF(ABS(AG71)&gt;0,IF(AG71&gt;0.001,AG71,_xlfn.MINIFS(AG$58:AG$92,AG$58:AG$92,"&gt;0")/3),0)</f>
        <v/>
      </c>
      <c r="AH110" s="238">
        <f>IF(ABS(AH71)&gt;0,IF(AH71&gt;0.001,AH71,_xlfn.MINIFS(AH$58:AH$92,AH$58:AH$92,"&gt;0")/3),0)</f>
        <v/>
      </c>
      <c r="AI110" s="238">
        <f>IF(ABS(AI71)&gt;0,IF(AI71&gt;0.001,AI71,_xlfn.MINIFS(AI$58:AI$92,AI$58:AI$92,"&gt;0")/3),0)</f>
        <v/>
      </c>
      <c r="AJ110" s="238">
        <f>IF(ABS(AJ71)&gt;0,IF(AJ71&gt;0.001,AJ71,_xlfn.MINIFS(AJ$58:AJ$92,AJ$58:AJ$92,"&gt;0")/3),0)</f>
        <v/>
      </c>
      <c r="AK110" s="238">
        <f>IF(ABS(AK71)&gt;0,IF(AK71&gt;0.001,AK71,_xlfn.MINIFS(AK$58:AK$92,AK$58:AK$92,"&gt;0")/3),0)</f>
        <v/>
      </c>
      <c r="AL110" s="238">
        <f>IF(ABS(AL71)&gt;0,IF(AL71&gt;0.001,AL71,_xlfn.MINIFS(AL$58:AL$92,AL$58:AL$92,"&gt;0")/3),0)</f>
        <v/>
      </c>
      <c r="AM110" s="238">
        <f>IF(ABS(AM71)&gt;0,IF(AM71&gt;0.001,AM71,_xlfn.MINIFS(AM$58:AM$92,AM$58:AM$92,"&gt;0")/3),0)</f>
        <v/>
      </c>
      <c r="AN110" s="238">
        <f>IF(ABS(AN71)&gt;0,IF(AN71&gt;0.001,AN71,_xlfn.MINIFS(AN$58:AN$92,AN$58:AN$92,"&gt;0")/3),0)</f>
        <v/>
      </c>
      <c r="AO110" s="238">
        <f>IF(ABS(AO71)&gt;0,IF(AO71&gt;0.001,AO71,_xlfn.MINIFS(AO$58:AO$92,AO$58:AO$92,"&gt;0")/3),0)</f>
        <v/>
      </c>
      <c r="AP110" s="238">
        <f>IF(ABS(AP71)&gt;0,IF(AP71&gt;0.001,AP71,_xlfn.MINIFS(AP$58:AP$92,AP$58:AP$92,"&gt;0")/3),0)</f>
        <v/>
      </c>
      <c r="AQ110" s="238">
        <f>IF(ABS(AQ71)&gt;0,IF(AQ71&gt;0.001,AQ71,_xlfn.MINIFS(AQ$58:AQ$92,AQ$58:AQ$92,"&gt;0")/3),0)</f>
        <v/>
      </c>
      <c r="AR110" s="238">
        <f>IF(ABS(AR71)&gt;0,IF(AR71&gt;0.001,AR71,_xlfn.MINIFS(AR$58:AR$92,AR$58:AR$92,"&gt;0")/3),0)</f>
        <v/>
      </c>
      <c r="AS110" s="238">
        <f>IF(ABS(AS71)&gt;0,IF(AS71&gt;0.001,AS71,_xlfn.MINIFS(AS$58:AS$92,AS$58:AS$92,"&gt;0")/3),0)</f>
        <v/>
      </c>
      <c r="AT110" s="238">
        <f>IF(ABS(AT71)&gt;0,IF(AT71&gt;0.001,AT71,_xlfn.MINIFS(AT$58:AT$92,AT$58:AT$92,"&gt;0")/3),0)</f>
        <v/>
      </c>
      <c r="AU110" s="238">
        <f>IF(ABS(AU71)&gt;0,IF(AU71&gt;0.001,AU71,_xlfn.MINIFS(AU$58:AU$92,AU$58:AU$92,"&gt;0")/3),0)</f>
        <v/>
      </c>
      <c r="AV110" s="238">
        <f>IF(ABS(AV71)&gt;0,IF(AV71&gt;0.001,AV71,_xlfn.MINIFS(AV$58:AV$92,AV$58:AV$92,"&gt;0")/3),0)</f>
        <v/>
      </c>
      <c r="AW110" s="238">
        <f>IF(ABS(AW71)&gt;0,IF(AW71&gt;0.001,AW71,_xlfn.MINIFS(AW$58:AW$92,AW$58:AW$92,"&gt;0")/3),0)</f>
        <v/>
      </c>
      <c r="AX110" s="238">
        <f>IF(ABS(AX71)&gt;0,IF(AX71&gt;0.001,AX71,_xlfn.MINIFS(AX$58:AX$92,AX$58:AX$92,"&gt;0")/3),0)</f>
        <v/>
      </c>
      <c r="AY110" s="238">
        <f>IF(ABS(AY71)&gt;0,IF(AY71&gt;0.001,AY71,_xlfn.MINIFS(AY$58:AY$92,AY$58:AY$92,"&gt;0")/3),0)</f>
        <v/>
      </c>
      <c r="AZ110" s="238">
        <f>IF(ABS(AZ71)&gt;0,IF(AZ71&gt;0.001,AZ71,_xlfn.MINIFS(AZ$58:AZ$92,AZ$58:AZ$92,"&gt;0")/3),0)</f>
        <v/>
      </c>
      <c r="BA110" s="238">
        <f>IF(ABS(BA71)&gt;0,IF(BA71&gt;0.001,BA71,_xlfn.MINIFS(BA$58:BA$92,BA$58:BA$92,"&gt;0")/3),0)</f>
        <v/>
      </c>
      <c r="BB110" s="238">
        <f>IF(ABS(BB71)&gt;0,IF(BB71&gt;0.001,BB71,_xlfn.MINIFS(BB$58:BB$92,BB$58:BB$92,"&gt;0")/3),0)</f>
        <v/>
      </c>
    </row>
    <row r="111">
      <c r="C111" s="1" t="n"/>
      <c r="D111" s="237">
        <f>D72</f>
        <v/>
      </c>
      <c r="E111" s="238">
        <f>IF(ABS(E72)&gt;0,IF(E72&gt;0.001,E72,_xlfn.MINIFS(E$58:E$92,E$58:E$92,"&gt;0")/3),0)</f>
        <v/>
      </c>
      <c r="F111" s="238">
        <f>IF(ABS(F72)&gt;0,IF(F72&gt;0.001,F72,_xlfn.MINIFS(F$58:F$92,F$58:F$92,"&gt;0")/3),0)</f>
        <v/>
      </c>
      <c r="G111" s="238">
        <f>IF(ABS(G72)&gt;0,IF(G72&gt;0.001,G72,_xlfn.MINIFS(G$58:G$92,G$58:G$92,"&gt;0")/3),0)</f>
        <v/>
      </c>
      <c r="H111" s="238">
        <f>IF(ABS(H72)&gt;0,IF(H72&gt;0.001,H72,_xlfn.MINIFS(H$58:H$92,H$58:H$92,"&gt;0")/3),0)</f>
        <v/>
      </c>
      <c r="I111" s="238">
        <f>IF(ABS(I72)&gt;0,IF(I72&gt;0.001,I72,_xlfn.MINIFS(I$58:I$92,I$58:I$92,"&gt;0")/3),0)</f>
        <v/>
      </c>
      <c r="J111" s="238">
        <f>IF(ABS(J72)&gt;0,IF(J72&gt;0.001,J72,_xlfn.MINIFS(J$58:J$92,J$58:J$92,"&gt;0")/3),0)</f>
        <v/>
      </c>
      <c r="K111" s="238">
        <f>IF(ABS(K72)&gt;0,IF(K72&gt;0.001,K72,_xlfn.MINIFS(K$58:K$92,K$58:K$92,"&gt;0")/3),0)</f>
        <v/>
      </c>
      <c r="L111" s="238">
        <f>IF(ABS(L72)&gt;0,IF(L72&gt;0.001,L72,_xlfn.MINIFS(L$58:L$92,L$58:L$92,"&gt;0")/3),0)</f>
        <v/>
      </c>
      <c r="M111" s="238">
        <f>IF(ABS(M72)&gt;0,IF(M72&gt;0.001,M72,_xlfn.MINIFS(M$58:M$92,M$58:M$92,"&gt;0")/3),0)</f>
        <v/>
      </c>
      <c r="N111" s="238">
        <f>IF(ABS(N72)&gt;0,IF(N72&gt;0.001,N72,_xlfn.MINIFS(N$58:N$92,N$58:N$92,"&gt;0")/3),0)</f>
        <v/>
      </c>
      <c r="O111" s="238">
        <f>IF(ABS(O72)&gt;0,IF(O72&gt;0.001,O72,_xlfn.MINIFS(O$58:O$92,O$58:O$92,"&gt;0")/3),0)</f>
        <v/>
      </c>
      <c r="P111" s="238">
        <f>IF(ABS(P72)&gt;0,IF(P72&gt;0.001,P72,_xlfn.MINIFS(P$58:P$92,P$58:P$92,"&gt;0")/3),0)</f>
        <v/>
      </c>
      <c r="Q111" s="238">
        <f>IF(ABS(Q72)&gt;0,IF(Q72&gt;0.001,Q72,_xlfn.MINIFS(Q$58:Q$92,Q$58:Q$92,"&gt;0")/3),0)</f>
        <v/>
      </c>
      <c r="R111" s="238">
        <f>IF(ABS(R72)&gt;0,IF(R72&gt;0.001,R72,_xlfn.MINIFS(R$58:R$92,R$58:R$92,"&gt;0")/3),0)</f>
        <v/>
      </c>
      <c r="S111" s="238">
        <f>IF(ABS(S72)&gt;0,IF(S72&gt;0.001,S72,_xlfn.MINIFS(S$58:S$92,S$58:S$92,"&gt;0")/3),0)</f>
        <v/>
      </c>
      <c r="T111" s="238">
        <f>IF(ABS(T72)&gt;0,IF(T72&gt;0.001,T72,_xlfn.MINIFS(T$58:T$92,T$58:T$92,"&gt;0")/3),0)</f>
        <v/>
      </c>
      <c r="U111" s="238">
        <f>IF(ABS(U72)&gt;0,IF(U72&gt;0.001,U72,_xlfn.MINIFS(U$58:U$92,U$58:U$92,"&gt;0")/3),0)</f>
        <v/>
      </c>
      <c r="V111" s="238">
        <f>IF(ABS(V72)&gt;0,IF(V72&gt;0.001,V72,_xlfn.MINIFS(V$58:V$92,V$58:V$92,"&gt;0")/3),0)</f>
        <v/>
      </c>
      <c r="W111" s="238">
        <f>IF(ABS(W72)&gt;0,IF(W72&gt;0.001,W72,_xlfn.MINIFS(W$58:W$92,W$58:W$92,"&gt;0")/3),0)</f>
        <v/>
      </c>
      <c r="X111" s="238">
        <f>IF(ABS(X72)&gt;0,IF(X72&gt;0.001,X72,_xlfn.MINIFS(X$58:X$92,X$58:X$92,"&gt;0")/3),0)</f>
        <v/>
      </c>
      <c r="Y111" s="238">
        <f>IF(ABS(Y72)&gt;0,IF(Y72&gt;0.001,Y72,_xlfn.MINIFS(Y$58:Y$92,Y$58:Y$92,"&gt;0")/3),0)</f>
        <v/>
      </c>
      <c r="Z111" s="238">
        <f>IF(ABS(Z72)&gt;0,IF(Z72&gt;0.001,Z72,_xlfn.MINIFS(Z$58:Z$92,Z$58:Z$92,"&gt;0")/3),0)</f>
        <v/>
      </c>
      <c r="AA111" s="238">
        <f>IF(ABS(AA72)&gt;0,IF(AA72&gt;0.001,AA72,_xlfn.MINIFS(AA$58:AA$92,AA$58:AA$92,"&gt;0")/3),0)</f>
        <v/>
      </c>
      <c r="AB111" s="238">
        <f>IF(ABS(AB72)&gt;0,IF(AB72&gt;0.001,AB72,_xlfn.MINIFS(AB$58:AB$92,AB$58:AB$92,"&gt;0")/3),0)</f>
        <v/>
      </c>
      <c r="AC111" s="238">
        <f>IF(ABS(AC72)&gt;0,IF(AC72&gt;0.001,AC72,_xlfn.MINIFS(AC$58:AC$92,AC$58:AC$92,"&gt;0")/3),0)</f>
        <v/>
      </c>
      <c r="AD111" s="238">
        <f>IF(ABS(AD72)&gt;0,IF(AD72&gt;0.001,AD72,_xlfn.MINIFS(AD$58:AD$92,AD$58:AD$92,"&gt;0")/3),0)</f>
        <v/>
      </c>
      <c r="AE111" s="238">
        <f>IF(ABS(AE72)&gt;0,IF(AE72&gt;0.001,AE72,_xlfn.MINIFS(AE$58:AE$92,AE$58:AE$92,"&gt;0")/3),0)</f>
        <v/>
      </c>
      <c r="AF111" s="238">
        <f>IF(ABS(AF72)&gt;0,IF(AF72&gt;0.001,AF72,_xlfn.MINIFS(AF$58:AF$92,AF$58:AF$92,"&gt;0")/3),0)</f>
        <v/>
      </c>
      <c r="AG111" s="238">
        <f>IF(ABS(AG72)&gt;0,IF(AG72&gt;0.001,AG72,_xlfn.MINIFS(AG$58:AG$92,AG$58:AG$92,"&gt;0")/3),0)</f>
        <v/>
      </c>
      <c r="AH111" s="238">
        <f>IF(ABS(AH72)&gt;0,IF(AH72&gt;0.001,AH72,_xlfn.MINIFS(AH$58:AH$92,AH$58:AH$92,"&gt;0")/3),0)</f>
        <v/>
      </c>
      <c r="AI111" s="238">
        <f>IF(ABS(AI72)&gt;0,IF(AI72&gt;0.001,AI72,_xlfn.MINIFS(AI$58:AI$92,AI$58:AI$92,"&gt;0")/3),0)</f>
        <v/>
      </c>
      <c r="AJ111" s="238">
        <f>IF(ABS(AJ72)&gt;0,IF(AJ72&gt;0.001,AJ72,_xlfn.MINIFS(AJ$58:AJ$92,AJ$58:AJ$92,"&gt;0")/3),0)</f>
        <v/>
      </c>
      <c r="AK111" s="238">
        <f>IF(ABS(AK72)&gt;0,IF(AK72&gt;0.001,AK72,_xlfn.MINIFS(AK$58:AK$92,AK$58:AK$92,"&gt;0")/3),0)</f>
        <v/>
      </c>
      <c r="AL111" s="238">
        <f>IF(ABS(AL72)&gt;0,IF(AL72&gt;0.001,AL72,_xlfn.MINIFS(AL$58:AL$92,AL$58:AL$92,"&gt;0")/3),0)</f>
        <v/>
      </c>
      <c r="AM111" s="238">
        <f>IF(ABS(AM72)&gt;0,IF(AM72&gt;0.001,AM72,_xlfn.MINIFS(AM$58:AM$92,AM$58:AM$92,"&gt;0")/3),0)</f>
        <v/>
      </c>
      <c r="AN111" s="238">
        <f>IF(ABS(AN72)&gt;0,IF(AN72&gt;0.001,AN72,_xlfn.MINIFS(AN$58:AN$92,AN$58:AN$92,"&gt;0")/3),0)</f>
        <v/>
      </c>
      <c r="AO111" s="238">
        <f>IF(ABS(AO72)&gt;0,IF(AO72&gt;0.001,AO72,_xlfn.MINIFS(AO$58:AO$92,AO$58:AO$92,"&gt;0")/3),0)</f>
        <v/>
      </c>
      <c r="AP111" s="238">
        <f>IF(ABS(AP72)&gt;0,IF(AP72&gt;0.001,AP72,_xlfn.MINIFS(AP$58:AP$92,AP$58:AP$92,"&gt;0")/3),0)</f>
        <v/>
      </c>
      <c r="AQ111" s="238">
        <f>IF(ABS(AQ72)&gt;0,IF(AQ72&gt;0.001,AQ72,_xlfn.MINIFS(AQ$58:AQ$92,AQ$58:AQ$92,"&gt;0")/3),0)</f>
        <v/>
      </c>
      <c r="AR111" s="238">
        <f>IF(ABS(AR72)&gt;0,IF(AR72&gt;0.001,AR72,_xlfn.MINIFS(AR$58:AR$92,AR$58:AR$92,"&gt;0")/3),0)</f>
        <v/>
      </c>
      <c r="AS111" s="238">
        <f>IF(ABS(AS72)&gt;0,IF(AS72&gt;0.001,AS72,_xlfn.MINIFS(AS$58:AS$92,AS$58:AS$92,"&gt;0")/3),0)</f>
        <v/>
      </c>
      <c r="AT111" s="238">
        <f>IF(ABS(AT72)&gt;0,IF(AT72&gt;0.001,AT72,_xlfn.MINIFS(AT$58:AT$92,AT$58:AT$92,"&gt;0")/3),0)</f>
        <v/>
      </c>
      <c r="AU111" s="238">
        <f>IF(ABS(AU72)&gt;0,IF(AU72&gt;0.001,AU72,_xlfn.MINIFS(AU$58:AU$92,AU$58:AU$92,"&gt;0")/3),0)</f>
        <v/>
      </c>
      <c r="AV111" s="238">
        <f>IF(ABS(AV72)&gt;0,IF(AV72&gt;0.001,AV72,_xlfn.MINIFS(AV$58:AV$92,AV$58:AV$92,"&gt;0")/3),0)</f>
        <v/>
      </c>
      <c r="AW111" s="238">
        <f>IF(ABS(AW72)&gt;0,IF(AW72&gt;0.001,AW72,_xlfn.MINIFS(AW$58:AW$92,AW$58:AW$92,"&gt;0")/3),0)</f>
        <v/>
      </c>
      <c r="AX111" s="238">
        <f>IF(ABS(AX72)&gt;0,IF(AX72&gt;0.001,AX72,_xlfn.MINIFS(AX$58:AX$92,AX$58:AX$92,"&gt;0")/3),0)</f>
        <v/>
      </c>
      <c r="AY111" s="238">
        <f>IF(ABS(AY72)&gt;0,IF(AY72&gt;0.001,AY72,_xlfn.MINIFS(AY$58:AY$92,AY$58:AY$92,"&gt;0")/3),0)</f>
        <v/>
      </c>
      <c r="AZ111" s="238">
        <f>IF(ABS(AZ72)&gt;0,IF(AZ72&gt;0.001,AZ72,_xlfn.MINIFS(AZ$58:AZ$92,AZ$58:AZ$92,"&gt;0")/3),0)</f>
        <v/>
      </c>
      <c r="BA111" s="238">
        <f>IF(ABS(BA72)&gt;0,IF(BA72&gt;0.001,BA72,_xlfn.MINIFS(BA$58:BA$92,BA$58:BA$92,"&gt;0")/3),0)</f>
        <v/>
      </c>
      <c r="BB111" s="238">
        <f>IF(ABS(BB72)&gt;0,IF(BB72&gt;0.001,BB72,_xlfn.MINIFS(BB$58:BB$92,BB$58:BB$92,"&gt;0")/3),0)</f>
        <v/>
      </c>
    </row>
    <row r="112">
      <c r="C112" s="1" t="n"/>
      <c r="D112" s="237">
        <f>D73</f>
        <v/>
      </c>
      <c r="E112" s="238">
        <f>IF(ABS(E73)&gt;0,IF(E73&gt;0.001,E73,_xlfn.MINIFS(E$58:E$92,E$58:E$92,"&gt;0")/3),0)</f>
        <v/>
      </c>
      <c r="F112" s="238">
        <f>IF(ABS(F73)&gt;0,IF(F73&gt;0.001,F73,_xlfn.MINIFS(F$58:F$92,F$58:F$92,"&gt;0")/3),0)</f>
        <v/>
      </c>
      <c r="G112" s="238">
        <f>IF(ABS(G73)&gt;0,IF(G73&gt;0.001,G73,_xlfn.MINIFS(G$58:G$92,G$58:G$92,"&gt;0")/3),0)</f>
        <v/>
      </c>
      <c r="H112" s="238">
        <f>IF(ABS(H73)&gt;0,IF(H73&gt;0.001,H73,_xlfn.MINIFS(H$58:H$92,H$58:H$92,"&gt;0")/3),0)</f>
        <v/>
      </c>
      <c r="I112" s="238">
        <f>IF(ABS(I73)&gt;0,IF(I73&gt;0.001,I73,_xlfn.MINIFS(I$58:I$92,I$58:I$92,"&gt;0")/3),0)</f>
        <v/>
      </c>
      <c r="J112" s="238">
        <f>IF(ABS(J73)&gt;0,IF(J73&gt;0.001,J73,_xlfn.MINIFS(J$58:J$92,J$58:J$92,"&gt;0")/3),0)</f>
        <v/>
      </c>
      <c r="K112" s="238">
        <f>IF(ABS(K73)&gt;0,IF(K73&gt;0.001,K73,_xlfn.MINIFS(K$58:K$92,K$58:K$92,"&gt;0")/3),0)</f>
        <v/>
      </c>
      <c r="L112" s="238">
        <f>IF(ABS(L73)&gt;0,IF(L73&gt;0.001,L73,_xlfn.MINIFS(L$58:L$92,L$58:L$92,"&gt;0")/3),0)</f>
        <v/>
      </c>
      <c r="M112" s="238">
        <f>IF(ABS(M73)&gt;0,IF(M73&gt;0.001,M73,_xlfn.MINIFS(M$58:M$92,M$58:M$92,"&gt;0")/3),0)</f>
        <v/>
      </c>
      <c r="N112" s="238">
        <f>IF(ABS(N73)&gt;0,IF(N73&gt;0.001,N73,_xlfn.MINIFS(N$58:N$92,N$58:N$92,"&gt;0")/3),0)</f>
        <v/>
      </c>
      <c r="O112" s="238">
        <f>IF(ABS(O73)&gt;0,IF(O73&gt;0.001,O73,_xlfn.MINIFS(O$58:O$92,O$58:O$92,"&gt;0")/3),0)</f>
        <v/>
      </c>
      <c r="P112" s="238">
        <f>IF(ABS(P73)&gt;0,IF(P73&gt;0.001,P73,_xlfn.MINIFS(P$58:P$92,P$58:P$92,"&gt;0")/3),0)</f>
        <v/>
      </c>
      <c r="Q112" s="238">
        <f>IF(ABS(Q73)&gt;0,IF(Q73&gt;0.001,Q73,_xlfn.MINIFS(Q$58:Q$92,Q$58:Q$92,"&gt;0")/3),0)</f>
        <v/>
      </c>
      <c r="R112" s="238">
        <f>IF(ABS(R73)&gt;0,IF(R73&gt;0.001,R73,_xlfn.MINIFS(R$58:R$92,R$58:R$92,"&gt;0")/3),0)</f>
        <v/>
      </c>
      <c r="S112" s="238">
        <f>IF(ABS(S73)&gt;0,IF(S73&gt;0.001,S73,_xlfn.MINIFS(S$58:S$92,S$58:S$92,"&gt;0")/3),0)</f>
        <v/>
      </c>
      <c r="T112" s="238">
        <f>IF(ABS(T73)&gt;0,IF(T73&gt;0.001,T73,_xlfn.MINIFS(T$58:T$92,T$58:T$92,"&gt;0")/3),0)</f>
        <v/>
      </c>
      <c r="U112" s="238">
        <f>IF(ABS(U73)&gt;0,IF(U73&gt;0.001,U73,_xlfn.MINIFS(U$58:U$92,U$58:U$92,"&gt;0")/3),0)</f>
        <v/>
      </c>
      <c r="V112" s="238">
        <f>IF(ABS(V73)&gt;0,IF(V73&gt;0.001,V73,_xlfn.MINIFS(V$58:V$92,V$58:V$92,"&gt;0")/3),0)</f>
        <v/>
      </c>
      <c r="W112" s="238">
        <f>IF(ABS(W73)&gt;0,IF(W73&gt;0.001,W73,_xlfn.MINIFS(W$58:W$92,W$58:W$92,"&gt;0")/3),0)</f>
        <v/>
      </c>
      <c r="X112" s="238">
        <f>IF(ABS(X73)&gt;0,IF(X73&gt;0.001,X73,_xlfn.MINIFS(X$58:X$92,X$58:X$92,"&gt;0")/3),0)</f>
        <v/>
      </c>
      <c r="Y112" s="238">
        <f>IF(ABS(Y73)&gt;0,IF(Y73&gt;0.001,Y73,_xlfn.MINIFS(Y$58:Y$92,Y$58:Y$92,"&gt;0")/3),0)</f>
        <v/>
      </c>
      <c r="Z112" s="238">
        <f>IF(ABS(Z73)&gt;0,IF(Z73&gt;0.001,Z73,_xlfn.MINIFS(Z$58:Z$92,Z$58:Z$92,"&gt;0")/3),0)</f>
        <v/>
      </c>
      <c r="AA112" s="238">
        <f>IF(ABS(AA73)&gt;0,IF(AA73&gt;0.001,AA73,_xlfn.MINIFS(AA$58:AA$92,AA$58:AA$92,"&gt;0")/3),0)</f>
        <v/>
      </c>
      <c r="AB112" s="238">
        <f>IF(ABS(AB73)&gt;0,IF(AB73&gt;0.001,AB73,_xlfn.MINIFS(AB$58:AB$92,AB$58:AB$92,"&gt;0")/3),0)</f>
        <v/>
      </c>
      <c r="AC112" s="238">
        <f>IF(ABS(AC73)&gt;0,IF(AC73&gt;0.001,AC73,_xlfn.MINIFS(AC$58:AC$92,AC$58:AC$92,"&gt;0")/3),0)</f>
        <v/>
      </c>
      <c r="AD112" s="238">
        <f>IF(ABS(AD73)&gt;0,IF(AD73&gt;0.001,AD73,_xlfn.MINIFS(AD$58:AD$92,AD$58:AD$92,"&gt;0")/3),0)</f>
        <v/>
      </c>
      <c r="AE112" s="238">
        <f>IF(ABS(AE73)&gt;0,IF(AE73&gt;0.001,AE73,_xlfn.MINIFS(AE$58:AE$92,AE$58:AE$92,"&gt;0")/3),0)</f>
        <v/>
      </c>
      <c r="AF112" s="238">
        <f>IF(ABS(AF73)&gt;0,IF(AF73&gt;0.001,AF73,_xlfn.MINIFS(AF$58:AF$92,AF$58:AF$92,"&gt;0")/3),0)</f>
        <v/>
      </c>
      <c r="AG112" s="238">
        <f>IF(ABS(AG73)&gt;0,IF(AG73&gt;0.001,AG73,_xlfn.MINIFS(AG$58:AG$92,AG$58:AG$92,"&gt;0")/3),0)</f>
        <v/>
      </c>
      <c r="AH112" s="238">
        <f>IF(ABS(AH73)&gt;0,IF(AH73&gt;0.001,AH73,_xlfn.MINIFS(AH$58:AH$92,AH$58:AH$92,"&gt;0")/3),0)</f>
        <v/>
      </c>
      <c r="AI112" s="238">
        <f>IF(ABS(AI73)&gt;0,IF(AI73&gt;0.001,AI73,_xlfn.MINIFS(AI$58:AI$92,AI$58:AI$92,"&gt;0")/3),0)</f>
        <v/>
      </c>
      <c r="AJ112" s="238">
        <f>IF(ABS(AJ73)&gt;0,IF(AJ73&gt;0.001,AJ73,_xlfn.MINIFS(AJ$58:AJ$92,AJ$58:AJ$92,"&gt;0")/3),0)</f>
        <v/>
      </c>
      <c r="AK112" s="238">
        <f>IF(ABS(AK73)&gt;0,IF(AK73&gt;0.001,AK73,_xlfn.MINIFS(AK$58:AK$92,AK$58:AK$92,"&gt;0")/3),0)</f>
        <v/>
      </c>
      <c r="AL112" s="238">
        <f>IF(ABS(AL73)&gt;0,IF(AL73&gt;0.001,AL73,_xlfn.MINIFS(AL$58:AL$92,AL$58:AL$92,"&gt;0")/3),0)</f>
        <v/>
      </c>
      <c r="AM112" s="238">
        <f>IF(ABS(AM73)&gt;0,IF(AM73&gt;0.001,AM73,_xlfn.MINIFS(AM$58:AM$92,AM$58:AM$92,"&gt;0")/3),0)</f>
        <v/>
      </c>
      <c r="AN112" s="238">
        <f>IF(ABS(AN73)&gt;0,IF(AN73&gt;0.001,AN73,_xlfn.MINIFS(AN$58:AN$92,AN$58:AN$92,"&gt;0")/3),0)</f>
        <v/>
      </c>
      <c r="AO112" s="238">
        <f>IF(ABS(AO73)&gt;0,IF(AO73&gt;0.001,AO73,_xlfn.MINIFS(AO$58:AO$92,AO$58:AO$92,"&gt;0")/3),0)</f>
        <v/>
      </c>
      <c r="AP112" s="238">
        <f>IF(ABS(AP73)&gt;0,IF(AP73&gt;0.001,AP73,_xlfn.MINIFS(AP$58:AP$92,AP$58:AP$92,"&gt;0")/3),0)</f>
        <v/>
      </c>
      <c r="AQ112" s="238">
        <f>IF(ABS(AQ73)&gt;0,IF(AQ73&gt;0.001,AQ73,_xlfn.MINIFS(AQ$58:AQ$92,AQ$58:AQ$92,"&gt;0")/3),0)</f>
        <v/>
      </c>
      <c r="AR112" s="238">
        <f>IF(ABS(AR73)&gt;0,IF(AR73&gt;0.001,AR73,_xlfn.MINIFS(AR$58:AR$92,AR$58:AR$92,"&gt;0")/3),0)</f>
        <v/>
      </c>
      <c r="AS112" s="238">
        <f>IF(ABS(AS73)&gt;0,IF(AS73&gt;0.001,AS73,_xlfn.MINIFS(AS$58:AS$92,AS$58:AS$92,"&gt;0")/3),0)</f>
        <v/>
      </c>
      <c r="AT112" s="238">
        <f>IF(ABS(AT73)&gt;0,IF(AT73&gt;0.001,AT73,_xlfn.MINIFS(AT$58:AT$92,AT$58:AT$92,"&gt;0")/3),0)</f>
        <v/>
      </c>
      <c r="AU112" s="238">
        <f>IF(ABS(AU73)&gt;0,IF(AU73&gt;0.001,AU73,_xlfn.MINIFS(AU$58:AU$92,AU$58:AU$92,"&gt;0")/3),0)</f>
        <v/>
      </c>
      <c r="AV112" s="238">
        <f>IF(ABS(AV73)&gt;0,IF(AV73&gt;0.001,AV73,_xlfn.MINIFS(AV$58:AV$92,AV$58:AV$92,"&gt;0")/3),0)</f>
        <v/>
      </c>
      <c r="AW112" s="238">
        <f>IF(ABS(AW73)&gt;0,IF(AW73&gt;0.001,AW73,_xlfn.MINIFS(AW$58:AW$92,AW$58:AW$92,"&gt;0")/3),0)</f>
        <v/>
      </c>
      <c r="AX112" s="238">
        <f>IF(ABS(AX73)&gt;0,IF(AX73&gt;0.001,AX73,_xlfn.MINIFS(AX$58:AX$92,AX$58:AX$92,"&gt;0")/3),0)</f>
        <v/>
      </c>
      <c r="AY112" s="238">
        <f>IF(ABS(AY73)&gt;0,IF(AY73&gt;0.001,AY73,_xlfn.MINIFS(AY$58:AY$92,AY$58:AY$92,"&gt;0")/3),0)</f>
        <v/>
      </c>
      <c r="AZ112" s="238">
        <f>IF(ABS(AZ73)&gt;0,IF(AZ73&gt;0.001,AZ73,_xlfn.MINIFS(AZ$58:AZ$92,AZ$58:AZ$92,"&gt;0")/3),0)</f>
        <v/>
      </c>
      <c r="BA112" s="238">
        <f>IF(ABS(BA73)&gt;0,IF(BA73&gt;0.001,BA73,_xlfn.MINIFS(BA$58:BA$92,BA$58:BA$92,"&gt;0")/3),0)</f>
        <v/>
      </c>
      <c r="BB112" s="238">
        <f>IF(ABS(BB73)&gt;0,IF(BB73&gt;0.001,BB73,_xlfn.MINIFS(BB$58:BB$92,BB$58:BB$92,"&gt;0")/3),0)</f>
        <v/>
      </c>
    </row>
    <row r="113">
      <c r="C113" s="1" t="n"/>
      <c r="D113" s="237">
        <f>D74</f>
        <v/>
      </c>
      <c r="E113" s="238">
        <f>IF(ABS(E74)&gt;0,IF(E74&gt;0.001,E74,_xlfn.MINIFS(E$58:E$92,E$58:E$92,"&gt;0")/3),0)</f>
        <v/>
      </c>
      <c r="F113" s="238">
        <f>IF(ABS(F74)&gt;0,IF(F74&gt;0.001,F74,_xlfn.MINIFS(F$58:F$92,F$58:F$92,"&gt;0")/3),0)</f>
        <v/>
      </c>
      <c r="G113" s="238">
        <f>IF(ABS(G74)&gt;0,IF(G74&gt;0.001,G74,_xlfn.MINIFS(G$58:G$92,G$58:G$92,"&gt;0")/3),0)</f>
        <v/>
      </c>
      <c r="H113" s="238">
        <f>IF(ABS(H74)&gt;0,IF(H74&gt;0.001,H74,_xlfn.MINIFS(H$58:H$92,H$58:H$92,"&gt;0")/3),0)</f>
        <v/>
      </c>
      <c r="I113" s="238">
        <f>IF(ABS(I74)&gt;0,IF(I74&gt;0.001,I74,_xlfn.MINIFS(I$58:I$92,I$58:I$92,"&gt;0")/3),0)</f>
        <v/>
      </c>
      <c r="J113" s="238">
        <f>IF(ABS(J74)&gt;0,IF(J74&gt;0.001,J74,_xlfn.MINIFS(J$58:J$92,J$58:J$92,"&gt;0")/3),0)</f>
        <v/>
      </c>
      <c r="K113" s="238">
        <f>IF(ABS(K74)&gt;0,IF(K74&gt;0.001,K74,_xlfn.MINIFS(K$58:K$92,K$58:K$92,"&gt;0")/3),0)</f>
        <v/>
      </c>
      <c r="L113" s="238">
        <f>IF(ABS(L74)&gt;0,IF(L74&gt;0.001,L74,_xlfn.MINIFS(L$58:L$92,L$58:L$92,"&gt;0")/3),0)</f>
        <v/>
      </c>
      <c r="M113" s="238">
        <f>IF(ABS(M74)&gt;0,IF(M74&gt;0.001,M74,_xlfn.MINIFS(M$58:M$92,M$58:M$92,"&gt;0")/3),0)</f>
        <v/>
      </c>
      <c r="N113" s="238">
        <f>IF(ABS(N74)&gt;0,IF(N74&gt;0.001,N74,_xlfn.MINIFS(N$58:N$92,N$58:N$92,"&gt;0")/3),0)</f>
        <v/>
      </c>
      <c r="O113" s="238">
        <f>IF(ABS(O74)&gt;0,IF(O74&gt;0.001,O74,_xlfn.MINIFS(O$58:O$92,O$58:O$92,"&gt;0")/3),0)</f>
        <v/>
      </c>
      <c r="P113" s="238">
        <f>IF(ABS(P74)&gt;0,IF(P74&gt;0.001,P74,_xlfn.MINIFS(P$58:P$92,P$58:P$92,"&gt;0")/3),0)</f>
        <v/>
      </c>
      <c r="Q113" s="238">
        <f>IF(ABS(Q74)&gt;0,IF(Q74&gt;0.001,Q74,_xlfn.MINIFS(Q$58:Q$92,Q$58:Q$92,"&gt;0")/3),0)</f>
        <v/>
      </c>
      <c r="R113" s="238">
        <f>IF(ABS(R74)&gt;0,IF(R74&gt;0.001,R74,_xlfn.MINIFS(R$58:R$92,R$58:R$92,"&gt;0")/3),0)</f>
        <v/>
      </c>
      <c r="S113" s="238">
        <f>IF(ABS(S74)&gt;0,IF(S74&gt;0.001,S74,_xlfn.MINIFS(S$58:S$92,S$58:S$92,"&gt;0")/3),0)</f>
        <v/>
      </c>
      <c r="T113" s="238">
        <f>IF(ABS(T74)&gt;0,IF(T74&gt;0.001,T74,_xlfn.MINIFS(T$58:T$92,T$58:T$92,"&gt;0")/3),0)</f>
        <v/>
      </c>
      <c r="U113" s="238">
        <f>IF(ABS(U74)&gt;0,IF(U74&gt;0.001,U74,_xlfn.MINIFS(U$58:U$92,U$58:U$92,"&gt;0")/3),0)</f>
        <v/>
      </c>
      <c r="V113" s="238">
        <f>IF(ABS(V74)&gt;0,IF(V74&gt;0.001,V74,_xlfn.MINIFS(V$58:V$92,V$58:V$92,"&gt;0")/3),0)</f>
        <v/>
      </c>
      <c r="W113" s="238">
        <f>IF(ABS(W74)&gt;0,IF(W74&gt;0.001,W74,_xlfn.MINIFS(W$58:W$92,W$58:W$92,"&gt;0")/3),0)</f>
        <v/>
      </c>
      <c r="X113" s="238">
        <f>IF(ABS(X74)&gt;0,IF(X74&gt;0.001,X74,_xlfn.MINIFS(X$58:X$92,X$58:X$92,"&gt;0")/3),0)</f>
        <v/>
      </c>
      <c r="Y113" s="238">
        <f>IF(ABS(Y74)&gt;0,IF(Y74&gt;0.001,Y74,_xlfn.MINIFS(Y$58:Y$92,Y$58:Y$92,"&gt;0")/3),0)</f>
        <v/>
      </c>
      <c r="Z113" s="238">
        <f>IF(ABS(Z74)&gt;0,IF(Z74&gt;0.001,Z74,_xlfn.MINIFS(Z$58:Z$92,Z$58:Z$92,"&gt;0")/3),0)</f>
        <v/>
      </c>
      <c r="AA113" s="238">
        <f>IF(ABS(AA74)&gt;0,IF(AA74&gt;0.001,AA74,_xlfn.MINIFS(AA$58:AA$92,AA$58:AA$92,"&gt;0")/3),0)</f>
        <v/>
      </c>
      <c r="AB113" s="238">
        <f>IF(ABS(AB74)&gt;0,IF(AB74&gt;0.001,AB74,_xlfn.MINIFS(AB$58:AB$92,AB$58:AB$92,"&gt;0")/3),0)</f>
        <v/>
      </c>
      <c r="AC113" s="238">
        <f>IF(ABS(AC74)&gt;0,IF(AC74&gt;0.001,AC74,_xlfn.MINIFS(AC$58:AC$92,AC$58:AC$92,"&gt;0")/3),0)</f>
        <v/>
      </c>
      <c r="AD113" s="238">
        <f>IF(ABS(AD74)&gt;0,IF(AD74&gt;0.001,AD74,_xlfn.MINIFS(AD$58:AD$92,AD$58:AD$92,"&gt;0")/3),0)</f>
        <v/>
      </c>
      <c r="AE113" s="238">
        <f>IF(ABS(AE74)&gt;0,IF(AE74&gt;0.001,AE74,_xlfn.MINIFS(AE$58:AE$92,AE$58:AE$92,"&gt;0")/3),0)</f>
        <v/>
      </c>
      <c r="AF113" s="238">
        <f>IF(ABS(AF74)&gt;0,IF(AF74&gt;0.001,AF74,_xlfn.MINIFS(AF$58:AF$92,AF$58:AF$92,"&gt;0")/3),0)</f>
        <v/>
      </c>
      <c r="AG113" s="238">
        <f>IF(ABS(AG74)&gt;0,IF(AG74&gt;0.001,AG74,_xlfn.MINIFS(AG$58:AG$92,AG$58:AG$92,"&gt;0")/3),0)</f>
        <v/>
      </c>
      <c r="AH113" s="238">
        <f>IF(ABS(AH74)&gt;0,IF(AH74&gt;0.001,AH74,_xlfn.MINIFS(AH$58:AH$92,AH$58:AH$92,"&gt;0")/3),0)</f>
        <v/>
      </c>
      <c r="AI113" s="238">
        <f>IF(ABS(AI74)&gt;0,IF(AI74&gt;0.001,AI74,_xlfn.MINIFS(AI$58:AI$92,AI$58:AI$92,"&gt;0")/3),0)</f>
        <v/>
      </c>
      <c r="AJ113" s="238">
        <f>IF(ABS(AJ74)&gt;0,IF(AJ74&gt;0.001,AJ74,_xlfn.MINIFS(AJ$58:AJ$92,AJ$58:AJ$92,"&gt;0")/3),0)</f>
        <v/>
      </c>
      <c r="AK113" s="238">
        <f>IF(ABS(AK74)&gt;0,IF(AK74&gt;0.001,AK74,_xlfn.MINIFS(AK$58:AK$92,AK$58:AK$92,"&gt;0")/3),0)</f>
        <v/>
      </c>
      <c r="AL113" s="238">
        <f>IF(ABS(AL74)&gt;0,IF(AL74&gt;0.001,AL74,_xlfn.MINIFS(AL$58:AL$92,AL$58:AL$92,"&gt;0")/3),0)</f>
        <v/>
      </c>
      <c r="AM113" s="238">
        <f>IF(ABS(AM74)&gt;0,IF(AM74&gt;0.001,AM74,_xlfn.MINIFS(AM$58:AM$92,AM$58:AM$92,"&gt;0")/3),0)</f>
        <v/>
      </c>
      <c r="AN113" s="238">
        <f>IF(ABS(AN74)&gt;0,IF(AN74&gt;0.001,AN74,_xlfn.MINIFS(AN$58:AN$92,AN$58:AN$92,"&gt;0")/3),0)</f>
        <v/>
      </c>
      <c r="AO113" s="238">
        <f>IF(ABS(AO74)&gt;0,IF(AO74&gt;0.001,AO74,_xlfn.MINIFS(AO$58:AO$92,AO$58:AO$92,"&gt;0")/3),0)</f>
        <v/>
      </c>
      <c r="AP113" s="238">
        <f>IF(ABS(AP74)&gt;0,IF(AP74&gt;0.001,AP74,_xlfn.MINIFS(AP$58:AP$92,AP$58:AP$92,"&gt;0")/3),0)</f>
        <v/>
      </c>
      <c r="AQ113" s="238">
        <f>IF(ABS(AQ74)&gt;0,IF(AQ74&gt;0.001,AQ74,_xlfn.MINIFS(AQ$58:AQ$92,AQ$58:AQ$92,"&gt;0")/3),0)</f>
        <v/>
      </c>
      <c r="AR113" s="238">
        <f>IF(ABS(AR74)&gt;0,IF(AR74&gt;0.001,AR74,_xlfn.MINIFS(AR$58:AR$92,AR$58:AR$92,"&gt;0")/3),0)</f>
        <v/>
      </c>
      <c r="AS113" s="238">
        <f>IF(ABS(AS74)&gt;0,IF(AS74&gt;0.001,AS74,_xlfn.MINIFS(AS$58:AS$92,AS$58:AS$92,"&gt;0")/3),0)</f>
        <v/>
      </c>
      <c r="AT113" s="238">
        <f>IF(ABS(AT74)&gt;0,IF(AT74&gt;0.001,AT74,_xlfn.MINIFS(AT$58:AT$92,AT$58:AT$92,"&gt;0")/3),0)</f>
        <v/>
      </c>
      <c r="AU113" s="238">
        <f>IF(ABS(AU74)&gt;0,IF(AU74&gt;0.001,AU74,_xlfn.MINIFS(AU$58:AU$92,AU$58:AU$92,"&gt;0")/3),0)</f>
        <v/>
      </c>
      <c r="AV113" s="238">
        <f>IF(ABS(AV74)&gt;0,IF(AV74&gt;0.001,AV74,_xlfn.MINIFS(AV$58:AV$92,AV$58:AV$92,"&gt;0")/3),0)</f>
        <v/>
      </c>
      <c r="AW113" s="238">
        <f>IF(ABS(AW74)&gt;0,IF(AW74&gt;0.001,AW74,_xlfn.MINIFS(AW$58:AW$92,AW$58:AW$92,"&gt;0")/3),0)</f>
        <v/>
      </c>
      <c r="AX113" s="238">
        <f>IF(ABS(AX74)&gt;0,IF(AX74&gt;0.001,AX74,_xlfn.MINIFS(AX$58:AX$92,AX$58:AX$92,"&gt;0")/3),0)</f>
        <v/>
      </c>
      <c r="AY113" s="238">
        <f>IF(ABS(AY74)&gt;0,IF(AY74&gt;0.001,AY74,_xlfn.MINIFS(AY$58:AY$92,AY$58:AY$92,"&gt;0")/3),0)</f>
        <v/>
      </c>
      <c r="AZ113" s="238">
        <f>IF(ABS(AZ74)&gt;0,IF(AZ74&gt;0.001,AZ74,_xlfn.MINIFS(AZ$58:AZ$92,AZ$58:AZ$92,"&gt;0")/3),0)</f>
        <v/>
      </c>
      <c r="BA113" s="238">
        <f>IF(ABS(BA74)&gt;0,IF(BA74&gt;0.001,BA74,_xlfn.MINIFS(BA$58:BA$92,BA$58:BA$92,"&gt;0")/3),0)</f>
        <v/>
      </c>
      <c r="BB113" s="238">
        <f>IF(ABS(BB74)&gt;0,IF(BB74&gt;0.001,BB74,_xlfn.MINIFS(BB$58:BB$92,BB$58:BB$92,"&gt;0")/3),0)</f>
        <v/>
      </c>
    </row>
    <row r="114">
      <c r="C114" s="1" t="n"/>
      <c r="D114" s="237">
        <f>D75</f>
        <v/>
      </c>
      <c r="E114" s="238">
        <f>IF(ABS(E75)&gt;0,IF(E75&gt;0.001,E75,_xlfn.MINIFS(E$58:E$92,E$58:E$92,"&gt;0")/3),0)</f>
        <v/>
      </c>
      <c r="F114" s="238">
        <f>IF(ABS(F75)&gt;0,IF(F75&gt;0.001,F75,_xlfn.MINIFS(F$58:F$92,F$58:F$92,"&gt;0")/3),0)</f>
        <v/>
      </c>
      <c r="G114" s="238">
        <f>IF(ABS(G75)&gt;0,IF(G75&gt;0.001,G75,_xlfn.MINIFS(G$58:G$92,G$58:G$92,"&gt;0")/3),0)</f>
        <v/>
      </c>
      <c r="H114" s="238">
        <f>IF(ABS(H75)&gt;0,IF(H75&gt;0.001,H75,_xlfn.MINIFS(H$58:H$92,H$58:H$92,"&gt;0")/3),0)</f>
        <v/>
      </c>
      <c r="I114" s="238">
        <f>IF(ABS(I75)&gt;0,IF(I75&gt;0.001,I75,_xlfn.MINIFS(I$58:I$92,I$58:I$92,"&gt;0")/3),0)</f>
        <v/>
      </c>
      <c r="J114" s="238">
        <f>IF(ABS(J75)&gt;0,IF(J75&gt;0.001,J75,_xlfn.MINIFS(J$58:J$92,J$58:J$92,"&gt;0")/3),0)</f>
        <v/>
      </c>
      <c r="K114" s="238">
        <f>IF(ABS(K75)&gt;0,IF(K75&gt;0.001,K75,_xlfn.MINIFS(K$58:K$92,K$58:K$92,"&gt;0")/3),0)</f>
        <v/>
      </c>
      <c r="L114" s="238">
        <f>IF(ABS(L75)&gt;0,IF(L75&gt;0.001,L75,_xlfn.MINIFS(L$58:L$92,L$58:L$92,"&gt;0")/3),0)</f>
        <v/>
      </c>
      <c r="M114" s="238">
        <f>IF(ABS(M75)&gt;0,IF(M75&gt;0.001,M75,_xlfn.MINIFS(M$58:M$92,M$58:M$92,"&gt;0")/3),0)</f>
        <v/>
      </c>
      <c r="N114" s="238">
        <f>IF(ABS(N75)&gt;0,IF(N75&gt;0.001,N75,_xlfn.MINIFS(N$58:N$92,N$58:N$92,"&gt;0")/3),0)</f>
        <v/>
      </c>
      <c r="O114" s="238">
        <f>IF(ABS(O75)&gt;0,IF(O75&gt;0.001,O75,_xlfn.MINIFS(O$58:O$92,O$58:O$92,"&gt;0")/3),0)</f>
        <v/>
      </c>
      <c r="P114" s="238">
        <f>IF(ABS(P75)&gt;0,IF(P75&gt;0.001,P75,_xlfn.MINIFS(P$58:P$92,P$58:P$92,"&gt;0")/3),0)</f>
        <v/>
      </c>
      <c r="Q114" s="238">
        <f>IF(ABS(Q75)&gt;0,IF(Q75&gt;0.001,Q75,_xlfn.MINIFS(Q$58:Q$92,Q$58:Q$92,"&gt;0")/3),0)</f>
        <v/>
      </c>
      <c r="R114" s="238">
        <f>IF(ABS(R75)&gt;0,IF(R75&gt;0.001,R75,_xlfn.MINIFS(R$58:R$92,R$58:R$92,"&gt;0")/3),0)</f>
        <v/>
      </c>
      <c r="S114" s="238">
        <f>IF(ABS(S75)&gt;0,IF(S75&gt;0.001,S75,_xlfn.MINIFS(S$58:S$92,S$58:S$92,"&gt;0")/3),0)</f>
        <v/>
      </c>
      <c r="T114" s="238">
        <f>IF(ABS(T75)&gt;0,IF(T75&gt;0.001,T75,_xlfn.MINIFS(T$58:T$92,T$58:T$92,"&gt;0")/3),0)</f>
        <v/>
      </c>
      <c r="U114" s="238">
        <f>IF(ABS(U75)&gt;0,IF(U75&gt;0.001,U75,_xlfn.MINIFS(U$58:U$92,U$58:U$92,"&gt;0")/3),0)</f>
        <v/>
      </c>
      <c r="V114" s="238">
        <f>IF(ABS(V75)&gt;0,IF(V75&gt;0.001,V75,_xlfn.MINIFS(V$58:V$92,V$58:V$92,"&gt;0")/3),0)</f>
        <v/>
      </c>
      <c r="W114" s="238">
        <f>IF(ABS(W75)&gt;0,IF(W75&gt;0.001,W75,_xlfn.MINIFS(W$58:W$92,W$58:W$92,"&gt;0")/3),0)</f>
        <v/>
      </c>
      <c r="X114" s="238">
        <f>IF(ABS(X75)&gt;0,IF(X75&gt;0.001,X75,_xlfn.MINIFS(X$58:X$92,X$58:X$92,"&gt;0")/3),0)</f>
        <v/>
      </c>
      <c r="Y114" s="238">
        <f>IF(ABS(Y75)&gt;0,IF(Y75&gt;0.001,Y75,_xlfn.MINIFS(Y$58:Y$92,Y$58:Y$92,"&gt;0")/3),0)</f>
        <v/>
      </c>
      <c r="Z114" s="238">
        <f>IF(ABS(Z75)&gt;0,IF(Z75&gt;0.001,Z75,_xlfn.MINIFS(Z$58:Z$92,Z$58:Z$92,"&gt;0")/3),0)</f>
        <v/>
      </c>
      <c r="AA114" s="238">
        <f>IF(ABS(AA75)&gt;0,IF(AA75&gt;0.001,AA75,_xlfn.MINIFS(AA$58:AA$92,AA$58:AA$92,"&gt;0")/3),0)</f>
        <v/>
      </c>
      <c r="AB114" s="238">
        <f>IF(ABS(AB75)&gt;0,IF(AB75&gt;0.001,AB75,_xlfn.MINIFS(AB$58:AB$92,AB$58:AB$92,"&gt;0")/3),0)</f>
        <v/>
      </c>
      <c r="AC114" s="238">
        <f>IF(ABS(AC75)&gt;0,IF(AC75&gt;0.001,AC75,_xlfn.MINIFS(AC$58:AC$92,AC$58:AC$92,"&gt;0")/3),0)</f>
        <v/>
      </c>
      <c r="AD114" s="238">
        <f>IF(ABS(AD75)&gt;0,IF(AD75&gt;0.001,AD75,_xlfn.MINIFS(AD$58:AD$92,AD$58:AD$92,"&gt;0")/3),0)</f>
        <v/>
      </c>
      <c r="AE114" s="238">
        <f>IF(ABS(AE75)&gt;0,IF(AE75&gt;0.001,AE75,_xlfn.MINIFS(AE$58:AE$92,AE$58:AE$92,"&gt;0")/3),0)</f>
        <v/>
      </c>
      <c r="AF114" s="238">
        <f>IF(ABS(AF75)&gt;0,IF(AF75&gt;0.001,AF75,_xlfn.MINIFS(AF$58:AF$92,AF$58:AF$92,"&gt;0")/3),0)</f>
        <v/>
      </c>
      <c r="AG114" s="238">
        <f>IF(ABS(AG75)&gt;0,IF(AG75&gt;0.001,AG75,_xlfn.MINIFS(AG$58:AG$92,AG$58:AG$92,"&gt;0")/3),0)</f>
        <v/>
      </c>
      <c r="AH114" s="238">
        <f>IF(ABS(AH75)&gt;0,IF(AH75&gt;0.001,AH75,_xlfn.MINIFS(AH$58:AH$92,AH$58:AH$92,"&gt;0")/3),0)</f>
        <v/>
      </c>
      <c r="AI114" s="238">
        <f>IF(ABS(AI75)&gt;0,IF(AI75&gt;0.001,AI75,_xlfn.MINIFS(AI$58:AI$92,AI$58:AI$92,"&gt;0")/3),0)</f>
        <v/>
      </c>
      <c r="AJ114" s="238">
        <f>IF(ABS(AJ75)&gt;0,IF(AJ75&gt;0.001,AJ75,_xlfn.MINIFS(AJ$58:AJ$92,AJ$58:AJ$92,"&gt;0")/3),0)</f>
        <v/>
      </c>
      <c r="AK114" s="238">
        <f>IF(ABS(AK75)&gt;0,IF(AK75&gt;0.001,AK75,_xlfn.MINIFS(AK$58:AK$92,AK$58:AK$92,"&gt;0")/3),0)</f>
        <v/>
      </c>
      <c r="AL114" s="238">
        <f>IF(ABS(AL75)&gt;0,IF(AL75&gt;0.001,AL75,_xlfn.MINIFS(AL$58:AL$92,AL$58:AL$92,"&gt;0")/3),0)</f>
        <v/>
      </c>
      <c r="AM114" s="238">
        <f>IF(ABS(AM75)&gt;0,IF(AM75&gt;0.001,AM75,_xlfn.MINIFS(AM$58:AM$92,AM$58:AM$92,"&gt;0")/3),0)</f>
        <v/>
      </c>
      <c r="AN114" s="238">
        <f>IF(ABS(AN75)&gt;0,IF(AN75&gt;0.001,AN75,_xlfn.MINIFS(AN$58:AN$92,AN$58:AN$92,"&gt;0")/3),0)</f>
        <v/>
      </c>
      <c r="AO114" s="238">
        <f>IF(ABS(AO75)&gt;0,IF(AO75&gt;0.001,AO75,_xlfn.MINIFS(AO$58:AO$92,AO$58:AO$92,"&gt;0")/3),0)</f>
        <v/>
      </c>
      <c r="AP114" s="238">
        <f>IF(ABS(AP75)&gt;0,IF(AP75&gt;0.001,AP75,_xlfn.MINIFS(AP$58:AP$92,AP$58:AP$92,"&gt;0")/3),0)</f>
        <v/>
      </c>
      <c r="AQ114" s="238">
        <f>IF(ABS(AQ75)&gt;0,IF(AQ75&gt;0.001,AQ75,_xlfn.MINIFS(AQ$58:AQ$92,AQ$58:AQ$92,"&gt;0")/3),0)</f>
        <v/>
      </c>
      <c r="AR114" s="238">
        <f>IF(ABS(AR75)&gt;0,IF(AR75&gt;0.001,AR75,_xlfn.MINIFS(AR$58:AR$92,AR$58:AR$92,"&gt;0")/3),0)</f>
        <v/>
      </c>
      <c r="AS114" s="238">
        <f>IF(ABS(AS75)&gt;0,IF(AS75&gt;0.001,AS75,_xlfn.MINIFS(AS$58:AS$92,AS$58:AS$92,"&gt;0")/3),0)</f>
        <v/>
      </c>
      <c r="AT114" s="238">
        <f>IF(ABS(AT75)&gt;0,IF(AT75&gt;0.001,AT75,_xlfn.MINIFS(AT$58:AT$92,AT$58:AT$92,"&gt;0")/3),0)</f>
        <v/>
      </c>
      <c r="AU114" s="238">
        <f>IF(ABS(AU75)&gt;0,IF(AU75&gt;0.001,AU75,_xlfn.MINIFS(AU$58:AU$92,AU$58:AU$92,"&gt;0")/3),0)</f>
        <v/>
      </c>
      <c r="AV114" s="238">
        <f>IF(ABS(AV75)&gt;0,IF(AV75&gt;0.001,AV75,_xlfn.MINIFS(AV$58:AV$92,AV$58:AV$92,"&gt;0")/3),0)</f>
        <v/>
      </c>
      <c r="AW114" s="238">
        <f>IF(ABS(AW75)&gt;0,IF(AW75&gt;0.001,AW75,_xlfn.MINIFS(AW$58:AW$92,AW$58:AW$92,"&gt;0")/3),0)</f>
        <v/>
      </c>
      <c r="AX114" s="238">
        <f>IF(ABS(AX75)&gt;0,IF(AX75&gt;0.001,AX75,_xlfn.MINIFS(AX$58:AX$92,AX$58:AX$92,"&gt;0")/3),0)</f>
        <v/>
      </c>
      <c r="AY114" s="238">
        <f>IF(ABS(AY75)&gt;0,IF(AY75&gt;0.001,AY75,_xlfn.MINIFS(AY$58:AY$92,AY$58:AY$92,"&gt;0")/3),0)</f>
        <v/>
      </c>
      <c r="AZ114" s="238">
        <f>IF(ABS(AZ75)&gt;0,IF(AZ75&gt;0.001,AZ75,_xlfn.MINIFS(AZ$58:AZ$92,AZ$58:AZ$92,"&gt;0")/3),0)</f>
        <v/>
      </c>
      <c r="BA114" s="238">
        <f>IF(ABS(BA75)&gt;0,IF(BA75&gt;0.001,BA75,_xlfn.MINIFS(BA$58:BA$92,BA$58:BA$92,"&gt;0")/3),0)</f>
        <v/>
      </c>
      <c r="BB114" s="238">
        <f>IF(ABS(BB75)&gt;0,IF(BB75&gt;0.001,BB75,_xlfn.MINIFS(BB$58:BB$92,BB$58:BB$92,"&gt;0")/3),0)</f>
        <v/>
      </c>
    </row>
    <row r="115">
      <c r="C115" s="1" t="n"/>
      <c r="D115" s="237">
        <f>D76</f>
        <v/>
      </c>
      <c r="E115" s="238">
        <f>IF(ABS(E76)&gt;0,IF(E76&gt;0.001,E76,_xlfn.MINIFS(E$58:E$92,E$58:E$92,"&gt;0")/3),0)</f>
        <v/>
      </c>
      <c r="F115" s="238">
        <f>IF(ABS(F76)&gt;0,IF(F76&gt;0.001,F76,_xlfn.MINIFS(F$58:F$92,F$58:F$92,"&gt;0")/3),0)</f>
        <v/>
      </c>
      <c r="G115" s="238">
        <f>IF(ABS(G76)&gt;0,IF(G76&gt;0.001,G76,_xlfn.MINIFS(G$58:G$92,G$58:G$92,"&gt;0")/3),0)</f>
        <v/>
      </c>
      <c r="H115" s="238">
        <f>IF(ABS(H76)&gt;0,IF(H76&gt;0.001,H76,_xlfn.MINIFS(H$58:H$92,H$58:H$92,"&gt;0")/3),0)</f>
        <v/>
      </c>
      <c r="I115" s="238">
        <f>IF(ABS(I76)&gt;0,IF(I76&gt;0.001,I76,_xlfn.MINIFS(I$58:I$92,I$58:I$92,"&gt;0")/3),0)</f>
        <v/>
      </c>
      <c r="J115" s="238">
        <f>IF(ABS(J76)&gt;0,IF(J76&gt;0.001,J76,_xlfn.MINIFS(J$58:J$92,J$58:J$92,"&gt;0")/3),0)</f>
        <v/>
      </c>
      <c r="K115" s="238">
        <f>IF(ABS(K76)&gt;0,IF(K76&gt;0.001,K76,_xlfn.MINIFS(K$58:K$92,K$58:K$92,"&gt;0")/3),0)</f>
        <v/>
      </c>
      <c r="L115" s="238">
        <f>IF(ABS(L76)&gt;0,IF(L76&gt;0.001,L76,_xlfn.MINIFS(L$58:L$92,L$58:L$92,"&gt;0")/3),0)</f>
        <v/>
      </c>
      <c r="M115" s="238">
        <f>IF(ABS(M76)&gt;0,IF(M76&gt;0.001,M76,_xlfn.MINIFS(M$58:M$92,M$58:M$92,"&gt;0")/3),0)</f>
        <v/>
      </c>
      <c r="N115" s="238">
        <f>IF(ABS(N76)&gt;0,IF(N76&gt;0.001,N76,_xlfn.MINIFS(N$58:N$92,N$58:N$92,"&gt;0")/3),0)</f>
        <v/>
      </c>
      <c r="O115" s="238">
        <f>IF(ABS(O76)&gt;0,IF(O76&gt;0.001,O76,_xlfn.MINIFS(O$58:O$92,O$58:O$92,"&gt;0")/3),0)</f>
        <v/>
      </c>
      <c r="P115" s="238">
        <f>IF(ABS(P76)&gt;0,IF(P76&gt;0.001,P76,_xlfn.MINIFS(P$58:P$92,P$58:P$92,"&gt;0")/3),0)</f>
        <v/>
      </c>
      <c r="Q115" s="238">
        <f>IF(ABS(Q76)&gt;0,IF(Q76&gt;0.001,Q76,_xlfn.MINIFS(Q$58:Q$92,Q$58:Q$92,"&gt;0")/3),0)</f>
        <v/>
      </c>
      <c r="R115" s="238">
        <f>IF(ABS(R76)&gt;0,IF(R76&gt;0.001,R76,_xlfn.MINIFS(R$58:R$92,R$58:R$92,"&gt;0")/3),0)</f>
        <v/>
      </c>
      <c r="S115" s="238">
        <f>IF(ABS(S76)&gt;0,IF(S76&gt;0.001,S76,_xlfn.MINIFS(S$58:S$92,S$58:S$92,"&gt;0")/3),0)</f>
        <v/>
      </c>
      <c r="T115" s="238">
        <f>IF(ABS(T76)&gt;0,IF(T76&gt;0.001,T76,_xlfn.MINIFS(T$58:T$92,T$58:T$92,"&gt;0")/3),0)</f>
        <v/>
      </c>
      <c r="U115" s="238">
        <f>IF(ABS(U76)&gt;0,IF(U76&gt;0.001,U76,_xlfn.MINIFS(U$58:U$92,U$58:U$92,"&gt;0")/3),0)</f>
        <v/>
      </c>
      <c r="V115" s="238">
        <f>IF(ABS(V76)&gt;0,IF(V76&gt;0.001,V76,_xlfn.MINIFS(V$58:V$92,V$58:V$92,"&gt;0")/3),0)</f>
        <v/>
      </c>
      <c r="W115" s="238">
        <f>IF(ABS(W76)&gt;0,IF(W76&gt;0.001,W76,_xlfn.MINIFS(W$58:W$92,W$58:W$92,"&gt;0")/3),0)</f>
        <v/>
      </c>
      <c r="X115" s="238">
        <f>IF(ABS(X76)&gt;0,IF(X76&gt;0.001,X76,_xlfn.MINIFS(X$58:X$92,X$58:X$92,"&gt;0")/3),0)</f>
        <v/>
      </c>
      <c r="Y115" s="238">
        <f>IF(ABS(Y76)&gt;0,IF(Y76&gt;0.001,Y76,_xlfn.MINIFS(Y$58:Y$92,Y$58:Y$92,"&gt;0")/3),0)</f>
        <v/>
      </c>
      <c r="Z115" s="238">
        <f>IF(ABS(Z76)&gt;0,IF(Z76&gt;0.001,Z76,_xlfn.MINIFS(Z$58:Z$92,Z$58:Z$92,"&gt;0")/3),0)</f>
        <v/>
      </c>
      <c r="AA115" s="238">
        <f>IF(ABS(AA76)&gt;0,IF(AA76&gt;0.001,AA76,_xlfn.MINIFS(AA$58:AA$92,AA$58:AA$92,"&gt;0")/3),0)</f>
        <v/>
      </c>
      <c r="AB115" s="238">
        <f>IF(ABS(AB76)&gt;0,IF(AB76&gt;0.001,AB76,_xlfn.MINIFS(AB$58:AB$92,AB$58:AB$92,"&gt;0")/3),0)</f>
        <v/>
      </c>
      <c r="AC115" s="238">
        <f>IF(ABS(AC76)&gt;0,IF(AC76&gt;0.001,AC76,_xlfn.MINIFS(AC$58:AC$92,AC$58:AC$92,"&gt;0")/3),0)</f>
        <v/>
      </c>
      <c r="AD115" s="238">
        <f>IF(ABS(AD76)&gt;0,IF(AD76&gt;0.001,AD76,_xlfn.MINIFS(AD$58:AD$92,AD$58:AD$92,"&gt;0")/3),0)</f>
        <v/>
      </c>
      <c r="AE115" s="238">
        <f>IF(ABS(AE76)&gt;0,IF(AE76&gt;0.001,AE76,_xlfn.MINIFS(AE$58:AE$92,AE$58:AE$92,"&gt;0")/3),0)</f>
        <v/>
      </c>
      <c r="AF115" s="238">
        <f>IF(ABS(AF76)&gt;0,IF(AF76&gt;0.001,AF76,_xlfn.MINIFS(AF$58:AF$92,AF$58:AF$92,"&gt;0")/3),0)</f>
        <v/>
      </c>
      <c r="AG115" s="238">
        <f>IF(ABS(AG76)&gt;0,IF(AG76&gt;0.001,AG76,_xlfn.MINIFS(AG$58:AG$92,AG$58:AG$92,"&gt;0")/3),0)</f>
        <v/>
      </c>
      <c r="AH115" s="238">
        <f>IF(ABS(AH76)&gt;0,IF(AH76&gt;0.001,AH76,_xlfn.MINIFS(AH$58:AH$92,AH$58:AH$92,"&gt;0")/3),0)</f>
        <v/>
      </c>
      <c r="AI115" s="238">
        <f>IF(ABS(AI76)&gt;0,IF(AI76&gt;0.001,AI76,_xlfn.MINIFS(AI$58:AI$92,AI$58:AI$92,"&gt;0")/3),0)</f>
        <v/>
      </c>
      <c r="AJ115" s="238">
        <f>IF(ABS(AJ76)&gt;0,IF(AJ76&gt;0.001,AJ76,_xlfn.MINIFS(AJ$58:AJ$92,AJ$58:AJ$92,"&gt;0")/3),0)</f>
        <v/>
      </c>
      <c r="AK115" s="238">
        <f>IF(ABS(AK76)&gt;0,IF(AK76&gt;0.001,AK76,_xlfn.MINIFS(AK$58:AK$92,AK$58:AK$92,"&gt;0")/3),0)</f>
        <v/>
      </c>
      <c r="AL115" s="238">
        <f>IF(ABS(AL76)&gt;0,IF(AL76&gt;0.001,AL76,_xlfn.MINIFS(AL$58:AL$92,AL$58:AL$92,"&gt;0")/3),0)</f>
        <v/>
      </c>
      <c r="AM115" s="238">
        <f>IF(ABS(AM76)&gt;0,IF(AM76&gt;0.001,AM76,_xlfn.MINIFS(AM$58:AM$92,AM$58:AM$92,"&gt;0")/3),0)</f>
        <v/>
      </c>
      <c r="AN115" s="238">
        <f>IF(ABS(AN76)&gt;0,IF(AN76&gt;0.001,AN76,_xlfn.MINIFS(AN$58:AN$92,AN$58:AN$92,"&gt;0")/3),0)</f>
        <v/>
      </c>
      <c r="AO115" s="238">
        <f>IF(ABS(AO76)&gt;0,IF(AO76&gt;0.001,AO76,_xlfn.MINIFS(AO$58:AO$92,AO$58:AO$92,"&gt;0")/3),0)</f>
        <v/>
      </c>
      <c r="AP115" s="238">
        <f>IF(ABS(AP76)&gt;0,IF(AP76&gt;0.001,AP76,_xlfn.MINIFS(AP$58:AP$92,AP$58:AP$92,"&gt;0")/3),0)</f>
        <v/>
      </c>
      <c r="AQ115" s="238">
        <f>IF(ABS(AQ76)&gt;0,IF(AQ76&gt;0.001,AQ76,_xlfn.MINIFS(AQ$58:AQ$92,AQ$58:AQ$92,"&gt;0")/3),0)</f>
        <v/>
      </c>
      <c r="AR115" s="238">
        <f>IF(ABS(AR76)&gt;0,IF(AR76&gt;0.001,AR76,_xlfn.MINIFS(AR$58:AR$92,AR$58:AR$92,"&gt;0")/3),0)</f>
        <v/>
      </c>
      <c r="AS115" s="238">
        <f>IF(ABS(AS76)&gt;0,IF(AS76&gt;0.001,AS76,_xlfn.MINIFS(AS$58:AS$92,AS$58:AS$92,"&gt;0")/3),0)</f>
        <v/>
      </c>
      <c r="AT115" s="238">
        <f>IF(ABS(AT76)&gt;0,IF(AT76&gt;0.001,AT76,_xlfn.MINIFS(AT$58:AT$92,AT$58:AT$92,"&gt;0")/3),0)</f>
        <v/>
      </c>
      <c r="AU115" s="238">
        <f>IF(ABS(AU76)&gt;0,IF(AU76&gt;0.001,AU76,_xlfn.MINIFS(AU$58:AU$92,AU$58:AU$92,"&gt;0")/3),0)</f>
        <v/>
      </c>
      <c r="AV115" s="238">
        <f>IF(ABS(AV76)&gt;0,IF(AV76&gt;0.001,AV76,_xlfn.MINIFS(AV$58:AV$92,AV$58:AV$92,"&gt;0")/3),0)</f>
        <v/>
      </c>
      <c r="AW115" s="238">
        <f>IF(ABS(AW76)&gt;0,IF(AW76&gt;0.001,AW76,_xlfn.MINIFS(AW$58:AW$92,AW$58:AW$92,"&gt;0")/3),0)</f>
        <v/>
      </c>
      <c r="AX115" s="238">
        <f>IF(ABS(AX76)&gt;0,IF(AX76&gt;0.001,AX76,_xlfn.MINIFS(AX$58:AX$92,AX$58:AX$92,"&gt;0")/3),0)</f>
        <v/>
      </c>
      <c r="AY115" s="238">
        <f>IF(ABS(AY76)&gt;0,IF(AY76&gt;0.001,AY76,_xlfn.MINIFS(AY$58:AY$92,AY$58:AY$92,"&gt;0")/3),0)</f>
        <v/>
      </c>
      <c r="AZ115" s="238">
        <f>IF(ABS(AZ76)&gt;0,IF(AZ76&gt;0.001,AZ76,_xlfn.MINIFS(AZ$58:AZ$92,AZ$58:AZ$92,"&gt;0")/3),0)</f>
        <v/>
      </c>
      <c r="BA115" s="238">
        <f>IF(ABS(BA76)&gt;0,IF(BA76&gt;0.001,BA76,_xlfn.MINIFS(BA$58:BA$92,BA$58:BA$92,"&gt;0")/3),0)</f>
        <v/>
      </c>
      <c r="BB115" s="238">
        <f>IF(ABS(BB76)&gt;0,IF(BB76&gt;0.001,BB76,_xlfn.MINIFS(BB$58:BB$92,BB$58:BB$92,"&gt;0")/3),0)</f>
        <v/>
      </c>
    </row>
    <row r="116">
      <c r="C116" s="1" t="n"/>
      <c r="D116" s="237">
        <f>D77</f>
        <v/>
      </c>
      <c r="E116" s="238">
        <f>IF(ABS(E77)&gt;0,IF(E77&gt;0.001,E77,_xlfn.MINIFS(E$58:E$92,E$58:E$92,"&gt;0")/3),0)</f>
        <v/>
      </c>
      <c r="F116" s="238">
        <f>IF(ABS(F77)&gt;0,IF(F77&gt;0.001,F77,_xlfn.MINIFS(F$58:F$92,F$58:F$92,"&gt;0")/3),0)</f>
        <v/>
      </c>
      <c r="G116" s="238">
        <f>IF(ABS(G77)&gt;0,IF(G77&gt;0.001,G77,_xlfn.MINIFS(G$58:G$92,G$58:G$92,"&gt;0")/3),0)</f>
        <v/>
      </c>
      <c r="H116" s="238">
        <f>IF(ABS(H77)&gt;0,IF(H77&gt;0.001,H77,_xlfn.MINIFS(H$58:H$92,H$58:H$92,"&gt;0")/3),0)</f>
        <v/>
      </c>
      <c r="I116" s="238">
        <f>IF(ABS(I77)&gt;0,IF(I77&gt;0.001,I77,_xlfn.MINIFS(I$58:I$92,I$58:I$92,"&gt;0")/3),0)</f>
        <v/>
      </c>
      <c r="J116" s="238">
        <f>IF(ABS(J77)&gt;0,IF(J77&gt;0.001,J77,_xlfn.MINIFS(J$58:J$92,J$58:J$92,"&gt;0")/3),0)</f>
        <v/>
      </c>
      <c r="K116" s="238">
        <f>IF(ABS(K77)&gt;0,IF(K77&gt;0.001,K77,_xlfn.MINIFS(K$58:K$92,K$58:K$92,"&gt;0")/3),0)</f>
        <v/>
      </c>
      <c r="L116" s="238">
        <f>IF(ABS(L77)&gt;0,IF(L77&gt;0.001,L77,_xlfn.MINIFS(L$58:L$92,L$58:L$92,"&gt;0")/3),0)</f>
        <v/>
      </c>
      <c r="M116" s="238">
        <f>IF(ABS(M77)&gt;0,IF(M77&gt;0.001,M77,_xlfn.MINIFS(M$58:M$92,M$58:M$92,"&gt;0")/3),0)</f>
        <v/>
      </c>
      <c r="N116" s="238">
        <f>IF(ABS(N77)&gt;0,IF(N77&gt;0.001,N77,_xlfn.MINIFS(N$58:N$92,N$58:N$92,"&gt;0")/3),0)</f>
        <v/>
      </c>
      <c r="O116" s="238">
        <f>IF(ABS(O77)&gt;0,IF(O77&gt;0.001,O77,_xlfn.MINIFS(O$58:O$92,O$58:O$92,"&gt;0")/3),0)</f>
        <v/>
      </c>
      <c r="P116" s="238">
        <f>IF(ABS(P77)&gt;0,IF(P77&gt;0.001,P77,_xlfn.MINIFS(P$58:P$92,P$58:P$92,"&gt;0")/3),0)</f>
        <v/>
      </c>
      <c r="Q116" s="238">
        <f>IF(ABS(Q77)&gt;0,IF(Q77&gt;0.001,Q77,_xlfn.MINIFS(Q$58:Q$92,Q$58:Q$92,"&gt;0")/3),0)</f>
        <v/>
      </c>
      <c r="R116" s="238">
        <f>IF(ABS(R77)&gt;0,IF(R77&gt;0.001,R77,_xlfn.MINIFS(R$58:R$92,R$58:R$92,"&gt;0")/3),0)</f>
        <v/>
      </c>
      <c r="S116" s="238">
        <f>IF(ABS(S77)&gt;0,IF(S77&gt;0.001,S77,_xlfn.MINIFS(S$58:S$92,S$58:S$92,"&gt;0")/3),0)</f>
        <v/>
      </c>
      <c r="T116" s="238">
        <f>IF(ABS(T77)&gt;0,IF(T77&gt;0.001,T77,_xlfn.MINIFS(T$58:T$92,T$58:T$92,"&gt;0")/3),0)</f>
        <v/>
      </c>
      <c r="U116" s="238">
        <f>IF(ABS(U77)&gt;0,IF(U77&gt;0.001,U77,_xlfn.MINIFS(U$58:U$92,U$58:U$92,"&gt;0")/3),0)</f>
        <v/>
      </c>
      <c r="V116" s="238">
        <f>IF(ABS(V77)&gt;0,IF(V77&gt;0.001,V77,_xlfn.MINIFS(V$58:V$92,V$58:V$92,"&gt;0")/3),0)</f>
        <v/>
      </c>
      <c r="W116" s="238">
        <f>IF(ABS(W77)&gt;0,IF(W77&gt;0.001,W77,_xlfn.MINIFS(W$58:W$92,W$58:W$92,"&gt;0")/3),0)</f>
        <v/>
      </c>
      <c r="X116" s="238">
        <f>IF(ABS(X77)&gt;0,IF(X77&gt;0.001,X77,_xlfn.MINIFS(X$58:X$92,X$58:X$92,"&gt;0")/3),0)</f>
        <v/>
      </c>
      <c r="Y116" s="238">
        <f>IF(ABS(Y77)&gt;0,IF(Y77&gt;0.001,Y77,_xlfn.MINIFS(Y$58:Y$92,Y$58:Y$92,"&gt;0")/3),0)</f>
        <v/>
      </c>
      <c r="Z116" s="238">
        <f>IF(ABS(Z77)&gt;0,IF(Z77&gt;0.001,Z77,_xlfn.MINIFS(Z$58:Z$92,Z$58:Z$92,"&gt;0")/3),0)</f>
        <v/>
      </c>
      <c r="AA116" s="238">
        <f>IF(ABS(AA77)&gt;0,IF(AA77&gt;0.001,AA77,_xlfn.MINIFS(AA$58:AA$92,AA$58:AA$92,"&gt;0")/3),0)</f>
        <v/>
      </c>
      <c r="AB116" s="238">
        <f>IF(ABS(AB77)&gt;0,IF(AB77&gt;0.001,AB77,_xlfn.MINIFS(AB$58:AB$92,AB$58:AB$92,"&gt;0")/3),0)</f>
        <v/>
      </c>
      <c r="AC116" s="238">
        <f>IF(ABS(AC77)&gt;0,IF(AC77&gt;0.001,AC77,_xlfn.MINIFS(AC$58:AC$92,AC$58:AC$92,"&gt;0")/3),0)</f>
        <v/>
      </c>
      <c r="AD116" s="238">
        <f>IF(ABS(AD77)&gt;0,IF(AD77&gt;0.001,AD77,_xlfn.MINIFS(AD$58:AD$92,AD$58:AD$92,"&gt;0")/3),0)</f>
        <v/>
      </c>
      <c r="AE116" s="238">
        <f>IF(ABS(AE77)&gt;0,IF(AE77&gt;0.001,AE77,_xlfn.MINIFS(AE$58:AE$92,AE$58:AE$92,"&gt;0")/3),0)</f>
        <v/>
      </c>
      <c r="AF116" s="238">
        <f>IF(ABS(AF77)&gt;0,IF(AF77&gt;0.001,AF77,_xlfn.MINIFS(AF$58:AF$92,AF$58:AF$92,"&gt;0")/3),0)</f>
        <v/>
      </c>
      <c r="AG116" s="238">
        <f>IF(ABS(AG77)&gt;0,IF(AG77&gt;0.001,AG77,_xlfn.MINIFS(AG$58:AG$92,AG$58:AG$92,"&gt;0")/3),0)</f>
        <v/>
      </c>
      <c r="AH116" s="238">
        <f>IF(ABS(AH77)&gt;0,IF(AH77&gt;0.001,AH77,_xlfn.MINIFS(AH$58:AH$92,AH$58:AH$92,"&gt;0")/3),0)</f>
        <v/>
      </c>
      <c r="AI116" s="238">
        <f>IF(ABS(AI77)&gt;0,IF(AI77&gt;0.001,AI77,_xlfn.MINIFS(AI$58:AI$92,AI$58:AI$92,"&gt;0")/3),0)</f>
        <v/>
      </c>
      <c r="AJ116" s="238">
        <f>IF(ABS(AJ77)&gt;0,IF(AJ77&gt;0.001,AJ77,_xlfn.MINIFS(AJ$58:AJ$92,AJ$58:AJ$92,"&gt;0")/3),0)</f>
        <v/>
      </c>
      <c r="AK116" s="238">
        <f>IF(ABS(AK77)&gt;0,IF(AK77&gt;0.001,AK77,_xlfn.MINIFS(AK$58:AK$92,AK$58:AK$92,"&gt;0")/3),0)</f>
        <v/>
      </c>
      <c r="AL116" s="238">
        <f>IF(ABS(AL77)&gt;0,IF(AL77&gt;0.001,AL77,_xlfn.MINIFS(AL$58:AL$92,AL$58:AL$92,"&gt;0")/3),0)</f>
        <v/>
      </c>
      <c r="AM116" s="238">
        <f>IF(ABS(AM77)&gt;0,IF(AM77&gt;0.001,AM77,_xlfn.MINIFS(AM$58:AM$92,AM$58:AM$92,"&gt;0")/3),0)</f>
        <v/>
      </c>
      <c r="AN116" s="238">
        <f>IF(ABS(AN77)&gt;0,IF(AN77&gt;0.001,AN77,_xlfn.MINIFS(AN$58:AN$92,AN$58:AN$92,"&gt;0")/3),0)</f>
        <v/>
      </c>
      <c r="AO116" s="238">
        <f>IF(ABS(AO77)&gt;0,IF(AO77&gt;0.001,AO77,_xlfn.MINIFS(AO$58:AO$92,AO$58:AO$92,"&gt;0")/3),0)</f>
        <v/>
      </c>
      <c r="AP116" s="238">
        <f>IF(ABS(AP77)&gt;0,IF(AP77&gt;0.001,AP77,_xlfn.MINIFS(AP$58:AP$92,AP$58:AP$92,"&gt;0")/3),0)</f>
        <v/>
      </c>
      <c r="AQ116" s="238">
        <f>IF(ABS(AQ77)&gt;0,IF(AQ77&gt;0.001,AQ77,_xlfn.MINIFS(AQ$58:AQ$92,AQ$58:AQ$92,"&gt;0")/3),0)</f>
        <v/>
      </c>
      <c r="AR116" s="238">
        <f>IF(ABS(AR77)&gt;0,IF(AR77&gt;0.001,AR77,_xlfn.MINIFS(AR$58:AR$92,AR$58:AR$92,"&gt;0")/3),0)</f>
        <v/>
      </c>
      <c r="AS116" s="238">
        <f>IF(ABS(AS77)&gt;0,IF(AS77&gt;0.001,AS77,_xlfn.MINIFS(AS$58:AS$92,AS$58:AS$92,"&gt;0")/3),0)</f>
        <v/>
      </c>
      <c r="AT116" s="238">
        <f>IF(ABS(AT77)&gt;0,IF(AT77&gt;0.001,AT77,_xlfn.MINIFS(AT$58:AT$92,AT$58:AT$92,"&gt;0")/3),0)</f>
        <v/>
      </c>
      <c r="AU116" s="238">
        <f>IF(ABS(AU77)&gt;0,IF(AU77&gt;0.001,AU77,_xlfn.MINIFS(AU$58:AU$92,AU$58:AU$92,"&gt;0")/3),0)</f>
        <v/>
      </c>
      <c r="AV116" s="238">
        <f>IF(ABS(AV77)&gt;0,IF(AV77&gt;0.001,AV77,_xlfn.MINIFS(AV$58:AV$92,AV$58:AV$92,"&gt;0")/3),0)</f>
        <v/>
      </c>
      <c r="AW116" s="238">
        <f>IF(ABS(AW77)&gt;0,IF(AW77&gt;0.001,AW77,_xlfn.MINIFS(AW$58:AW$92,AW$58:AW$92,"&gt;0")/3),0)</f>
        <v/>
      </c>
      <c r="AX116" s="238">
        <f>IF(ABS(AX77)&gt;0,IF(AX77&gt;0.001,AX77,_xlfn.MINIFS(AX$58:AX$92,AX$58:AX$92,"&gt;0")/3),0)</f>
        <v/>
      </c>
      <c r="AY116" s="238">
        <f>IF(ABS(AY77)&gt;0,IF(AY77&gt;0.001,AY77,_xlfn.MINIFS(AY$58:AY$92,AY$58:AY$92,"&gt;0")/3),0)</f>
        <v/>
      </c>
      <c r="AZ116" s="238">
        <f>IF(ABS(AZ77)&gt;0,IF(AZ77&gt;0.001,AZ77,_xlfn.MINIFS(AZ$58:AZ$92,AZ$58:AZ$92,"&gt;0")/3),0)</f>
        <v/>
      </c>
      <c r="BA116" s="238">
        <f>IF(ABS(BA77)&gt;0,IF(BA77&gt;0.001,BA77,_xlfn.MINIFS(BA$58:BA$92,BA$58:BA$92,"&gt;0")/3),0)</f>
        <v/>
      </c>
      <c r="BB116" s="238">
        <f>IF(ABS(BB77)&gt;0,IF(BB77&gt;0.001,BB77,_xlfn.MINIFS(BB$58:BB$92,BB$58:BB$92,"&gt;0")/3),0)</f>
        <v/>
      </c>
    </row>
    <row r="117">
      <c r="C117" s="1" t="n"/>
      <c r="D117" s="237">
        <f>D78</f>
        <v/>
      </c>
      <c r="E117" s="238">
        <f>IF(ABS(E78)&gt;0,IF(E78&gt;0.001,E78,_xlfn.MINIFS(E$58:E$92,E$58:E$92,"&gt;0")/3),0)</f>
        <v/>
      </c>
      <c r="F117" s="238">
        <f>IF(ABS(F78)&gt;0,IF(F78&gt;0.001,F78,_xlfn.MINIFS(F$58:F$92,F$58:F$92,"&gt;0")/3),0)</f>
        <v/>
      </c>
      <c r="G117" s="238">
        <f>IF(ABS(G78)&gt;0,IF(G78&gt;0.001,G78,_xlfn.MINIFS(G$58:G$92,G$58:G$92,"&gt;0")/3),0)</f>
        <v/>
      </c>
      <c r="H117" s="238">
        <f>IF(ABS(H78)&gt;0,IF(H78&gt;0.001,H78,_xlfn.MINIFS(H$58:H$92,H$58:H$92,"&gt;0")/3),0)</f>
        <v/>
      </c>
      <c r="I117" s="238">
        <f>IF(ABS(I78)&gt;0,IF(I78&gt;0.001,I78,_xlfn.MINIFS(I$58:I$92,I$58:I$92,"&gt;0")/3),0)</f>
        <v/>
      </c>
      <c r="J117" s="238">
        <f>IF(ABS(J78)&gt;0,IF(J78&gt;0.001,J78,_xlfn.MINIFS(J$58:J$92,J$58:J$92,"&gt;0")/3),0)</f>
        <v/>
      </c>
      <c r="K117" s="238">
        <f>IF(ABS(K78)&gt;0,IF(K78&gt;0.001,K78,_xlfn.MINIFS(K$58:K$92,K$58:K$92,"&gt;0")/3),0)</f>
        <v/>
      </c>
      <c r="L117" s="238">
        <f>IF(ABS(L78)&gt;0,IF(L78&gt;0.001,L78,_xlfn.MINIFS(L$58:L$92,L$58:L$92,"&gt;0")/3),0)</f>
        <v/>
      </c>
      <c r="M117" s="238">
        <f>IF(ABS(M78)&gt;0,IF(M78&gt;0.001,M78,_xlfn.MINIFS(M$58:M$92,M$58:M$92,"&gt;0")/3),0)</f>
        <v/>
      </c>
      <c r="N117" s="238">
        <f>IF(ABS(N78)&gt;0,IF(N78&gt;0.001,N78,_xlfn.MINIFS(N$58:N$92,N$58:N$92,"&gt;0")/3),0)</f>
        <v/>
      </c>
      <c r="O117" s="238">
        <f>IF(ABS(O78)&gt;0,IF(O78&gt;0.001,O78,_xlfn.MINIFS(O$58:O$92,O$58:O$92,"&gt;0")/3),0)</f>
        <v/>
      </c>
      <c r="P117" s="238">
        <f>IF(ABS(P78)&gt;0,IF(P78&gt;0.001,P78,_xlfn.MINIFS(P$58:P$92,P$58:P$92,"&gt;0")/3),0)</f>
        <v/>
      </c>
      <c r="Q117" s="238">
        <f>IF(ABS(Q78)&gt;0,IF(Q78&gt;0.001,Q78,_xlfn.MINIFS(Q$58:Q$92,Q$58:Q$92,"&gt;0")/3),0)</f>
        <v/>
      </c>
      <c r="R117" s="238">
        <f>IF(ABS(R78)&gt;0,IF(R78&gt;0.001,R78,_xlfn.MINIFS(R$58:R$92,R$58:R$92,"&gt;0")/3),0)</f>
        <v/>
      </c>
      <c r="S117" s="238">
        <f>IF(ABS(S78)&gt;0,IF(S78&gt;0.001,S78,_xlfn.MINIFS(S$58:S$92,S$58:S$92,"&gt;0")/3),0)</f>
        <v/>
      </c>
      <c r="T117" s="238">
        <f>IF(ABS(T78)&gt;0,IF(T78&gt;0.001,T78,_xlfn.MINIFS(T$58:T$92,T$58:T$92,"&gt;0")/3),0)</f>
        <v/>
      </c>
      <c r="U117" s="238">
        <f>IF(ABS(U78)&gt;0,IF(U78&gt;0.001,U78,_xlfn.MINIFS(U$58:U$92,U$58:U$92,"&gt;0")/3),0)</f>
        <v/>
      </c>
      <c r="V117" s="238">
        <f>IF(ABS(V78)&gt;0,IF(V78&gt;0.001,V78,_xlfn.MINIFS(V$58:V$92,V$58:V$92,"&gt;0")/3),0)</f>
        <v/>
      </c>
      <c r="W117" s="238">
        <f>IF(ABS(W78)&gt;0,IF(W78&gt;0.001,W78,_xlfn.MINIFS(W$58:W$92,W$58:W$92,"&gt;0")/3),0)</f>
        <v/>
      </c>
      <c r="X117" s="238">
        <f>IF(ABS(X78)&gt;0,IF(X78&gt;0.001,X78,_xlfn.MINIFS(X$58:X$92,X$58:X$92,"&gt;0")/3),0)</f>
        <v/>
      </c>
      <c r="Y117" s="238">
        <f>IF(ABS(Y78)&gt;0,IF(Y78&gt;0.001,Y78,_xlfn.MINIFS(Y$58:Y$92,Y$58:Y$92,"&gt;0")/3),0)</f>
        <v/>
      </c>
      <c r="Z117" s="238">
        <f>IF(ABS(Z78)&gt;0,IF(Z78&gt;0.001,Z78,_xlfn.MINIFS(Z$58:Z$92,Z$58:Z$92,"&gt;0")/3),0)</f>
        <v/>
      </c>
      <c r="AA117" s="238">
        <f>IF(ABS(AA78)&gt;0,IF(AA78&gt;0.001,AA78,_xlfn.MINIFS(AA$58:AA$92,AA$58:AA$92,"&gt;0")/3),0)</f>
        <v/>
      </c>
      <c r="AB117" s="238">
        <f>IF(ABS(AB78)&gt;0,IF(AB78&gt;0.001,AB78,_xlfn.MINIFS(AB$58:AB$92,AB$58:AB$92,"&gt;0")/3),0)</f>
        <v/>
      </c>
      <c r="AC117" s="238">
        <f>IF(ABS(AC78)&gt;0,IF(AC78&gt;0.001,AC78,_xlfn.MINIFS(AC$58:AC$92,AC$58:AC$92,"&gt;0")/3),0)</f>
        <v/>
      </c>
      <c r="AD117" s="238">
        <f>IF(ABS(AD78)&gt;0,IF(AD78&gt;0.001,AD78,_xlfn.MINIFS(AD$58:AD$92,AD$58:AD$92,"&gt;0")/3),0)</f>
        <v/>
      </c>
      <c r="AE117" s="238">
        <f>IF(ABS(AE78)&gt;0,IF(AE78&gt;0.001,AE78,_xlfn.MINIFS(AE$58:AE$92,AE$58:AE$92,"&gt;0")/3),0)</f>
        <v/>
      </c>
      <c r="AF117" s="238">
        <f>IF(ABS(AF78)&gt;0,IF(AF78&gt;0.001,AF78,_xlfn.MINIFS(AF$58:AF$92,AF$58:AF$92,"&gt;0")/3),0)</f>
        <v/>
      </c>
      <c r="AG117" s="238">
        <f>IF(ABS(AG78)&gt;0,IF(AG78&gt;0.001,AG78,_xlfn.MINIFS(AG$58:AG$92,AG$58:AG$92,"&gt;0")/3),0)</f>
        <v/>
      </c>
      <c r="AH117" s="238">
        <f>IF(ABS(AH78)&gt;0,IF(AH78&gt;0.001,AH78,_xlfn.MINIFS(AH$58:AH$92,AH$58:AH$92,"&gt;0")/3),0)</f>
        <v/>
      </c>
      <c r="AI117" s="238">
        <f>IF(ABS(AI78)&gt;0,IF(AI78&gt;0.001,AI78,_xlfn.MINIFS(AI$58:AI$92,AI$58:AI$92,"&gt;0")/3),0)</f>
        <v/>
      </c>
      <c r="AJ117" s="238">
        <f>IF(ABS(AJ78)&gt;0,IF(AJ78&gt;0.001,AJ78,_xlfn.MINIFS(AJ$58:AJ$92,AJ$58:AJ$92,"&gt;0")/3),0)</f>
        <v/>
      </c>
      <c r="AK117" s="238">
        <f>IF(ABS(AK78)&gt;0,IF(AK78&gt;0.001,AK78,_xlfn.MINIFS(AK$58:AK$92,AK$58:AK$92,"&gt;0")/3),0)</f>
        <v/>
      </c>
      <c r="AL117" s="238">
        <f>IF(ABS(AL78)&gt;0,IF(AL78&gt;0.001,AL78,_xlfn.MINIFS(AL$58:AL$92,AL$58:AL$92,"&gt;0")/3),0)</f>
        <v/>
      </c>
      <c r="AM117" s="238">
        <f>IF(ABS(AM78)&gt;0,IF(AM78&gt;0.001,AM78,_xlfn.MINIFS(AM$58:AM$92,AM$58:AM$92,"&gt;0")/3),0)</f>
        <v/>
      </c>
      <c r="AN117" s="238">
        <f>IF(ABS(AN78)&gt;0,IF(AN78&gt;0.001,AN78,_xlfn.MINIFS(AN$58:AN$92,AN$58:AN$92,"&gt;0")/3),0)</f>
        <v/>
      </c>
      <c r="AO117" s="238">
        <f>IF(ABS(AO78)&gt;0,IF(AO78&gt;0.001,AO78,_xlfn.MINIFS(AO$58:AO$92,AO$58:AO$92,"&gt;0")/3),0)</f>
        <v/>
      </c>
      <c r="AP117" s="238">
        <f>IF(ABS(AP78)&gt;0,IF(AP78&gt;0.001,AP78,_xlfn.MINIFS(AP$58:AP$92,AP$58:AP$92,"&gt;0")/3),0)</f>
        <v/>
      </c>
      <c r="AQ117" s="238">
        <f>IF(ABS(AQ78)&gt;0,IF(AQ78&gt;0.001,AQ78,_xlfn.MINIFS(AQ$58:AQ$92,AQ$58:AQ$92,"&gt;0")/3),0)</f>
        <v/>
      </c>
      <c r="AR117" s="238">
        <f>IF(ABS(AR78)&gt;0,IF(AR78&gt;0.001,AR78,_xlfn.MINIFS(AR$58:AR$92,AR$58:AR$92,"&gt;0")/3),0)</f>
        <v/>
      </c>
      <c r="AS117" s="238">
        <f>IF(ABS(AS78)&gt;0,IF(AS78&gt;0.001,AS78,_xlfn.MINIFS(AS$58:AS$92,AS$58:AS$92,"&gt;0")/3),0)</f>
        <v/>
      </c>
      <c r="AT117" s="238">
        <f>IF(ABS(AT78)&gt;0,IF(AT78&gt;0.001,AT78,_xlfn.MINIFS(AT$58:AT$92,AT$58:AT$92,"&gt;0")/3),0)</f>
        <v/>
      </c>
      <c r="AU117" s="238">
        <f>IF(ABS(AU78)&gt;0,IF(AU78&gt;0.001,AU78,_xlfn.MINIFS(AU$58:AU$92,AU$58:AU$92,"&gt;0")/3),0)</f>
        <v/>
      </c>
      <c r="AV117" s="238">
        <f>IF(ABS(AV78)&gt;0,IF(AV78&gt;0.001,AV78,_xlfn.MINIFS(AV$58:AV$92,AV$58:AV$92,"&gt;0")/3),0)</f>
        <v/>
      </c>
      <c r="AW117" s="238">
        <f>IF(ABS(AW78)&gt;0,IF(AW78&gt;0.001,AW78,_xlfn.MINIFS(AW$58:AW$92,AW$58:AW$92,"&gt;0")/3),0)</f>
        <v/>
      </c>
      <c r="AX117" s="238">
        <f>IF(ABS(AX78)&gt;0,IF(AX78&gt;0.001,AX78,_xlfn.MINIFS(AX$58:AX$92,AX$58:AX$92,"&gt;0")/3),0)</f>
        <v/>
      </c>
      <c r="AY117" s="238">
        <f>IF(ABS(AY78)&gt;0,IF(AY78&gt;0.001,AY78,_xlfn.MINIFS(AY$58:AY$92,AY$58:AY$92,"&gt;0")/3),0)</f>
        <v/>
      </c>
      <c r="AZ117" s="238">
        <f>IF(ABS(AZ78)&gt;0,IF(AZ78&gt;0.001,AZ78,_xlfn.MINIFS(AZ$58:AZ$92,AZ$58:AZ$92,"&gt;0")/3),0)</f>
        <v/>
      </c>
      <c r="BA117" s="238">
        <f>IF(ABS(BA78)&gt;0,IF(BA78&gt;0.001,BA78,_xlfn.MINIFS(BA$58:BA$92,BA$58:BA$92,"&gt;0")/3),0)</f>
        <v/>
      </c>
      <c r="BB117" s="238">
        <f>IF(ABS(BB78)&gt;0,IF(BB78&gt;0.001,BB78,_xlfn.MINIFS(BB$58:BB$92,BB$58:BB$92,"&gt;0")/3),0)</f>
        <v/>
      </c>
    </row>
    <row r="118">
      <c r="C118" s="1" t="n"/>
      <c r="D118" s="237">
        <f>D79</f>
        <v/>
      </c>
      <c r="E118" s="238">
        <f>IF(ABS(E79)&gt;0,IF(E79&gt;0.001,E79,_xlfn.MINIFS(E$58:E$92,E$58:E$92,"&gt;0")/3),0)</f>
        <v/>
      </c>
      <c r="F118" s="238">
        <f>IF(ABS(F79)&gt;0,IF(F79&gt;0.001,F79,_xlfn.MINIFS(F$58:F$92,F$58:F$92,"&gt;0")/3),0)</f>
        <v/>
      </c>
      <c r="G118" s="238">
        <f>IF(ABS(G79)&gt;0,IF(G79&gt;0.001,G79,_xlfn.MINIFS(G$58:G$92,G$58:G$92,"&gt;0")/3),0)</f>
        <v/>
      </c>
      <c r="H118" s="238">
        <f>IF(ABS(H79)&gt;0,IF(H79&gt;0.001,H79,_xlfn.MINIFS(H$58:H$92,H$58:H$92,"&gt;0")/3),0)</f>
        <v/>
      </c>
      <c r="I118" s="238">
        <f>IF(ABS(I79)&gt;0,IF(I79&gt;0.001,I79,_xlfn.MINIFS(I$58:I$92,I$58:I$92,"&gt;0")/3),0)</f>
        <v/>
      </c>
      <c r="J118" s="238">
        <f>IF(ABS(J79)&gt;0,IF(J79&gt;0.001,J79,_xlfn.MINIFS(J$58:J$92,J$58:J$92,"&gt;0")/3),0)</f>
        <v/>
      </c>
      <c r="K118" s="238">
        <f>IF(ABS(K79)&gt;0,IF(K79&gt;0.001,K79,_xlfn.MINIFS(K$58:K$92,K$58:K$92,"&gt;0")/3),0)</f>
        <v/>
      </c>
      <c r="L118" s="238">
        <f>IF(ABS(L79)&gt;0,IF(L79&gt;0.001,L79,_xlfn.MINIFS(L$58:L$92,L$58:L$92,"&gt;0")/3),0)</f>
        <v/>
      </c>
      <c r="M118" s="238">
        <f>IF(ABS(M79)&gt;0,IF(M79&gt;0.001,M79,_xlfn.MINIFS(M$58:M$92,M$58:M$92,"&gt;0")/3),0)</f>
        <v/>
      </c>
      <c r="N118" s="238">
        <f>IF(ABS(N79)&gt;0,IF(N79&gt;0.001,N79,_xlfn.MINIFS(N$58:N$92,N$58:N$92,"&gt;0")/3),0)</f>
        <v/>
      </c>
      <c r="O118" s="238">
        <f>IF(ABS(O79)&gt;0,IF(O79&gt;0.001,O79,_xlfn.MINIFS(O$58:O$92,O$58:O$92,"&gt;0")/3),0)</f>
        <v/>
      </c>
      <c r="P118" s="238">
        <f>IF(ABS(P79)&gt;0,IF(P79&gt;0.001,P79,_xlfn.MINIFS(P$58:P$92,P$58:P$92,"&gt;0")/3),0)</f>
        <v/>
      </c>
      <c r="Q118" s="238">
        <f>IF(ABS(Q79)&gt;0,IF(Q79&gt;0.001,Q79,_xlfn.MINIFS(Q$58:Q$92,Q$58:Q$92,"&gt;0")/3),0)</f>
        <v/>
      </c>
      <c r="R118" s="238">
        <f>IF(ABS(R79)&gt;0,IF(R79&gt;0.001,R79,_xlfn.MINIFS(R$58:R$92,R$58:R$92,"&gt;0")/3),0)</f>
        <v/>
      </c>
      <c r="S118" s="238">
        <f>IF(ABS(S79)&gt;0,IF(S79&gt;0.001,S79,_xlfn.MINIFS(S$58:S$92,S$58:S$92,"&gt;0")/3),0)</f>
        <v/>
      </c>
      <c r="T118" s="238">
        <f>IF(ABS(T79)&gt;0,IF(T79&gt;0.001,T79,_xlfn.MINIFS(T$58:T$92,T$58:T$92,"&gt;0")/3),0)</f>
        <v/>
      </c>
      <c r="U118" s="238">
        <f>IF(ABS(U79)&gt;0,IF(U79&gt;0.001,U79,_xlfn.MINIFS(U$58:U$92,U$58:U$92,"&gt;0")/3),0)</f>
        <v/>
      </c>
      <c r="V118" s="238">
        <f>IF(ABS(V79)&gt;0,IF(V79&gt;0.001,V79,_xlfn.MINIFS(V$58:V$92,V$58:V$92,"&gt;0")/3),0)</f>
        <v/>
      </c>
      <c r="W118" s="238">
        <f>IF(ABS(W79)&gt;0,IF(W79&gt;0.001,W79,_xlfn.MINIFS(W$58:W$92,W$58:W$92,"&gt;0")/3),0)</f>
        <v/>
      </c>
      <c r="X118" s="238">
        <f>IF(ABS(X79)&gt;0,IF(X79&gt;0.001,X79,_xlfn.MINIFS(X$58:X$92,X$58:X$92,"&gt;0")/3),0)</f>
        <v/>
      </c>
      <c r="Y118" s="238">
        <f>IF(ABS(Y79)&gt;0,IF(Y79&gt;0.001,Y79,_xlfn.MINIFS(Y$58:Y$92,Y$58:Y$92,"&gt;0")/3),0)</f>
        <v/>
      </c>
      <c r="Z118" s="238">
        <f>IF(ABS(Z79)&gt;0,IF(Z79&gt;0.001,Z79,_xlfn.MINIFS(Z$58:Z$92,Z$58:Z$92,"&gt;0")/3),0)</f>
        <v/>
      </c>
      <c r="AA118" s="238">
        <f>IF(ABS(AA79)&gt;0,IF(AA79&gt;0.001,AA79,_xlfn.MINIFS(AA$58:AA$92,AA$58:AA$92,"&gt;0")/3),0)</f>
        <v/>
      </c>
      <c r="AB118" s="238">
        <f>IF(ABS(AB79)&gt;0,IF(AB79&gt;0.001,AB79,_xlfn.MINIFS(AB$58:AB$92,AB$58:AB$92,"&gt;0")/3),0)</f>
        <v/>
      </c>
      <c r="AC118" s="238">
        <f>IF(ABS(AC79)&gt;0,IF(AC79&gt;0.001,AC79,_xlfn.MINIFS(AC$58:AC$92,AC$58:AC$92,"&gt;0")/3),0)</f>
        <v/>
      </c>
      <c r="AD118" s="238">
        <f>IF(ABS(AD79)&gt;0,IF(AD79&gt;0.001,AD79,_xlfn.MINIFS(AD$58:AD$92,AD$58:AD$92,"&gt;0")/3),0)</f>
        <v/>
      </c>
      <c r="AE118" s="238">
        <f>IF(ABS(AE79)&gt;0,IF(AE79&gt;0.001,AE79,_xlfn.MINIFS(AE$58:AE$92,AE$58:AE$92,"&gt;0")/3),0)</f>
        <v/>
      </c>
      <c r="AF118" s="238">
        <f>IF(ABS(AF79)&gt;0,IF(AF79&gt;0.001,AF79,_xlfn.MINIFS(AF$58:AF$92,AF$58:AF$92,"&gt;0")/3),0)</f>
        <v/>
      </c>
      <c r="AG118" s="238">
        <f>IF(ABS(AG79)&gt;0,IF(AG79&gt;0.001,AG79,_xlfn.MINIFS(AG$58:AG$92,AG$58:AG$92,"&gt;0")/3),0)</f>
        <v/>
      </c>
      <c r="AH118" s="238">
        <f>IF(ABS(AH79)&gt;0,IF(AH79&gt;0.001,AH79,_xlfn.MINIFS(AH$58:AH$92,AH$58:AH$92,"&gt;0")/3),0)</f>
        <v/>
      </c>
      <c r="AI118" s="238">
        <f>IF(ABS(AI79)&gt;0,IF(AI79&gt;0.001,AI79,_xlfn.MINIFS(AI$58:AI$92,AI$58:AI$92,"&gt;0")/3),0)</f>
        <v/>
      </c>
      <c r="AJ118" s="238">
        <f>IF(ABS(AJ79)&gt;0,IF(AJ79&gt;0.001,AJ79,_xlfn.MINIFS(AJ$58:AJ$92,AJ$58:AJ$92,"&gt;0")/3),0)</f>
        <v/>
      </c>
      <c r="AK118" s="238">
        <f>IF(ABS(AK79)&gt;0,IF(AK79&gt;0.001,AK79,_xlfn.MINIFS(AK$58:AK$92,AK$58:AK$92,"&gt;0")/3),0)</f>
        <v/>
      </c>
      <c r="AL118" s="238">
        <f>IF(ABS(AL79)&gt;0,IF(AL79&gt;0.001,AL79,_xlfn.MINIFS(AL$58:AL$92,AL$58:AL$92,"&gt;0")/3),0)</f>
        <v/>
      </c>
      <c r="AM118" s="238">
        <f>IF(ABS(AM79)&gt;0,IF(AM79&gt;0.001,AM79,_xlfn.MINIFS(AM$58:AM$92,AM$58:AM$92,"&gt;0")/3),0)</f>
        <v/>
      </c>
      <c r="AN118" s="238">
        <f>IF(ABS(AN79)&gt;0,IF(AN79&gt;0.001,AN79,_xlfn.MINIFS(AN$58:AN$92,AN$58:AN$92,"&gt;0")/3),0)</f>
        <v/>
      </c>
      <c r="AO118" s="238">
        <f>IF(ABS(AO79)&gt;0,IF(AO79&gt;0.001,AO79,_xlfn.MINIFS(AO$58:AO$92,AO$58:AO$92,"&gt;0")/3),0)</f>
        <v/>
      </c>
      <c r="AP118" s="238">
        <f>IF(ABS(AP79)&gt;0,IF(AP79&gt;0.001,AP79,_xlfn.MINIFS(AP$58:AP$92,AP$58:AP$92,"&gt;0")/3),0)</f>
        <v/>
      </c>
      <c r="AQ118" s="238">
        <f>IF(ABS(AQ79)&gt;0,IF(AQ79&gt;0.001,AQ79,_xlfn.MINIFS(AQ$58:AQ$92,AQ$58:AQ$92,"&gt;0")/3),0)</f>
        <v/>
      </c>
      <c r="AR118" s="238">
        <f>IF(ABS(AR79)&gt;0,IF(AR79&gt;0.001,AR79,_xlfn.MINIFS(AR$58:AR$92,AR$58:AR$92,"&gt;0")/3),0)</f>
        <v/>
      </c>
      <c r="AS118" s="238">
        <f>IF(ABS(AS79)&gt;0,IF(AS79&gt;0.001,AS79,_xlfn.MINIFS(AS$58:AS$92,AS$58:AS$92,"&gt;0")/3),0)</f>
        <v/>
      </c>
      <c r="AT118" s="238">
        <f>IF(ABS(AT79)&gt;0,IF(AT79&gt;0.001,AT79,_xlfn.MINIFS(AT$58:AT$92,AT$58:AT$92,"&gt;0")/3),0)</f>
        <v/>
      </c>
      <c r="AU118" s="238">
        <f>IF(ABS(AU79)&gt;0,IF(AU79&gt;0.001,AU79,_xlfn.MINIFS(AU$58:AU$92,AU$58:AU$92,"&gt;0")/3),0)</f>
        <v/>
      </c>
      <c r="AV118" s="238">
        <f>IF(ABS(AV79)&gt;0,IF(AV79&gt;0.001,AV79,_xlfn.MINIFS(AV$58:AV$92,AV$58:AV$92,"&gt;0")/3),0)</f>
        <v/>
      </c>
      <c r="AW118" s="238">
        <f>IF(ABS(AW79)&gt;0,IF(AW79&gt;0.001,AW79,_xlfn.MINIFS(AW$58:AW$92,AW$58:AW$92,"&gt;0")/3),0)</f>
        <v/>
      </c>
      <c r="AX118" s="238">
        <f>IF(ABS(AX79)&gt;0,IF(AX79&gt;0.001,AX79,_xlfn.MINIFS(AX$58:AX$92,AX$58:AX$92,"&gt;0")/3),0)</f>
        <v/>
      </c>
      <c r="AY118" s="238">
        <f>IF(ABS(AY79)&gt;0,IF(AY79&gt;0.001,AY79,_xlfn.MINIFS(AY$58:AY$92,AY$58:AY$92,"&gt;0")/3),0)</f>
        <v/>
      </c>
      <c r="AZ118" s="238">
        <f>IF(ABS(AZ79)&gt;0,IF(AZ79&gt;0.001,AZ79,_xlfn.MINIFS(AZ$58:AZ$92,AZ$58:AZ$92,"&gt;0")/3),0)</f>
        <v/>
      </c>
      <c r="BA118" s="238">
        <f>IF(ABS(BA79)&gt;0,IF(BA79&gt;0.001,BA79,_xlfn.MINIFS(BA$58:BA$92,BA$58:BA$92,"&gt;0")/3),0)</f>
        <v/>
      </c>
      <c r="BB118" s="238">
        <f>IF(ABS(BB79)&gt;0,IF(BB79&gt;0.001,BB79,_xlfn.MINIFS(BB$58:BB$92,BB$58:BB$92,"&gt;0")/3),0)</f>
        <v/>
      </c>
    </row>
    <row r="119">
      <c r="C119" s="1" t="n"/>
      <c r="D119" s="237">
        <f>D80</f>
        <v/>
      </c>
      <c r="E119" s="238">
        <f>IF(ABS(E80)&gt;0,IF(E80&gt;0.001,E80,_xlfn.MINIFS(E$58:E$92,E$58:E$92,"&gt;0")/3),0)</f>
        <v/>
      </c>
      <c r="F119" s="238">
        <f>IF(ABS(F80)&gt;0,IF(F80&gt;0.001,F80,_xlfn.MINIFS(F$58:F$92,F$58:F$92,"&gt;0")/3),0)</f>
        <v/>
      </c>
      <c r="G119" s="238">
        <f>IF(ABS(G80)&gt;0,IF(G80&gt;0.001,G80,_xlfn.MINIFS(G$58:G$92,G$58:G$92,"&gt;0")/3),0)</f>
        <v/>
      </c>
      <c r="H119" s="238">
        <f>IF(ABS(H80)&gt;0,IF(H80&gt;0.001,H80,_xlfn.MINIFS(H$58:H$92,H$58:H$92,"&gt;0")/3),0)</f>
        <v/>
      </c>
      <c r="I119" s="238">
        <f>IF(ABS(I80)&gt;0,IF(I80&gt;0.001,I80,_xlfn.MINIFS(I$58:I$92,I$58:I$92,"&gt;0")/3),0)</f>
        <v/>
      </c>
      <c r="J119" s="238">
        <f>IF(ABS(J80)&gt;0,IF(J80&gt;0.001,J80,_xlfn.MINIFS(J$58:J$92,J$58:J$92,"&gt;0")/3),0)</f>
        <v/>
      </c>
      <c r="K119" s="238">
        <f>IF(ABS(K80)&gt;0,IF(K80&gt;0.001,K80,_xlfn.MINIFS(K$58:K$92,K$58:K$92,"&gt;0")/3),0)</f>
        <v/>
      </c>
      <c r="L119" s="238">
        <f>IF(ABS(L80)&gt;0,IF(L80&gt;0.001,L80,_xlfn.MINIFS(L$58:L$92,L$58:L$92,"&gt;0")/3),0)</f>
        <v/>
      </c>
      <c r="M119" s="238">
        <f>IF(ABS(M80)&gt;0,IF(M80&gt;0.001,M80,_xlfn.MINIFS(M$58:M$92,M$58:M$92,"&gt;0")/3),0)</f>
        <v/>
      </c>
      <c r="N119" s="238">
        <f>IF(ABS(N80)&gt;0,IF(N80&gt;0.001,N80,_xlfn.MINIFS(N$58:N$92,N$58:N$92,"&gt;0")/3),0)</f>
        <v/>
      </c>
      <c r="O119" s="238">
        <f>IF(ABS(O80)&gt;0,IF(O80&gt;0.001,O80,_xlfn.MINIFS(O$58:O$92,O$58:O$92,"&gt;0")/3),0)</f>
        <v/>
      </c>
      <c r="P119" s="238">
        <f>IF(ABS(P80)&gt;0,IF(P80&gt;0.001,P80,_xlfn.MINIFS(P$58:P$92,P$58:P$92,"&gt;0")/3),0)</f>
        <v/>
      </c>
      <c r="Q119" s="238">
        <f>IF(ABS(Q80)&gt;0,IF(Q80&gt;0.001,Q80,_xlfn.MINIFS(Q$58:Q$92,Q$58:Q$92,"&gt;0")/3),0)</f>
        <v/>
      </c>
      <c r="R119" s="238">
        <f>IF(ABS(R80)&gt;0,IF(R80&gt;0.001,R80,_xlfn.MINIFS(R$58:R$92,R$58:R$92,"&gt;0")/3),0)</f>
        <v/>
      </c>
      <c r="S119" s="238">
        <f>IF(ABS(S80)&gt;0,IF(S80&gt;0.001,S80,_xlfn.MINIFS(S$58:S$92,S$58:S$92,"&gt;0")/3),0)</f>
        <v/>
      </c>
      <c r="T119" s="238">
        <f>IF(ABS(T80)&gt;0,IF(T80&gt;0.001,T80,_xlfn.MINIFS(T$58:T$92,T$58:T$92,"&gt;0")/3),0)</f>
        <v/>
      </c>
      <c r="U119" s="238">
        <f>IF(ABS(U80)&gt;0,IF(U80&gt;0.001,U80,_xlfn.MINIFS(U$58:U$92,U$58:U$92,"&gt;0")/3),0)</f>
        <v/>
      </c>
      <c r="V119" s="238">
        <f>IF(ABS(V80)&gt;0,IF(V80&gt;0.001,V80,_xlfn.MINIFS(V$58:V$92,V$58:V$92,"&gt;0")/3),0)</f>
        <v/>
      </c>
      <c r="W119" s="238">
        <f>IF(ABS(W80)&gt;0,IF(W80&gt;0.001,W80,_xlfn.MINIFS(W$58:W$92,W$58:W$92,"&gt;0")/3),0)</f>
        <v/>
      </c>
      <c r="X119" s="238">
        <f>IF(ABS(X80)&gt;0,IF(X80&gt;0.001,X80,_xlfn.MINIFS(X$58:X$92,X$58:X$92,"&gt;0")/3),0)</f>
        <v/>
      </c>
      <c r="Y119" s="238">
        <f>IF(ABS(Y80)&gt;0,IF(Y80&gt;0.001,Y80,_xlfn.MINIFS(Y$58:Y$92,Y$58:Y$92,"&gt;0")/3),0)</f>
        <v/>
      </c>
      <c r="Z119" s="238">
        <f>IF(ABS(Z80)&gt;0,IF(Z80&gt;0.001,Z80,_xlfn.MINIFS(Z$58:Z$92,Z$58:Z$92,"&gt;0")/3),0)</f>
        <v/>
      </c>
      <c r="AA119" s="238">
        <f>IF(ABS(AA80)&gt;0,IF(AA80&gt;0.001,AA80,_xlfn.MINIFS(AA$58:AA$92,AA$58:AA$92,"&gt;0")/3),0)</f>
        <v/>
      </c>
      <c r="AB119" s="238">
        <f>IF(ABS(AB80)&gt;0,IF(AB80&gt;0.001,AB80,_xlfn.MINIFS(AB$58:AB$92,AB$58:AB$92,"&gt;0")/3),0)</f>
        <v/>
      </c>
      <c r="AC119" s="238">
        <f>IF(ABS(AC80)&gt;0,IF(AC80&gt;0.001,AC80,_xlfn.MINIFS(AC$58:AC$92,AC$58:AC$92,"&gt;0")/3),0)</f>
        <v/>
      </c>
      <c r="AD119" s="238">
        <f>IF(ABS(AD80)&gt;0,IF(AD80&gt;0.001,AD80,_xlfn.MINIFS(AD$58:AD$92,AD$58:AD$92,"&gt;0")/3),0)</f>
        <v/>
      </c>
      <c r="AE119" s="238">
        <f>IF(ABS(AE80)&gt;0,IF(AE80&gt;0.001,AE80,_xlfn.MINIFS(AE$58:AE$92,AE$58:AE$92,"&gt;0")/3),0)</f>
        <v/>
      </c>
      <c r="AF119" s="238">
        <f>IF(ABS(AF80)&gt;0,IF(AF80&gt;0.001,AF80,_xlfn.MINIFS(AF$58:AF$92,AF$58:AF$92,"&gt;0")/3),0)</f>
        <v/>
      </c>
      <c r="AG119" s="238">
        <f>IF(ABS(AG80)&gt;0,IF(AG80&gt;0.001,AG80,_xlfn.MINIFS(AG$58:AG$92,AG$58:AG$92,"&gt;0")/3),0)</f>
        <v/>
      </c>
      <c r="AH119" s="238">
        <f>IF(ABS(AH80)&gt;0,IF(AH80&gt;0.001,AH80,_xlfn.MINIFS(AH$58:AH$92,AH$58:AH$92,"&gt;0")/3),0)</f>
        <v/>
      </c>
      <c r="AI119" s="238">
        <f>IF(ABS(AI80)&gt;0,IF(AI80&gt;0.001,AI80,_xlfn.MINIFS(AI$58:AI$92,AI$58:AI$92,"&gt;0")/3),0)</f>
        <v/>
      </c>
      <c r="AJ119" s="238">
        <f>IF(ABS(AJ80)&gt;0,IF(AJ80&gt;0.001,AJ80,_xlfn.MINIFS(AJ$58:AJ$92,AJ$58:AJ$92,"&gt;0")/3),0)</f>
        <v/>
      </c>
      <c r="AK119" s="238">
        <f>IF(ABS(AK80)&gt;0,IF(AK80&gt;0.001,AK80,_xlfn.MINIFS(AK$58:AK$92,AK$58:AK$92,"&gt;0")/3),0)</f>
        <v/>
      </c>
      <c r="AL119" s="238">
        <f>IF(ABS(AL80)&gt;0,IF(AL80&gt;0.001,AL80,_xlfn.MINIFS(AL$58:AL$92,AL$58:AL$92,"&gt;0")/3),0)</f>
        <v/>
      </c>
      <c r="AM119" s="238">
        <f>IF(ABS(AM80)&gt;0,IF(AM80&gt;0.001,AM80,_xlfn.MINIFS(AM$58:AM$92,AM$58:AM$92,"&gt;0")/3),0)</f>
        <v/>
      </c>
      <c r="AN119" s="238">
        <f>IF(ABS(AN80)&gt;0,IF(AN80&gt;0.001,AN80,_xlfn.MINIFS(AN$58:AN$92,AN$58:AN$92,"&gt;0")/3),0)</f>
        <v/>
      </c>
      <c r="AO119" s="238">
        <f>IF(ABS(AO80)&gt;0,IF(AO80&gt;0.001,AO80,_xlfn.MINIFS(AO$58:AO$92,AO$58:AO$92,"&gt;0")/3),0)</f>
        <v/>
      </c>
      <c r="AP119" s="238">
        <f>IF(ABS(AP80)&gt;0,IF(AP80&gt;0.001,AP80,_xlfn.MINIFS(AP$58:AP$92,AP$58:AP$92,"&gt;0")/3),0)</f>
        <v/>
      </c>
      <c r="AQ119" s="238">
        <f>IF(ABS(AQ80)&gt;0,IF(AQ80&gt;0.001,AQ80,_xlfn.MINIFS(AQ$58:AQ$92,AQ$58:AQ$92,"&gt;0")/3),0)</f>
        <v/>
      </c>
      <c r="AR119" s="238">
        <f>IF(ABS(AR80)&gt;0,IF(AR80&gt;0.001,AR80,_xlfn.MINIFS(AR$58:AR$92,AR$58:AR$92,"&gt;0")/3),0)</f>
        <v/>
      </c>
      <c r="AS119" s="238">
        <f>IF(ABS(AS80)&gt;0,IF(AS80&gt;0.001,AS80,_xlfn.MINIFS(AS$58:AS$92,AS$58:AS$92,"&gt;0")/3),0)</f>
        <v/>
      </c>
      <c r="AT119" s="238">
        <f>IF(ABS(AT80)&gt;0,IF(AT80&gt;0.001,AT80,_xlfn.MINIFS(AT$58:AT$92,AT$58:AT$92,"&gt;0")/3),0)</f>
        <v/>
      </c>
      <c r="AU119" s="238">
        <f>IF(ABS(AU80)&gt;0,IF(AU80&gt;0.001,AU80,_xlfn.MINIFS(AU$58:AU$92,AU$58:AU$92,"&gt;0")/3),0)</f>
        <v/>
      </c>
      <c r="AV119" s="238">
        <f>IF(ABS(AV80)&gt;0,IF(AV80&gt;0.001,AV80,_xlfn.MINIFS(AV$58:AV$92,AV$58:AV$92,"&gt;0")/3),0)</f>
        <v/>
      </c>
      <c r="AW119" s="238">
        <f>IF(ABS(AW80)&gt;0,IF(AW80&gt;0.001,AW80,_xlfn.MINIFS(AW$58:AW$92,AW$58:AW$92,"&gt;0")/3),0)</f>
        <v/>
      </c>
      <c r="AX119" s="238">
        <f>IF(ABS(AX80)&gt;0,IF(AX80&gt;0.001,AX80,_xlfn.MINIFS(AX$58:AX$92,AX$58:AX$92,"&gt;0")/3),0)</f>
        <v/>
      </c>
      <c r="AY119" s="238">
        <f>IF(ABS(AY80)&gt;0,IF(AY80&gt;0.001,AY80,_xlfn.MINIFS(AY$58:AY$92,AY$58:AY$92,"&gt;0")/3),0)</f>
        <v/>
      </c>
      <c r="AZ119" s="238">
        <f>IF(ABS(AZ80)&gt;0,IF(AZ80&gt;0.001,AZ80,_xlfn.MINIFS(AZ$58:AZ$92,AZ$58:AZ$92,"&gt;0")/3),0)</f>
        <v/>
      </c>
      <c r="BA119" s="238">
        <f>IF(ABS(BA80)&gt;0,IF(BA80&gt;0.001,BA80,_xlfn.MINIFS(BA$58:BA$92,BA$58:BA$92,"&gt;0")/3),0)</f>
        <v/>
      </c>
      <c r="BB119" s="238">
        <f>IF(ABS(BB80)&gt;0,IF(BB80&gt;0.001,BB80,_xlfn.MINIFS(BB$58:BB$92,BB$58:BB$92,"&gt;0")/3),0)</f>
        <v/>
      </c>
    </row>
    <row r="120">
      <c r="C120" s="1" t="n"/>
      <c r="D120" s="237">
        <f>D81</f>
        <v/>
      </c>
      <c r="E120" s="238">
        <f>IF(ABS(E81)&gt;0,IF(E81&gt;0.001,E81,_xlfn.MINIFS(E$58:E$92,E$58:E$92,"&gt;0")/3),0)</f>
        <v/>
      </c>
      <c r="F120" s="238">
        <f>IF(ABS(F81)&gt;0,IF(F81&gt;0.001,F81,_xlfn.MINIFS(F$58:F$92,F$58:F$92,"&gt;0")/3),0)</f>
        <v/>
      </c>
      <c r="G120" s="238">
        <f>IF(ABS(G81)&gt;0,IF(G81&gt;0.001,G81,_xlfn.MINIFS(G$58:G$92,G$58:G$92,"&gt;0")/3),0)</f>
        <v/>
      </c>
      <c r="H120" s="238">
        <f>IF(ABS(H81)&gt;0,IF(H81&gt;0.001,H81,_xlfn.MINIFS(H$58:H$92,H$58:H$92,"&gt;0")/3),0)</f>
        <v/>
      </c>
      <c r="I120" s="238">
        <f>IF(ABS(I81)&gt;0,IF(I81&gt;0.001,I81,_xlfn.MINIFS(I$58:I$92,I$58:I$92,"&gt;0")/3),0)</f>
        <v/>
      </c>
      <c r="J120" s="238">
        <f>IF(ABS(J81)&gt;0,IF(J81&gt;0.001,J81,_xlfn.MINIFS(J$58:J$92,J$58:J$92,"&gt;0")/3),0)</f>
        <v/>
      </c>
      <c r="K120" s="238">
        <f>IF(ABS(K81)&gt;0,IF(K81&gt;0.001,K81,_xlfn.MINIFS(K$58:K$92,K$58:K$92,"&gt;0")/3),0)</f>
        <v/>
      </c>
      <c r="L120" s="238">
        <f>IF(ABS(L81)&gt;0,IF(L81&gt;0.001,L81,_xlfn.MINIFS(L$58:L$92,L$58:L$92,"&gt;0")/3),0)</f>
        <v/>
      </c>
      <c r="M120" s="238">
        <f>IF(ABS(M81)&gt;0,IF(M81&gt;0.001,M81,_xlfn.MINIFS(M$58:M$92,M$58:M$92,"&gt;0")/3),0)</f>
        <v/>
      </c>
      <c r="N120" s="238">
        <f>IF(ABS(N81)&gt;0,IF(N81&gt;0.001,N81,_xlfn.MINIFS(N$58:N$92,N$58:N$92,"&gt;0")/3),0)</f>
        <v/>
      </c>
      <c r="O120" s="238">
        <f>IF(ABS(O81)&gt;0,IF(O81&gt;0.001,O81,_xlfn.MINIFS(O$58:O$92,O$58:O$92,"&gt;0")/3),0)</f>
        <v/>
      </c>
      <c r="P120" s="238">
        <f>IF(ABS(P81)&gt;0,IF(P81&gt;0.001,P81,_xlfn.MINIFS(P$58:P$92,P$58:P$92,"&gt;0")/3),0)</f>
        <v/>
      </c>
      <c r="Q120" s="238">
        <f>IF(ABS(Q81)&gt;0,IF(Q81&gt;0.001,Q81,_xlfn.MINIFS(Q$58:Q$92,Q$58:Q$92,"&gt;0")/3),0)</f>
        <v/>
      </c>
      <c r="R120" s="238">
        <f>IF(ABS(R81)&gt;0,IF(R81&gt;0.001,R81,_xlfn.MINIFS(R$58:R$92,R$58:R$92,"&gt;0")/3),0)</f>
        <v/>
      </c>
      <c r="S120" s="238">
        <f>IF(ABS(S81)&gt;0,IF(S81&gt;0.001,S81,_xlfn.MINIFS(S$58:S$92,S$58:S$92,"&gt;0")/3),0)</f>
        <v/>
      </c>
      <c r="T120" s="238">
        <f>IF(ABS(T81)&gt;0,IF(T81&gt;0.001,T81,_xlfn.MINIFS(T$58:T$92,T$58:T$92,"&gt;0")/3),0)</f>
        <v/>
      </c>
      <c r="U120" s="238">
        <f>IF(ABS(U81)&gt;0,IF(U81&gt;0.001,U81,_xlfn.MINIFS(U$58:U$92,U$58:U$92,"&gt;0")/3),0)</f>
        <v/>
      </c>
      <c r="V120" s="238">
        <f>IF(ABS(V81)&gt;0,IF(V81&gt;0.001,V81,_xlfn.MINIFS(V$58:V$92,V$58:V$92,"&gt;0")/3),0)</f>
        <v/>
      </c>
      <c r="W120" s="238">
        <f>IF(ABS(W81)&gt;0,IF(W81&gt;0.001,W81,_xlfn.MINIFS(W$58:W$92,W$58:W$92,"&gt;0")/3),0)</f>
        <v/>
      </c>
      <c r="X120" s="238">
        <f>IF(ABS(X81)&gt;0,IF(X81&gt;0.001,X81,_xlfn.MINIFS(X$58:X$92,X$58:X$92,"&gt;0")/3),0)</f>
        <v/>
      </c>
      <c r="Y120" s="238">
        <f>IF(ABS(Y81)&gt;0,IF(Y81&gt;0.001,Y81,_xlfn.MINIFS(Y$58:Y$92,Y$58:Y$92,"&gt;0")/3),0)</f>
        <v/>
      </c>
      <c r="Z120" s="238">
        <f>IF(ABS(Z81)&gt;0,IF(Z81&gt;0.001,Z81,_xlfn.MINIFS(Z$58:Z$92,Z$58:Z$92,"&gt;0")/3),0)</f>
        <v/>
      </c>
      <c r="AA120" s="238">
        <f>IF(ABS(AA81)&gt;0,IF(AA81&gt;0.001,AA81,_xlfn.MINIFS(AA$58:AA$92,AA$58:AA$92,"&gt;0")/3),0)</f>
        <v/>
      </c>
      <c r="AB120" s="238">
        <f>IF(ABS(AB81)&gt;0,IF(AB81&gt;0.001,AB81,_xlfn.MINIFS(AB$58:AB$92,AB$58:AB$92,"&gt;0")/3),0)</f>
        <v/>
      </c>
      <c r="AC120" s="238">
        <f>IF(ABS(AC81)&gt;0,IF(AC81&gt;0.001,AC81,_xlfn.MINIFS(AC$58:AC$92,AC$58:AC$92,"&gt;0")/3),0)</f>
        <v/>
      </c>
      <c r="AD120" s="238">
        <f>IF(ABS(AD81)&gt;0,IF(AD81&gt;0.001,AD81,_xlfn.MINIFS(AD$58:AD$92,AD$58:AD$92,"&gt;0")/3),0)</f>
        <v/>
      </c>
      <c r="AE120" s="238">
        <f>IF(ABS(AE81)&gt;0,IF(AE81&gt;0.001,AE81,_xlfn.MINIFS(AE$58:AE$92,AE$58:AE$92,"&gt;0")/3),0)</f>
        <v/>
      </c>
      <c r="AF120" s="238">
        <f>IF(ABS(AF81)&gt;0,IF(AF81&gt;0.001,AF81,_xlfn.MINIFS(AF$58:AF$92,AF$58:AF$92,"&gt;0")/3),0)</f>
        <v/>
      </c>
      <c r="AG120" s="238">
        <f>IF(ABS(AG81)&gt;0,IF(AG81&gt;0.001,AG81,_xlfn.MINIFS(AG$58:AG$92,AG$58:AG$92,"&gt;0")/3),0)</f>
        <v/>
      </c>
      <c r="AH120" s="238">
        <f>IF(ABS(AH81)&gt;0,IF(AH81&gt;0.001,AH81,_xlfn.MINIFS(AH$58:AH$92,AH$58:AH$92,"&gt;0")/3),0)</f>
        <v/>
      </c>
      <c r="AI120" s="238">
        <f>IF(ABS(AI81)&gt;0,IF(AI81&gt;0.001,AI81,_xlfn.MINIFS(AI$58:AI$92,AI$58:AI$92,"&gt;0")/3),0)</f>
        <v/>
      </c>
      <c r="AJ120" s="238">
        <f>IF(ABS(AJ81)&gt;0,IF(AJ81&gt;0.001,AJ81,_xlfn.MINIFS(AJ$58:AJ$92,AJ$58:AJ$92,"&gt;0")/3),0)</f>
        <v/>
      </c>
      <c r="AK120" s="238">
        <f>IF(ABS(AK81)&gt;0,IF(AK81&gt;0.001,AK81,_xlfn.MINIFS(AK$58:AK$92,AK$58:AK$92,"&gt;0")/3),0)</f>
        <v/>
      </c>
      <c r="AL120" s="238">
        <f>IF(ABS(AL81)&gt;0,IF(AL81&gt;0.001,AL81,_xlfn.MINIFS(AL$58:AL$92,AL$58:AL$92,"&gt;0")/3),0)</f>
        <v/>
      </c>
      <c r="AM120" s="238">
        <f>IF(ABS(AM81)&gt;0,IF(AM81&gt;0.001,AM81,_xlfn.MINIFS(AM$58:AM$92,AM$58:AM$92,"&gt;0")/3),0)</f>
        <v/>
      </c>
      <c r="AN120" s="238">
        <f>IF(ABS(AN81)&gt;0,IF(AN81&gt;0.001,AN81,_xlfn.MINIFS(AN$58:AN$92,AN$58:AN$92,"&gt;0")/3),0)</f>
        <v/>
      </c>
      <c r="AO120" s="238">
        <f>IF(ABS(AO81)&gt;0,IF(AO81&gt;0.001,AO81,_xlfn.MINIFS(AO$58:AO$92,AO$58:AO$92,"&gt;0")/3),0)</f>
        <v/>
      </c>
      <c r="AP120" s="238">
        <f>IF(ABS(AP81)&gt;0,IF(AP81&gt;0.001,AP81,_xlfn.MINIFS(AP$58:AP$92,AP$58:AP$92,"&gt;0")/3),0)</f>
        <v/>
      </c>
      <c r="AQ120" s="238">
        <f>IF(ABS(AQ81)&gt;0,IF(AQ81&gt;0.001,AQ81,_xlfn.MINIFS(AQ$58:AQ$92,AQ$58:AQ$92,"&gt;0")/3),0)</f>
        <v/>
      </c>
      <c r="AR120" s="238">
        <f>IF(ABS(AR81)&gt;0,IF(AR81&gt;0.001,AR81,_xlfn.MINIFS(AR$58:AR$92,AR$58:AR$92,"&gt;0")/3),0)</f>
        <v/>
      </c>
      <c r="AS120" s="238">
        <f>IF(ABS(AS81)&gt;0,IF(AS81&gt;0.001,AS81,_xlfn.MINIFS(AS$58:AS$92,AS$58:AS$92,"&gt;0")/3),0)</f>
        <v/>
      </c>
      <c r="AT120" s="238">
        <f>IF(ABS(AT81)&gt;0,IF(AT81&gt;0.001,AT81,_xlfn.MINIFS(AT$58:AT$92,AT$58:AT$92,"&gt;0")/3),0)</f>
        <v/>
      </c>
      <c r="AU120" s="238">
        <f>IF(ABS(AU81)&gt;0,IF(AU81&gt;0.001,AU81,_xlfn.MINIFS(AU$58:AU$92,AU$58:AU$92,"&gt;0")/3),0)</f>
        <v/>
      </c>
      <c r="AV120" s="238">
        <f>IF(ABS(AV81)&gt;0,IF(AV81&gt;0.001,AV81,_xlfn.MINIFS(AV$58:AV$92,AV$58:AV$92,"&gt;0")/3),0)</f>
        <v/>
      </c>
      <c r="AW120" s="238">
        <f>IF(ABS(AW81)&gt;0,IF(AW81&gt;0.001,AW81,_xlfn.MINIFS(AW$58:AW$92,AW$58:AW$92,"&gt;0")/3),0)</f>
        <v/>
      </c>
      <c r="AX120" s="238">
        <f>IF(ABS(AX81)&gt;0,IF(AX81&gt;0.001,AX81,_xlfn.MINIFS(AX$58:AX$92,AX$58:AX$92,"&gt;0")/3),0)</f>
        <v/>
      </c>
      <c r="AY120" s="238">
        <f>IF(ABS(AY81)&gt;0,IF(AY81&gt;0.001,AY81,_xlfn.MINIFS(AY$58:AY$92,AY$58:AY$92,"&gt;0")/3),0)</f>
        <v/>
      </c>
      <c r="AZ120" s="238">
        <f>IF(ABS(AZ81)&gt;0,IF(AZ81&gt;0.001,AZ81,_xlfn.MINIFS(AZ$58:AZ$92,AZ$58:AZ$92,"&gt;0")/3),0)</f>
        <v/>
      </c>
      <c r="BA120" s="238">
        <f>IF(ABS(BA81)&gt;0,IF(BA81&gt;0.001,BA81,_xlfn.MINIFS(BA$58:BA$92,BA$58:BA$92,"&gt;0")/3),0)</f>
        <v/>
      </c>
      <c r="BB120" s="238">
        <f>IF(ABS(BB81)&gt;0,IF(BB81&gt;0.001,BB81,_xlfn.MINIFS(BB$58:BB$92,BB$58:BB$92,"&gt;0")/3),0)</f>
        <v/>
      </c>
    </row>
    <row r="121">
      <c r="C121" s="1" t="n"/>
      <c r="D121" s="237">
        <f>D82</f>
        <v/>
      </c>
      <c r="E121" s="238">
        <f>IF(ABS(E82)&gt;0,IF(E82&gt;0.001,E82,_xlfn.MINIFS(E$58:E$92,E$58:E$92,"&gt;0")/3),0)</f>
        <v/>
      </c>
      <c r="F121" s="238">
        <f>IF(ABS(F82)&gt;0,IF(F82&gt;0.001,F82,_xlfn.MINIFS(F$58:F$92,F$58:F$92,"&gt;0")/3),0)</f>
        <v/>
      </c>
      <c r="G121" s="238">
        <f>IF(ABS(G82)&gt;0,IF(G82&gt;0.001,G82,_xlfn.MINIFS(G$58:G$92,G$58:G$92,"&gt;0")/3),0)</f>
        <v/>
      </c>
      <c r="H121" s="238">
        <f>IF(ABS(H82)&gt;0,IF(H82&gt;0.001,H82,_xlfn.MINIFS(H$58:H$92,H$58:H$92,"&gt;0")/3),0)</f>
        <v/>
      </c>
      <c r="I121" s="238">
        <f>IF(ABS(I82)&gt;0,IF(I82&gt;0.001,I82,_xlfn.MINIFS(I$58:I$92,I$58:I$92,"&gt;0")/3),0)</f>
        <v/>
      </c>
      <c r="J121" s="238">
        <f>IF(ABS(J82)&gt;0,IF(J82&gt;0.001,J82,_xlfn.MINIFS(J$58:J$92,J$58:J$92,"&gt;0")/3),0)</f>
        <v/>
      </c>
      <c r="K121" s="238">
        <f>IF(ABS(K82)&gt;0,IF(K82&gt;0.001,K82,_xlfn.MINIFS(K$58:K$92,K$58:K$92,"&gt;0")/3),0)</f>
        <v/>
      </c>
      <c r="L121" s="238">
        <f>IF(ABS(L82)&gt;0,IF(L82&gt;0.001,L82,_xlfn.MINIFS(L$58:L$92,L$58:L$92,"&gt;0")/3),0)</f>
        <v/>
      </c>
      <c r="M121" s="238">
        <f>IF(ABS(M82)&gt;0,IF(M82&gt;0.001,M82,_xlfn.MINIFS(M$58:M$92,M$58:M$92,"&gt;0")/3),0)</f>
        <v/>
      </c>
      <c r="N121" s="238">
        <f>IF(ABS(N82)&gt;0,IF(N82&gt;0.001,N82,_xlfn.MINIFS(N$58:N$92,N$58:N$92,"&gt;0")/3),0)</f>
        <v/>
      </c>
      <c r="O121" s="238">
        <f>IF(ABS(O82)&gt;0,IF(O82&gt;0.001,O82,_xlfn.MINIFS(O$58:O$92,O$58:O$92,"&gt;0")/3),0)</f>
        <v/>
      </c>
      <c r="P121" s="238">
        <f>IF(ABS(P82)&gt;0,IF(P82&gt;0.001,P82,_xlfn.MINIFS(P$58:P$92,P$58:P$92,"&gt;0")/3),0)</f>
        <v/>
      </c>
      <c r="Q121" s="238">
        <f>IF(ABS(Q82)&gt;0,IF(Q82&gt;0.001,Q82,_xlfn.MINIFS(Q$58:Q$92,Q$58:Q$92,"&gt;0")/3),0)</f>
        <v/>
      </c>
      <c r="R121" s="238">
        <f>IF(ABS(R82)&gt;0,IF(R82&gt;0.001,R82,_xlfn.MINIFS(R$58:R$92,R$58:R$92,"&gt;0")/3),0)</f>
        <v/>
      </c>
      <c r="S121" s="238">
        <f>IF(ABS(S82)&gt;0,IF(S82&gt;0.001,S82,_xlfn.MINIFS(S$58:S$92,S$58:S$92,"&gt;0")/3),0)</f>
        <v/>
      </c>
      <c r="T121" s="238">
        <f>IF(ABS(T82)&gt;0,IF(T82&gt;0.001,T82,_xlfn.MINIFS(T$58:T$92,T$58:T$92,"&gt;0")/3),0)</f>
        <v/>
      </c>
      <c r="U121" s="238">
        <f>IF(ABS(U82)&gt;0,IF(U82&gt;0.001,U82,_xlfn.MINIFS(U$58:U$92,U$58:U$92,"&gt;0")/3),0)</f>
        <v/>
      </c>
      <c r="V121" s="238">
        <f>IF(ABS(V82)&gt;0,IF(V82&gt;0.001,V82,_xlfn.MINIFS(V$58:V$92,V$58:V$92,"&gt;0")/3),0)</f>
        <v/>
      </c>
      <c r="W121" s="238">
        <f>IF(ABS(W82)&gt;0,IF(W82&gt;0.001,W82,_xlfn.MINIFS(W$58:W$92,W$58:W$92,"&gt;0")/3),0)</f>
        <v/>
      </c>
      <c r="X121" s="238">
        <f>IF(ABS(X82)&gt;0,IF(X82&gt;0.001,X82,_xlfn.MINIFS(X$58:X$92,X$58:X$92,"&gt;0")/3),0)</f>
        <v/>
      </c>
      <c r="Y121" s="238">
        <f>IF(ABS(Y82)&gt;0,IF(Y82&gt;0.001,Y82,_xlfn.MINIFS(Y$58:Y$92,Y$58:Y$92,"&gt;0")/3),0)</f>
        <v/>
      </c>
      <c r="Z121" s="238">
        <f>IF(ABS(Z82)&gt;0,IF(Z82&gt;0.001,Z82,_xlfn.MINIFS(Z$58:Z$92,Z$58:Z$92,"&gt;0")/3),0)</f>
        <v/>
      </c>
      <c r="AA121" s="238">
        <f>IF(ABS(AA82)&gt;0,IF(AA82&gt;0.001,AA82,_xlfn.MINIFS(AA$58:AA$92,AA$58:AA$92,"&gt;0")/3),0)</f>
        <v/>
      </c>
      <c r="AB121" s="238">
        <f>IF(ABS(AB82)&gt;0,IF(AB82&gt;0.001,AB82,_xlfn.MINIFS(AB$58:AB$92,AB$58:AB$92,"&gt;0")/3),0)</f>
        <v/>
      </c>
      <c r="AC121" s="238">
        <f>IF(ABS(AC82)&gt;0,IF(AC82&gt;0.001,AC82,_xlfn.MINIFS(AC$58:AC$92,AC$58:AC$92,"&gt;0")/3),0)</f>
        <v/>
      </c>
      <c r="AD121" s="238">
        <f>IF(ABS(AD82)&gt;0,IF(AD82&gt;0.001,AD82,_xlfn.MINIFS(AD$58:AD$92,AD$58:AD$92,"&gt;0")/3),0)</f>
        <v/>
      </c>
      <c r="AE121" s="238">
        <f>IF(ABS(AE82)&gt;0,IF(AE82&gt;0.001,AE82,_xlfn.MINIFS(AE$58:AE$92,AE$58:AE$92,"&gt;0")/3),0)</f>
        <v/>
      </c>
      <c r="AF121" s="238">
        <f>IF(ABS(AF82)&gt;0,IF(AF82&gt;0.001,AF82,_xlfn.MINIFS(AF$58:AF$92,AF$58:AF$92,"&gt;0")/3),0)</f>
        <v/>
      </c>
      <c r="AG121" s="238">
        <f>IF(ABS(AG82)&gt;0,IF(AG82&gt;0.001,AG82,_xlfn.MINIFS(AG$58:AG$92,AG$58:AG$92,"&gt;0")/3),0)</f>
        <v/>
      </c>
      <c r="AH121" s="238">
        <f>IF(ABS(AH82)&gt;0,IF(AH82&gt;0.001,AH82,_xlfn.MINIFS(AH$58:AH$92,AH$58:AH$92,"&gt;0")/3),0)</f>
        <v/>
      </c>
      <c r="AI121" s="238">
        <f>IF(ABS(AI82)&gt;0,IF(AI82&gt;0.001,AI82,_xlfn.MINIFS(AI$58:AI$92,AI$58:AI$92,"&gt;0")/3),0)</f>
        <v/>
      </c>
      <c r="AJ121" s="238">
        <f>IF(ABS(AJ82)&gt;0,IF(AJ82&gt;0.001,AJ82,_xlfn.MINIFS(AJ$58:AJ$92,AJ$58:AJ$92,"&gt;0")/3),0)</f>
        <v/>
      </c>
      <c r="AK121" s="238">
        <f>IF(ABS(AK82)&gt;0,IF(AK82&gt;0.001,AK82,_xlfn.MINIFS(AK$58:AK$92,AK$58:AK$92,"&gt;0")/3),0)</f>
        <v/>
      </c>
      <c r="AL121" s="238">
        <f>IF(ABS(AL82)&gt;0,IF(AL82&gt;0.001,AL82,_xlfn.MINIFS(AL$58:AL$92,AL$58:AL$92,"&gt;0")/3),0)</f>
        <v/>
      </c>
      <c r="AM121" s="238">
        <f>IF(ABS(AM82)&gt;0,IF(AM82&gt;0.001,AM82,_xlfn.MINIFS(AM$58:AM$92,AM$58:AM$92,"&gt;0")/3),0)</f>
        <v/>
      </c>
      <c r="AN121" s="238">
        <f>IF(ABS(AN82)&gt;0,IF(AN82&gt;0.001,AN82,_xlfn.MINIFS(AN$58:AN$92,AN$58:AN$92,"&gt;0")/3),0)</f>
        <v/>
      </c>
      <c r="AO121" s="238">
        <f>IF(ABS(AO82)&gt;0,IF(AO82&gt;0.001,AO82,_xlfn.MINIFS(AO$58:AO$92,AO$58:AO$92,"&gt;0")/3),0)</f>
        <v/>
      </c>
      <c r="AP121" s="238">
        <f>IF(ABS(AP82)&gt;0,IF(AP82&gt;0.001,AP82,_xlfn.MINIFS(AP$58:AP$92,AP$58:AP$92,"&gt;0")/3),0)</f>
        <v/>
      </c>
      <c r="AQ121" s="238">
        <f>IF(ABS(AQ82)&gt;0,IF(AQ82&gt;0.001,AQ82,_xlfn.MINIFS(AQ$58:AQ$92,AQ$58:AQ$92,"&gt;0")/3),0)</f>
        <v/>
      </c>
      <c r="AR121" s="238">
        <f>IF(ABS(AR82)&gt;0,IF(AR82&gt;0.001,AR82,_xlfn.MINIFS(AR$58:AR$92,AR$58:AR$92,"&gt;0")/3),0)</f>
        <v/>
      </c>
      <c r="AS121" s="238">
        <f>IF(ABS(AS82)&gt;0,IF(AS82&gt;0.001,AS82,_xlfn.MINIFS(AS$58:AS$92,AS$58:AS$92,"&gt;0")/3),0)</f>
        <v/>
      </c>
      <c r="AT121" s="238">
        <f>IF(ABS(AT82)&gt;0,IF(AT82&gt;0.001,AT82,_xlfn.MINIFS(AT$58:AT$92,AT$58:AT$92,"&gt;0")/3),0)</f>
        <v/>
      </c>
      <c r="AU121" s="238">
        <f>IF(ABS(AU82)&gt;0,IF(AU82&gt;0.001,AU82,_xlfn.MINIFS(AU$58:AU$92,AU$58:AU$92,"&gt;0")/3),0)</f>
        <v/>
      </c>
      <c r="AV121" s="238">
        <f>IF(ABS(AV82)&gt;0,IF(AV82&gt;0.001,AV82,_xlfn.MINIFS(AV$58:AV$92,AV$58:AV$92,"&gt;0")/3),0)</f>
        <v/>
      </c>
      <c r="AW121" s="238">
        <f>IF(ABS(AW82)&gt;0,IF(AW82&gt;0.001,AW82,_xlfn.MINIFS(AW$58:AW$92,AW$58:AW$92,"&gt;0")/3),0)</f>
        <v/>
      </c>
      <c r="AX121" s="238">
        <f>IF(ABS(AX82)&gt;0,IF(AX82&gt;0.001,AX82,_xlfn.MINIFS(AX$58:AX$92,AX$58:AX$92,"&gt;0")/3),0)</f>
        <v/>
      </c>
      <c r="AY121" s="238">
        <f>IF(ABS(AY82)&gt;0,IF(AY82&gt;0.001,AY82,_xlfn.MINIFS(AY$58:AY$92,AY$58:AY$92,"&gt;0")/3),0)</f>
        <v/>
      </c>
      <c r="AZ121" s="238">
        <f>IF(ABS(AZ82)&gt;0,IF(AZ82&gt;0.001,AZ82,_xlfn.MINIFS(AZ$58:AZ$92,AZ$58:AZ$92,"&gt;0")/3),0)</f>
        <v/>
      </c>
      <c r="BA121" s="238">
        <f>IF(ABS(BA82)&gt;0,IF(BA82&gt;0.001,BA82,_xlfn.MINIFS(BA$58:BA$92,BA$58:BA$92,"&gt;0")/3),0)</f>
        <v/>
      </c>
      <c r="BB121" s="238">
        <f>IF(ABS(BB82)&gt;0,IF(BB82&gt;0.001,BB82,_xlfn.MINIFS(BB$58:BB$92,BB$58:BB$92,"&gt;0")/3),0)</f>
        <v/>
      </c>
    </row>
    <row r="122">
      <c r="C122" s="1" t="n"/>
      <c r="D122" s="237">
        <f>D83</f>
        <v/>
      </c>
      <c r="E122" s="238">
        <f>IF(ABS(E83)&gt;0,IF(E83&gt;0.001,E83,_xlfn.MINIFS(E$58:E$92,E$58:E$92,"&gt;0")/3),0)</f>
        <v/>
      </c>
      <c r="F122" s="238">
        <f>IF(ABS(F83)&gt;0,IF(F83&gt;0.001,F83,_xlfn.MINIFS(F$58:F$92,F$58:F$92,"&gt;0")/3),0)</f>
        <v/>
      </c>
      <c r="G122" s="238">
        <f>IF(ABS(G83)&gt;0,IF(G83&gt;0.001,G83,_xlfn.MINIFS(G$58:G$92,G$58:G$92,"&gt;0")/3),0)</f>
        <v/>
      </c>
      <c r="H122" s="238">
        <f>IF(ABS(H83)&gt;0,IF(H83&gt;0.001,H83,_xlfn.MINIFS(H$58:H$92,H$58:H$92,"&gt;0")/3),0)</f>
        <v/>
      </c>
      <c r="I122" s="238">
        <f>IF(ABS(I83)&gt;0,IF(I83&gt;0.001,I83,_xlfn.MINIFS(I$58:I$92,I$58:I$92,"&gt;0")/3),0)</f>
        <v/>
      </c>
      <c r="J122" s="238">
        <f>IF(ABS(J83)&gt;0,IF(J83&gt;0.001,J83,_xlfn.MINIFS(J$58:J$92,J$58:J$92,"&gt;0")/3),0)</f>
        <v/>
      </c>
      <c r="K122" s="238">
        <f>IF(ABS(K83)&gt;0,IF(K83&gt;0.001,K83,_xlfn.MINIFS(K$58:K$92,K$58:K$92,"&gt;0")/3),0)</f>
        <v/>
      </c>
      <c r="L122" s="238">
        <f>IF(ABS(L83)&gt;0,IF(L83&gt;0.001,L83,_xlfn.MINIFS(L$58:L$92,L$58:L$92,"&gt;0")/3),0)</f>
        <v/>
      </c>
      <c r="M122" s="238">
        <f>IF(ABS(M83)&gt;0,IF(M83&gt;0.001,M83,_xlfn.MINIFS(M$58:M$92,M$58:M$92,"&gt;0")/3),0)</f>
        <v/>
      </c>
      <c r="N122" s="238">
        <f>IF(ABS(N83)&gt;0,IF(N83&gt;0.001,N83,_xlfn.MINIFS(N$58:N$92,N$58:N$92,"&gt;0")/3),0)</f>
        <v/>
      </c>
      <c r="O122" s="238">
        <f>IF(ABS(O83)&gt;0,IF(O83&gt;0.001,O83,_xlfn.MINIFS(O$58:O$92,O$58:O$92,"&gt;0")/3),0)</f>
        <v/>
      </c>
      <c r="P122" s="238">
        <f>IF(ABS(P83)&gt;0,IF(P83&gt;0.001,P83,_xlfn.MINIFS(P$58:P$92,P$58:P$92,"&gt;0")/3),0)</f>
        <v/>
      </c>
      <c r="Q122" s="238">
        <f>IF(ABS(Q83)&gt;0,IF(Q83&gt;0.001,Q83,_xlfn.MINIFS(Q$58:Q$92,Q$58:Q$92,"&gt;0")/3),0)</f>
        <v/>
      </c>
      <c r="R122" s="238">
        <f>IF(ABS(R83)&gt;0,IF(R83&gt;0.001,R83,_xlfn.MINIFS(R$58:R$92,R$58:R$92,"&gt;0")/3),0)</f>
        <v/>
      </c>
      <c r="S122" s="238">
        <f>IF(ABS(S83)&gt;0,IF(S83&gt;0.001,S83,_xlfn.MINIFS(S$58:S$92,S$58:S$92,"&gt;0")/3),0)</f>
        <v/>
      </c>
      <c r="T122" s="238">
        <f>IF(ABS(T83)&gt;0,IF(T83&gt;0.001,T83,_xlfn.MINIFS(T$58:T$92,T$58:T$92,"&gt;0")/3),0)</f>
        <v/>
      </c>
      <c r="U122" s="238">
        <f>IF(ABS(U83)&gt;0,IF(U83&gt;0.001,U83,_xlfn.MINIFS(U$58:U$92,U$58:U$92,"&gt;0")/3),0)</f>
        <v/>
      </c>
      <c r="V122" s="238">
        <f>IF(ABS(V83)&gt;0,IF(V83&gt;0.001,V83,_xlfn.MINIFS(V$58:V$92,V$58:V$92,"&gt;0")/3),0)</f>
        <v/>
      </c>
      <c r="W122" s="238">
        <f>IF(ABS(W83)&gt;0,IF(W83&gt;0.001,W83,_xlfn.MINIFS(W$58:W$92,W$58:W$92,"&gt;0")/3),0)</f>
        <v/>
      </c>
      <c r="X122" s="238">
        <f>IF(ABS(X83)&gt;0,IF(X83&gt;0.001,X83,_xlfn.MINIFS(X$58:X$92,X$58:X$92,"&gt;0")/3),0)</f>
        <v/>
      </c>
      <c r="Y122" s="238">
        <f>IF(ABS(Y83)&gt;0,IF(Y83&gt;0.001,Y83,_xlfn.MINIFS(Y$58:Y$92,Y$58:Y$92,"&gt;0")/3),0)</f>
        <v/>
      </c>
      <c r="Z122" s="238">
        <f>IF(ABS(Z83)&gt;0,IF(Z83&gt;0.001,Z83,_xlfn.MINIFS(Z$58:Z$92,Z$58:Z$92,"&gt;0")/3),0)</f>
        <v/>
      </c>
      <c r="AA122" s="238">
        <f>IF(ABS(AA83)&gt;0,IF(AA83&gt;0.001,AA83,_xlfn.MINIFS(AA$58:AA$92,AA$58:AA$92,"&gt;0")/3),0)</f>
        <v/>
      </c>
      <c r="AB122" s="238">
        <f>IF(ABS(AB83)&gt;0,IF(AB83&gt;0.001,AB83,_xlfn.MINIFS(AB$58:AB$92,AB$58:AB$92,"&gt;0")/3),0)</f>
        <v/>
      </c>
      <c r="AC122" s="238">
        <f>IF(ABS(AC83)&gt;0,IF(AC83&gt;0.001,AC83,_xlfn.MINIFS(AC$58:AC$92,AC$58:AC$92,"&gt;0")/3),0)</f>
        <v/>
      </c>
      <c r="AD122" s="238">
        <f>IF(ABS(AD83)&gt;0,IF(AD83&gt;0.001,AD83,_xlfn.MINIFS(AD$58:AD$92,AD$58:AD$92,"&gt;0")/3),0)</f>
        <v/>
      </c>
      <c r="AE122" s="238">
        <f>IF(ABS(AE83)&gt;0,IF(AE83&gt;0.001,AE83,_xlfn.MINIFS(AE$58:AE$92,AE$58:AE$92,"&gt;0")/3),0)</f>
        <v/>
      </c>
      <c r="AF122" s="238">
        <f>IF(ABS(AF83)&gt;0,IF(AF83&gt;0.001,AF83,_xlfn.MINIFS(AF$58:AF$92,AF$58:AF$92,"&gt;0")/3),0)</f>
        <v/>
      </c>
      <c r="AG122" s="238">
        <f>IF(ABS(AG83)&gt;0,IF(AG83&gt;0.001,AG83,_xlfn.MINIFS(AG$58:AG$92,AG$58:AG$92,"&gt;0")/3),0)</f>
        <v/>
      </c>
      <c r="AH122" s="238">
        <f>IF(ABS(AH83)&gt;0,IF(AH83&gt;0.001,AH83,_xlfn.MINIFS(AH$58:AH$92,AH$58:AH$92,"&gt;0")/3),0)</f>
        <v/>
      </c>
      <c r="AI122" s="238">
        <f>IF(ABS(AI83)&gt;0,IF(AI83&gt;0.001,AI83,_xlfn.MINIFS(AI$58:AI$92,AI$58:AI$92,"&gt;0")/3),0)</f>
        <v/>
      </c>
      <c r="AJ122" s="238">
        <f>IF(ABS(AJ83)&gt;0,IF(AJ83&gt;0.001,AJ83,_xlfn.MINIFS(AJ$58:AJ$92,AJ$58:AJ$92,"&gt;0")/3),0)</f>
        <v/>
      </c>
      <c r="AK122" s="238">
        <f>IF(ABS(AK83)&gt;0,IF(AK83&gt;0.001,AK83,_xlfn.MINIFS(AK$58:AK$92,AK$58:AK$92,"&gt;0")/3),0)</f>
        <v/>
      </c>
      <c r="AL122" s="238">
        <f>IF(ABS(AL83)&gt;0,IF(AL83&gt;0.001,AL83,_xlfn.MINIFS(AL$58:AL$92,AL$58:AL$92,"&gt;0")/3),0)</f>
        <v/>
      </c>
      <c r="AM122" s="238">
        <f>IF(ABS(AM83)&gt;0,IF(AM83&gt;0.001,AM83,_xlfn.MINIFS(AM$58:AM$92,AM$58:AM$92,"&gt;0")/3),0)</f>
        <v/>
      </c>
      <c r="AN122" s="238">
        <f>IF(ABS(AN83)&gt;0,IF(AN83&gt;0.001,AN83,_xlfn.MINIFS(AN$58:AN$92,AN$58:AN$92,"&gt;0")/3),0)</f>
        <v/>
      </c>
      <c r="AO122" s="238">
        <f>IF(ABS(AO83)&gt;0,IF(AO83&gt;0.001,AO83,_xlfn.MINIFS(AO$58:AO$92,AO$58:AO$92,"&gt;0")/3),0)</f>
        <v/>
      </c>
      <c r="AP122" s="238">
        <f>IF(ABS(AP83)&gt;0,IF(AP83&gt;0.001,AP83,_xlfn.MINIFS(AP$58:AP$92,AP$58:AP$92,"&gt;0")/3),0)</f>
        <v/>
      </c>
      <c r="AQ122" s="238">
        <f>IF(ABS(AQ83)&gt;0,IF(AQ83&gt;0.001,AQ83,_xlfn.MINIFS(AQ$58:AQ$92,AQ$58:AQ$92,"&gt;0")/3),0)</f>
        <v/>
      </c>
      <c r="AR122" s="238">
        <f>IF(ABS(AR83)&gt;0,IF(AR83&gt;0.001,AR83,_xlfn.MINIFS(AR$58:AR$92,AR$58:AR$92,"&gt;0")/3),0)</f>
        <v/>
      </c>
      <c r="AS122" s="238">
        <f>IF(ABS(AS83)&gt;0,IF(AS83&gt;0.001,AS83,_xlfn.MINIFS(AS$58:AS$92,AS$58:AS$92,"&gt;0")/3),0)</f>
        <v/>
      </c>
      <c r="AT122" s="238">
        <f>IF(ABS(AT83)&gt;0,IF(AT83&gt;0.001,AT83,_xlfn.MINIFS(AT$58:AT$92,AT$58:AT$92,"&gt;0")/3),0)</f>
        <v/>
      </c>
      <c r="AU122" s="238">
        <f>IF(ABS(AU83)&gt;0,IF(AU83&gt;0.001,AU83,_xlfn.MINIFS(AU$58:AU$92,AU$58:AU$92,"&gt;0")/3),0)</f>
        <v/>
      </c>
      <c r="AV122" s="238">
        <f>IF(ABS(AV83)&gt;0,IF(AV83&gt;0.001,AV83,_xlfn.MINIFS(AV$58:AV$92,AV$58:AV$92,"&gt;0")/3),0)</f>
        <v/>
      </c>
      <c r="AW122" s="238">
        <f>IF(ABS(AW83)&gt;0,IF(AW83&gt;0.001,AW83,_xlfn.MINIFS(AW$58:AW$92,AW$58:AW$92,"&gt;0")/3),0)</f>
        <v/>
      </c>
      <c r="AX122" s="238">
        <f>IF(ABS(AX83)&gt;0,IF(AX83&gt;0.001,AX83,_xlfn.MINIFS(AX$58:AX$92,AX$58:AX$92,"&gt;0")/3),0)</f>
        <v/>
      </c>
      <c r="AY122" s="238">
        <f>IF(ABS(AY83)&gt;0,IF(AY83&gt;0.001,AY83,_xlfn.MINIFS(AY$58:AY$92,AY$58:AY$92,"&gt;0")/3),0)</f>
        <v/>
      </c>
      <c r="AZ122" s="238">
        <f>IF(ABS(AZ83)&gt;0,IF(AZ83&gt;0.001,AZ83,_xlfn.MINIFS(AZ$58:AZ$92,AZ$58:AZ$92,"&gt;0")/3),0)</f>
        <v/>
      </c>
      <c r="BA122" s="238">
        <f>IF(ABS(BA83)&gt;0,IF(BA83&gt;0.001,BA83,_xlfn.MINIFS(BA$58:BA$92,BA$58:BA$92,"&gt;0")/3),0)</f>
        <v/>
      </c>
      <c r="BB122" s="238">
        <f>IF(ABS(BB83)&gt;0,IF(BB83&gt;0.001,BB83,_xlfn.MINIFS(BB$58:BB$92,BB$58:BB$92,"&gt;0")/3),0)</f>
        <v/>
      </c>
    </row>
    <row r="123">
      <c r="C123" s="1" t="n"/>
      <c r="D123" s="237">
        <f>D84</f>
        <v/>
      </c>
      <c r="E123" s="238">
        <f>IF(ABS(E84)&gt;0,IF(E84&gt;0.001,E84,_xlfn.MINIFS(E$58:E$92,E$58:E$92,"&gt;0")/3),0)</f>
        <v/>
      </c>
      <c r="F123" s="238">
        <f>IF(ABS(F84)&gt;0,IF(F84&gt;0.001,F84,_xlfn.MINIFS(F$58:F$92,F$58:F$92,"&gt;0")/3),0)</f>
        <v/>
      </c>
      <c r="G123" s="238">
        <f>IF(ABS(G84)&gt;0,IF(G84&gt;0.001,G84,_xlfn.MINIFS(G$58:G$92,G$58:G$92,"&gt;0")/3),0)</f>
        <v/>
      </c>
      <c r="H123" s="238">
        <f>IF(ABS(H84)&gt;0,IF(H84&gt;0.001,H84,_xlfn.MINIFS(H$58:H$92,H$58:H$92,"&gt;0")/3),0)</f>
        <v/>
      </c>
      <c r="I123" s="238">
        <f>IF(ABS(I84)&gt;0,IF(I84&gt;0.001,I84,_xlfn.MINIFS(I$58:I$92,I$58:I$92,"&gt;0")/3),0)</f>
        <v/>
      </c>
      <c r="J123" s="238">
        <f>IF(ABS(J84)&gt;0,IF(J84&gt;0.001,J84,_xlfn.MINIFS(J$58:J$92,J$58:J$92,"&gt;0")/3),0)</f>
        <v/>
      </c>
      <c r="K123" s="238">
        <f>IF(ABS(K84)&gt;0,IF(K84&gt;0.001,K84,_xlfn.MINIFS(K$58:K$92,K$58:K$92,"&gt;0")/3),0)</f>
        <v/>
      </c>
      <c r="L123" s="238">
        <f>IF(ABS(L84)&gt;0,IF(L84&gt;0.001,L84,_xlfn.MINIFS(L$58:L$92,L$58:L$92,"&gt;0")/3),0)</f>
        <v/>
      </c>
      <c r="M123" s="238">
        <f>IF(ABS(M84)&gt;0,IF(M84&gt;0.001,M84,_xlfn.MINIFS(M$58:M$92,M$58:M$92,"&gt;0")/3),0)</f>
        <v/>
      </c>
      <c r="N123" s="238">
        <f>IF(ABS(N84)&gt;0,IF(N84&gt;0.001,N84,_xlfn.MINIFS(N$58:N$92,N$58:N$92,"&gt;0")/3),0)</f>
        <v/>
      </c>
      <c r="O123" s="238">
        <f>IF(ABS(O84)&gt;0,IF(O84&gt;0.001,O84,_xlfn.MINIFS(O$58:O$92,O$58:O$92,"&gt;0")/3),0)</f>
        <v/>
      </c>
      <c r="P123" s="238">
        <f>IF(ABS(P84)&gt;0,IF(P84&gt;0.001,P84,_xlfn.MINIFS(P$58:P$92,P$58:P$92,"&gt;0")/3),0)</f>
        <v/>
      </c>
      <c r="Q123" s="238">
        <f>IF(ABS(Q84)&gt;0,IF(Q84&gt;0.001,Q84,_xlfn.MINIFS(Q$58:Q$92,Q$58:Q$92,"&gt;0")/3),0)</f>
        <v/>
      </c>
      <c r="R123" s="238">
        <f>IF(ABS(R84)&gt;0,IF(R84&gt;0.001,R84,_xlfn.MINIFS(R$58:R$92,R$58:R$92,"&gt;0")/3),0)</f>
        <v/>
      </c>
      <c r="S123" s="238">
        <f>IF(ABS(S84)&gt;0,IF(S84&gt;0.001,S84,_xlfn.MINIFS(S$58:S$92,S$58:S$92,"&gt;0")/3),0)</f>
        <v/>
      </c>
      <c r="T123" s="238">
        <f>IF(ABS(T84)&gt;0,IF(T84&gt;0.001,T84,_xlfn.MINIFS(T$58:T$92,T$58:T$92,"&gt;0")/3),0)</f>
        <v/>
      </c>
      <c r="U123" s="238">
        <f>IF(ABS(U84)&gt;0,IF(U84&gt;0.001,U84,_xlfn.MINIFS(U$58:U$92,U$58:U$92,"&gt;0")/3),0)</f>
        <v/>
      </c>
      <c r="V123" s="238">
        <f>IF(ABS(V84)&gt;0,IF(V84&gt;0.001,V84,_xlfn.MINIFS(V$58:V$92,V$58:V$92,"&gt;0")/3),0)</f>
        <v/>
      </c>
      <c r="W123" s="238">
        <f>IF(ABS(W84)&gt;0,IF(W84&gt;0.001,W84,_xlfn.MINIFS(W$58:W$92,W$58:W$92,"&gt;0")/3),0)</f>
        <v/>
      </c>
      <c r="X123" s="238">
        <f>IF(ABS(X84)&gt;0,IF(X84&gt;0.001,X84,_xlfn.MINIFS(X$58:X$92,X$58:X$92,"&gt;0")/3),0)</f>
        <v/>
      </c>
      <c r="Y123" s="238">
        <f>IF(ABS(Y84)&gt;0,IF(Y84&gt;0.001,Y84,_xlfn.MINIFS(Y$58:Y$92,Y$58:Y$92,"&gt;0")/3),0)</f>
        <v/>
      </c>
      <c r="Z123" s="238">
        <f>IF(ABS(Z84)&gt;0,IF(Z84&gt;0.001,Z84,_xlfn.MINIFS(Z$58:Z$92,Z$58:Z$92,"&gt;0")/3),0)</f>
        <v/>
      </c>
      <c r="AA123" s="238">
        <f>IF(ABS(AA84)&gt;0,IF(AA84&gt;0.001,AA84,_xlfn.MINIFS(AA$58:AA$92,AA$58:AA$92,"&gt;0")/3),0)</f>
        <v/>
      </c>
      <c r="AB123" s="238">
        <f>IF(ABS(AB84)&gt;0,IF(AB84&gt;0.001,AB84,_xlfn.MINIFS(AB$58:AB$92,AB$58:AB$92,"&gt;0")/3),0)</f>
        <v/>
      </c>
      <c r="AC123" s="238">
        <f>IF(ABS(AC84)&gt;0,IF(AC84&gt;0.001,AC84,_xlfn.MINIFS(AC$58:AC$92,AC$58:AC$92,"&gt;0")/3),0)</f>
        <v/>
      </c>
      <c r="AD123" s="238">
        <f>IF(ABS(AD84)&gt;0,IF(AD84&gt;0.001,AD84,_xlfn.MINIFS(AD$58:AD$92,AD$58:AD$92,"&gt;0")/3),0)</f>
        <v/>
      </c>
      <c r="AE123" s="238">
        <f>IF(ABS(AE84)&gt;0,IF(AE84&gt;0.001,AE84,_xlfn.MINIFS(AE$58:AE$92,AE$58:AE$92,"&gt;0")/3),0)</f>
        <v/>
      </c>
      <c r="AF123" s="238">
        <f>IF(ABS(AF84)&gt;0,IF(AF84&gt;0.001,AF84,_xlfn.MINIFS(AF$58:AF$92,AF$58:AF$92,"&gt;0")/3),0)</f>
        <v/>
      </c>
      <c r="AG123" s="238">
        <f>IF(ABS(AG84)&gt;0,IF(AG84&gt;0.001,AG84,_xlfn.MINIFS(AG$58:AG$92,AG$58:AG$92,"&gt;0")/3),0)</f>
        <v/>
      </c>
      <c r="AH123" s="238">
        <f>IF(ABS(AH84)&gt;0,IF(AH84&gt;0.001,AH84,_xlfn.MINIFS(AH$58:AH$92,AH$58:AH$92,"&gt;0")/3),0)</f>
        <v/>
      </c>
      <c r="AI123" s="238">
        <f>IF(ABS(AI84)&gt;0,IF(AI84&gt;0.001,AI84,_xlfn.MINIFS(AI$58:AI$92,AI$58:AI$92,"&gt;0")/3),0)</f>
        <v/>
      </c>
      <c r="AJ123" s="238">
        <f>IF(ABS(AJ84)&gt;0,IF(AJ84&gt;0.001,AJ84,_xlfn.MINIFS(AJ$58:AJ$92,AJ$58:AJ$92,"&gt;0")/3),0)</f>
        <v/>
      </c>
      <c r="AK123" s="238">
        <f>IF(ABS(AK84)&gt;0,IF(AK84&gt;0.001,AK84,_xlfn.MINIFS(AK$58:AK$92,AK$58:AK$92,"&gt;0")/3),0)</f>
        <v/>
      </c>
      <c r="AL123" s="238">
        <f>IF(ABS(AL84)&gt;0,IF(AL84&gt;0.001,AL84,_xlfn.MINIFS(AL$58:AL$92,AL$58:AL$92,"&gt;0")/3),0)</f>
        <v/>
      </c>
      <c r="AM123" s="238">
        <f>IF(ABS(AM84)&gt;0,IF(AM84&gt;0.001,AM84,_xlfn.MINIFS(AM$58:AM$92,AM$58:AM$92,"&gt;0")/3),0)</f>
        <v/>
      </c>
      <c r="AN123" s="238">
        <f>IF(ABS(AN84)&gt;0,IF(AN84&gt;0.001,AN84,_xlfn.MINIFS(AN$58:AN$92,AN$58:AN$92,"&gt;0")/3),0)</f>
        <v/>
      </c>
      <c r="AO123" s="238">
        <f>IF(ABS(AO84)&gt;0,IF(AO84&gt;0.001,AO84,_xlfn.MINIFS(AO$58:AO$92,AO$58:AO$92,"&gt;0")/3),0)</f>
        <v/>
      </c>
      <c r="AP123" s="238">
        <f>IF(ABS(AP84)&gt;0,IF(AP84&gt;0.001,AP84,_xlfn.MINIFS(AP$58:AP$92,AP$58:AP$92,"&gt;0")/3),0)</f>
        <v/>
      </c>
      <c r="AQ123" s="238">
        <f>IF(ABS(AQ84)&gt;0,IF(AQ84&gt;0.001,AQ84,_xlfn.MINIFS(AQ$58:AQ$92,AQ$58:AQ$92,"&gt;0")/3),0)</f>
        <v/>
      </c>
      <c r="AR123" s="238">
        <f>IF(ABS(AR84)&gt;0,IF(AR84&gt;0.001,AR84,_xlfn.MINIFS(AR$58:AR$92,AR$58:AR$92,"&gt;0")/3),0)</f>
        <v/>
      </c>
      <c r="AS123" s="238">
        <f>IF(ABS(AS84)&gt;0,IF(AS84&gt;0.001,AS84,_xlfn.MINIFS(AS$58:AS$92,AS$58:AS$92,"&gt;0")/3),0)</f>
        <v/>
      </c>
      <c r="AT123" s="238">
        <f>IF(ABS(AT84)&gt;0,IF(AT84&gt;0.001,AT84,_xlfn.MINIFS(AT$58:AT$92,AT$58:AT$92,"&gt;0")/3),0)</f>
        <v/>
      </c>
      <c r="AU123" s="238">
        <f>IF(ABS(AU84)&gt;0,IF(AU84&gt;0.001,AU84,_xlfn.MINIFS(AU$58:AU$92,AU$58:AU$92,"&gt;0")/3),0)</f>
        <v/>
      </c>
      <c r="AV123" s="238">
        <f>IF(ABS(AV84)&gt;0,IF(AV84&gt;0.001,AV84,_xlfn.MINIFS(AV$58:AV$92,AV$58:AV$92,"&gt;0")/3),0)</f>
        <v/>
      </c>
      <c r="AW123" s="238">
        <f>IF(ABS(AW84)&gt;0,IF(AW84&gt;0.001,AW84,_xlfn.MINIFS(AW$58:AW$92,AW$58:AW$92,"&gt;0")/3),0)</f>
        <v/>
      </c>
      <c r="AX123" s="238">
        <f>IF(ABS(AX84)&gt;0,IF(AX84&gt;0.001,AX84,_xlfn.MINIFS(AX$58:AX$92,AX$58:AX$92,"&gt;0")/3),0)</f>
        <v/>
      </c>
      <c r="AY123" s="238">
        <f>IF(ABS(AY84)&gt;0,IF(AY84&gt;0.001,AY84,_xlfn.MINIFS(AY$58:AY$92,AY$58:AY$92,"&gt;0")/3),0)</f>
        <v/>
      </c>
      <c r="AZ123" s="238">
        <f>IF(ABS(AZ84)&gt;0,IF(AZ84&gt;0.001,AZ84,_xlfn.MINIFS(AZ$58:AZ$92,AZ$58:AZ$92,"&gt;0")/3),0)</f>
        <v/>
      </c>
      <c r="BA123" s="238">
        <f>IF(ABS(BA84)&gt;0,IF(BA84&gt;0.001,BA84,_xlfn.MINIFS(BA$58:BA$92,BA$58:BA$92,"&gt;0")/3),0)</f>
        <v/>
      </c>
      <c r="BB123" s="238">
        <f>IF(ABS(BB84)&gt;0,IF(BB84&gt;0.001,BB84,_xlfn.MINIFS(BB$58:BB$92,BB$58:BB$92,"&gt;0")/3),0)</f>
        <v/>
      </c>
    </row>
    <row r="124">
      <c r="C124" s="1" t="n"/>
      <c r="D124" s="237">
        <f>D85</f>
        <v/>
      </c>
      <c r="E124" s="238">
        <f>IF(ABS(E85)&gt;0,IF(E85&gt;0.001,E85,_xlfn.MINIFS(E$58:E$92,E$58:E$92,"&gt;0")/3),0)</f>
        <v/>
      </c>
      <c r="F124" s="238">
        <f>IF(ABS(F85)&gt;0,IF(F85&gt;0.001,F85,_xlfn.MINIFS(F$58:F$92,F$58:F$92,"&gt;0")/3),0)</f>
        <v/>
      </c>
      <c r="G124" s="238">
        <f>IF(ABS(G85)&gt;0,IF(G85&gt;0.001,G85,_xlfn.MINIFS(G$58:G$92,G$58:G$92,"&gt;0")/3),0)</f>
        <v/>
      </c>
      <c r="H124" s="238">
        <f>IF(ABS(H85)&gt;0,IF(H85&gt;0.001,H85,_xlfn.MINIFS(H$58:H$92,H$58:H$92,"&gt;0")/3),0)</f>
        <v/>
      </c>
      <c r="I124" s="238">
        <f>IF(ABS(I85)&gt;0,IF(I85&gt;0.001,I85,_xlfn.MINIFS(I$58:I$92,I$58:I$92,"&gt;0")/3),0)</f>
        <v/>
      </c>
      <c r="J124" s="238">
        <f>IF(ABS(J85)&gt;0,IF(J85&gt;0.001,J85,_xlfn.MINIFS(J$58:J$92,J$58:J$92,"&gt;0")/3),0)</f>
        <v/>
      </c>
      <c r="K124" s="238">
        <f>IF(ABS(K85)&gt;0,IF(K85&gt;0.001,K85,_xlfn.MINIFS(K$58:K$92,K$58:K$92,"&gt;0")/3),0)</f>
        <v/>
      </c>
      <c r="L124" s="238">
        <f>IF(ABS(L85)&gt;0,IF(L85&gt;0.001,L85,_xlfn.MINIFS(L$58:L$92,L$58:L$92,"&gt;0")/3),0)</f>
        <v/>
      </c>
      <c r="M124" s="238">
        <f>IF(ABS(M85)&gt;0,IF(M85&gt;0.001,M85,_xlfn.MINIFS(M$58:M$92,M$58:M$92,"&gt;0")/3),0)</f>
        <v/>
      </c>
      <c r="N124" s="238">
        <f>IF(ABS(N85)&gt;0,IF(N85&gt;0.001,N85,_xlfn.MINIFS(N$58:N$92,N$58:N$92,"&gt;0")/3),0)</f>
        <v/>
      </c>
      <c r="O124" s="238">
        <f>IF(ABS(O85)&gt;0,IF(O85&gt;0.001,O85,_xlfn.MINIFS(O$58:O$92,O$58:O$92,"&gt;0")/3),0)</f>
        <v/>
      </c>
      <c r="P124" s="238">
        <f>IF(ABS(P85)&gt;0,IF(P85&gt;0.001,P85,_xlfn.MINIFS(P$58:P$92,P$58:P$92,"&gt;0")/3),0)</f>
        <v/>
      </c>
      <c r="Q124" s="238">
        <f>IF(ABS(Q85)&gt;0,IF(Q85&gt;0.001,Q85,_xlfn.MINIFS(Q$58:Q$92,Q$58:Q$92,"&gt;0")/3),0)</f>
        <v/>
      </c>
      <c r="R124" s="238">
        <f>IF(ABS(R85)&gt;0,IF(R85&gt;0.001,R85,_xlfn.MINIFS(R$58:R$92,R$58:R$92,"&gt;0")/3),0)</f>
        <v/>
      </c>
      <c r="S124" s="238">
        <f>IF(ABS(S85)&gt;0,IF(S85&gt;0.001,S85,_xlfn.MINIFS(S$58:S$92,S$58:S$92,"&gt;0")/3),0)</f>
        <v/>
      </c>
      <c r="T124" s="238">
        <f>IF(ABS(T85)&gt;0,IF(T85&gt;0.001,T85,_xlfn.MINIFS(T$58:T$92,T$58:T$92,"&gt;0")/3),0)</f>
        <v/>
      </c>
      <c r="U124" s="238">
        <f>IF(ABS(U85)&gt;0,IF(U85&gt;0.001,U85,_xlfn.MINIFS(U$58:U$92,U$58:U$92,"&gt;0")/3),0)</f>
        <v/>
      </c>
      <c r="V124" s="238">
        <f>IF(ABS(V85)&gt;0,IF(V85&gt;0.001,V85,_xlfn.MINIFS(V$58:V$92,V$58:V$92,"&gt;0")/3),0)</f>
        <v/>
      </c>
      <c r="W124" s="238">
        <f>IF(ABS(W85)&gt;0,IF(W85&gt;0.001,W85,_xlfn.MINIFS(W$58:W$92,W$58:W$92,"&gt;0")/3),0)</f>
        <v/>
      </c>
      <c r="X124" s="238">
        <f>IF(ABS(X85)&gt;0,IF(X85&gt;0.001,X85,_xlfn.MINIFS(X$58:X$92,X$58:X$92,"&gt;0")/3),0)</f>
        <v/>
      </c>
      <c r="Y124" s="238">
        <f>IF(ABS(Y85)&gt;0,IF(Y85&gt;0.001,Y85,_xlfn.MINIFS(Y$58:Y$92,Y$58:Y$92,"&gt;0")/3),0)</f>
        <v/>
      </c>
      <c r="Z124" s="238">
        <f>IF(ABS(Z85)&gt;0,IF(Z85&gt;0.001,Z85,_xlfn.MINIFS(Z$58:Z$92,Z$58:Z$92,"&gt;0")/3),0)</f>
        <v/>
      </c>
      <c r="AA124" s="238">
        <f>IF(ABS(AA85)&gt;0,IF(AA85&gt;0.001,AA85,_xlfn.MINIFS(AA$58:AA$92,AA$58:AA$92,"&gt;0")/3),0)</f>
        <v/>
      </c>
      <c r="AB124" s="238">
        <f>IF(ABS(AB85)&gt;0,IF(AB85&gt;0.001,AB85,_xlfn.MINIFS(AB$58:AB$92,AB$58:AB$92,"&gt;0")/3),0)</f>
        <v/>
      </c>
      <c r="AC124" s="238">
        <f>IF(ABS(AC85)&gt;0,IF(AC85&gt;0.001,AC85,_xlfn.MINIFS(AC$58:AC$92,AC$58:AC$92,"&gt;0")/3),0)</f>
        <v/>
      </c>
      <c r="AD124" s="238">
        <f>IF(ABS(AD85)&gt;0,IF(AD85&gt;0.001,AD85,_xlfn.MINIFS(AD$58:AD$92,AD$58:AD$92,"&gt;0")/3),0)</f>
        <v/>
      </c>
      <c r="AE124" s="238">
        <f>IF(ABS(AE85)&gt;0,IF(AE85&gt;0.001,AE85,_xlfn.MINIFS(AE$58:AE$92,AE$58:AE$92,"&gt;0")/3),0)</f>
        <v/>
      </c>
      <c r="AF124" s="238">
        <f>IF(ABS(AF85)&gt;0,IF(AF85&gt;0.001,AF85,_xlfn.MINIFS(AF$58:AF$92,AF$58:AF$92,"&gt;0")/3),0)</f>
        <v/>
      </c>
      <c r="AG124" s="238">
        <f>IF(ABS(AG85)&gt;0,IF(AG85&gt;0.001,AG85,_xlfn.MINIFS(AG$58:AG$92,AG$58:AG$92,"&gt;0")/3),0)</f>
        <v/>
      </c>
      <c r="AH124" s="238">
        <f>IF(ABS(AH85)&gt;0,IF(AH85&gt;0.001,AH85,_xlfn.MINIFS(AH$58:AH$92,AH$58:AH$92,"&gt;0")/3),0)</f>
        <v/>
      </c>
      <c r="AI124" s="238">
        <f>IF(ABS(AI85)&gt;0,IF(AI85&gt;0.001,AI85,_xlfn.MINIFS(AI$58:AI$92,AI$58:AI$92,"&gt;0")/3),0)</f>
        <v/>
      </c>
      <c r="AJ124" s="238">
        <f>IF(ABS(AJ85)&gt;0,IF(AJ85&gt;0.001,AJ85,_xlfn.MINIFS(AJ$58:AJ$92,AJ$58:AJ$92,"&gt;0")/3),0)</f>
        <v/>
      </c>
      <c r="AK124" s="238">
        <f>IF(ABS(AK85)&gt;0,IF(AK85&gt;0.001,AK85,_xlfn.MINIFS(AK$58:AK$92,AK$58:AK$92,"&gt;0")/3),0)</f>
        <v/>
      </c>
      <c r="AL124" s="238">
        <f>IF(ABS(AL85)&gt;0,IF(AL85&gt;0.001,AL85,_xlfn.MINIFS(AL$58:AL$92,AL$58:AL$92,"&gt;0")/3),0)</f>
        <v/>
      </c>
      <c r="AM124" s="238">
        <f>IF(ABS(AM85)&gt;0,IF(AM85&gt;0.001,AM85,_xlfn.MINIFS(AM$58:AM$92,AM$58:AM$92,"&gt;0")/3),0)</f>
        <v/>
      </c>
      <c r="AN124" s="238">
        <f>IF(ABS(AN85)&gt;0,IF(AN85&gt;0.001,AN85,_xlfn.MINIFS(AN$58:AN$92,AN$58:AN$92,"&gt;0")/3),0)</f>
        <v/>
      </c>
      <c r="AO124" s="238">
        <f>IF(ABS(AO85)&gt;0,IF(AO85&gt;0.001,AO85,_xlfn.MINIFS(AO$58:AO$92,AO$58:AO$92,"&gt;0")/3),0)</f>
        <v/>
      </c>
      <c r="AP124" s="238">
        <f>IF(ABS(AP85)&gt;0,IF(AP85&gt;0.001,AP85,_xlfn.MINIFS(AP$58:AP$92,AP$58:AP$92,"&gt;0")/3),0)</f>
        <v/>
      </c>
      <c r="AQ124" s="238">
        <f>IF(ABS(AQ85)&gt;0,IF(AQ85&gt;0.001,AQ85,_xlfn.MINIFS(AQ$58:AQ$92,AQ$58:AQ$92,"&gt;0")/3),0)</f>
        <v/>
      </c>
      <c r="AR124" s="238">
        <f>IF(ABS(AR85)&gt;0,IF(AR85&gt;0.001,AR85,_xlfn.MINIFS(AR$58:AR$92,AR$58:AR$92,"&gt;0")/3),0)</f>
        <v/>
      </c>
      <c r="AS124" s="238">
        <f>IF(ABS(AS85)&gt;0,IF(AS85&gt;0.001,AS85,_xlfn.MINIFS(AS$58:AS$92,AS$58:AS$92,"&gt;0")/3),0)</f>
        <v/>
      </c>
      <c r="AT124" s="238">
        <f>IF(ABS(AT85)&gt;0,IF(AT85&gt;0.001,AT85,_xlfn.MINIFS(AT$58:AT$92,AT$58:AT$92,"&gt;0")/3),0)</f>
        <v/>
      </c>
      <c r="AU124" s="238">
        <f>IF(ABS(AU85)&gt;0,IF(AU85&gt;0.001,AU85,_xlfn.MINIFS(AU$58:AU$92,AU$58:AU$92,"&gt;0")/3),0)</f>
        <v/>
      </c>
      <c r="AV124" s="238">
        <f>IF(ABS(AV85)&gt;0,IF(AV85&gt;0.001,AV85,_xlfn.MINIFS(AV$58:AV$92,AV$58:AV$92,"&gt;0")/3),0)</f>
        <v/>
      </c>
      <c r="AW124" s="238">
        <f>IF(ABS(AW85)&gt;0,IF(AW85&gt;0.001,AW85,_xlfn.MINIFS(AW$58:AW$92,AW$58:AW$92,"&gt;0")/3),0)</f>
        <v/>
      </c>
      <c r="AX124" s="238">
        <f>IF(ABS(AX85)&gt;0,IF(AX85&gt;0.001,AX85,_xlfn.MINIFS(AX$58:AX$92,AX$58:AX$92,"&gt;0")/3),0)</f>
        <v/>
      </c>
      <c r="AY124" s="238">
        <f>IF(ABS(AY85)&gt;0,IF(AY85&gt;0.001,AY85,_xlfn.MINIFS(AY$58:AY$92,AY$58:AY$92,"&gt;0")/3),0)</f>
        <v/>
      </c>
      <c r="AZ124" s="238">
        <f>IF(ABS(AZ85)&gt;0,IF(AZ85&gt;0.001,AZ85,_xlfn.MINIFS(AZ$58:AZ$92,AZ$58:AZ$92,"&gt;0")/3),0)</f>
        <v/>
      </c>
      <c r="BA124" s="238">
        <f>IF(ABS(BA85)&gt;0,IF(BA85&gt;0.001,BA85,_xlfn.MINIFS(BA$58:BA$92,BA$58:BA$92,"&gt;0")/3),0)</f>
        <v/>
      </c>
      <c r="BB124" s="238">
        <f>IF(ABS(BB85)&gt;0,IF(BB85&gt;0.001,BB85,_xlfn.MINIFS(BB$58:BB$92,BB$58:BB$92,"&gt;0")/3),0)</f>
        <v/>
      </c>
    </row>
    <row r="125">
      <c r="C125" s="1" t="n"/>
      <c r="D125" s="237">
        <f>D86</f>
        <v/>
      </c>
      <c r="E125" s="238">
        <f>IF(ABS(E86)&gt;0,IF(E86&gt;0.001,E86,_xlfn.MINIFS(E$58:E$92,E$58:E$92,"&gt;0")/3),0)</f>
        <v/>
      </c>
      <c r="F125" s="238">
        <f>IF(ABS(F86)&gt;0,IF(F86&gt;0.001,F86,_xlfn.MINIFS(F$58:F$92,F$58:F$92,"&gt;0")/3),0)</f>
        <v/>
      </c>
      <c r="G125" s="238">
        <f>IF(ABS(G86)&gt;0,IF(G86&gt;0.001,G86,_xlfn.MINIFS(G$58:G$92,G$58:G$92,"&gt;0")/3),0)</f>
        <v/>
      </c>
      <c r="H125" s="238">
        <f>IF(ABS(H86)&gt;0,IF(H86&gt;0.001,H86,_xlfn.MINIFS(H$58:H$92,H$58:H$92,"&gt;0")/3),0)</f>
        <v/>
      </c>
      <c r="I125" s="238">
        <f>IF(ABS(I86)&gt;0,IF(I86&gt;0.001,I86,_xlfn.MINIFS(I$58:I$92,I$58:I$92,"&gt;0")/3),0)</f>
        <v/>
      </c>
      <c r="J125" s="238">
        <f>IF(ABS(J86)&gt;0,IF(J86&gt;0.001,J86,_xlfn.MINIFS(J$58:J$92,J$58:J$92,"&gt;0")/3),0)</f>
        <v/>
      </c>
      <c r="K125" s="238">
        <f>IF(ABS(K86)&gt;0,IF(K86&gt;0.001,K86,_xlfn.MINIFS(K$58:K$92,K$58:K$92,"&gt;0")/3),0)</f>
        <v/>
      </c>
      <c r="L125" s="238">
        <f>IF(ABS(L86)&gt;0,IF(L86&gt;0.001,L86,_xlfn.MINIFS(L$58:L$92,L$58:L$92,"&gt;0")/3),0)</f>
        <v/>
      </c>
      <c r="M125" s="238">
        <f>IF(ABS(M86)&gt;0,IF(M86&gt;0.001,M86,_xlfn.MINIFS(M$58:M$92,M$58:M$92,"&gt;0")/3),0)</f>
        <v/>
      </c>
      <c r="N125" s="238">
        <f>IF(ABS(N86)&gt;0,IF(N86&gt;0.001,N86,_xlfn.MINIFS(N$58:N$92,N$58:N$92,"&gt;0")/3),0)</f>
        <v/>
      </c>
      <c r="O125" s="238">
        <f>IF(ABS(O86)&gt;0,IF(O86&gt;0.001,O86,_xlfn.MINIFS(O$58:O$92,O$58:O$92,"&gt;0")/3),0)</f>
        <v/>
      </c>
      <c r="P125" s="238">
        <f>IF(ABS(P86)&gt;0,IF(P86&gt;0.001,P86,_xlfn.MINIFS(P$58:P$92,P$58:P$92,"&gt;0")/3),0)</f>
        <v/>
      </c>
      <c r="Q125" s="238">
        <f>IF(ABS(Q86)&gt;0,IF(Q86&gt;0.001,Q86,_xlfn.MINIFS(Q$58:Q$92,Q$58:Q$92,"&gt;0")/3),0)</f>
        <v/>
      </c>
      <c r="R125" s="238">
        <f>IF(ABS(R86)&gt;0,IF(R86&gt;0.001,R86,_xlfn.MINIFS(R$58:R$92,R$58:R$92,"&gt;0")/3),0)</f>
        <v/>
      </c>
      <c r="S125" s="238">
        <f>IF(ABS(S86)&gt;0,IF(S86&gt;0.001,S86,_xlfn.MINIFS(S$58:S$92,S$58:S$92,"&gt;0")/3),0)</f>
        <v/>
      </c>
      <c r="T125" s="238">
        <f>IF(ABS(T86)&gt;0,IF(T86&gt;0.001,T86,_xlfn.MINIFS(T$58:T$92,T$58:T$92,"&gt;0")/3),0)</f>
        <v/>
      </c>
      <c r="U125" s="238">
        <f>IF(ABS(U86)&gt;0,IF(U86&gt;0.001,U86,_xlfn.MINIFS(U$58:U$92,U$58:U$92,"&gt;0")/3),0)</f>
        <v/>
      </c>
      <c r="V125" s="238">
        <f>IF(ABS(V86)&gt;0,IF(V86&gt;0.001,V86,_xlfn.MINIFS(V$58:V$92,V$58:V$92,"&gt;0")/3),0)</f>
        <v/>
      </c>
      <c r="W125" s="238">
        <f>IF(ABS(W86)&gt;0,IF(W86&gt;0.001,W86,_xlfn.MINIFS(W$58:W$92,W$58:W$92,"&gt;0")/3),0)</f>
        <v/>
      </c>
      <c r="X125" s="238">
        <f>IF(ABS(X86)&gt;0,IF(X86&gt;0.001,X86,_xlfn.MINIFS(X$58:X$92,X$58:X$92,"&gt;0")/3),0)</f>
        <v/>
      </c>
      <c r="Y125" s="238">
        <f>IF(ABS(Y86)&gt;0,IF(Y86&gt;0.001,Y86,_xlfn.MINIFS(Y$58:Y$92,Y$58:Y$92,"&gt;0")/3),0)</f>
        <v/>
      </c>
      <c r="Z125" s="238">
        <f>IF(ABS(Z86)&gt;0,IF(Z86&gt;0.001,Z86,_xlfn.MINIFS(Z$58:Z$92,Z$58:Z$92,"&gt;0")/3),0)</f>
        <v/>
      </c>
      <c r="AA125" s="238">
        <f>IF(ABS(AA86)&gt;0,IF(AA86&gt;0.001,AA86,_xlfn.MINIFS(AA$58:AA$92,AA$58:AA$92,"&gt;0")/3),0)</f>
        <v/>
      </c>
      <c r="AB125" s="238">
        <f>IF(ABS(AB86)&gt;0,IF(AB86&gt;0.001,AB86,_xlfn.MINIFS(AB$58:AB$92,AB$58:AB$92,"&gt;0")/3),0)</f>
        <v/>
      </c>
      <c r="AC125" s="238">
        <f>IF(ABS(AC86)&gt;0,IF(AC86&gt;0.001,AC86,_xlfn.MINIFS(AC$58:AC$92,AC$58:AC$92,"&gt;0")/3),0)</f>
        <v/>
      </c>
      <c r="AD125" s="238">
        <f>IF(ABS(AD86)&gt;0,IF(AD86&gt;0.001,AD86,_xlfn.MINIFS(AD$58:AD$92,AD$58:AD$92,"&gt;0")/3),0)</f>
        <v/>
      </c>
      <c r="AE125" s="238">
        <f>IF(ABS(AE86)&gt;0,IF(AE86&gt;0.001,AE86,_xlfn.MINIFS(AE$58:AE$92,AE$58:AE$92,"&gt;0")/3),0)</f>
        <v/>
      </c>
      <c r="AF125" s="238">
        <f>IF(ABS(AF86)&gt;0,IF(AF86&gt;0.001,AF86,_xlfn.MINIFS(AF$58:AF$92,AF$58:AF$92,"&gt;0")/3),0)</f>
        <v/>
      </c>
      <c r="AG125" s="238">
        <f>IF(ABS(AG86)&gt;0,IF(AG86&gt;0.001,AG86,_xlfn.MINIFS(AG$58:AG$92,AG$58:AG$92,"&gt;0")/3),0)</f>
        <v/>
      </c>
      <c r="AH125" s="238">
        <f>IF(ABS(AH86)&gt;0,IF(AH86&gt;0.001,AH86,_xlfn.MINIFS(AH$58:AH$92,AH$58:AH$92,"&gt;0")/3),0)</f>
        <v/>
      </c>
      <c r="AI125" s="238">
        <f>IF(ABS(AI86)&gt;0,IF(AI86&gt;0.001,AI86,_xlfn.MINIFS(AI$58:AI$92,AI$58:AI$92,"&gt;0")/3),0)</f>
        <v/>
      </c>
      <c r="AJ125" s="238">
        <f>IF(ABS(AJ86)&gt;0,IF(AJ86&gt;0.001,AJ86,_xlfn.MINIFS(AJ$58:AJ$92,AJ$58:AJ$92,"&gt;0")/3),0)</f>
        <v/>
      </c>
      <c r="AK125" s="238">
        <f>IF(ABS(AK86)&gt;0,IF(AK86&gt;0.001,AK86,_xlfn.MINIFS(AK$58:AK$92,AK$58:AK$92,"&gt;0")/3),0)</f>
        <v/>
      </c>
      <c r="AL125" s="238">
        <f>IF(ABS(AL86)&gt;0,IF(AL86&gt;0.001,AL86,_xlfn.MINIFS(AL$58:AL$92,AL$58:AL$92,"&gt;0")/3),0)</f>
        <v/>
      </c>
      <c r="AM125" s="238">
        <f>IF(ABS(AM86)&gt;0,IF(AM86&gt;0.001,AM86,_xlfn.MINIFS(AM$58:AM$92,AM$58:AM$92,"&gt;0")/3),0)</f>
        <v/>
      </c>
      <c r="AN125" s="238">
        <f>IF(ABS(AN86)&gt;0,IF(AN86&gt;0.001,AN86,_xlfn.MINIFS(AN$58:AN$92,AN$58:AN$92,"&gt;0")/3),0)</f>
        <v/>
      </c>
      <c r="AO125" s="238">
        <f>IF(ABS(AO86)&gt;0,IF(AO86&gt;0.001,AO86,_xlfn.MINIFS(AO$58:AO$92,AO$58:AO$92,"&gt;0")/3),0)</f>
        <v/>
      </c>
      <c r="AP125" s="238">
        <f>IF(ABS(AP86)&gt;0,IF(AP86&gt;0.001,AP86,_xlfn.MINIFS(AP$58:AP$92,AP$58:AP$92,"&gt;0")/3),0)</f>
        <v/>
      </c>
      <c r="AQ125" s="238">
        <f>IF(ABS(AQ86)&gt;0,IF(AQ86&gt;0.001,AQ86,_xlfn.MINIFS(AQ$58:AQ$92,AQ$58:AQ$92,"&gt;0")/3),0)</f>
        <v/>
      </c>
      <c r="AR125" s="238">
        <f>IF(ABS(AR86)&gt;0,IF(AR86&gt;0.001,AR86,_xlfn.MINIFS(AR$58:AR$92,AR$58:AR$92,"&gt;0")/3),0)</f>
        <v/>
      </c>
      <c r="AS125" s="238">
        <f>IF(ABS(AS86)&gt;0,IF(AS86&gt;0.001,AS86,_xlfn.MINIFS(AS$58:AS$92,AS$58:AS$92,"&gt;0")/3),0)</f>
        <v/>
      </c>
      <c r="AT125" s="238">
        <f>IF(ABS(AT86)&gt;0,IF(AT86&gt;0.001,AT86,_xlfn.MINIFS(AT$58:AT$92,AT$58:AT$92,"&gt;0")/3),0)</f>
        <v/>
      </c>
      <c r="AU125" s="238">
        <f>IF(ABS(AU86)&gt;0,IF(AU86&gt;0.001,AU86,_xlfn.MINIFS(AU$58:AU$92,AU$58:AU$92,"&gt;0")/3),0)</f>
        <v/>
      </c>
      <c r="AV125" s="238">
        <f>IF(ABS(AV86)&gt;0,IF(AV86&gt;0.001,AV86,_xlfn.MINIFS(AV$58:AV$92,AV$58:AV$92,"&gt;0")/3),0)</f>
        <v/>
      </c>
      <c r="AW125" s="238">
        <f>IF(ABS(AW86)&gt;0,IF(AW86&gt;0.001,AW86,_xlfn.MINIFS(AW$58:AW$92,AW$58:AW$92,"&gt;0")/3),0)</f>
        <v/>
      </c>
      <c r="AX125" s="238">
        <f>IF(ABS(AX86)&gt;0,IF(AX86&gt;0.001,AX86,_xlfn.MINIFS(AX$58:AX$92,AX$58:AX$92,"&gt;0")/3),0)</f>
        <v/>
      </c>
      <c r="AY125" s="238">
        <f>IF(ABS(AY86)&gt;0,IF(AY86&gt;0.001,AY86,_xlfn.MINIFS(AY$58:AY$92,AY$58:AY$92,"&gt;0")/3),0)</f>
        <v/>
      </c>
      <c r="AZ125" s="238">
        <f>IF(ABS(AZ86)&gt;0,IF(AZ86&gt;0.001,AZ86,_xlfn.MINIFS(AZ$58:AZ$92,AZ$58:AZ$92,"&gt;0")/3),0)</f>
        <v/>
      </c>
      <c r="BA125" s="238">
        <f>IF(ABS(BA86)&gt;0,IF(BA86&gt;0.001,BA86,_xlfn.MINIFS(BA$58:BA$92,BA$58:BA$92,"&gt;0")/3),0)</f>
        <v/>
      </c>
      <c r="BB125" s="238">
        <f>IF(ABS(BB86)&gt;0,IF(BB86&gt;0.001,BB86,_xlfn.MINIFS(BB$58:BB$92,BB$58:BB$92,"&gt;0")/3),0)</f>
        <v/>
      </c>
    </row>
    <row r="126">
      <c r="C126" s="1" t="n"/>
      <c r="D126" s="237">
        <f>D87</f>
        <v/>
      </c>
      <c r="E126" s="238">
        <f>IF(ABS(E87)&gt;0,IF(E87&gt;0.001,E87,_xlfn.MINIFS(E$58:E$92,E$58:E$92,"&gt;0")/3),0)</f>
        <v/>
      </c>
      <c r="F126" s="238">
        <f>IF(ABS(F87)&gt;0,IF(F87&gt;0.001,F87,_xlfn.MINIFS(F$58:F$92,F$58:F$92,"&gt;0")/3),0)</f>
        <v/>
      </c>
      <c r="G126" s="238">
        <f>IF(ABS(G87)&gt;0,IF(G87&gt;0.001,G87,_xlfn.MINIFS(G$58:G$92,G$58:G$92,"&gt;0")/3),0)</f>
        <v/>
      </c>
      <c r="H126" s="238">
        <f>IF(ABS(H87)&gt;0,IF(H87&gt;0.001,H87,_xlfn.MINIFS(H$58:H$92,H$58:H$92,"&gt;0")/3),0)</f>
        <v/>
      </c>
      <c r="I126" s="238">
        <f>IF(ABS(I87)&gt;0,IF(I87&gt;0.001,I87,_xlfn.MINIFS(I$58:I$92,I$58:I$92,"&gt;0")/3),0)</f>
        <v/>
      </c>
      <c r="J126" s="238">
        <f>IF(ABS(J87)&gt;0,IF(J87&gt;0.001,J87,_xlfn.MINIFS(J$58:J$92,J$58:J$92,"&gt;0")/3),0)</f>
        <v/>
      </c>
      <c r="K126" s="238">
        <f>IF(ABS(K87)&gt;0,IF(K87&gt;0.001,K87,_xlfn.MINIFS(K$58:K$92,K$58:K$92,"&gt;0")/3),0)</f>
        <v/>
      </c>
      <c r="L126" s="238">
        <f>IF(ABS(L87)&gt;0,IF(L87&gt;0.001,L87,_xlfn.MINIFS(L$58:L$92,L$58:L$92,"&gt;0")/3),0)</f>
        <v/>
      </c>
      <c r="M126" s="238">
        <f>IF(ABS(M87)&gt;0,IF(M87&gt;0.001,M87,_xlfn.MINIFS(M$58:M$92,M$58:M$92,"&gt;0")/3),0)</f>
        <v/>
      </c>
      <c r="N126" s="238">
        <f>IF(ABS(N87)&gt;0,IF(N87&gt;0.001,N87,_xlfn.MINIFS(N$58:N$92,N$58:N$92,"&gt;0")/3),0)</f>
        <v/>
      </c>
      <c r="O126" s="238">
        <f>IF(ABS(O87)&gt;0,IF(O87&gt;0.001,O87,_xlfn.MINIFS(O$58:O$92,O$58:O$92,"&gt;0")/3),0)</f>
        <v/>
      </c>
      <c r="P126" s="238">
        <f>IF(ABS(P87)&gt;0,IF(P87&gt;0.001,P87,_xlfn.MINIFS(P$58:P$92,P$58:P$92,"&gt;0")/3),0)</f>
        <v/>
      </c>
      <c r="Q126" s="238">
        <f>IF(ABS(Q87)&gt;0,IF(Q87&gt;0.001,Q87,_xlfn.MINIFS(Q$58:Q$92,Q$58:Q$92,"&gt;0")/3),0)</f>
        <v/>
      </c>
      <c r="R126" s="238">
        <f>IF(ABS(R87)&gt;0,IF(R87&gt;0.001,R87,_xlfn.MINIFS(R$58:R$92,R$58:R$92,"&gt;0")/3),0)</f>
        <v/>
      </c>
      <c r="S126" s="238">
        <f>IF(ABS(S87)&gt;0,IF(S87&gt;0.001,S87,_xlfn.MINIFS(S$58:S$92,S$58:S$92,"&gt;0")/3),0)</f>
        <v/>
      </c>
      <c r="T126" s="238">
        <f>IF(ABS(T87)&gt;0,IF(T87&gt;0.001,T87,_xlfn.MINIFS(T$58:T$92,T$58:T$92,"&gt;0")/3),0)</f>
        <v/>
      </c>
      <c r="U126" s="238">
        <f>IF(ABS(U87)&gt;0,IF(U87&gt;0.001,U87,_xlfn.MINIFS(U$58:U$92,U$58:U$92,"&gt;0")/3),0)</f>
        <v/>
      </c>
      <c r="V126" s="238">
        <f>IF(ABS(V87)&gt;0,IF(V87&gt;0.001,V87,_xlfn.MINIFS(V$58:V$92,V$58:V$92,"&gt;0")/3),0)</f>
        <v/>
      </c>
      <c r="W126" s="238">
        <f>IF(ABS(W87)&gt;0,IF(W87&gt;0.001,W87,_xlfn.MINIFS(W$58:W$92,W$58:W$92,"&gt;0")/3),0)</f>
        <v/>
      </c>
      <c r="X126" s="238">
        <f>IF(ABS(X87)&gt;0,IF(X87&gt;0.001,X87,_xlfn.MINIFS(X$58:X$92,X$58:X$92,"&gt;0")/3),0)</f>
        <v/>
      </c>
      <c r="Y126" s="238">
        <f>IF(ABS(Y87)&gt;0,IF(Y87&gt;0.001,Y87,_xlfn.MINIFS(Y$58:Y$92,Y$58:Y$92,"&gt;0")/3),0)</f>
        <v/>
      </c>
      <c r="Z126" s="238">
        <f>IF(ABS(Z87)&gt;0,IF(Z87&gt;0.001,Z87,_xlfn.MINIFS(Z$58:Z$92,Z$58:Z$92,"&gt;0")/3),0)</f>
        <v/>
      </c>
      <c r="AA126" s="238">
        <f>IF(ABS(AA87)&gt;0,IF(AA87&gt;0.001,AA87,_xlfn.MINIFS(AA$58:AA$92,AA$58:AA$92,"&gt;0")/3),0)</f>
        <v/>
      </c>
      <c r="AB126" s="238">
        <f>IF(ABS(AB87)&gt;0,IF(AB87&gt;0.001,AB87,_xlfn.MINIFS(AB$58:AB$92,AB$58:AB$92,"&gt;0")/3),0)</f>
        <v/>
      </c>
      <c r="AC126" s="238">
        <f>IF(ABS(AC87)&gt;0,IF(AC87&gt;0.001,AC87,_xlfn.MINIFS(AC$58:AC$92,AC$58:AC$92,"&gt;0")/3),0)</f>
        <v/>
      </c>
      <c r="AD126" s="238">
        <f>IF(ABS(AD87)&gt;0,IF(AD87&gt;0.001,AD87,_xlfn.MINIFS(AD$58:AD$92,AD$58:AD$92,"&gt;0")/3),0)</f>
        <v/>
      </c>
      <c r="AE126" s="238">
        <f>IF(ABS(AE87)&gt;0,IF(AE87&gt;0.001,AE87,_xlfn.MINIFS(AE$58:AE$92,AE$58:AE$92,"&gt;0")/3),0)</f>
        <v/>
      </c>
      <c r="AF126" s="238">
        <f>IF(ABS(AF87)&gt;0,IF(AF87&gt;0.001,AF87,_xlfn.MINIFS(AF$58:AF$92,AF$58:AF$92,"&gt;0")/3),0)</f>
        <v/>
      </c>
      <c r="AG126" s="238">
        <f>IF(ABS(AG87)&gt;0,IF(AG87&gt;0.001,AG87,_xlfn.MINIFS(AG$58:AG$92,AG$58:AG$92,"&gt;0")/3),0)</f>
        <v/>
      </c>
      <c r="AH126" s="238">
        <f>IF(ABS(AH87)&gt;0,IF(AH87&gt;0.001,AH87,_xlfn.MINIFS(AH$58:AH$92,AH$58:AH$92,"&gt;0")/3),0)</f>
        <v/>
      </c>
      <c r="AI126" s="238">
        <f>IF(ABS(AI87)&gt;0,IF(AI87&gt;0.001,AI87,_xlfn.MINIFS(AI$58:AI$92,AI$58:AI$92,"&gt;0")/3),0)</f>
        <v/>
      </c>
      <c r="AJ126" s="238">
        <f>IF(ABS(AJ87)&gt;0,IF(AJ87&gt;0.001,AJ87,_xlfn.MINIFS(AJ$58:AJ$92,AJ$58:AJ$92,"&gt;0")/3),0)</f>
        <v/>
      </c>
      <c r="AK126" s="238">
        <f>IF(ABS(AK87)&gt;0,IF(AK87&gt;0.001,AK87,_xlfn.MINIFS(AK$58:AK$92,AK$58:AK$92,"&gt;0")/3),0)</f>
        <v/>
      </c>
      <c r="AL126" s="238">
        <f>IF(ABS(AL87)&gt;0,IF(AL87&gt;0.001,AL87,_xlfn.MINIFS(AL$58:AL$92,AL$58:AL$92,"&gt;0")/3),0)</f>
        <v/>
      </c>
      <c r="AM126" s="238">
        <f>IF(ABS(AM87)&gt;0,IF(AM87&gt;0.001,AM87,_xlfn.MINIFS(AM$58:AM$92,AM$58:AM$92,"&gt;0")/3),0)</f>
        <v/>
      </c>
      <c r="AN126" s="238">
        <f>IF(ABS(AN87)&gt;0,IF(AN87&gt;0.001,AN87,_xlfn.MINIFS(AN$58:AN$92,AN$58:AN$92,"&gt;0")/3),0)</f>
        <v/>
      </c>
      <c r="AO126" s="238">
        <f>IF(ABS(AO87)&gt;0,IF(AO87&gt;0.001,AO87,_xlfn.MINIFS(AO$58:AO$92,AO$58:AO$92,"&gt;0")/3),0)</f>
        <v/>
      </c>
      <c r="AP126" s="238">
        <f>IF(ABS(AP87)&gt;0,IF(AP87&gt;0.001,AP87,_xlfn.MINIFS(AP$58:AP$92,AP$58:AP$92,"&gt;0")/3),0)</f>
        <v/>
      </c>
      <c r="AQ126" s="238">
        <f>IF(ABS(AQ87)&gt;0,IF(AQ87&gt;0.001,AQ87,_xlfn.MINIFS(AQ$58:AQ$92,AQ$58:AQ$92,"&gt;0")/3),0)</f>
        <v/>
      </c>
      <c r="AR126" s="238">
        <f>IF(ABS(AR87)&gt;0,IF(AR87&gt;0.001,AR87,_xlfn.MINIFS(AR$58:AR$92,AR$58:AR$92,"&gt;0")/3),0)</f>
        <v/>
      </c>
      <c r="AS126" s="238">
        <f>IF(ABS(AS87)&gt;0,IF(AS87&gt;0.001,AS87,_xlfn.MINIFS(AS$58:AS$92,AS$58:AS$92,"&gt;0")/3),0)</f>
        <v/>
      </c>
      <c r="AT126" s="238">
        <f>IF(ABS(AT87)&gt;0,IF(AT87&gt;0.001,AT87,_xlfn.MINIFS(AT$58:AT$92,AT$58:AT$92,"&gt;0")/3),0)</f>
        <v/>
      </c>
      <c r="AU126" s="238">
        <f>IF(ABS(AU87)&gt;0,IF(AU87&gt;0.001,AU87,_xlfn.MINIFS(AU$58:AU$92,AU$58:AU$92,"&gt;0")/3),0)</f>
        <v/>
      </c>
      <c r="AV126" s="238">
        <f>IF(ABS(AV87)&gt;0,IF(AV87&gt;0.001,AV87,_xlfn.MINIFS(AV$58:AV$92,AV$58:AV$92,"&gt;0")/3),0)</f>
        <v/>
      </c>
      <c r="AW126" s="238">
        <f>IF(ABS(AW87)&gt;0,IF(AW87&gt;0.001,AW87,_xlfn.MINIFS(AW$58:AW$92,AW$58:AW$92,"&gt;0")/3),0)</f>
        <v/>
      </c>
      <c r="AX126" s="238">
        <f>IF(ABS(AX87)&gt;0,IF(AX87&gt;0.001,AX87,_xlfn.MINIFS(AX$58:AX$92,AX$58:AX$92,"&gt;0")/3),0)</f>
        <v/>
      </c>
      <c r="AY126" s="238">
        <f>IF(ABS(AY87)&gt;0,IF(AY87&gt;0.001,AY87,_xlfn.MINIFS(AY$58:AY$92,AY$58:AY$92,"&gt;0")/3),0)</f>
        <v/>
      </c>
      <c r="AZ126" s="238">
        <f>IF(ABS(AZ87)&gt;0,IF(AZ87&gt;0.001,AZ87,_xlfn.MINIFS(AZ$58:AZ$92,AZ$58:AZ$92,"&gt;0")/3),0)</f>
        <v/>
      </c>
      <c r="BA126" s="238">
        <f>IF(ABS(BA87)&gt;0,IF(BA87&gt;0.001,BA87,_xlfn.MINIFS(BA$58:BA$92,BA$58:BA$92,"&gt;0")/3),0)</f>
        <v/>
      </c>
      <c r="BB126" s="238">
        <f>IF(ABS(BB87)&gt;0,IF(BB87&gt;0.001,BB87,_xlfn.MINIFS(BB$58:BB$92,BB$58:BB$92,"&gt;0")/3),0)</f>
        <v/>
      </c>
    </row>
    <row r="127">
      <c r="C127" s="1" t="n"/>
      <c r="D127" s="237">
        <f>D88</f>
        <v/>
      </c>
      <c r="E127" s="238">
        <f>IF(ABS(E88)&gt;0,IF(E88&gt;0.001,E88,_xlfn.MINIFS(E$58:E$92,E$58:E$92,"&gt;0")/3),0)</f>
        <v/>
      </c>
      <c r="F127" s="238">
        <f>IF(ABS(F88)&gt;0,IF(F88&gt;0.001,F88,_xlfn.MINIFS(F$58:F$92,F$58:F$92,"&gt;0")/3),0)</f>
        <v/>
      </c>
      <c r="G127" s="238">
        <f>IF(ABS(G88)&gt;0,IF(G88&gt;0.001,G88,_xlfn.MINIFS(G$58:G$92,G$58:G$92,"&gt;0")/3),0)</f>
        <v/>
      </c>
      <c r="H127" s="238">
        <f>IF(ABS(H88)&gt;0,IF(H88&gt;0.001,H88,_xlfn.MINIFS(H$58:H$92,H$58:H$92,"&gt;0")/3),0)</f>
        <v/>
      </c>
      <c r="I127" s="238">
        <f>IF(ABS(I88)&gt;0,IF(I88&gt;0.001,I88,_xlfn.MINIFS(I$58:I$92,I$58:I$92,"&gt;0")/3),0)</f>
        <v/>
      </c>
      <c r="J127" s="238">
        <f>IF(ABS(J88)&gt;0,IF(J88&gt;0.001,J88,_xlfn.MINIFS(J$58:J$92,J$58:J$92,"&gt;0")/3),0)</f>
        <v/>
      </c>
      <c r="K127" s="238">
        <f>IF(ABS(K88)&gt;0,IF(K88&gt;0.001,K88,_xlfn.MINIFS(K$58:K$92,K$58:K$92,"&gt;0")/3),0)</f>
        <v/>
      </c>
      <c r="L127" s="238">
        <f>IF(ABS(L88)&gt;0,IF(L88&gt;0.001,L88,_xlfn.MINIFS(L$58:L$92,L$58:L$92,"&gt;0")/3),0)</f>
        <v/>
      </c>
      <c r="M127" s="238">
        <f>IF(ABS(M88)&gt;0,IF(M88&gt;0.001,M88,_xlfn.MINIFS(M$58:M$92,M$58:M$92,"&gt;0")/3),0)</f>
        <v/>
      </c>
      <c r="N127" s="238">
        <f>IF(ABS(N88)&gt;0,IF(N88&gt;0.001,N88,_xlfn.MINIFS(N$58:N$92,N$58:N$92,"&gt;0")/3),0)</f>
        <v/>
      </c>
      <c r="O127" s="238">
        <f>IF(ABS(O88)&gt;0,IF(O88&gt;0.001,O88,_xlfn.MINIFS(O$58:O$92,O$58:O$92,"&gt;0")/3),0)</f>
        <v/>
      </c>
      <c r="P127" s="238">
        <f>IF(ABS(P88)&gt;0,IF(P88&gt;0.001,P88,_xlfn.MINIFS(P$58:P$92,P$58:P$92,"&gt;0")/3),0)</f>
        <v/>
      </c>
      <c r="Q127" s="238">
        <f>IF(ABS(Q88)&gt;0,IF(Q88&gt;0.001,Q88,_xlfn.MINIFS(Q$58:Q$92,Q$58:Q$92,"&gt;0")/3),0)</f>
        <v/>
      </c>
      <c r="R127" s="238">
        <f>IF(ABS(R88)&gt;0,IF(R88&gt;0.001,R88,_xlfn.MINIFS(R$58:R$92,R$58:R$92,"&gt;0")/3),0)</f>
        <v/>
      </c>
      <c r="S127" s="238">
        <f>IF(ABS(S88)&gt;0,IF(S88&gt;0.001,S88,_xlfn.MINIFS(S$58:S$92,S$58:S$92,"&gt;0")/3),0)</f>
        <v/>
      </c>
      <c r="T127" s="238">
        <f>IF(ABS(T88)&gt;0,IF(T88&gt;0.001,T88,_xlfn.MINIFS(T$58:T$92,T$58:T$92,"&gt;0")/3),0)</f>
        <v/>
      </c>
      <c r="U127" s="238">
        <f>IF(ABS(U88)&gt;0,IF(U88&gt;0.001,U88,_xlfn.MINIFS(U$58:U$92,U$58:U$92,"&gt;0")/3),0)</f>
        <v/>
      </c>
      <c r="V127" s="238">
        <f>IF(ABS(V88)&gt;0,IF(V88&gt;0.001,V88,_xlfn.MINIFS(V$58:V$92,V$58:V$92,"&gt;0")/3),0)</f>
        <v/>
      </c>
      <c r="W127" s="238">
        <f>IF(ABS(W88)&gt;0,IF(W88&gt;0.001,W88,_xlfn.MINIFS(W$58:W$92,W$58:W$92,"&gt;0")/3),0)</f>
        <v/>
      </c>
      <c r="X127" s="238">
        <f>IF(ABS(X88)&gt;0,IF(X88&gt;0.001,X88,_xlfn.MINIFS(X$58:X$92,X$58:X$92,"&gt;0")/3),0)</f>
        <v/>
      </c>
      <c r="Y127" s="238">
        <f>IF(ABS(Y88)&gt;0,IF(Y88&gt;0.001,Y88,_xlfn.MINIFS(Y$58:Y$92,Y$58:Y$92,"&gt;0")/3),0)</f>
        <v/>
      </c>
      <c r="Z127" s="238">
        <f>IF(ABS(Z88)&gt;0,IF(Z88&gt;0.001,Z88,_xlfn.MINIFS(Z$58:Z$92,Z$58:Z$92,"&gt;0")/3),0)</f>
        <v/>
      </c>
      <c r="AA127" s="238">
        <f>IF(ABS(AA88)&gt;0,IF(AA88&gt;0.001,AA88,_xlfn.MINIFS(AA$58:AA$92,AA$58:AA$92,"&gt;0")/3),0)</f>
        <v/>
      </c>
      <c r="AB127" s="238">
        <f>IF(ABS(AB88)&gt;0,IF(AB88&gt;0.001,AB88,_xlfn.MINIFS(AB$58:AB$92,AB$58:AB$92,"&gt;0")/3),0)</f>
        <v/>
      </c>
      <c r="AC127" s="238">
        <f>IF(ABS(AC88)&gt;0,IF(AC88&gt;0.001,AC88,_xlfn.MINIFS(AC$58:AC$92,AC$58:AC$92,"&gt;0")/3),0)</f>
        <v/>
      </c>
      <c r="AD127" s="238">
        <f>IF(ABS(AD88)&gt;0,IF(AD88&gt;0.001,AD88,_xlfn.MINIFS(AD$58:AD$92,AD$58:AD$92,"&gt;0")/3),0)</f>
        <v/>
      </c>
      <c r="AE127" s="238">
        <f>IF(ABS(AE88)&gt;0,IF(AE88&gt;0.001,AE88,_xlfn.MINIFS(AE$58:AE$92,AE$58:AE$92,"&gt;0")/3),0)</f>
        <v/>
      </c>
      <c r="AF127" s="238">
        <f>IF(ABS(AF88)&gt;0,IF(AF88&gt;0.001,AF88,_xlfn.MINIFS(AF$58:AF$92,AF$58:AF$92,"&gt;0")/3),0)</f>
        <v/>
      </c>
      <c r="AG127" s="238">
        <f>IF(ABS(AG88)&gt;0,IF(AG88&gt;0.001,AG88,_xlfn.MINIFS(AG$58:AG$92,AG$58:AG$92,"&gt;0")/3),0)</f>
        <v/>
      </c>
      <c r="AH127" s="238">
        <f>IF(ABS(AH88)&gt;0,IF(AH88&gt;0.001,AH88,_xlfn.MINIFS(AH$58:AH$92,AH$58:AH$92,"&gt;0")/3),0)</f>
        <v/>
      </c>
      <c r="AI127" s="238">
        <f>IF(ABS(AI88)&gt;0,IF(AI88&gt;0.001,AI88,_xlfn.MINIFS(AI$58:AI$92,AI$58:AI$92,"&gt;0")/3),0)</f>
        <v/>
      </c>
      <c r="AJ127" s="238">
        <f>IF(ABS(AJ88)&gt;0,IF(AJ88&gt;0.001,AJ88,_xlfn.MINIFS(AJ$58:AJ$92,AJ$58:AJ$92,"&gt;0")/3),0)</f>
        <v/>
      </c>
      <c r="AK127" s="238">
        <f>IF(ABS(AK88)&gt;0,IF(AK88&gt;0.001,AK88,_xlfn.MINIFS(AK$58:AK$92,AK$58:AK$92,"&gt;0")/3),0)</f>
        <v/>
      </c>
      <c r="AL127" s="238">
        <f>IF(ABS(AL88)&gt;0,IF(AL88&gt;0.001,AL88,_xlfn.MINIFS(AL$58:AL$92,AL$58:AL$92,"&gt;0")/3),0)</f>
        <v/>
      </c>
      <c r="AM127" s="238">
        <f>IF(ABS(AM88)&gt;0,IF(AM88&gt;0.001,AM88,_xlfn.MINIFS(AM$58:AM$92,AM$58:AM$92,"&gt;0")/3),0)</f>
        <v/>
      </c>
      <c r="AN127" s="238">
        <f>IF(ABS(AN88)&gt;0,IF(AN88&gt;0.001,AN88,_xlfn.MINIFS(AN$58:AN$92,AN$58:AN$92,"&gt;0")/3),0)</f>
        <v/>
      </c>
      <c r="AO127" s="238">
        <f>IF(ABS(AO88)&gt;0,IF(AO88&gt;0.001,AO88,_xlfn.MINIFS(AO$58:AO$92,AO$58:AO$92,"&gt;0")/3),0)</f>
        <v/>
      </c>
      <c r="AP127" s="238">
        <f>IF(ABS(AP88)&gt;0,IF(AP88&gt;0.001,AP88,_xlfn.MINIFS(AP$58:AP$92,AP$58:AP$92,"&gt;0")/3),0)</f>
        <v/>
      </c>
      <c r="AQ127" s="238">
        <f>IF(ABS(AQ88)&gt;0,IF(AQ88&gt;0.001,AQ88,_xlfn.MINIFS(AQ$58:AQ$92,AQ$58:AQ$92,"&gt;0")/3),0)</f>
        <v/>
      </c>
      <c r="AR127" s="238">
        <f>IF(ABS(AR88)&gt;0,IF(AR88&gt;0.001,AR88,_xlfn.MINIFS(AR$58:AR$92,AR$58:AR$92,"&gt;0")/3),0)</f>
        <v/>
      </c>
      <c r="AS127" s="238">
        <f>IF(ABS(AS88)&gt;0,IF(AS88&gt;0.001,AS88,_xlfn.MINIFS(AS$58:AS$92,AS$58:AS$92,"&gt;0")/3),0)</f>
        <v/>
      </c>
      <c r="AT127" s="238">
        <f>IF(ABS(AT88)&gt;0,IF(AT88&gt;0.001,AT88,_xlfn.MINIFS(AT$58:AT$92,AT$58:AT$92,"&gt;0")/3),0)</f>
        <v/>
      </c>
      <c r="AU127" s="238">
        <f>IF(ABS(AU88)&gt;0,IF(AU88&gt;0.001,AU88,_xlfn.MINIFS(AU$58:AU$92,AU$58:AU$92,"&gt;0")/3),0)</f>
        <v/>
      </c>
      <c r="AV127" s="238">
        <f>IF(ABS(AV88)&gt;0,IF(AV88&gt;0.001,AV88,_xlfn.MINIFS(AV$58:AV$92,AV$58:AV$92,"&gt;0")/3),0)</f>
        <v/>
      </c>
      <c r="AW127" s="238">
        <f>IF(ABS(AW88)&gt;0,IF(AW88&gt;0.001,AW88,_xlfn.MINIFS(AW$58:AW$92,AW$58:AW$92,"&gt;0")/3),0)</f>
        <v/>
      </c>
      <c r="AX127" s="238">
        <f>IF(ABS(AX88)&gt;0,IF(AX88&gt;0.001,AX88,_xlfn.MINIFS(AX$58:AX$92,AX$58:AX$92,"&gt;0")/3),0)</f>
        <v/>
      </c>
      <c r="AY127" s="238">
        <f>IF(ABS(AY88)&gt;0,IF(AY88&gt;0.001,AY88,_xlfn.MINIFS(AY$58:AY$92,AY$58:AY$92,"&gt;0")/3),0)</f>
        <v/>
      </c>
      <c r="AZ127" s="238">
        <f>IF(ABS(AZ88)&gt;0,IF(AZ88&gt;0.001,AZ88,_xlfn.MINIFS(AZ$58:AZ$92,AZ$58:AZ$92,"&gt;0")/3),0)</f>
        <v/>
      </c>
      <c r="BA127" s="238">
        <f>IF(ABS(BA88)&gt;0,IF(BA88&gt;0.001,BA88,_xlfn.MINIFS(BA$58:BA$92,BA$58:BA$92,"&gt;0")/3),0)</f>
        <v/>
      </c>
      <c r="BB127" s="238">
        <f>IF(ABS(BB88)&gt;0,IF(BB88&gt;0.001,BB88,_xlfn.MINIFS(BB$58:BB$92,BB$58:BB$92,"&gt;0")/3),0)</f>
        <v/>
      </c>
    </row>
    <row r="128">
      <c r="C128" s="1" t="n"/>
      <c r="D128" s="237">
        <f>D89</f>
        <v/>
      </c>
      <c r="E128" s="238">
        <f>IF(ABS(E89)&gt;0,IF(E89&gt;0.001,E89,_xlfn.MINIFS(E$58:E$92,E$58:E$92,"&gt;0")/3),0)</f>
        <v/>
      </c>
      <c r="F128" s="238">
        <f>IF(ABS(F89)&gt;0,IF(F89&gt;0.001,F89,_xlfn.MINIFS(F$58:F$92,F$58:F$92,"&gt;0")/3),0)</f>
        <v/>
      </c>
      <c r="G128" s="238">
        <f>IF(ABS(G89)&gt;0,IF(G89&gt;0.001,G89,_xlfn.MINIFS(G$58:G$92,G$58:G$92,"&gt;0")/3),0)</f>
        <v/>
      </c>
      <c r="H128" s="238">
        <f>IF(ABS(H89)&gt;0,IF(H89&gt;0.001,H89,_xlfn.MINIFS(H$58:H$92,H$58:H$92,"&gt;0")/3),0)</f>
        <v/>
      </c>
      <c r="I128" s="238">
        <f>IF(ABS(I89)&gt;0,IF(I89&gt;0.001,I89,_xlfn.MINIFS(I$58:I$92,I$58:I$92,"&gt;0")/3),0)</f>
        <v/>
      </c>
      <c r="J128" s="238">
        <f>IF(ABS(J89)&gt;0,IF(J89&gt;0.001,J89,_xlfn.MINIFS(J$58:J$92,J$58:J$92,"&gt;0")/3),0)</f>
        <v/>
      </c>
      <c r="K128" s="238">
        <f>IF(ABS(K89)&gt;0,IF(K89&gt;0.001,K89,_xlfn.MINIFS(K$58:K$92,K$58:K$92,"&gt;0")/3),0)</f>
        <v/>
      </c>
      <c r="L128" s="238">
        <f>IF(ABS(L89)&gt;0,IF(L89&gt;0.001,L89,_xlfn.MINIFS(L$58:L$92,L$58:L$92,"&gt;0")/3),0)</f>
        <v/>
      </c>
      <c r="M128" s="238">
        <f>IF(ABS(M89)&gt;0,IF(M89&gt;0.001,M89,_xlfn.MINIFS(M$58:M$92,M$58:M$92,"&gt;0")/3),0)</f>
        <v/>
      </c>
      <c r="N128" s="238">
        <f>IF(ABS(N89)&gt;0,IF(N89&gt;0.001,N89,_xlfn.MINIFS(N$58:N$92,N$58:N$92,"&gt;0")/3),0)</f>
        <v/>
      </c>
      <c r="O128" s="238">
        <f>IF(ABS(O89)&gt;0,IF(O89&gt;0.001,O89,_xlfn.MINIFS(O$58:O$92,O$58:O$92,"&gt;0")/3),0)</f>
        <v/>
      </c>
      <c r="P128" s="238">
        <f>IF(ABS(P89)&gt;0,IF(P89&gt;0.001,P89,_xlfn.MINIFS(P$58:P$92,P$58:P$92,"&gt;0")/3),0)</f>
        <v/>
      </c>
      <c r="Q128" s="238">
        <f>IF(ABS(Q89)&gt;0,IF(Q89&gt;0.001,Q89,_xlfn.MINIFS(Q$58:Q$92,Q$58:Q$92,"&gt;0")/3),0)</f>
        <v/>
      </c>
      <c r="R128" s="238">
        <f>IF(ABS(R89)&gt;0,IF(R89&gt;0.001,R89,_xlfn.MINIFS(R$58:R$92,R$58:R$92,"&gt;0")/3),0)</f>
        <v/>
      </c>
      <c r="S128" s="238">
        <f>IF(ABS(S89)&gt;0,IF(S89&gt;0.001,S89,_xlfn.MINIFS(S$58:S$92,S$58:S$92,"&gt;0")/3),0)</f>
        <v/>
      </c>
      <c r="T128" s="238">
        <f>IF(ABS(T89)&gt;0,IF(T89&gt;0.001,T89,_xlfn.MINIFS(T$58:T$92,T$58:T$92,"&gt;0")/3),0)</f>
        <v/>
      </c>
      <c r="U128" s="238">
        <f>IF(ABS(U89)&gt;0,IF(U89&gt;0.001,U89,_xlfn.MINIFS(U$58:U$92,U$58:U$92,"&gt;0")/3),0)</f>
        <v/>
      </c>
      <c r="V128" s="238">
        <f>IF(ABS(V89)&gt;0,IF(V89&gt;0.001,V89,_xlfn.MINIFS(V$58:V$92,V$58:V$92,"&gt;0")/3),0)</f>
        <v/>
      </c>
      <c r="W128" s="238">
        <f>IF(ABS(W89)&gt;0,IF(W89&gt;0.001,W89,_xlfn.MINIFS(W$58:W$92,W$58:W$92,"&gt;0")/3),0)</f>
        <v/>
      </c>
      <c r="X128" s="238">
        <f>IF(ABS(X89)&gt;0,IF(X89&gt;0.001,X89,_xlfn.MINIFS(X$58:X$92,X$58:X$92,"&gt;0")/3),0)</f>
        <v/>
      </c>
      <c r="Y128" s="238">
        <f>IF(ABS(Y89)&gt;0,IF(Y89&gt;0.001,Y89,_xlfn.MINIFS(Y$58:Y$92,Y$58:Y$92,"&gt;0")/3),0)</f>
        <v/>
      </c>
      <c r="Z128" s="238">
        <f>IF(ABS(Z89)&gt;0,IF(Z89&gt;0.001,Z89,_xlfn.MINIFS(Z$58:Z$92,Z$58:Z$92,"&gt;0")/3),0)</f>
        <v/>
      </c>
      <c r="AA128" s="238">
        <f>IF(ABS(AA89)&gt;0,IF(AA89&gt;0.001,AA89,_xlfn.MINIFS(AA$58:AA$92,AA$58:AA$92,"&gt;0")/3),0)</f>
        <v/>
      </c>
      <c r="AB128" s="238">
        <f>IF(ABS(AB89)&gt;0,IF(AB89&gt;0.001,AB89,_xlfn.MINIFS(AB$58:AB$92,AB$58:AB$92,"&gt;0")/3),0)</f>
        <v/>
      </c>
      <c r="AC128" s="238">
        <f>IF(ABS(AC89)&gt;0,IF(AC89&gt;0.001,AC89,_xlfn.MINIFS(AC$58:AC$92,AC$58:AC$92,"&gt;0")/3),0)</f>
        <v/>
      </c>
      <c r="AD128" s="238">
        <f>IF(ABS(AD89)&gt;0,IF(AD89&gt;0.001,AD89,_xlfn.MINIFS(AD$58:AD$92,AD$58:AD$92,"&gt;0")/3),0)</f>
        <v/>
      </c>
      <c r="AE128" s="238">
        <f>IF(ABS(AE89)&gt;0,IF(AE89&gt;0.001,AE89,_xlfn.MINIFS(AE$58:AE$92,AE$58:AE$92,"&gt;0")/3),0)</f>
        <v/>
      </c>
      <c r="AF128" s="238">
        <f>IF(ABS(AF89)&gt;0,IF(AF89&gt;0.001,AF89,_xlfn.MINIFS(AF$58:AF$92,AF$58:AF$92,"&gt;0")/3),0)</f>
        <v/>
      </c>
      <c r="AG128" s="238">
        <f>IF(ABS(AG89)&gt;0,IF(AG89&gt;0.001,AG89,_xlfn.MINIFS(AG$58:AG$92,AG$58:AG$92,"&gt;0")/3),0)</f>
        <v/>
      </c>
      <c r="AH128" s="238">
        <f>IF(ABS(AH89)&gt;0,IF(AH89&gt;0.001,AH89,_xlfn.MINIFS(AH$58:AH$92,AH$58:AH$92,"&gt;0")/3),0)</f>
        <v/>
      </c>
      <c r="AI128" s="238">
        <f>IF(ABS(AI89)&gt;0,IF(AI89&gt;0.001,AI89,_xlfn.MINIFS(AI$58:AI$92,AI$58:AI$92,"&gt;0")/3),0)</f>
        <v/>
      </c>
      <c r="AJ128" s="238">
        <f>IF(ABS(AJ89)&gt;0,IF(AJ89&gt;0.001,AJ89,_xlfn.MINIFS(AJ$58:AJ$92,AJ$58:AJ$92,"&gt;0")/3),0)</f>
        <v/>
      </c>
      <c r="AK128" s="238">
        <f>IF(ABS(AK89)&gt;0,IF(AK89&gt;0.001,AK89,_xlfn.MINIFS(AK$58:AK$92,AK$58:AK$92,"&gt;0")/3),0)</f>
        <v/>
      </c>
      <c r="AL128" s="238">
        <f>IF(ABS(AL89)&gt;0,IF(AL89&gt;0.001,AL89,_xlfn.MINIFS(AL$58:AL$92,AL$58:AL$92,"&gt;0")/3),0)</f>
        <v/>
      </c>
      <c r="AM128" s="238">
        <f>IF(ABS(AM89)&gt;0,IF(AM89&gt;0.001,AM89,_xlfn.MINIFS(AM$58:AM$92,AM$58:AM$92,"&gt;0")/3),0)</f>
        <v/>
      </c>
      <c r="AN128" s="238">
        <f>IF(ABS(AN89)&gt;0,IF(AN89&gt;0.001,AN89,_xlfn.MINIFS(AN$58:AN$92,AN$58:AN$92,"&gt;0")/3),0)</f>
        <v/>
      </c>
      <c r="AO128" s="238">
        <f>IF(ABS(AO89)&gt;0,IF(AO89&gt;0.001,AO89,_xlfn.MINIFS(AO$58:AO$92,AO$58:AO$92,"&gt;0")/3),0)</f>
        <v/>
      </c>
      <c r="AP128" s="238">
        <f>IF(ABS(AP89)&gt;0,IF(AP89&gt;0.001,AP89,_xlfn.MINIFS(AP$58:AP$92,AP$58:AP$92,"&gt;0")/3),0)</f>
        <v/>
      </c>
      <c r="AQ128" s="238">
        <f>IF(ABS(AQ89)&gt;0,IF(AQ89&gt;0.001,AQ89,_xlfn.MINIFS(AQ$58:AQ$92,AQ$58:AQ$92,"&gt;0")/3),0)</f>
        <v/>
      </c>
      <c r="AR128" s="238">
        <f>IF(ABS(AR89)&gt;0,IF(AR89&gt;0.001,AR89,_xlfn.MINIFS(AR$58:AR$92,AR$58:AR$92,"&gt;0")/3),0)</f>
        <v/>
      </c>
      <c r="AS128" s="238">
        <f>IF(ABS(AS89)&gt;0,IF(AS89&gt;0.001,AS89,_xlfn.MINIFS(AS$58:AS$92,AS$58:AS$92,"&gt;0")/3),0)</f>
        <v/>
      </c>
      <c r="AT128" s="238">
        <f>IF(ABS(AT89)&gt;0,IF(AT89&gt;0.001,AT89,_xlfn.MINIFS(AT$58:AT$92,AT$58:AT$92,"&gt;0")/3),0)</f>
        <v/>
      </c>
      <c r="AU128" s="238">
        <f>IF(ABS(AU89)&gt;0,IF(AU89&gt;0.001,AU89,_xlfn.MINIFS(AU$58:AU$92,AU$58:AU$92,"&gt;0")/3),0)</f>
        <v/>
      </c>
      <c r="AV128" s="238">
        <f>IF(ABS(AV89)&gt;0,IF(AV89&gt;0.001,AV89,_xlfn.MINIFS(AV$58:AV$92,AV$58:AV$92,"&gt;0")/3),0)</f>
        <v/>
      </c>
      <c r="AW128" s="238">
        <f>IF(ABS(AW89)&gt;0,IF(AW89&gt;0.001,AW89,_xlfn.MINIFS(AW$58:AW$92,AW$58:AW$92,"&gt;0")/3),0)</f>
        <v/>
      </c>
      <c r="AX128" s="238">
        <f>IF(ABS(AX89)&gt;0,IF(AX89&gt;0.001,AX89,_xlfn.MINIFS(AX$58:AX$92,AX$58:AX$92,"&gt;0")/3),0)</f>
        <v/>
      </c>
      <c r="AY128" s="238">
        <f>IF(ABS(AY89)&gt;0,IF(AY89&gt;0.001,AY89,_xlfn.MINIFS(AY$58:AY$92,AY$58:AY$92,"&gt;0")/3),0)</f>
        <v/>
      </c>
      <c r="AZ128" s="238">
        <f>IF(ABS(AZ89)&gt;0,IF(AZ89&gt;0.001,AZ89,_xlfn.MINIFS(AZ$58:AZ$92,AZ$58:AZ$92,"&gt;0")/3),0)</f>
        <v/>
      </c>
      <c r="BA128" s="238">
        <f>IF(ABS(BA89)&gt;0,IF(BA89&gt;0.001,BA89,_xlfn.MINIFS(BA$58:BA$92,BA$58:BA$92,"&gt;0")/3),0)</f>
        <v/>
      </c>
      <c r="BB128" s="238">
        <f>IF(ABS(BB89)&gt;0,IF(BB89&gt;0.001,BB89,_xlfn.MINIFS(BB$58:BB$92,BB$58:BB$92,"&gt;0")/3),0)</f>
        <v/>
      </c>
    </row>
    <row r="129">
      <c r="C129" s="1" t="n"/>
      <c r="D129" s="237">
        <f>D90</f>
        <v/>
      </c>
      <c r="E129" s="238">
        <f>IF(ABS(E90)&gt;0,IF(E90&gt;0.001,E90,_xlfn.MINIFS(E$58:E$92,E$58:E$92,"&gt;0")/3),0)</f>
        <v/>
      </c>
      <c r="F129" s="238">
        <f>IF(ABS(F90)&gt;0,IF(F90&gt;0.001,F90,_xlfn.MINIFS(F$58:F$92,F$58:F$92,"&gt;0")/3),0)</f>
        <v/>
      </c>
      <c r="G129" s="238">
        <f>IF(ABS(G90)&gt;0,IF(G90&gt;0.001,G90,_xlfn.MINIFS(G$58:G$92,G$58:G$92,"&gt;0")/3),0)</f>
        <v/>
      </c>
      <c r="H129" s="238">
        <f>IF(ABS(H90)&gt;0,IF(H90&gt;0.001,H90,_xlfn.MINIFS(H$58:H$92,H$58:H$92,"&gt;0")/3),0)</f>
        <v/>
      </c>
      <c r="I129" s="238">
        <f>IF(ABS(I90)&gt;0,IF(I90&gt;0.001,I90,_xlfn.MINIFS(I$58:I$92,I$58:I$92,"&gt;0")/3),0)</f>
        <v/>
      </c>
      <c r="J129" s="238">
        <f>IF(ABS(J90)&gt;0,IF(J90&gt;0.001,J90,_xlfn.MINIFS(J$58:J$92,J$58:J$92,"&gt;0")/3),0)</f>
        <v/>
      </c>
      <c r="K129" s="238">
        <f>IF(ABS(K90)&gt;0,IF(K90&gt;0.001,K90,_xlfn.MINIFS(K$58:K$92,K$58:K$92,"&gt;0")/3),0)</f>
        <v/>
      </c>
      <c r="L129" s="238">
        <f>IF(ABS(L90)&gt;0,IF(L90&gt;0.001,L90,_xlfn.MINIFS(L$58:L$92,L$58:L$92,"&gt;0")/3),0)</f>
        <v/>
      </c>
      <c r="M129" s="238">
        <f>IF(ABS(M90)&gt;0,IF(M90&gt;0.001,M90,_xlfn.MINIFS(M$58:M$92,M$58:M$92,"&gt;0")/3),0)</f>
        <v/>
      </c>
      <c r="N129" s="238">
        <f>IF(ABS(N90)&gt;0,IF(N90&gt;0.001,N90,_xlfn.MINIFS(N$58:N$92,N$58:N$92,"&gt;0")/3),0)</f>
        <v/>
      </c>
      <c r="O129" s="238">
        <f>IF(ABS(O90)&gt;0,IF(O90&gt;0.001,O90,_xlfn.MINIFS(O$58:O$92,O$58:O$92,"&gt;0")/3),0)</f>
        <v/>
      </c>
      <c r="P129" s="238">
        <f>IF(ABS(P90)&gt;0,IF(P90&gt;0.001,P90,_xlfn.MINIFS(P$58:P$92,P$58:P$92,"&gt;0")/3),0)</f>
        <v/>
      </c>
      <c r="Q129" s="238">
        <f>IF(ABS(Q90)&gt;0,IF(Q90&gt;0.001,Q90,_xlfn.MINIFS(Q$58:Q$92,Q$58:Q$92,"&gt;0")/3),0)</f>
        <v/>
      </c>
      <c r="R129" s="238">
        <f>IF(ABS(R90)&gt;0,IF(R90&gt;0.001,R90,_xlfn.MINIFS(R$58:R$92,R$58:R$92,"&gt;0")/3),0)</f>
        <v/>
      </c>
      <c r="S129" s="238">
        <f>IF(ABS(S90)&gt;0,IF(S90&gt;0.001,S90,_xlfn.MINIFS(S$58:S$92,S$58:S$92,"&gt;0")/3),0)</f>
        <v/>
      </c>
      <c r="T129" s="238">
        <f>IF(ABS(T90)&gt;0,IF(T90&gt;0.001,T90,_xlfn.MINIFS(T$58:T$92,T$58:T$92,"&gt;0")/3),0)</f>
        <v/>
      </c>
      <c r="U129" s="238">
        <f>IF(ABS(U90)&gt;0,IF(U90&gt;0.001,U90,_xlfn.MINIFS(U$58:U$92,U$58:U$92,"&gt;0")/3),0)</f>
        <v/>
      </c>
      <c r="V129" s="238">
        <f>IF(ABS(V90)&gt;0,IF(V90&gt;0.001,V90,_xlfn.MINIFS(V$58:V$92,V$58:V$92,"&gt;0")/3),0)</f>
        <v/>
      </c>
      <c r="W129" s="238">
        <f>IF(ABS(W90)&gt;0,IF(W90&gt;0.001,W90,_xlfn.MINIFS(W$58:W$92,W$58:W$92,"&gt;0")/3),0)</f>
        <v/>
      </c>
      <c r="X129" s="238">
        <f>IF(ABS(X90)&gt;0,IF(X90&gt;0.001,X90,_xlfn.MINIFS(X$58:X$92,X$58:X$92,"&gt;0")/3),0)</f>
        <v/>
      </c>
      <c r="Y129" s="238">
        <f>IF(ABS(Y90)&gt;0,IF(Y90&gt;0.001,Y90,_xlfn.MINIFS(Y$58:Y$92,Y$58:Y$92,"&gt;0")/3),0)</f>
        <v/>
      </c>
      <c r="Z129" s="238">
        <f>IF(ABS(Z90)&gt;0,IF(Z90&gt;0.001,Z90,_xlfn.MINIFS(Z$58:Z$92,Z$58:Z$92,"&gt;0")/3),0)</f>
        <v/>
      </c>
      <c r="AA129" s="238">
        <f>IF(ABS(AA90)&gt;0,IF(AA90&gt;0.001,AA90,_xlfn.MINIFS(AA$58:AA$92,AA$58:AA$92,"&gt;0")/3),0)</f>
        <v/>
      </c>
      <c r="AB129" s="238">
        <f>IF(ABS(AB90)&gt;0,IF(AB90&gt;0.001,AB90,_xlfn.MINIFS(AB$58:AB$92,AB$58:AB$92,"&gt;0")/3),0)</f>
        <v/>
      </c>
      <c r="AC129" s="238">
        <f>IF(ABS(AC90)&gt;0,IF(AC90&gt;0.001,AC90,_xlfn.MINIFS(AC$58:AC$92,AC$58:AC$92,"&gt;0")/3),0)</f>
        <v/>
      </c>
      <c r="AD129" s="238">
        <f>IF(ABS(AD90)&gt;0,IF(AD90&gt;0.001,AD90,_xlfn.MINIFS(AD$58:AD$92,AD$58:AD$92,"&gt;0")/3),0)</f>
        <v/>
      </c>
      <c r="AE129" s="238">
        <f>IF(ABS(AE90)&gt;0,IF(AE90&gt;0.001,AE90,_xlfn.MINIFS(AE$58:AE$92,AE$58:AE$92,"&gt;0")/3),0)</f>
        <v/>
      </c>
      <c r="AF129" s="238">
        <f>IF(ABS(AF90)&gt;0,IF(AF90&gt;0.001,AF90,_xlfn.MINIFS(AF$58:AF$92,AF$58:AF$92,"&gt;0")/3),0)</f>
        <v/>
      </c>
      <c r="AG129" s="238">
        <f>IF(ABS(AG90)&gt;0,IF(AG90&gt;0.001,AG90,_xlfn.MINIFS(AG$58:AG$92,AG$58:AG$92,"&gt;0")/3),0)</f>
        <v/>
      </c>
      <c r="AH129" s="238">
        <f>IF(ABS(AH90)&gt;0,IF(AH90&gt;0.001,AH90,_xlfn.MINIFS(AH$58:AH$92,AH$58:AH$92,"&gt;0")/3),0)</f>
        <v/>
      </c>
      <c r="AI129" s="238">
        <f>IF(ABS(AI90)&gt;0,IF(AI90&gt;0.001,AI90,_xlfn.MINIFS(AI$58:AI$92,AI$58:AI$92,"&gt;0")/3),0)</f>
        <v/>
      </c>
      <c r="AJ129" s="238">
        <f>IF(ABS(AJ90)&gt;0,IF(AJ90&gt;0.001,AJ90,_xlfn.MINIFS(AJ$58:AJ$92,AJ$58:AJ$92,"&gt;0")/3),0)</f>
        <v/>
      </c>
      <c r="AK129" s="238">
        <f>IF(ABS(AK90)&gt;0,IF(AK90&gt;0.001,AK90,_xlfn.MINIFS(AK$58:AK$92,AK$58:AK$92,"&gt;0")/3),0)</f>
        <v/>
      </c>
      <c r="AL129" s="238">
        <f>IF(ABS(AL90)&gt;0,IF(AL90&gt;0.001,AL90,_xlfn.MINIFS(AL$58:AL$92,AL$58:AL$92,"&gt;0")/3),0)</f>
        <v/>
      </c>
      <c r="AM129" s="238">
        <f>IF(ABS(AM90)&gt;0,IF(AM90&gt;0.001,AM90,_xlfn.MINIFS(AM$58:AM$92,AM$58:AM$92,"&gt;0")/3),0)</f>
        <v/>
      </c>
      <c r="AN129" s="238">
        <f>IF(ABS(AN90)&gt;0,IF(AN90&gt;0.001,AN90,_xlfn.MINIFS(AN$58:AN$92,AN$58:AN$92,"&gt;0")/3),0)</f>
        <v/>
      </c>
      <c r="AO129" s="238">
        <f>IF(ABS(AO90)&gt;0,IF(AO90&gt;0.001,AO90,_xlfn.MINIFS(AO$58:AO$92,AO$58:AO$92,"&gt;0")/3),0)</f>
        <v/>
      </c>
      <c r="AP129" s="238">
        <f>IF(ABS(AP90)&gt;0,IF(AP90&gt;0.001,AP90,_xlfn.MINIFS(AP$58:AP$92,AP$58:AP$92,"&gt;0")/3),0)</f>
        <v/>
      </c>
      <c r="AQ129" s="238">
        <f>IF(ABS(AQ90)&gt;0,IF(AQ90&gt;0.001,AQ90,_xlfn.MINIFS(AQ$58:AQ$92,AQ$58:AQ$92,"&gt;0")/3),0)</f>
        <v/>
      </c>
      <c r="AR129" s="238">
        <f>IF(ABS(AR90)&gt;0,IF(AR90&gt;0.001,AR90,_xlfn.MINIFS(AR$58:AR$92,AR$58:AR$92,"&gt;0")/3),0)</f>
        <v/>
      </c>
      <c r="AS129" s="238">
        <f>IF(ABS(AS90)&gt;0,IF(AS90&gt;0.001,AS90,_xlfn.MINIFS(AS$58:AS$92,AS$58:AS$92,"&gt;0")/3),0)</f>
        <v/>
      </c>
      <c r="AT129" s="238">
        <f>IF(ABS(AT90)&gt;0,IF(AT90&gt;0.001,AT90,_xlfn.MINIFS(AT$58:AT$92,AT$58:AT$92,"&gt;0")/3),0)</f>
        <v/>
      </c>
      <c r="AU129" s="238">
        <f>IF(ABS(AU90)&gt;0,IF(AU90&gt;0.001,AU90,_xlfn.MINIFS(AU$58:AU$92,AU$58:AU$92,"&gt;0")/3),0)</f>
        <v/>
      </c>
      <c r="AV129" s="238">
        <f>IF(ABS(AV90)&gt;0,IF(AV90&gt;0.001,AV90,_xlfn.MINIFS(AV$58:AV$92,AV$58:AV$92,"&gt;0")/3),0)</f>
        <v/>
      </c>
      <c r="AW129" s="238">
        <f>IF(ABS(AW90)&gt;0,IF(AW90&gt;0.001,AW90,_xlfn.MINIFS(AW$58:AW$92,AW$58:AW$92,"&gt;0")/3),0)</f>
        <v/>
      </c>
      <c r="AX129" s="238">
        <f>IF(ABS(AX90)&gt;0,IF(AX90&gt;0.001,AX90,_xlfn.MINIFS(AX$58:AX$92,AX$58:AX$92,"&gt;0")/3),0)</f>
        <v/>
      </c>
      <c r="AY129" s="238">
        <f>IF(ABS(AY90)&gt;0,IF(AY90&gt;0.001,AY90,_xlfn.MINIFS(AY$58:AY$92,AY$58:AY$92,"&gt;0")/3),0)</f>
        <v/>
      </c>
      <c r="AZ129" s="238">
        <f>IF(ABS(AZ90)&gt;0,IF(AZ90&gt;0.001,AZ90,_xlfn.MINIFS(AZ$58:AZ$92,AZ$58:AZ$92,"&gt;0")/3),0)</f>
        <v/>
      </c>
      <c r="BA129" s="238">
        <f>IF(ABS(BA90)&gt;0,IF(BA90&gt;0.001,BA90,_xlfn.MINIFS(BA$58:BA$92,BA$58:BA$92,"&gt;0")/3),0)</f>
        <v/>
      </c>
      <c r="BB129" s="238">
        <f>IF(ABS(BB90)&gt;0,IF(BB90&gt;0.001,BB90,_xlfn.MINIFS(BB$58:BB$92,BB$58:BB$92,"&gt;0")/3),0)</f>
        <v/>
      </c>
    </row>
    <row r="130">
      <c r="C130" s="1" t="n"/>
      <c r="D130" s="237">
        <f>D91</f>
        <v/>
      </c>
      <c r="E130" s="238">
        <f>IF(ABS(E91)&gt;0,IF(E91&gt;0.001,E91,_xlfn.MINIFS(E$58:E$92,E$58:E$92,"&gt;0")/3),0)</f>
        <v/>
      </c>
      <c r="F130" s="238">
        <f>IF(ABS(F91)&gt;0,IF(F91&gt;0.001,F91,_xlfn.MINIFS(F$58:F$92,F$58:F$92,"&gt;0")/3),0)</f>
        <v/>
      </c>
      <c r="G130" s="238">
        <f>IF(ABS(G91)&gt;0,IF(G91&gt;0.001,G91,_xlfn.MINIFS(G$58:G$92,G$58:G$92,"&gt;0")/3),0)</f>
        <v/>
      </c>
      <c r="H130" s="238">
        <f>IF(ABS(H91)&gt;0,IF(H91&gt;0.001,H91,_xlfn.MINIFS(H$58:H$92,H$58:H$92,"&gt;0")/3),0)</f>
        <v/>
      </c>
      <c r="I130" s="238">
        <f>IF(ABS(I91)&gt;0,IF(I91&gt;0.001,I91,_xlfn.MINIFS(I$58:I$92,I$58:I$92,"&gt;0")/3),0)</f>
        <v/>
      </c>
      <c r="J130" s="238">
        <f>IF(ABS(J91)&gt;0,IF(J91&gt;0.001,J91,_xlfn.MINIFS(J$58:J$92,J$58:J$92,"&gt;0")/3),0)</f>
        <v/>
      </c>
      <c r="K130" s="238">
        <f>IF(ABS(K91)&gt;0,IF(K91&gt;0.001,K91,_xlfn.MINIFS(K$58:K$92,K$58:K$92,"&gt;0")/3),0)</f>
        <v/>
      </c>
      <c r="L130" s="238">
        <f>IF(ABS(L91)&gt;0,IF(L91&gt;0.001,L91,_xlfn.MINIFS(L$58:L$92,L$58:L$92,"&gt;0")/3),0)</f>
        <v/>
      </c>
      <c r="M130" s="238">
        <f>IF(ABS(M91)&gt;0,IF(M91&gt;0.001,M91,_xlfn.MINIFS(M$58:M$92,M$58:M$92,"&gt;0")/3),0)</f>
        <v/>
      </c>
      <c r="N130" s="238">
        <f>IF(ABS(N91)&gt;0,IF(N91&gt;0.001,N91,_xlfn.MINIFS(N$58:N$92,N$58:N$92,"&gt;0")/3),0)</f>
        <v/>
      </c>
      <c r="O130" s="238">
        <f>IF(ABS(O91)&gt;0,IF(O91&gt;0.001,O91,_xlfn.MINIFS(O$58:O$92,O$58:O$92,"&gt;0")/3),0)</f>
        <v/>
      </c>
      <c r="P130" s="238">
        <f>IF(ABS(P91)&gt;0,IF(P91&gt;0.001,P91,_xlfn.MINIFS(P$58:P$92,P$58:P$92,"&gt;0")/3),0)</f>
        <v/>
      </c>
      <c r="Q130" s="238">
        <f>IF(ABS(Q91)&gt;0,IF(Q91&gt;0.001,Q91,_xlfn.MINIFS(Q$58:Q$92,Q$58:Q$92,"&gt;0")/3),0)</f>
        <v/>
      </c>
      <c r="R130" s="238">
        <f>IF(ABS(R91)&gt;0,IF(R91&gt;0.001,R91,_xlfn.MINIFS(R$58:R$92,R$58:R$92,"&gt;0")/3),0)</f>
        <v/>
      </c>
      <c r="S130" s="238">
        <f>IF(ABS(S91)&gt;0,IF(S91&gt;0.001,S91,_xlfn.MINIFS(S$58:S$92,S$58:S$92,"&gt;0")/3),0)</f>
        <v/>
      </c>
      <c r="T130" s="238">
        <f>IF(ABS(T91)&gt;0,IF(T91&gt;0.001,T91,_xlfn.MINIFS(T$58:T$92,T$58:T$92,"&gt;0")/3),0)</f>
        <v/>
      </c>
      <c r="U130" s="238">
        <f>IF(ABS(U91)&gt;0,IF(U91&gt;0.001,U91,_xlfn.MINIFS(U$58:U$92,U$58:U$92,"&gt;0")/3),0)</f>
        <v/>
      </c>
      <c r="V130" s="238">
        <f>IF(ABS(V91)&gt;0,IF(V91&gt;0.001,V91,_xlfn.MINIFS(V$58:V$92,V$58:V$92,"&gt;0")/3),0)</f>
        <v/>
      </c>
      <c r="W130" s="238">
        <f>IF(ABS(W91)&gt;0,IF(W91&gt;0.001,W91,_xlfn.MINIFS(W$58:W$92,W$58:W$92,"&gt;0")/3),0)</f>
        <v/>
      </c>
      <c r="X130" s="238">
        <f>IF(ABS(X91)&gt;0,IF(X91&gt;0.001,X91,_xlfn.MINIFS(X$58:X$92,X$58:X$92,"&gt;0")/3),0)</f>
        <v/>
      </c>
      <c r="Y130" s="238">
        <f>IF(ABS(Y91)&gt;0,IF(Y91&gt;0.001,Y91,_xlfn.MINIFS(Y$58:Y$92,Y$58:Y$92,"&gt;0")/3),0)</f>
        <v/>
      </c>
      <c r="Z130" s="238">
        <f>IF(ABS(Z91)&gt;0,IF(Z91&gt;0.001,Z91,_xlfn.MINIFS(Z$58:Z$92,Z$58:Z$92,"&gt;0")/3),0)</f>
        <v/>
      </c>
      <c r="AA130" s="238">
        <f>IF(ABS(AA91)&gt;0,IF(AA91&gt;0.001,AA91,_xlfn.MINIFS(AA$58:AA$92,AA$58:AA$92,"&gt;0")/3),0)</f>
        <v/>
      </c>
      <c r="AB130" s="238">
        <f>IF(ABS(AB91)&gt;0,IF(AB91&gt;0.001,AB91,_xlfn.MINIFS(AB$58:AB$92,AB$58:AB$92,"&gt;0")/3),0)</f>
        <v/>
      </c>
      <c r="AC130" s="238">
        <f>IF(ABS(AC91)&gt;0,IF(AC91&gt;0.001,AC91,_xlfn.MINIFS(AC$58:AC$92,AC$58:AC$92,"&gt;0")/3),0)</f>
        <v/>
      </c>
      <c r="AD130" s="238">
        <f>IF(ABS(AD91)&gt;0,IF(AD91&gt;0.001,AD91,_xlfn.MINIFS(AD$58:AD$92,AD$58:AD$92,"&gt;0")/3),0)</f>
        <v/>
      </c>
      <c r="AE130" s="238">
        <f>IF(ABS(AE91)&gt;0,IF(AE91&gt;0.001,AE91,_xlfn.MINIFS(AE$58:AE$92,AE$58:AE$92,"&gt;0")/3),0)</f>
        <v/>
      </c>
      <c r="AF130" s="238">
        <f>IF(ABS(AF91)&gt;0,IF(AF91&gt;0.001,AF91,_xlfn.MINIFS(AF$58:AF$92,AF$58:AF$92,"&gt;0")/3),0)</f>
        <v/>
      </c>
      <c r="AG130" s="238">
        <f>IF(ABS(AG91)&gt;0,IF(AG91&gt;0.001,AG91,_xlfn.MINIFS(AG$58:AG$92,AG$58:AG$92,"&gt;0")/3),0)</f>
        <v/>
      </c>
      <c r="AH130" s="238">
        <f>IF(ABS(AH91)&gt;0,IF(AH91&gt;0.001,AH91,_xlfn.MINIFS(AH$58:AH$92,AH$58:AH$92,"&gt;0")/3),0)</f>
        <v/>
      </c>
      <c r="AI130" s="238">
        <f>IF(ABS(AI91)&gt;0,IF(AI91&gt;0.001,AI91,_xlfn.MINIFS(AI$58:AI$92,AI$58:AI$92,"&gt;0")/3),0)</f>
        <v/>
      </c>
      <c r="AJ130" s="238">
        <f>IF(ABS(AJ91)&gt;0,IF(AJ91&gt;0.001,AJ91,_xlfn.MINIFS(AJ$58:AJ$92,AJ$58:AJ$92,"&gt;0")/3),0)</f>
        <v/>
      </c>
      <c r="AK130" s="238">
        <f>IF(ABS(AK91)&gt;0,IF(AK91&gt;0.001,AK91,_xlfn.MINIFS(AK$58:AK$92,AK$58:AK$92,"&gt;0")/3),0)</f>
        <v/>
      </c>
      <c r="AL130" s="238">
        <f>IF(ABS(AL91)&gt;0,IF(AL91&gt;0.001,AL91,_xlfn.MINIFS(AL$58:AL$92,AL$58:AL$92,"&gt;0")/3),0)</f>
        <v/>
      </c>
      <c r="AM130" s="238">
        <f>IF(ABS(AM91)&gt;0,IF(AM91&gt;0.001,AM91,_xlfn.MINIFS(AM$58:AM$92,AM$58:AM$92,"&gt;0")/3),0)</f>
        <v/>
      </c>
      <c r="AN130" s="238">
        <f>IF(ABS(AN91)&gt;0,IF(AN91&gt;0.001,AN91,_xlfn.MINIFS(AN$58:AN$92,AN$58:AN$92,"&gt;0")/3),0)</f>
        <v/>
      </c>
      <c r="AO130" s="238">
        <f>IF(ABS(AO91)&gt;0,IF(AO91&gt;0.001,AO91,_xlfn.MINIFS(AO$58:AO$92,AO$58:AO$92,"&gt;0")/3),0)</f>
        <v/>
      </c>
      <c r="AP130" s="238">
        <f>IF(ABS(AP91)&gt;0,IF(AP91&gt;0.001,AP91,_xlfn.MINIFS(AP$58:AP$92,AP$58:AP$92,"&gt;0")/3),0)</f>
        <v/>
      </c>
      <c r="AQ130" s="238">
        <f>IF(ABS(AQ91)&gt;0,IF(AQ91&gt;0.001,AQ91,_xlfn.MINIFS(AQ$58:AQ$92,AQ$58:AQ$92,"&gt;0")/3),0)</f>
        <v/>
      </c>
      <c r="AR130" s="238">
        <f>IF(ABS(AR91)&gt;0,IF(AR91&gt;0.001,AR91,_xlfn.MINIFS(AR$58:AR$92,AR$58:AR$92,"&gt;0")/3),0)</f>
        <v/>
      </c>
      <c r="AS130" s="238">
        <f>IF(ABS(AS91)&gt;0,IF(AS91&gt;0.001,AS91,_xlfn.MINIFS(AS$58:AS$92,AS$58:AS$92,"&gt;0")/3),0)</f>
        <v/>
      </c>
      <c r="AT130" s="238">
        <f>IF(ABS(AT91)&gt;0,IF(AT91&gt;0.001,AT91,_xlfn.MINIFS(AT$58:AT$92,AT$58:AT$92,"&gt;0")/3),0)</f>
        <v/>
      </c>
      <c r="AU130" s="238">
        <f>IF(ABS(AU91)&gt;0,IF(AU91&gt;0.001,AU91,_xlfn.MINIFS(AU$58:AU$92,AU$58:AU$92,"&gt;0")/3),0)</f>
        <v/>
      </c>
      <c r="AV130" s="238">
        <f>IF(ABS(AV91)&gt;0,IF(AV91&gt;0.001,AV91,_xlfn.MINIFS(AV$58:AV$92,AV$58:AV$92,"&gt;0")/3),0)</f>
        <v/>
      </c>
      <c r="AW130" s="238">
        <f>IF(ABS(AW91)&gt;0,IF(AW91&gt;0.001,AW91,_xlfn.MINIFS(AW$58:AW$92,AW$58:AW$92,"&gt;0")/3),0)</f>
        <v/>
      </c>
      <c r="AX130" s="238">
        <f>IF(ABS(AX91)&gt;0,IF(AX91&gt;0.001,AX91,_xlfn.MINIFS(AX$58:AX$92,AX$58:AX$92,"&gt;0")/3),0)</f>
        <v/>
      </c>
      <c r="AY130" s="238">
        <f>IF(ABS(AY91)&gt;0,IF(AY91&gt;0.001,AY91,_xlfn.MINIFS(AY$58:AY$92,AY$58:AY$92,"&gt;0")/3),0)</f>
        <v/>
      </c>
      <c r="AZ130" s="238">
        <f>IF(ABS(AZ91)&gt;0,IF(AZ91&gt;0.001,AZ91,_xlfn.MINIFS(AZ$58:AZ$92,AZ$58:AZ$92,"&gt;0")/3),0)</f>
        <v/>
      </c>
      <c r="BA130" s="238">
        <f>IF(ABS(BA91)&gt;0,IF(BA91&gt;0.001,BA91,_xlfn.MINIFS(BA$58:BA$92,BA$58:BA$92,"&gt;0")/3),0)</f>
        <v/>
      </c>
      <c r="BB130" s="238">
        <f>IF(ABS(BB91)&gt;0,IF(BB91&gt;0.001,BB91,_xlfn.MINIFS(BB$58:BB$92,BB$58:BB$92,"&gt;0")/3),0)</f>
        <v/>
      </c>
    </row>
    <row r="131">
      <c r="C131" s="1" t="n"/>
      <c r="D131" s="237">
        <f>D92</f>
        <v/>
      </c>
      <c r="E131" s="238">
        <f>IF(ABS(E92)&gt;0,IF(E92&gt;0.001,E92,_xlfn.MINIFS(E$58:E$92,E$58:E$92,"&gt;0")/3),0)</f>
        <v/>
      </c>
      <c r="F131" s="238">
        <f>IF(ABS(F92)&gt;0,IF(F92&gt;0.001,F92,_xlfn.MINIFS(F$58:F$92,F$58:F$92,"&gt;0")/3),0)</f>
        <v/>
      </c>
      <c r="G131" s="238">
        <f>IF(ABS(G92)&gt;0,IF(G92&gt;0.001,G92,_xlfn.MINIFS(G$58:G$92,G$58:G$92,"&gt;0")/3),0)</f>
        <v/>
      </c>
      <c r="H131" s="238">
        <f>IF(ABS(H92)&gt;0,IF(H92&gt;0.001,H92,_xlfn.MINIFS(H$58:H$92,H$58:H$92,"&gt;0")/3),0)</f>
        <v/>
      </c>
      <c r="I131" s="238">
        <f>IF(ABS(I92)&gt;0,IF(I92&gt;0.001,I92,_xlfn.MINIFS(I$58:I$92,I$58:I$92,"&gt;0")/3),0)</f>
        <v/>
      </c>
      <c r="J131" s="238">
        <f>IF(ABS(J92)&gt;0,IF(J92&gt;0.001,J92,_xlfn.MINIFS(J$58:J$92,J$58:J$92,"&gt;0")/3),0)</f>
        <v/>
      </c>
      <c r="K131" s="238">
        <f>IF(ABS(K92)&gt;0,IF(K92&gt;0.001,K92,_xlfn.MINIFS(K$58:K$92,K$58:K$92,"&gt;0")/3),0)</f>
        <v/>
      </c>
      <c r="L131" s="238">
        <f>IF(ABS(L92)&gt;0,IF(L92&gt;0.001,L92,_xlfn.MINIFS(L$58:L$92,L$58:L$92,"&gt;0")/3),0)</f>
        <v/>
      </c>
      <c r="M131" s="238">
        <f>IF(ABS(M92)&gt;0,IF(M92&gt;0.001,M92,_xlfn.MINIFS(M$58:M$92,M$58:M$92,"&gt;0")/3),0)</f>
        <v/>
      </c>
      <c r="N131" s="238">
        <f>IF(ABS(N92)&gt;0,IF(N92&gt;0.001,N92,_xlfn.MINIFS(N$58:N$92,N$58:N$92,"&gt;0")/3),0)</f>
        <v/>
      </c>
      <c r="O131" s="238">
        <f>IF(ABS(O92)&gt;0,IF(O92&gt;0.001,O92,_xlfn.MINIFS(O$58:O$92,O$58:O$92,"&gt;0")/3),0)</f>
        <v/>
      </c>
      <c r="P131" s="238">
        <f>IF(ABS(P92)&gt;0,IF(P92&gt;0.001,P92,_xlfn.MINIFS(P$58:P$92,P$58:P$92,"&gt;0")/3),0)</f>
        <v/>
      </c>
      <c r="Q131" s="238">
        <f>IF(ABS(Q92)&gt;0,IF(Q92&gt;0.001,Q92,_xlfn.MINIFS(Q$58:Q$92,Q$58:Q$92,"&gt;0")/3),0)</f>
        <v/>
      </c>
      <c r="R131" s="238">
        <f>IF(ABS(R92)&gt;0,IF(R92&gt;0.001,R92,_xlfn.MINIFS(R$58:R$92,R$58:R$92,"&gt;0")/3),0)</f>
        <v/>
      </c>
      <c r="S131" s="238">
        <f>IF(ABS(S92)&gt;0,IF(S92&gt;0.001,S92,_xlfn.MINIFS(S$58:S$92,S$58:S$92,"&gt;0")/3),0)</f>
        <v/>
      </c>
      <c r="T131" s="238">
        <f>IF(ABS(T92)&gt;0,IF(T92&gt;0.001,T92,_xlfn.MINIFS(T$58:T$92,T$58:T$92,"&gt;0")/3),0)</f>
        <v/>
      </c>
      <c r="U131" s="238">
        <f>IF(ABS(U92)&gt;0,IF(U92&gt;0.001,U92,_xlfn.MINIFS(U$58:U$92,U$58:U$92,"&gt;0")/3),0)</f>
        <v/>
      </c>
      <c r="V131" s="238">
        <f>IF(ABS(V92)&gt;0,IF(V92&gt;0.001,V92,_xlfn.MINIFS(V$58:V$92,V$58:V$92,"&gt;0")/3),0)</f>
        <v/>
      </c>
      <c r="W131" s="238">
        <f>IF(ABS(W92)&gt;0,IF(W92&gt;0.001,W92,_xlfn.MINIFS(W$58:W$92,W$58:W$92,"&gt;0")/3),0)</f>
        <v/>
      </c>
      <c r="X131" s="238">
        <f>IF(ABS(X92)&gt;0,IF(X92&gt;0.001,X92,_xlfn.MINIFS(X$58:X$92,X$58:X$92,"&gt;0")/3),0)</f>
        <v/>
      </c>
      <c r="Y131" s="238">
        <f>IF(ABS(Y92)&gt;0,IF(Y92&gt;0.001,Y92,_xlfn.MINIFS(Y$58:Y$92,Y$58:Y$92,"&gt;0")/3),0)</f>
        <v/>
      </c>
      <c r="Z131" s="238">
        <f>IF(ABS(Z92)&gt;0,IF(Z92&gt;0.001,Z92,_xlfn.MINIFS(Z$58:Z$92,Z$58:Z$92,"&gt;0")/3),0)</f>
        <v/>
      </c>
      <c r="AA131" s="238">
        <f>IF(ABS(AA92)&gt;0,IF(AA92&gt;0.001,AA92,_xlfn.MINIFS(AA$58:AA$92,AA$58:AA$92,"&gt;0")/3),0)</f>
        <v/>
      </c>
      <c r="AB131" s="238">
        <f>IF(ABS(AB92)&gt;0,IF(AB92&gt;0.001,AB92,_xlfn.MINIFS(AB$58:AB$92,AB$58:AB$92,"&gt;0")/3),0)</f>
        <v/>
      </c>
      <c r="AC131" s="238">
        <f>IF(ABS(AC92)&gt;0,IF(AC92&gt;0.001,AC92,_xlfn.MINIFS(AC$58:AC$92,AC$58:AC$92,"&gt;0")/3),0)</f>
        <v/>
      </c>
      <c r="AD131" s="238">
        <f>IF(ABS(AD92)&gt;0,IF(AD92&gt;0.001,AD92,_xlfn.MINIFS(AD$58:AD$92,AD$58:AD$92,"&gt;0")/3),0)</f>
        <v/>
      </c>
      <c r="AE131" s="238">
        <f>IF(ABS(AE92)&gt;0,IF(AE92&gt;0.001,AE92,_xlfn.MINIFS(AE$58:AE$92,AE$58:AE$92,"&gt;0")/3),0)</f>
        <v/>
      </c>
      <c r="AF131" s="238">
        <f>IF(ABS(AF92)&gt;0,IF(AF92&gt;0.001,AF92,_xlfn.MINIFS(AF$58:AF$92,AF$58:AF$92,"&gt;0")/3),0)</f>
        <v/>
      </c>
      <c r="AG131" s="238">
        <f>IF(ABS(AG92)&gt;0,IF(AG92&gt;0.001,AG92,_xlfn.MINIFS(AG$58:AG$92,AG$58:AG$92,"&gt;0")/3),0)</f>
        <v/>
      </c>
      <c r="AH131" s="238">
        <f>IF(ABS(AH92)&gt;0,IF(AH92&gt;0.001,AH92,_xlfn.MINIFS(AH$58:AH$92,AH$58:AH$92,"&gt;0")/3),0)</f>
        <v/>
      </c>
      <c r="AI131" s="238">
        <f>IF(ABS(AI92)&gt;0,IF(AI92&gt;0.001,AI92,_xlfn.MINIFS(AI$58:AI$92,AI$58:AI$92,"&gt;0")/3),0)</f>
        <v/>
      </c>
      <c r="AJ131" s="238">
        <f>IF(ABS(AJ92)&gt;0,IF(AJ92&gt;0.001,AJ92,_xlfn.MINIFS(AJ$58:AJ$92,AJ$58:AJ$92,"&gt;0")/3),0)</f>
        <v/>
      </c>
      <c r="AK131" s="238">
        <f>IF(ABS(AK92)&gt;0,IF(AK92&gt;0.001,AK92,_xlfn.MINIFS(AK$58:AK$92,AK$58:AK$92,"&gt;0")/3),0)</f>
        <v/>
      </c>
      <c r="AL131" s="238">
        <f>IF(ABS(AL92)&gt;0,IF(AL92&gt;0.001,AL92,_xlfn.MINIFS(AL$58:AL$92,AL$58:AL$92,"&gt;0")/3),0)</f>
        <v/>
      </c>
      <c r="AM131" s="238">
        <f>IF(ABS(AM92)&gt;0,IF(AM92&gt;0.001,AM92,_xlfn.MINIFS(AM$58:AM$92,AM$58:AM$92,"&gt;0")/3),0)</f>
        <v/>
      </c>
      <c r="AN131" s="238">
        <f>IF(ABS(AN92)&gt;0,IF(AN92&gt;0.001,AN92,_xlfn.MINIFS(AN$58:AN$92,AN$58:AN$92,"&gt;0")/3),0)</f>
        <v/>
      </c>
      <c r="AO131" s="238">
        <f>IF(ABS(AO92)&gt;0,IF(AO92&gt;0.001,AO92,_xlfn.MINIFS(AO$58:AO$92,AO$58:AO$92,"&gt;0")/3),0)</f>
        <v/>
      </c>
      <c r="AP131" s="238">
        <f>IF(ABS(AP92)&gt;0,IF(AP92&gt;0.001,AP92,_xlfn.MINIFS(AP$58:AP$92,AP$58:AP$92,"&gt;0")/3),0)</f>
        <v/>
      </c>
      <c r="AQ131" s="238">
        <f>IF(ABS(AQ92)&gt;0,IF(AQ92&gt;0.001,AQ92,_xlfn.MINIFS(AQ$58:AQ$92,AQ$58:AQ$92,"&gt;0")/3),0)</f>
        <v/>
      </c>
      <c r="AR131" s="238">
        <f>IF(ABS(AR92)&gt;0,IF(AR92&gt;0.001,AR92,_xlfn.MINIFS(AR$58:AR$92,AR$58:AR$92,"&gt;0")/3),0)</f>
        <v/>
      </c>
      <c r="AS131" s="238">
        <f>IF(ABS(AS92)&gt;0,IF(AS92&gt;0.001,AS92,_xlfn.MINIFS(AS$58:AS$92,AS$58:AS$92,"&gt;0")/3),0)</f>
        <v/>
      </c>
      <c r="AT131" s="238">
        <f>IF(ABS(AT92)&gt;0,IF(AT92&gt;0.001,AT92,_xlfn.MINIFS(AT$58:AT$92,AT$58:AT$92,"&gt;0")/3),0)</f>
        <v/>
      </c>
      <c r="AU131" s="238">
        <f>IF(ABS(AU92)&gt;0,IF(AU92&gt;0.001,AU92,_xlfn.MINIFS(AU$58:AU$92,AU$58:AU$92,"&gt;0")/3),0)</f>
        <v/>
      </c>
      <c r="AV131" s="238">
        <f>IF(ABS(AV92)&gt;0,IF(AV92&gt;0.001,AV92,_xlfn.MINIFS(AV$58:AV$92,AV$58:AV$92,"&gt;0")/3),0)</f>
        <v/>
      </c>
      <c r="AW131" s="238">
        <f>IF(ABS(AW92)&gt;0,IF(AW92&gt;0.001,AW92,_xlfn.MINIFS(AW$58:AW$92,AW$58:AW$92,"&gt;0")/3),0)</f>
        <v/>
      </c>
      <c r="AX131" s="238">
        <f>IF(ABS(AX92)&gt;0,IF(AX92&gt;0.001,AX92,_xlfn.MINIFS(AX$58:AX$92,AX$58:AX$92,"&gt;0")/3),0)</f>
        <v/>
      </c>
      <c r="AY131" s="238">
        <f>IF(ABS(AY92)&gt;0,IF(AY92&gt;0.001,AY92,_xlfn.MINIFS(AY$58:AY$92,AY$58:AY$92,"&gt;0")/3),0)</f>
        <v/>
      </c>
      <c r="AZ131" s="238">
        <f>IF(ABS(AZ92)&gt;0,IF(AZ92&gt;0.001,AZ92,_xlfn.MINIFS(AZ$58:AZ$92,AZ$58:AZ$92,"&gt;0")/3),0)</f>
        <v/>
      </c>
      <c r="BA131" s="238">
        <f>IF(ABS(BA92)&gt;0,IF(BA92&gt;0.001,BA92,_xlfn.MINIFS(BA$58:BA$92,BA$58:BA$92,"&gt;0")/3),0)</f>
        <v/>
      </c>
      <c r="BB131" s="238">
        <f>IF(ABS(BB92)&gt;0,IF(BB92&gt;0.001,BB92,_xlfn.MINIFS(BB$58:BB$92,BB$58:BB$92,"&gt;0")/3),0)</f>
        <v/>
      </c>
    </row>
    <row r="132">
      <c r="C132" s="1" t="n"/>
      <c r="D132" s="232" t="n"/>
      <c r="E132" s="238" t="n"/>
      <c r="F132" s="238" t="n"/>
      <c r="G132" s="238" t="n"/>
      <c r="H132" s="238" t="n"/>
      <c r="I132" s="238" t="n"/>
      <c r="J132" s="238" t="n"/>
      <c r="K132" s="238" t="n"/>
      <c r="L132" s="238" t="n"/>
      <c r="M132" s="238" t="n"/>
      <c r="N132" s="238" t="n"/>
      <c r="O132" s="227" t="n"/>
      <c r="P132" s="227" t="n"/>
      <c r="Q132" s="227" t="n"/>
      <c r="R132" s="227" t="n"/>
      <c r="S132" s="227" t="n"/>
      <c r="T132" s="227" t="n"/>
      <c r="W132" s="229" t="n"/>
      <c r="Y132" s="229" t="n"/>
      <c r="AA132" s="229" t="n"/>
      <c r="AC132" s="229" t="n"/>
      <c r="AE132" s="229" t="n"/>
      <c r="AG132" s="229" t="n"/>
      <c r="AI132" s="229" t="n"/>
      <c r="AK132" s="229" t="n"/>
      <c r="AM132" s="229" t="n"/>
      <c r="AO132" s="229" t="n"/>
      <c r="AQ132" s="229" t="n"/>
      <c r="AS132" s="229" t="n"/>
      <c r="AU132" s="229" t="n"/>
      <c r="AW132" s="229" t="n"/>
      <c r="AY132" s="229" t="n"/>
      <c r="BA132" s="229" t="n"/>
      <c r="BB132" s="229" t="n"/>
    </row>
    <row r="133">
      <c r="C133" s="1" t="n"/>
      <c r="D133" s="232" t="n"/>
      <c r="E133" s="238" t="n"/>
      <c r="F133" s="238" t="n"/>
      <c r="G133" s="238" t="n"/>
      <c r="H133" s="238" t="n"/>
      <c r="I133" s="238" t="n"/>
      <c r="J133" s="238" t="n"/>
      <c r="K133" s="238" t="n"/>
      <c r="L133" s="238" t="n"/>
      <c r="M133" s="238" t="n"/>
      <c r="N133" s="238" t="n"/>
      <c r="O133" s="227" t="n"/>
      <c r="P133" s="227" t="n"/>
      <c r="Q133" s="227" t="n"/>
      <c r="R133" s="227" t="n"/>
      <c r="S133" s="227" t="n"/>
      <c r="T133" s="227" t="n"/>
      <c r="W133" s="229" t="n"/>
      <c r="Y133" s="229" t="n"/>
      <c r="AA133" s="229" t="n"/>
      <c r="AC133" s="229" t="n"/>
      <c r="AE133" s="229" t="n"/>
      <c r="AG133" s="229" t="n"/>
      <c r="AI133" s="229" t="n"/>
      <c r="AK133" s="229" t="n"/>
      <c r="AM133" s="229" t="n"/>
      <c r="AO133" s="229" t="n"/>
      <c r="AQ133" s="229" t="n"/>
      <c r="AS133" s="229" t="n"/>
      <c r="AU133" s="229" t="n"/>
      <c r="AW133" s="229" t="n"/>
      <c r="AY133" s="229" t="n"/>
      <c r="BA133" s="229" t="n"/>
      <c r="BB133" s="229" t="n"/>
    </row>
    <row r="134">
      <c r="C134" s="1" t="n"/>
      <c r="D134" s="232" t="n"/>
      <c r="E134" s="238" t="n"/>
      <c r="F134" s="238" t="n"/>
      <c r="G134" s="238" t="n"/>
      <c r="H134" s="238" t="n"/>
      <c r="I134" s="238" t="n"/>
      <c r="J134" s="238" t="n"/>
      <c r="K134" s="238" t="n"/>
      <c r="L134" s="238" t="n"/>
      <c r="M134" s="238" t="n"/>
      <c r="N134" s="238" t="n"/>
      <c r="O134" s="227" t="n"/>
      <c r="P134" s="227" t="n"/>
      <c r="Q134" s="227" t="n"/>
      <c r="R134" s="227" t="n"/>
      <c r="S134" s="227" t="n"/>
      <c r="T134" s="227" t="n"/>
      <c r="W134" s="229" t="n"/>
      <c r="Y134" s="229" t="n"/>
      <c r="AA134" s="229" t="n"/>
      <c r="AC134" s="229" t="n"/>
      <c r="AE134" s="229" t="n"/>
      <c r="AG134" s="229" t="n"/>
      <c r="AI134" s="229" t="n"/>
      <c r="AK134" s="229" t="n"/>
      <c r="AM134" s="229" t="n"/>
      <c r="AO134" s="229" t="n"/>
      <c r="AQ134" s="229" t="n"/>
      <c r="AS134" s="229" t="n"/>
      <c r="AU134" s="229" t="n"/>
      <c r="AW134" s="229" t="n"/>
      <c r="AY134" s="229" t="n"/>
      <c r="BA134" s="229" t="n"/>
      <c r="BB134" s="229" t="n"/>
    </row>
    <row r="135" ht="22.5" customHeight="1" s="179">
      <c r="D135" s="19" t="inlineStr">
        <is>
          <t>Channel Contribution Share</t>
        </is>
      </c>
      <c r="E135" s="12">
        <f>E96</f>
        <v/>
      </c>
      <c r="F135" s="12">
        <f>F96</f>
        <v/>
      </c>
      <c r="G135" s="12">
        <f>G96</f>
        <v/>
      </c>
      <c r="H135" s="12">
        <f>H96</f>
        <v/>
      </c>
      <c r="I135" s="12">
        <f>I96</f>
        <v/>
      </c>
      <c r="J135" s="12">
        <f>J96</f>
        <v/>
      </c>
      <c r="K135" s="12">
        <f>K96</f>
        <v/>
      </c>
      <c r="L135" s="12">
        <f>L96</f>
        <v/>
      </c>
      <c r="M135" s="12">
        <f>M96</f>
        <v/>
      </c>
      <c r="N135" s="12">
        <f>N96</f>
        <v/>
      </c>
      <c r="O135" s="12">
        <f>O96</f>
        <v/>
      </c>
      <c r="P135" s="12">
        <f>P96</f>
        <v/>
      </c>
      <c r="Q135" s="12">
        <f>Q96</f>
        <v/>
      </c>
      <c r="R135" s="12">
        <f>R96</f>
        <v/>
      </c>
      <c r="S135" s="12">
        <f>S96</f>
        <v/>
      </c>
      <c r="T135" s="12">
        <f>T96</f>
        <v/>
      </c>
      <c r="U135" s="12">
        <f>U96</f>
        <v/>
      </c>
      <c r="V135" s="12">
        <f>V96</f>
        <v/>
      </c>
      <c r="W135" s="12">
        <f>W96</f>
        <v/>
      </c>
      <c r="X135" s="12">
        <f>X96</f>
        <v/>
      </c>
      <c r="Y135" s="12">
        <f>Y96</f>
        <v/>
      </c>
      <c r="Z135" s="12">
        <f>Z96</f>
        <v/>
      </c>
      <c r="AA135" s="12">
        <f>AA96</f>
        <v/>
      </c>
      <c r="AB135" s="12">
        <f>AB96</f>
        <v/>
      </c>
      <c r="AC135" s="12">
        <f>AC96</f>
        <v/>
      </c>
      <c r="AD135" s="12">
        <f>AD96</f>
        <v/>
      </c>
      <c r="AE135" s="12">
        <f>AE96</f>
        <v/>
      </c>
      <c r="AF135" s="12">
        <f>AF96</f>
        <v/>
      </c>
      <c r="AG135" s="12">
        <f>AG96</f>
        <v/>
      </c>
      <c r="AH135" s="12">
        <f>AH96</f>
        <v/>
      </c>
      <c r="AI135" s="12">
        <f>AI96</f>
        <v/>
      </c>
      <c r="AJ135" s="12">
        <f>AJ96</f>
        <v/>
      </c>
      <c r="AK135" s="12">
        <f>AK96</f>
        <v/>
      </c>
      <c r="AL135" s="12">
        <f>AL96</f>
        <v/>
      </c>
      <c r="AM135" s="12">
        <f>AM96</f>
        <v/>
      </c>
      <c r="AN135" s="12">
        <f>AN96</f>
        <v/>
      </c>
      <c r="AO135" s="12">
        <f>AO96</f>
        <v/>
      </c>
      <c r="AP135" s="12">
        <f>AP96</f>
        <v/>
      </c>
      <c r="AQ135" s="12">
        <f>AQ96</f>
        <v/>
      </c>
      <c r="AR135" s="12">
        <f>AR96</f>
        <v/>
      </c>
      <c r="AS135" s="12">
        <f>AS96</f>
        <v/>
      </c>
      <c r="AT135" s="12">
        <f>AT96</f>
        <v/>
      </c>
      <c r="AU135" s="12">
        <f>AU96</f>
        <v/>
      </c>
      <c r="AV135" s="12">
        <f>AV96</f>
        <v/>
      </c>
      <c r="AW135" s="12">
        <f>AW96</f>
        <v/>
      </c>
      <c r="AX135" s="12">
        <f>AX96</f>
        <v/>
      </c>
      <c r="AY135" s="12">
        <f>AY96</f>
        <v/>
      </c>
      <c r="AZ135" s="12">
        <f>AZ96</f>
        <v/>
      </c>
      <c r="BA135" s="12">
        <f>BA96</f>
        <v/>
      </c>
      <c r="BB135" s="12">
        <f>BB96</f>
        <v/>
      </c>
    </row>
    <row r="136" ht="16.5" customHeight="1" s="179">
      <c r="C136" s="66" t="n"/>
      <c r="D136" s="237">
        <f>D97</f>
        <v/>
      </c>
      <c r="E136" s="141">
        <f>IFERROR(E97*$BC58/SUMPRODUCT(E$97:E$131,$BC$58:$BC$92),0)</f>
        <v/>
      </c>
      <c r="F136" s="141">
        <f>IFERROR(F97*$BC58/SUMPRODUCT(F$97:F$131,$BC$58:$BC$92),0)</f>
        <v/>
      </c>
      <c r="G136" s="141">
        <f>IFERROR(G97*$BC58/SUMPRODUCT(G$97:G$131,$BC$58:$BC$92),0)</f>
        <v/>
      </c>
      <c r="H136" s="39">
        <f>IFERROR(H97*$BC58/SUMPRODUCT(H$97:H$131,$BC$58:$BC$92),0)</f>
        <v/>
      </c>
      <c r="I136" s="39">
        <f>IFERROR(I97*$BC58/SUMPRODUCT(I$97:I$131,$BC$58:$BC$92),0)</f>
        <v/>
      </c>
      <c r="J136" s="39">
        <f>IFERROR(J97*$BC58/SUMPRODUCT(J$97:J$131,$BC$58:$BC$92),0)</f>
        <v/>
      </c>
      <c r="K136" s="39">
        <f>IFERROR(K97*$BC58/SUMPRODUCT(K$97:K$131,$BC$58:$BC$92),0)</f>
        <v/>
      </c>
      <c r="L136" s="39">
        <f>IFERROR(L97*$BC58/SUMPRODUCT(L$97:L$131,$BC$58:$BC$92),0)</f>
        <v/>
      </c>
      <c r="M136" s="39">
        <f>IFERROR(M97*$BC58/SUMPRODUCT(M$97:M$131,$BC$58:$BC$92),0)</f>
        <v/>
      </c>
      <c r="N136" s="39">
        <f>IFERROR(N97*$BC58/SUMPRODUCT(N$97:N$131,$BC$58:$BC$92),0)</f>
        <v/>
      </c>
      <c r="O136" s="39">
        <f>IFERROR(O97*$BC58/SUMPRODUCT(O$97:O$131,$BC$58:$BC$92),0)</f>
        <v/>
      </c>
      <c r="P136" s="39">
        <f>IFERROR(P97*$BC58/SUMPRODUCT(P$97:P$131,$BC$58:$BC$92),0)</f>
        <v/>
      </c>
      <c r="Q136" s="39">
        <f>IFERROR(Q97*$BC58/SUMPRODUCT(Q$97:Q$131,$BC$58:$BC$92),0)</f>
        <v/>
      </c>
      <c r="R136" s="39">
        <f>IFERROR(R97*$BC58/SUMPRODUCT(R$97:R$131,$BC$58:$BC$92),0)</f>
        <v/>
      </c>
      <c r="S136" s="39">
        <f>IFERROR(S97*$BC58/SUMPRODUCT(S$97:S$131,$BC$58:$BC$92),0)</f>
        <v/>
      </c>
      <c r="T136" s="39">
        <f>IFERROR(T97*$BC58/SUMPRODUCT(T$97:T$131,$BC$58:$BC$92),0)</f>
        <v/>
      </c>
      <c r="U136" s="39">
        <f>IFERROR(U97*$BC58/SUMPRODUCT(U$97:U$131,$BC$58:$BC$92),0)</f>
        <v/>
      </c>
      <c r="V136" s="39">
        <f>IFERROR(V97*$BC58/SUMPRODUCT(V$97:V$131,$BC$58:$BC$92),0)</f>
        <v/>
      </c>
      <c r="W136" s="39">
        <f>IFERROR(W97*$BC58/SUMPRODUCT(W$97:W$131,$BC$58:$BC$92),0)</f>
        <v/>
      </c>
      <c r="X136" s="39">
        <f>IFERROR(X97*$BC58/SUMPRODUCT(X$97:X$131,$BC$58:$BC$92),0)</f>
        <v/>
      </c>
      <c r="Y136" s="39">
        <f>IFERROR(Y97*$BC58/SUMPRODUCT(Y$97:Y$131,$BC$58:$BC$92),0)</f>
        <v/>
      </c>
      <c r="Z136" s="39">
        <f>IFERROR(Z97*$BC58/SUMPRODUCT(Z$97:Z$131,$BC$58:$BC$92),0)</f>
        <v/>
      </c>
      <c r="AA136" s="39">
        <f>IFERROR(AA97*$BC58/SUMPRODUCT(AA$97:AA$131,$BC$58:$BC$92),0)</f>
        <v/>
      </c>
      <c r="AB136" s="39">
        <f>IFERROR(AB97*$BC58/SUMPRODUCT(AB$97:AB$131,$BC$58:$BC$92),0)</f>
        <v/>
      </c>
      <c r="AC136" s="39">
        <f>IFERROR(AC97*$BC58/SUMPRODUCT(AC$97:AC$131,$BC$58:$BC$92),0)</f>
        <v/>
      </c>
      <c r="AD136" s="39">
        <f>IFERROR(AD97*$BC58/SUMPRODUCT(AD$97:AD$131,$BC$58:$BC$92),0)</f>
        <v/>
      </c>
      <c r="AE136" s="39">
        <f>IFERROR(AE97*$BC58/SUMPRODUCT(AE$97:AE$131,$BC$58:$BC$92),0)</f>
        <v/>
      </c>
      <c r="AF136" s="39">
        <f>IFERROR(AF97*$BC58/SUMPRODUCT(AF$97:AF$131,$BC$58:$BC$92),0)</f>
        <v/>
      </c>
      <c r="AG136" s="39">
        <f>IFERROR(AG97*$BC58/SUMPRODUCT(AG$97:AG$131,$BC$58:$BC$92),0)</f>
        <v/>
      </c>
      <c r="AH136" s="39">
        <f>IFERROR(AH97*$BC58/SUMPRODUCT(AH$97:AH$131,$BC$58:$BC$92),0)</f>
        <v/>
      </c>
      <c r="AI136" s="39">
        <f>IFERROR(AI97*$BC58/SUMPRODUCT(AI$97:AI$131,$BC$58:$BC$92),0)</f>
        <v/>
      </c>
      <c r="AJ136" s="39">
        <f>IFERROR(AJ97*$BC58/SUMPRODUCT(AJ$97:AJ$131,$BC$58:$BC$92),0)</f>
        <v/>
      </c>
      <c r="AK136" s="39">
        <f>IFERROR(AK97*$BC58/SUMPRODUCT(AK$97:AK$131,$BC$58:$BC$92),0)</f>
        <v/>
      </c>
      <c r="AL136" s="39">
        <f>IFERROR(AL97*$BC58/SUMPRODUCT(AL$97:AL$131,$BC$58:$BC$92),0)</f>
        <v/>
      </c>
      <c r="AM136" s="39">
        <f>IFERROR(AM97*$BC58/SUMPRODUCT(AM$97:AM$131,$BC$58:$BC$92),0)</f>
        <v/>
      </c>
      <c r="AN136" s="39">
        <f>IFERROR(AN97*$BC58/SUMPRODUCT(AN$97:AN$131,$BC$58:$BC$92),0)</f>
        <v/>
      </c>
      <c r="AO136" s="39">
        <f>IFERROR(AO97*$BC58/SUMPRODUCT(AO$97:AO$131,$BC$58:$BC$92),0)</f>
        <v/>
      </c>
      <c r="AP136" s="39">
        <f>IFERROR(AP97*$BC58/SUMPRODUCT(AP$97:AP$131,$BC$58:$BC$92),0)</f>
        <v/>
      </c>
      <c r="AQ136" s="39">
        <f>IFERROR(AQ97*$BC58/SUMPRODUCT(AQ$97:AQ$131,$BC$58:$BC$92),0)</f>
        <v/>
      </c>
      <c r="AR136" s="39">
        <f>IFERROR(AR97*$BC58/SUMPRODUCT(AR$97:AR$131,$BC$58:$BC$92),0)</f>
        <v/>
      </c>
      <c r="AS136" s="39">
        <f>IFERROR(AS97*$BC58/SUMPRODUCT(AS$97:AS$131,$BC$58:$BC$92),0)</f>
        <v/>
      </c>
      <c r="AT136" s="39">
        <f>IFERROR(AT97*$BC58/SUMPRODUCT(AT$97:AT$131,$BC$58:$BC$92),0)</f>
        <v/>
      </c>
      <c r="AU136" s="39">
        <f>IFERROR(AU97*$BC58/SUMPRODUCT(AU$97:AU$131,$BC$58:$BC$92),0)</f>
        <v/>
      </c>
      <c r="AV136" s="39">
        <f>IFERROR(AV97*$BC58/SUMPRODUCT(AV$97:AV$131,$BC$58:$BC$92),0)</f>
        <v/>
      </c>
      <c r="AW136" s="39">
        <f>IFERROR(AW97*$BC58/SUMPRODUCT(AW$97:AW$131,$BC$58:$BC$92),0)</f>
        <v/>
      </c>
      <c r="AX136" s="39">
        <f>IFERROR(AX97*$BC58/SUMPRODUCT(AX$97:AX$131,$BC$58:$BC$92),0)</f>
        <v/>
      </c>
      <c r="AY136" s="39">
        <f>IFERROR(AY97*$BC58/SUMPRODUCT(AY$97:AY$131,$BC$58:$BC$92),0)</f>
        <v/>
      </c>
      <c r="AZ136" s="39">
        <f>IFERROR(AZ97*$BC58/SUMPRODUCT(AZ$97:AZ$131,$BC$58:$BC$92),0)</f>
        <v/>
      </c>
      <c r="BA136" s="39">
        <f>IFERROR(BA97*$BC58/SUMPRODUCT(BA$97:BA$131,$BC$58:$BC$92),0)</f>
        <v/>
      </c>
      <c r="BB136" s="39">
        <f>IFERROR(BB97*$BC58/SUMPRODUCT(BB$97:BB$131,$BC$58:$BC$92),0)</f>
        <v/>
      </c>
    </row>
    <row r="137" ht="16.5" customHeight="1" s="179">
      <c r="C137" s="66" t="n"/>
      <c r="D137" s="237">
        <f>D98</f>
        <v/>
      </c>
      <c r="E137" s="141">
        <f>IFERROR(E98*$BC59/SUMPRODUCT(E$97:E$131,$BC$58:$BC$92),0)</f>
        <v/>
      </c>
      <c r="F137" s="141">
        <f>IFERROR(F98*$BC59/SUMPRODUCT(F$97:F$131,$BC$58:$BC$92),0)</f>
        <v/>
      </c>
      <c r="G137" s="141">
        <f>IFERROR(G98*$BC59/SUMPRODUCT(G$97:G$131,$BC$58:$BC$92),0)</f>
        <v/>
      </c>
      <c r="H137" s="39">
        <f>IFERROR(H98*$BC59/SUMPRODUCT(H$97:H$131,$BC$58:$BC$92),0)</f>
        <v/>
      </c>
      <c r="I137" s="39">
        <f>IFERROR(I98*$BC59/SUMPRODUCT(I$97:I$131,$BC$58:$BC$92),0)</f>
        <v/>
      </c>
      <c r="J137" s="39">
        <f>IFERROR(J98*$BC59/SUMPRODUCT(J$97:J$131,$BC$58:$BC$92),0)</f>
        <v/>
      </c>
      <c r="K137" s="39">
        <f>IFERROR(K98*$BC59/SUMPRODUCT(K$97:K$131,$BC$58:$BC$92),0)</f>
        <v/>
      </c>
      <c r="L137" s="39">
        <f>IFERROR(L98*$BC59/SUMPRODUCT(L$97:L$131,$BC$58:$BC$92),0)</f>
        <v/>
      </c>
      <c r="M137" s="39">
        <f>IFERROR(M98*$BC59/SUMPRODUCT(M$97:M$131,$BC$58:$BC$92),0)</f>
        <v/>
      </c>
      <c r="N137" s="39">
        <f>IFERROR(N98*$BC59/SUMPRODUCT(N$97:N$131,$BC$58:$BC$92),0)</f>
        <v/>
      </c>
      <c r="O137" s="39">
        <f>IFERROR(O98*$BC59/SUMPRODUCT(O$97:O$131,$BC$58:$BC$92),0)</f>
        <v/>
      </c>
      <c r="P137" s="39">
        <f>IFERROR(P98*$BC59/SUMPRODUCT(P$97:P$131,$BC$58:$BC$92),0)</f>
        <v/>
      </c>
      <c r="Q137" s="39">
        <f>IFERROR(Q98*$BC59/SUMPRODUCT(Q$97:Q$131,$BC$58:$BC$92),0)</f>
        <v/>
      </c>
      <c r="R137" s="39">
        <f>IFERROR(R98*$BC59/SUMPRODUCT(R$97:R$131,$BC$58:$BC$92),0)</f>
        <v/>
      </c>
      <c r="S137" s="39">
        <f>IFERROR(S98*$BC59/SUMPRODUCT(S$97:S$131,$BC$58:$BC$92),0)</f>
        <v/>
      </c>
      <c r="T137" s="39">
        <f>IFERROR(T98*$BC59/SUMPRODUCT(T$97:T$131,$BC$58:$BC$92),0)</f>
        <v/>
      </c>
      <c r="U137" s="39">
        <f>IFERROR(U98*$BC59/SUMPRODUCT(U$97:U$131,$BC$58:$BC$92),0)</f>
        <v/>
      </c>
      <c r="V137" s="39">
        <f>IFERROR(V98*$BC59/SUMPRODUCT(V$97:V$131,$BC$58:$BC$92),0)</f>
        <v/>
      </c>
      <c r="W137" s="39">
        <f>IFERROR(W98*$BC59/SUMPRODUCT(W$97:W$131,$BC$58:$BC$92),0)</f>
        <v/>
      </c>
      <c r="X137" s="39">
        <f>IFERROR(X98*$BC59/SUMPRODUCT(X$97:X$131,$BC$58:$BC$92),0)</f>
        <v/>
      </c>
      <c r="Y137" s="39">
        <f>IFERROR(Y98*$BC59/SUMPRODUCT(Y$97:Y$131,$BC$58:$BC$92),0)</f>
        <v/>
      </c>
      <c r="Z137" s="39">
        <f>IFERROR(Z98*$BC59/SUMPRODUCT(Z$97:Z$131,$BC$58:$BC$92),0)</f>
        <v/>
      </c>
      <c r="AA137" s="39">
        <f>IFERROR(AA98*$BC59/SUMPRODUCT(AA$97:AA$131,$BC$58:$BC$92),0)</f>
        <v/>
      </c>
      <c r="AB137" s="39">
        <f>IFERROR(AB98*$BC59/SUMPRODUCT(AB$97:AB$131,$BC$58:$BC$92),0)</f>
        <v/>
      </c>
      <c r="AC137" s="39">
        <f>IFERROR(AC98*$BC59/SUMPRODUCT(AC$97:AC$131,$BC$58:$BC$92),0)</f>
        <v/>
      </c>
      <c r="AD137" s="39">
        <f>IFERROR(AD98*$BC59/SUMPRODUCT(AD$97:AD$131,$BC$58:$BC$92),0)</f>
        <v/>
      </c>
      <c r="AE137" s="39">
        <f>IFERROR(AE98*$BC59/SUMPRODUCT(AE$97:AE$131,$BC$58:$BC$92),0)</f>
        <v/>
      </c>
      <c r="AF137" s="39">
        <f>IFERROR(AF98*$BC59/SUMPRODUCT(AF$97:AF$131,$BC$58:$BC$92),0)</f>
        <v/>
      </c>
      <c r="AG137" s="39">
        <f>IFERROR(AG98*$BC59/SUMPRODUCT(AG$97:AG$131,$BC$58:$BC$92),0)</f>
        <v/>
      </c>
      <c r="AH137" s="39">
        <f>IFERROR(AH98*$BC59/SUMPRODUCT(AH$97:AH$131,$BC$58:$BC$92),0)</f>
        <v/>
      </c>
      <c r="AI137" s="39">
        <f>IFERROR(AI98*$BC59/SUMPRODUCT(AI$97:AI$131,$BC$58:$BC$92),0)</f>
        <v/>
      </c>
      <c r="AJ137" s="39">
        <f>IFERROR(AJ98*$BC59/SUMPRODUCT(AJ$97:AJ$131,$BC$58:$BC$92),0)</f>
        <v/>
      </c>
      <c r="AK137" s="39">
        <f>IFERROR(AK98*$BC59/SUMPRODUCT(AK$97:AK$131,$BC$58:$BC$92),0)</f>
        <v/>
      </c>
      <c r="AL137" s="39">
        <f>IFERROR(AL98*$BC59/SUMPRODUCT(AL$97:AL$131,$BC$58:$BC$92),0)</f>
        <v/>
      </c>
      <c r="AM137" s="39">
        <f>IFERROR(AM98*$BC59/SUMPRODUCT(AM$97:AM$131,$BC$58:$BC$92),0)</f>
        <v/>
      </c>
      <c r="AN137" s="39">
        <f>IFERROR(AN98*$BC59/SUMPRODUCT(AN$97:AN$131,$BC$58:$BC$92),0)</f>
        <v/>
      </c>
      <c r="AO137" s="39">
        <f>IFERROR(AO98*$BC59/SUMPRODUCT(AO$97:AO$131,$BC$58:$BC$92),0)</f>
        <v/>
      </c>
      <c r="AP137" s="39">
        <f>IFERROR(AP98*$BC59/SUMPRODUCT(AP$97:AP$131,$BC$58:$BC$92),0)</f>
        <v/>
      </c>
      <c r="AQ137" s="39">
        <f>IFERROR(AQ98*$BC59/SUMPRODUCT(AQ$97:AQ$131,$BC$58:$BC$92),0)</f>
        <v/>
      </c>
      <c r="AR137" s="39">
        <f>IFERROR(AR98*$BC59/SUMPRODUCT(AR$97:AR$131,$BC$58:$BC$92),0)</f>
        <v/>
      </c>
      <c r="AS137" s="39">
        <f>IFERROR(AS98*$BC59/SUMPRODUCT(AS$97:AS$131,$BC$58:$BC$92),0)</f>
        <v/>
      </c>
      <c r="AT137" s="39">
        <f>IFERROR(AT98*$BC59/SUMPRODUCT(AT$97:AT$131,$BC$58:$BC$92),0)</f>
        <v/>
      </c>
      <c r="AU137" s="39">
        <f>IFERROR(AU98*$BC59/SUMPRODUCT(AU$97:AU$131,$BC$58:$BC$92),0)</f>
        <v/>
      </c>
      <c r="AV137" s="39">
        <f>IFERROR(AV98*$BC59/SUMPRODUCT(AV$97:AV$131,$BC$58:$BC$92),0)</f>
        <v/>
      </c>
      <c r="AW137" s="39">
        <f>IFERROR(AW98*$BC59/SUMPRODUCT(AW$97:AW$131,$BC$58:$BC$92),0)</f>
        <v/>
      </c>
      <c r="AX137" s="39">
        <f>IFERROR(AX98*$BC59/SUMPRODUCT(AX$97:AX$131,$BC$58:$BC$92),0)</f>
        <v/>
      </c>
      <c r="AY137" s="39">
        <f>IFERROR(AY98*$BC59/SUMPRODUCT(AY$97:AY$131,$BC$58:$BC$92),0)</f>
        <v/>
      </c>
      <c r="AZ137" s="39">
        <f>IFERROR(AZ98*$BC59/SUMPRODUCT(AZ$97:AZ$131,$BC$58:$BC$92),0)</f>
        <v/>
      </c>
      <c r="BA137" s="39">
        <f>IFERROR(BA98*$BC59/SUMPRODUCT(BA$97:BA$131,$BC$58:$BC$92),0)</f>
        <v/>
      </c>
      <c r="BB137" s="39">
        <f>IFERROR(BB98*$BC59/SUMPRODUCT(BB$97:BB$131,$BC$58:$BC$92),0)</f>
        <v/>
      </c>
    </row>
    <row r="138" ht="16.5" customHeight="1" s="179">
      <c r="C138" s="66" t="n"/>
      <c r="D138" s="237">
        <f>D99</f>
        <v/>
      </c>
      <c r="E138" s="141">
        <f>IFERROR(E99*$BC60/SUMPRODUCT(E$97:E$131,$BC$58:$BC$92),0)</f>
        <v/>
      </c>
      <c r="F138" s="141">
        <f>IFERROR(F99*$BC60/SUMPRODUCT(F$97:F$131,$BC$58:$BC$92),0)</f>
        <v/>
      </c>
      <c r="G138" s="141">
        <f>IFERROR(G99*$BC60/SUMPRODUCT(G$97:G$131,$BC$58:$BC$92),0)</f>
        <v/>
      </c>
      <c r="H138" s="39">
        <f>IFERROR(H99*$BC60/SUMPRODUCT(H$97:H$131,$BC$58:$BC$92),0)</f>
        <v/>
      </c>
      <c r="I138" s="39">
        <f>IFERROR(I99*$BC60/SUMPRODUCT(I$97:I$131,$BC$58:$BC$92),0)</f>
        <v/>
      </c>
      <c r="J138" s="39">
        <f>IFERROR(J99*$BC60/SUMPRODUCT(J$97:J$131,$BC$58:$BC$92),0)</f>
        <v/>
      </c>
      <c r="K138" s="39">
        <f>IFERROR(K99*$BC60/SUMPRODUCT(K$97:K$131,$BC$58:$BC$92),0)</f>
        <v/>
      </c>
      <c r="L138" s="39">
        <f>IFERROR(L99*$BC60/SUMPRODUCT(L$97:L$131,$BC$58:$BC$92),0)</f>
        <v/>
      </c>
      <c r="M138" s="39">
        <f>IFERROR(M99*$BC60/SUMPRODUCT(M$97:M$131,$BC$58:$BC$92),0)</f>
        <v/>
      </c>
      <c r="N138" s="39">
        <f>IFERROR(N99*$BC60/SUMPRODUCT(N$97:N$131,$BC$58:$BC$92),0)</f>
        <v/>
      </c>
      <c r="O138" s="39">
        <f>IFERROR(O99*$BC60/SUMPRODUCT(O$97:O$131,$BC$58:$BC$92),0)</f>
        <v/>
      </c>
      <c r="P138" s="39">
        <f>IFERROR(P99*$BC60/SUMPRODUCT(P$97:P$131,$BC$58:$BC$92),0)</f>
        <v/>
      </c>
      <c r="Q138" s="39">
        <f>IFERROR(Q99*$BC60/SUMPRODUCT(Q$97:Q$131,$BC$58:$BC$92),0)</f>
        <v/>
      </c>
      <c r="R138" s="39">
        <f>IFERROR(R99*$BC60/SUMPRODUCT(R$97:R$131,$BC$58:$BC$92),0)</f>
        <v/>
      </c>
      <c r="S138" s="39">
        <f>IFERROR(S99*$BC60/SUMPRODUCT(S$97:S$131,$BC$58:$BC$92),0)</f>
        <v/>
      </c>
      <c r="T138" s="39">
        <f>IFERROR(T99*$BC60/SUMPRODUCT(T$97:T$131,$BC$58:$BC$92),0)</f>
        <v/>
      </c>
      <c r="U138" s="39">
        <f>IFERROR(U99*$BC60/SUMPRODUCT(U$97:U$131,$BC$58:$BC$92),0)</f>
        <v/>
      </c>
      <c r="V138" s="39">
        <f>IFERROR(V99*$BC60/SUMPRODUCT(V$97:V$131,$BC$58:$BC$92),0)</f>
        <v/>
      </c>
      <c r="W138" s="39">
        <f>IFERROR(W99*$BC60/SUMPRODUCT(W$97:W$131,$BC$58:$BC$92),0)</f>
        <v/>
      </c>
      <c r="X138" s="39">
        <f>IFERROR(X99*$BC60/SUMPRODUCT(X$97:X$131,$BC$58:$BC$92),0)</f>
        <v/>
      </c>
      <c r="Y138" s="39">
        <f>IFERROR(Y99*$BC60/SUMPRODUCT(Y$97:Y$131,$BC$58:$BC$92),0)</f>
        <v/>
      </c>
      <c r="Z138" s="39">
        <f>IFERROR(Z99*$BC60/SUMPRODUCT(Z$97:Z$131,$BC$58:$BC$92),0)</f>
        <v/>
      </c>
      <c r="AA138" s="39">
        <f>IFERROR(AA99*$BC60/SUMPRODUCT(AA$97:AA$131,$BC$58:$BC$92),0)</f>
        <v/>
      </c>
      <c r="AB138" s="39">
        <f>IFERROR(AB99*$BC60/SUMPRODUCT(AB$97:AB$131,$BC$58:$BC$92),0)</f>
        <v/>
      </c>
      <c r="AC138" s="39">
        <f>IFERROR(AC99*$BC60/SUMPRODUCT(AC$97:AC$131,$BC$58:$BC$92),0)</f>
        <v/>
      </c>
      <c r="AD138" s="39">
        <f>IFERROR(AD99*$BC60/SUMPRODUCT(AD$97:AD$131,$BC$58:$BC$92),0)</f>
        <v/>
      </c>
      <c r="AE138" s="39">
        <f>IFERROR(AE99*$BC60/SUMPRODUCT(AE$97:AE$131,$BC$58:$BC$92),0)</f>
        <v/>
      </c>
      <c r="AF138" s="39">
        <f>IFERROR(AF99*$BC60/SUMPRODUCT(AF$97:AF$131,$BC$58:$BC$92),0)</f>
        <v/>
      </c>
      <c r="AG138" s="39">
        <f>IFERROR(AG99*$BC60/SUMPRODUCT(AG$97:AG$131,$BC$58:$BC$92),0)</f>
        <v/>
      </c>
      <c r="AH138" s="39">
        <f>IFERROR(AH99*$BC60/SUMPRODUCT(AH$97:AH$131,$BC$58:$BC$92),0)</f>
        <v/>
      </c>
      <c r="AI138" s="39">
        <f>IFERROR(AI99*$BC60/SUMPRODUCT(AI$97:AI$131,$BC$58:$BC$92),0)</f>
        <v/>
      </c>
      <c r="AJ138" s="39">
        <f>IFERROR(AJ99*$BC60/SUMPRODUCT(AJ$97:AJ$131,$BC$58:$BC$92),0)</f>
        <v/>
      </c>
      <c r="AK138" s="39">
        <f>IFERROR(AK99*$BC60/SUMPRODUCT(AK$97:AK$131,$BC$58:$BC$92),0)</f>
        <v/>
      </c>
      <c r="AL138" s="39">
        <f>IFERROR(AL99*$BC60/SUMPRODUCT(AL$97:AL$131,$BC$58:$BC$92),0)</f>
        <v/>
      </c>
      <c r="AM138" s="39">
        <f>IFERROR(AM99*$BC60/SUMPRODUCT(AM$97:AM$131,$BC$58:$BC$92),0)</f>
        <v/>
      </c>
      <c r="AN138" s="39">
        <f>IFERROR(AN99*$BC60/SUMPRODUCT(AN$97:AN$131,$BC$58:$BC$92),0)</f>
        <v/>
      </c>
      <c r="AO138" s="39">
        <f>IFERROR(AO99*$BC60/SUMPRODUCT(AO$97:AO$131,$BC$58:$BC$92),0)</f>
        <v/>
      </c>
      <c r="AP138" s="39">
        <f>IFERROR(AP99*$BC60/SUMPRODUCT(AP$97:AP$131,$BC$58:$BC$92),0)</f>
        <v/>
      </c>
      <c r="AQ138" s="39">
        <f>IFERROR(AQ99*$BC60/SUMPRODUCT(AQ$97:AQ$131,$BC$58:$BC$92),0)</f>
        <v/>
      </c>
      <c r="AR138" s="39">
        <f>IFERROR(AR99*$BC60/SUMPRODUCT(AR$97:AR$131,$BC$58:$BC$92),0)</f>
        <v/>
      </c>
      <c r="AS138" s="39">
        <f>IFERROR(AS99*$BC60/SUMPRODUCT(AS$97:AS$131,$BC$58:$BC$92),0)</f>
        <v/>
      </c>
      <c r="AT138" s="39">
        <f>IFERROR(AT99*$BC60/SUMPRODUCT(AT$97:AT$131,$BC$58:$BC$92),0)</f>
        <v/>
      </c>
      <c r="AU138" s="39">
        <f>IFERROR(AU99*$BC60/SUMPRODUCT(AU$97:AU$131,$BC$58:$BC$92),0)</f>
        <v/>
      </c>
      <c r="AV138" s="39">
        <f>IFERROR(AV99*$BC60/SUMPRODUCT(AV$97:AV$131,$BC$58:$BC$92),0)</f>
        <v/>
      </c>
      <c r="AW138" s="39">
        <f>IFERROR(AW99*$BC60/SUMPRODUCT(AW$97:AW$131,$BC$58:$BC$92),0)</f>
        <v/>
      </c>
      <c r="AX138" s="39">
        <f>IFERROR(AX99*$BC60/SUMPRODUCT(AX$97:AX$131,$BC$58:$BC$92),0)</f>
        <v/>
      </c>
      <c r="AY138" s="39">
        <f>IFERROR(AY99*$BC60/SUMPRODUCT(AY$97:AY$131,$BC$58:$BC$92),0)</f>
        <v/>
      </c>
      <c r="AZ138" s="39">
        <f>IFERROR(AZ99*$BC60/SUMPRODUCT(AZ$97:AZ$131,$BC$58:$BC$92),0)</f>
        <v/>
      </c>
      <c r="BA138" s="39">
        <f>IFERROR(BA99*$BC60/SUMPRODUCT(BA$97:BA$131,$BC$58:$BC$92),0)</f>
        <v/>
      </c>
      <c r="BB138" s="39">
        <f>IFERROR(BB99*$BC60/SUMPRODUCT(BB$97:BB$131,$BC$58:$BC$92),0)</f>
        <v/>
      </c>
    </row>
    <row r="139" ht="16.5" customHeight="1" s="179">
      <c r="C139" s="66" t="n"/>
      <c r="D139" s="237">
        <f>D100</f>
        <v/>
      </c>
      <c r="E139" s="141">
        <f>IFERROR(E100*$BC61/SUMPRODUCT(E$97:E$131,$BC$58:$BC$92),0)</f>
        <v/>
      </c>
      <c r="F139" s="141">
        <f>IFERROR(F100*$BC61/SUMPRODUCT(F$97:F$131,$BC$58:$BC$92),0)</f>
        <v/>
      </c>
      <c r="G139" s="141">
        <f>IFERROR(G100*$BC61/SUMPRODUCT(G$97:G$131,$BC$58:$BC$92),0)</f>
        <v/>
      </c>
      <c r="H139" s="39">
        <f>IFERROR(H100*$BC61/SUMPRODUCT(H$97:H$131,$BC$58:$BC$92),0)</f>
        <v/>
      </c>
      <c r="I139" s="39">
        <f>IFERROR(I100*$BC61/SUMPRODUCT(I$97:I$131,$BC$58:$BC$92),0)</f>
        <v/>
      </c>
      <c r="J139" s="39">
        <f>IFERROR(J100*$BC61/SUMPRODUCT(J$97:J$131,$BC$58:$BC$92),0)</f>
        <v/>
      </c>
      <c r="K139" s="39">
        <f>IFERROR(K100*$BC61/SUMPRODUCT(K$97:K$131,$BC$58:$BC$92),0)</f>
        <v/>
      </c>
      <c r="L139" s="39">
        <f>IFERROR(L100*$BC61/SUMPRODUCT(L$97:L$131,$BC$58:$BC$92),0)</f>
        <v/>
      </c>
      <c r="M139" s="39">
        <f>IFERROR(M100*$BC61/SUMPRODUCT(M$97:M$131,$BC$58:$BC$92),0)</f>
        <v/>
      </c>
      <c r="N139" s="39">
        <f>IFERROR(N100*$BC61/SUMPRODUCT(N$97:N$131,$BC$58:$BC$92),0)</f>
        <v/>
      </c>
      <c r="O139" s="39">
        <f>IFERROR(O100*$BC61/SUMPRODUCT(O$97:O$131,$BC$58:$BC$92),0)</f>
        <v/>
      </c>
      <c r="P139" s="39">
        <f>IFERROR(P100*$BC61/SUMPRODUCT(P$97:P$131,$BC$58:$BC$92),0)</f>
        <v/>
      </c>
      <c r="Q139" s="39">
        <f>IFERROR(Q100*$BC61/SUMPRODUCT(Q$97:Q$131,$BC$58:$BC$92),0)</f>
        <v/>
      </c>
      <c r="R139" s="39">
        <f>IFERROR(R100*$BC61/SUMPRODUCT(R$97:R$131,$BC$58:$BC$92),0)</f>
        <v/>
      </c>
      <c r="S139" s="39">
        <f>IFERROR(S100*$BC61/SUMPRODUCT(S$97:S$131,$BC$58:$BC$92),0)</f>
        <v/>
      </c>
      <c r="T139" s="39">
        <f>IFERROR(T100*$BC61/SUMPRODUCT(T$97:T$131,$BC$58:$BC$92),0)</f>
        <v/>
      </c>
      <c r="U139" s="39">
        <f>IFERROR(U100*$BC61/SUMPRODUCT(U$97:U$131,$BC$58:$BC$92),0)</f>
        <v/>
      </c>
      <c r="V139" s="39">
        <f>IFERROR(V100*$BC61/SUMPRODUCT(V$97:V$131,$BC$58:$BC$92),0)</f>
        <v/>
      </c>
      <c r="W139" s="39">
        <f>IFERROR(W100*$BC61/SUMPRODUCT(W$97:W$131,$BC$58:$BC$92),0)</f>
        <v/>
      </c>
      <c r="X139" s="39">
        <f>IFERROR(X100*$BC61/SUMPRODUCT(X$97:X$131,$BC$58:$BC$92),0)</f>
        <v/>
      </c>
      <c r="Y139" s="39">
        <f>IFERROR(Y100*$BC61/SUMPRODUCT(Y$97:Y$131,$BC$58:$BC$92),0)</f>
        <v/>
      </c>
      <c r="Z139" s="39">
        <f>IFERROR(Z100*$BC61/SUMPRODUCT(Z$97:Z$131,$BC$58:$BC$92),0)</f>
        <v/>
      </c>
      <c r="AA139" s="39">
        <f>IFERROR(AA100*$BC61/SUMPRODUCT(AA$97:AA$131,$BC$58:$BC$92),0)</f>
        <v/>
      </c>
      <c r="AB139" s="39">
        <f>IFERROR(AB100*$BC61/SUMPRODUCT(AB$97:AB$131,$BC$58:$BC$92),0)</f>
        <v/>
      </c>
      <c r="AC139" s="39">
        <f>IFERROR(AC100*$BC61/SUMPRODUCT(AC$97:AC$131,$BC$58:$BC$92),0)</f>
        <v/>
      </c>
      <c r="AD139" s="39">
        <f>IFERROR(AD100*$BC61/SUMPRODUCT(AD$97:AD$131,$BC$58:$BC$92),0)</f>
        <v/>
      </c>
      <c r="AE139" s="39">
        <f>IFERROR(AE100*$BC61/SUMPRODUCT(AE$97:AE$131,$BC$58:$BC$92),0)</f>
        <v/>
      </c>
      <c r="AF139" s="39">
        <f>IFERROR(AF100*$BC61/SUMPRODUCT(AF$97:AF$131,$BC$58:$BC$92),0)</f>
        <v/>
      </c>
      <c r="AG139" s="39">
        <f>IFERROR(AG100*$BC61/SUMPRODUCT(AG$97:AG$131,$BC$58:$BC$92),0)</f>
        <v/>
      </c>
      <c r="AH139" s="39">
        <f>IFERROR(AH100*$BC61/SUMPRODUCT(AH$97:AH$131,$BC$58:$BC$92),0)</f>
        <v/>
      </c>
      <c r="AI139" s="39">
        <f>IFERROR(AI100*$BC61/SUMPRODUCT(AI$97:AI$131,$BC$58:$BC$92),0)</f>
        <v/>
      </c>
      <c r="AJ139" s="39">
        <f>IFERROR(AJ100*$BC61/SUMPRODUCT(AJ$97:AJ$131,$BC$58:$BC$92),0)</f>
        <v/>
      </c>
      <c r="AK139" s="39">
        <f>IFERROR(AK100*$BC61/SUMPRODUCT(AK$97:AK$131,$BC$58:$BC$92),0)</f>
        <v/>
      </c>
      <c r="AL139" s="39">
        <f>IFERROR(AL100*$BC61/SUMPRODUCT(AL$97:AL$131,$BC$58:$BC$92),0)</f>
        <v/>
      </c>
      <c r="AM139" s="39">
        <f>IFERROR(AM100*$BC61/SUMPRODUCT(AM$97:AM$131,$BC$58:$BC$92),0)</f>
        <v/>
      </c>
      <c r="AN139" s="39">
        <f>IFERROR(AN100*$BC61/SUMPRODUCT(AN$97:AN$131,$BC$58:$BC$92),0)</f>
        <v/>
      </c>
      <c r="AO139" s="39">
        <f>IFERROR(AO100*$BC61/SUMPRODUCT(AO$97:AO$131,$BC$58:$BC$92),0)</f>
        <v/>
      </c>
      <c r="AP139" s="39">
        <f>IFERROR(AP100*$BC61/SUMPRODUCT(AP$97:AP$131,$BC$58:$BC$92),0)</f>
        <v/>
      </c>
      <c r="AQ139" s="39">
        <f>IFERROR(AQ100*$BC61/SUMPRODUCT(AQ$97:AQ$131,$BC$58:$BC$92),0)</f>
        <v/>
      </c>
      <c r="AR139" s="39">
        <f>IFERROR(AR100*$BC61/SUMPRODUCT(AR$97:AR$131,$BC$58:$BC$92),0)</f>
        <v/>
      </c>
      <c r="AS139" s="39">
        <f>IFERROR(AS100*$BC61/SUMPRODUCT(AS$97:AS$131,$BC$58:$BC$92),0)</f>
        <v/>
      </c>
      <c r="AT139" s="39">
        <f>IFERROR(AT100*$BC61/SUMPRODUCT(AT$97:AT$131,$BC$58:$BC$92),0)</f>
        <v/>
      </c>
      <c r="AU139" s="39">
        <f>IFERROR(AU100*$BC61/SUMPRODUCT(AU$97:AU$131,$BC$58:$BC$92),0)</f>
        <v/>
      </c>
      <c r="AV139" s="39">
        <f>IFERROR(AV100*$BC61/SUMPRODUCT(AV$97:AV$131,$BC$58:$BC$92),0)</f>
        <v/>
      </c>
      <c r="AW139" s="39">
        <f>IFERROR(AW100*$BC61/SUMPRODUCT(AW$97:AW$131,$BC$58:$BC$92),0)</f>
        <v/>
      </c>
      <c r="AX139" s="39">
        <f>IFERROR(AX100*$BC61/SUMPRODUCT(AX$97:AX$131,$BC$58:$BC$92),0)</f>
        <v/>
      </c>
      <c r="AY139" s="39">
        <f>IFERROR(AY100*$BC61/SUMPRODUCT(AY$97:AY$131,$BC$58:$BC$92),0)</f>
        <v/>
      </c>
      <c r="AZ139" s="39">
        <f>IFERROR(AZ100*$BC61/SUMPRODUCT(AZ$97:AZ$131,$BC$58:$BC$92),0)</f>
        <v/>
      </c>
      <c r="BA139" s="39">
        <f>IFERROR(BA100*$BC61/SUMPRODUCT(BA$97:BA$131,$BC$58:$BC$92),0)</f>
        <v/>
      </c>
      <c r="BB139" s="39">
        <f>IFERROR(BB100*$BC61/SUMPRODUCT(BB$97:BB$131,$BC$58:$BC$92),0)</f>
        <v/>
      </c>
    </row>
    <row r="140" ht="16.5" customHeight="1" s="179">
      <c r="C140" s="66" t="n"/>
      <c r="D140" s="237">
        <f>D101</f>
        <v/>
      </c>
      <c r="E140" s="141">
        <f>IFERROR(E101*$BC62/SUMPRODUCT(E$97:E$131,$BC$58:$BC$92),0)</f>
        <v/>
      </c>
      <c r="F140" s="141">
        <f>IFERROR(F101*$BC62/SUMPRODUCT(F$97:F$131,$BC$58:$BC$92),0)</f>
        <v/>
      </c>
      <c r="G140" s="141">
        <f>IFERROR(G101*$BC62/SUMPRODUCT(G$97:G$131,$BC$58:$BC$92),0)</f>
        <v/>
      </c>
      <c r="H140" s="39">
        <f>IFERROR(H101*$BC62/SUMPRODUCT(H$97:H$131,$BC$58:$BC$92),0)</f>
        <v/>
      </c>
      <c r="I140" s="39">
        <f>IFERROR(I101*$BC62/SUMPRODUCT(I$97:I$131,$BC$58:$BC$92),0)</f>
        <v/>
      </c>
      <c r="J140" s="39">
        <f>IFERROR(J101*$BC62/SUMPRODUCT(J$97:J$131,$BC$58:$BC$92),0)</f>
        <v/>
      </c>
      <c r="K140" s="39">
        <f>IFERROR(K101*$BC62/SUMPRODUCT(K$97:K$131,$BC$58:$BC$92),0)</f>
        <v/>
      </c>
      <c r="L140" s="39">
        <f>IFERROR(L101*$BC62/SUMPRODUCT(L$97:L$131,$BC$58:$BC$92),0)</f>
        <v/>
      </c>
      <c r="M140" s="39">
        <f>IFERROR(M101*$BC62/SUMPRODUCT(M$97:M$131,$BC$58:$BC$92),0)</f>
        <v/>
      </c>
      <c r="N140" s="39">
        <f>IFERROR(N101*$BC62/SUMPRODUCT(N$97:N$131,$BC$58:$BC$92),0)</f>
        <v/>
      </c>
      <c r="O140" s="39">
        <f>IFERROR(O101*$BC62/SUMPRODUCT(O$97:O$131,$BC$58:$BC$92),0)</f>
        <v/>
      </c>
      <c r="P140" s="39">
        <f>IFERROR(P101*$BC62/SUMPRODUCT(P$97:P$131,$BC$58:$BC$92),0)</f>
        <v/>
      </c>
      <c r="Q140" s="39">
        <f>IFERROR(Q101*$BC62/SUMPRODUCT(Q$97:Q$131,$BC$58:$BC$92),0)</f>
        <v/>
      </c>
      <c r="R140" s="39">
        <f>IFERROR(R101*$BC62/SUMPRODUCT(R$97:R$131,$BC$58:$BC$92),0)</f>
        <v/>
      </c>
      <c r="S140" s="39">
        <f>IFERROR(S101*$BC62/SUMPRODUCT(S$97:S$131,$BC$58:$BC$92),0)</f>
        <v/>
      </c>
      <c r="T140" s="39">
        <f>IFERROR(T101*$BC62/SUMPRODUCT(T$97:T$131,$BC$58:$BC$92),0)</f>
        <v/>
      </c>
      <c r="U140" s="39">
        <f>IFERROR(U101*$BC62/SUMPRODUCT(U$97:U$131,$BC$58:$BC$92),0)</f>
        <v/>
      </c>
      <c r="V140" s="39">
        <f>IFERROR(V101*$BC62/SUMPRODUCT(V$97:V$131,$BC$58:$BC$92),0)</f>
        <v/>
      </c>
      <c r="W140" s="39">
        <f>IFERROR(W101*$BC62/SUMPRODUCT(W$97:W$131,$BC$58:$BC$92),0)</f>
        <v/>
      </c>
      <c r="X140" s="39">
        <f>IFERROR(X101*$BC62/SUMPRODUCT(X$97:X$131,$BC$58:$BC$92),0)</f>
        <v/>
      </c>
      <c r="Y140" s="39">
        <f>IFERROR(Y101*$BC62/SUMPRODUCT(Y$97:Y$131,$BC$58:$BC$92),0)</f>
        <v/>
      </c>
      <c r="Z140" s="39">
        <f>IFERROR(Z101*$BC62/SUMPRODUCT(Z$97:Z$131,$BC$58:$BC$92),0)</f>
        <v/>
      </c>
      <c r="AA140" s="39">
        <f>IFERROR(AA101*$BC62/SUMPRODUCT(AA$97:AA$131,$BC$58:$BC$92),0)</f>
        <v/>
      </c>
      <c r="AB140" s="39">
        <f>IFERROR(AB101*$BC62/SUMPRODUCT(AB$97:AB$131,$BC$58:$BC$92),0)</f>
        <v/>
      </c>
      <c r="AC140" s="39">
        <f>IFERROR(AC101*$BC62/SUMPRODUCT(AC$97:AC$131,$BC$58:$BC$92),0)</f>
        <v/>
      </c>
      <c r="AD140" s="39">
        <f>IFERROR(AD101*$BC62/SUMPRODUCT(AD$97:AD$131,$BC$58:$BC$92),0)</f>
        <v/>
      </c>
      <c r="AE140" s="39">
        <f>IFERROR(AE101*$BC62/SUMPRODUCT(AE$97:AE$131,$BC$58:$BC$92),0)</f>
        <v/>
      </c>
      <c r="AF140" s="39">
        <f>IFERROR(AF101*$BC62/SUMPRODUCT(AF$97:AF$131,$BC$58:$BC$92),0)</f>
        <v/>
      </c>
      <c r="AG140" s="39">
        <f>IFERROR(AG101*$BC62/SUMPRODUCT(AG$97:AG$131,$BC$58:$BC$92),0)</f>
        <v/>
      </c>
      <c r="AH140" s="39">
        <f>IFERROR(AH101*$BC62/SUMPRODUCT(AH$97:AH$131,$BC$58:$BC$92),0)</f>
        <v/>
      </c>
      <c r="AI140" s="39">
        <f>IFERROR(AI101*$BC62/SUMPRODUCT(AI$97:AI$131,$BC$58:$BC$92),0)</f>
        <v/>
      </c>
      <c r="AJ140" s="39">
        <f>IFERROR(AJ101*$BC62/SUMPRODUCT(AJ$97:AJ$131,$BC$58:$BC$92),0)</f>
        <v/>
      </c>
      <c r="AK140" s="39">
        <f>IFERROR(AK101*$BC62/SUMPRODUCT(AK$97:AK$131,$BC$58:$BC$92),0)</f>
        <v/>
      </c>
      <c r="AL140" s="39">
        <f>IFERROR(AL101*$BC62/SUMPRODUCT(AL$97:AL$131,$BC$58:$BC$92),0)</f>
        <v/>
      </c>
      <c r="AM140" s="39">
        <f>IFERROR(AM101*$BC62/SUMPRODUCT(AM$97:AM$131,$BC$58:$BC$92),0)</f>
        <v/>
      </c>
      <c r="AN140" s="39">
        <f>IFERROR(AN101*$BC62/SUMPRODUCT(AN$97:AN$131,$BC$58:$BC$92),0)</f>
        <v/>
      </c>
      <c r="AO140" s="39">
        <f>IFERROR(AO101*$BC62/SUMPRODUCT(AO$97:AO$131,$BC$58:$BC$92),0)</f>
        <v/>
      </c>
      <c r="AP140" s="39">
        <f>IFERROR(AP101*$BC62/SUMPRODUCT(AP$97:AP$131,$BC$58:$BC$92),0)</f>
        <v/>
      </c>
      <c r="AQ140" s="39">
        <f>IFERROR(AQ101*$BC62/SUMPRODUCT(AQ$97:AQ$131,$BC$58:$BC$92),0)</f>
        <v/>
      </c>
      <c r="AR140" s="39">
        <f>IFERROR(AR101*$BC62/SUMPRODUCT(AR$97:AR$131,$BC$58:$BC$92),0)</f>
        <v/>
      </c>
      <c r="AS140" s="39">
        <f>IFERROR(AS101*$BC62/SUMPRODUCT(AS$97:AS$131,$BC$58:$BC$92),0)</f>
        <v/>
      </c>
      <c r="AT140" s="39">
        <f>IFERROR(AT101*$BC62/SUMPRODUCT(AT$97:AT$131,$BC$58:$BC$92),0)</f>
        <v/>
      </c>
      <c r="AU140" s="39">
        <f>IFERROR(AU101*$BC62/SUMPRODUCT(AU$97:AU$131,$BC$58:$BC$92),0)</f>
        <v/>
      </c>
      <c r="AV140" s="39">
        <f>IFERROR(AV101*$BC62/SUMPRODUCT(AV$97:AV$131,$BC$58:$BC$92),0)</f>
        <v/>
      </c>
      <c r="AW140" s="39">
        <f>IFERROR(AW101*$BC62/SUMPRODUCT(AW$97:AW$131,$BC$58:$BC$92),0)</f>
        <v/>
      </c>
      <c r="AX140" s="39">
        <f>IFERROR(AX101*$BC62/SUMPRODUCT(AX$97:AX$131,$BC$58:$BC$92),0)</f>
        <v/>
      </c>
      <c r="AY140" s="39">
        <f>IFERROR(AY101*$BC62/SUMPRODUCT(AY$97:AY$131,$BC$58:$BC$92),0)</f>
        <v/>
      </c>
      <c r="AZ140" s="39">
        <f>IFERROR(AZ101*$BC62/SUMPRODUCT(AZ$97:AZ$131,$BC$58:$BC$92),0)</f>
        <v/>
      </c>
      <c r="BA140" s="39">
        <f>IFERROR(BA101*$BC62/SUMPRODUCT(BA$97:BA$131,$BC$58:$BC$92),0)</f>
        <v/>
      </c>
      <c r="BB140" s="39">
        <f>IFERROR(BB101*$BC62/SUMPRODUCT(BB$97:BB$131,$BC$58:$BC$92),0)</f>
        <v/>
      </c>
    </row>
    <row r="141" ht="16.5" customHeight="1" s="179">
      <c r="C141" s="66" t="n"/>
      <c r="D141" s="237">
        <f>D102</f>
        <v/>
      </c>
      <c r="E141" s="141">
        <f>IFERROR(E102*$BC63/SUMPRODUCT(E$97:E$131,$BC$58:$BC$92),0)</f>
        <v/>
      </c>
      <c r="F141" s="141">
        <f>IFERROR(F102*$BC63/SUMPRODUCT(F$97:F$131,$BC$58:$BC$92),0)</f>
        <v/>
      </c>
      <c r="G141" s="141">
        <f>IFERROR(G102*$BC63/SUMPRODUCT(G$97:G$131,$BC$58:$BC$92),0)</f>
        <v/>
      </c>
      <c r="H141" s="39">
        <f>IFERROR(H102*$BC63/SUMPRODUCT(H$97:H$131,$BC$58:$BC$92),0)</f>
        <v/>
      </c>
      <c r="I141" s="39">
        <f>IFERROR(I102*$BC63/SUMPRODUCT(I$97:I$131,$BC$58:$BC$92),0)</f>
        <v/>
      </c>
      <c r="J141" s="39">
        <f>IFERROR(J102*$BC63/SUMPRODUCT(J$97:J$131,$BC$58:$BC$92),0)</f>
        <v/>
      </c>
      <c r="K141" s="39">
        <f>IFERROR(K102*$BC63/SUMPRODUCT(K$97:K$131,$BC$58:$BC$92),0)</f>
        <v/>
      </c>
      <c r="L141" s="39">
        <f>IFERROR(L102*$BC63/SUMPRODUCT(L$97:L$131,$BC$58:$BC$92),0)</f>
        <v/>
      </c>
      <c r="M141" s="39">
        <f>IFERROR(M102*$BC63/SUMPRODUCT(M$97:M$131,$BC$58:$BC$92),0)</f>
        <v/>
      </c>
      <c r="N141" s="39">
        <f>IFERROR(N102*$BC63/SUMPRODUCT(N$97:N$131,$BC$58:$BC$92),0)</f>
        <v/>
      </c>
      <c r="O141" s="39">
        <f>IFERROR(O102*$BC63/SUMPRODUCT(O$97:O$131,$BC$58:$BC$92),0)</f>
        <v/>
      </c>
      <c r="P141" s="39">
        <f>IFERROR(P102*$BC63/SUMPRODUCT(P$97:P$131,$BC$58:$BC$92),0)</f>
        <v/>
      </c>
      <c r="Q141" s="39">
        <f>IFERROR(Q102*$BC63/SUMPRODUCT(Q$97:Q$131,$BC$58:$BC$92),0)</f>
        <v/>
      </c>
      <c r="R141" s="39">
        <f>IFERROR(R102*$BC63/SUMPRODUCT(R$97:R$131,$BC$58:$BC$92),0)</f>
        <v/>
      </c>
      <c r="S141" s="39">
        <f>IFERROR(S102*$BC63/SUMPRODUCT(S$97:S$131,$BC$58:$BC$92),0)</f>
        <v/>
      </c>
      <c r="T141" s="39">
        <f>IFERROR(T102*$BC63/SUMPRODUCT(T$97:T$131,$BC$58:$BC$92),0)</f>
        <v/>
      </c>
      <c r="U141" s="39">
        <f>IFERROR(U102*$BC63/SUMPRODUCT(U$97:U$131,$BC$58:$BC$92),0)</f>
        <v/>
      </c>
      <c r="V141" s="39">
        <f>IFERROR(V102*$BC63/SUMPRODUCT(V$97:V$131,$BC$58:$BC$92),0)</f>
        <v/>
      </c>
      <c r="W141" s="39">
        <f>IFERROR(W102*$BC63/SUMPRODUCT(W$97:W$131,$BC$58:$BC$92),0)</f>
        <v/>
      </c>
      <c r="X141" s="39">
        <f>IFERROR(X102*$BC63/SUMPRODUCT(X$97:X$131,$BC$58:$BC$92),0)</f>
        <v/>
      </c>
      <c r="Y141" s="39">
        <f>IFERROR(Y102*$BC63/SUMPRODUCT(Y$97:Y$131,$BC$58:$BC$92),0)</f>
        <v/>
      </c>
      <c r="Z141" s="39">
        <f>IFERROR(Z102*$BC63/SUMPRODUCT(Z$97:Z$131,$BC$58:$BC$92),0)</f>
        <v/>
      </c>
      <c r="AA141" s="39">
        <f>IFERROR(AA102*$BC63/SUMPRODUCT(AA$97:AA$131,$BC$58:$BC$92),0)</f>
        <v/>
      </c>
      <c r="AB141" s="39">
        <f>IFERROR(AB102*$BC63/SUMPRODUCT(AB$97:AB$131,$BC$58:$BC$92),0)</f>
        <v/>
      </c>
      <c r="AC141" s="39">
        <f>IFERROR(AC102*$BC63/SUMPRODUCT(AC$97:AC$131,$BC$58:$BC$92),0)</f>
        <v/>
      </c>
      <c r="AD141" s="39">
        <f>IFERROR(AD102*$BC63/SUMPRODUCT(AD$97:AD$131,$BC$58:$BC$92),0)</f>
        <v/>
      </c>
      <c r="AE141" s="39">
        <f>IFERROR(AE102*$BC63/SUMPRODUCT(AE$97:AE$131,$BC$58:$BC$92),0)</f>
        <v/>
      </c>
      <c r="AF141" s="39">
        <f>IFERROR(AF102*$BC63/SUMPRODUCT(AF$97:AF$131,$BC$58:$BC$92),0)</f>
        <v/>
      </c>
      <c r="AG141" s="39">
        <f>IFERROR(AG102*$BC63/SUMPRODUCT(AG$97:AG$131,$BC$58:$BC$92),0)</f>
        <v/>
      </c>
      <c r="AH141" s="39">
        <f>IFERROR(AH102*$BC63/SUMPRODUCT(AH$97:AH$131,$BC$58:$BC$92),0)</f>
        <v/>
      </c>
      <c r="AI141" s="39">
        <f>IFERROR(AI102*$BC63/SUMPRODUCT(AI$97:AI$131,$BC$58:$BC$92),0)</f>
        <v/>
      </c>
      <c r="AJ141" s="39">
        <f>IFERROR(AJ102*$BC63/SUMPRODUCT(AJ$97:AJ$131,$BC$58:$BC$92),0)</f>
        <v/>
      </c>
      <c r="AK141" s="39">
        <f>IFERROR(AK102*$BC63/SUMPRODUCT(AK$97:AK$131,$BC$58:$BC$92),0)</f>
        <v/>
      </c>
      <c r="AL141" s="39">
        <f>IFERROR(AL102*$BC63/SUMPRODUCT(AL$97:AL$131,$BC$58:$BC$92),0)</f>
        <v/>
      </c>
      <c r="AM141" s="39">
        <f>IFERROR(AM102*$BC63/SUMPRODUCT(AM$97:AM$131,$BC$58:$BC$92),0)</f>
        <v/>
      </c>
      <c r="AN141" s="39">
        <f>IFERROR(AN102*$BC63/SUMPRODUCT(AN$97:AN$131,$BC$58:$BC$92),0)</f>
        <v/>
      </c>
      <c r="AO141" s="39">
        <f>IFERROR(AO102*$BC63/SUMPRODUCT(AO$97:AO$131,$BC$58:$BC$92),0)</f>
        <v/>
      </c>
      <c r="AP141" s="39">
        <f>IFERROR(AP102*$BC63/SUMPRODUCT(AP$97:AP$131,$BC$58:$BC$92),0)</f>
        <v/>
      </c>
      <c r="AQ141" s="39">
        <f>IFERROR(AQ102*$BC63/SUMPRODUCT(AQ$97:AQ$131,$BC$58:$BC$92),0)</f>
        <v/>
      </c>
      <c r="AR141" s="39">
        <f>IFERROR(AR102*$BC63/SUMPRODUCT(AR$97:AR$131,$BC$58:$BC$92),0)</f>
        <v/>
      </c>
      <c r="AS141" s="39">
        <f>IFERROR(AS102*$BC63/SUMPRODUCT(AS$97:AS$131,$BC$58:$BC$92),0)</f>
        <v/>
      </c>
      <c r="AT141" s="39">
        <f>IFERROR(AT102*$BC63/SUMPRODUCT(AT$97:AT$131,$BC$58:$BC$92),0)</f>
        <v/>
      </c>
      <c r="AU141" s="39">
        <f>IFERROR(AU102*$BC63/SUMPRODUCT(AU$97:AU$131,$BC$58:$BC$92),0)</f>
        <v/>
      </c>
      <c r="AV141" s="39">
        <f>IFERROR(AV102*$BC63/SUMPRODUCT(AV$97:AV$131,$BC$58:$BC$92),0)</f>
        <v/>
      </c>
      <c r="AW141" s="39">
        <f>IFERROR(AW102*$BC63/SUMPRODUCT(AW$97:AW$131,$BC$58:$BC$92),0)</f>
        <v/>
      </c>
      <c r="AX141" s="39">
        <f>IFERROR(AX102*$BC63/SUMPRODUCT(AX$97:AX$131,$BC$58:$BC$92),0)</f>
        <v/>
      </c>
      <c r="AY141" s="39">
        <f>IFERROR(AY102*$BC63/SUMPRODUCT(AY$97:AY$131,$BC$58:$BC$92),0)</f>
        <v/>
      </c>
      <c r="AZ141" s="39">
        <f>IFERROR(AZ102*$BC63/SUMPRODUCT(AZ$97:AZ$131,$BC$58:$BC$92),0)</f>
        <v/>
      </c>
      <c r="BA141" s="39">
        <f>IFERROR(BA102*$BC63/SUMPRODUCT(BA$97:BA$131,$BC$58:$BC$92),0)</f>
        <v/>
      </c>
      <c r="BB141" s="39">
        <f>IFERROR(BB102*$BC63/SUMPRODUCT(BB$97:BB$131,$BC$58:$BC$92),0)</f>
        <v/>
      </c>
    </row>
    <row r="142">
      <c r="C142" s="1" t="n"/>
      <c r="D142" s="237">
        <f>D103</f>
        <v/>
      </c>
      <c r="E142" s="141">
        <f>IFERROR(E103*$BC64/SUMPRODUCT(E$97:E$131,$BC$58:$BC$92),0)</f>
        <v/>
      </c>
      <c r="F142" s="141">
        <f>IFERROR(F103*$BC64/SUMPRODUCT(F$97:F$131,$BC$58:$BC$92),0)</f>
        <v/>
      </c>
      <c r="G142" s="141">
        <f>IFERROR(G103*$BC64/SUMPRODUCT(G$97:G$131,$BC$58:$BC$92),0)</f>
        <v/>
      </c>
      <c r="H142" s="39">
        <f>IFERROR(H103*$BC64/SUMPRODUCT(H$97:H$131,$BC$58:$BC$92),0)</f>
        <v/>
      </c>
      <c r="I142" s="39">
        <f>IFERROR(I103*$BC64/SUMPRODUCT(I$97:I$131,$BC$58:$BC$92),0)</f>
        <v/>
      </c>
      <c r="J142" s="39">
        <f>IFERROR(J103*$BC64/SUMPRODUCT(J$97:J$131,$BC$58:$BC$92),0)</f>
        <v/>
      </c>
      <c r="K142" s="39">
        <f>IFERROR(K103*$BC64/SUMPRODUCT(K$97:K$131,$BC$58:$BC$92),0)</f>
        <v/>
      </c>
      <c r="L142" s="39">
        <f>IFERROR(L103*$BC64/SUMPRODUCT(L$97:L$131,$BC$58:$BC$92),0)</f>
        <v/>
      </c>
      <c r="M142" s="39">
        <f>IFERROR(M103*$BC64/SUMPRODUCT(M$97:M$131,$BC$58:$BC$92),0)</f>
        <v/>
      </c>
      <c r="N142" s="39">
        <f>IFERROR(N103*$BC64/SUMPRODUCT(N$97:N$131,$BC$58:$BC$92),0)</f>
        <v/>
      </c>
      <c r="O142" s="39">
        <f>IFERROR(O103*$BC64/SUMPRODUCT(O$97:O$131,$BC$58:$BC$92),0)</f>
        <v/>
      </c>
      <c r="P142" s="39">
        <f>IFERROR(P103*$BC64/SUMPRODUCT(P$97:P$131,$BC$58:$BC$92),0)</f>
        <v/>
      </c>
      <c r="Q142" s="39">
        <f>IFERROR(Q103*$BC64/SUMPRODUCT(Q$97:Q$131,$BC$58:$BC$92),0)</f>
        <v/>
      </c>
      <c r="R142" s="39">
        <f>IFERROR(R103*$BC64/SUMPRODUCT(R$97:R$131,$BC$58:$BC$92),0)</f>
        <v/>
      </c>
      <c r="S142" s="39">
        <f>IFERROR(S103*$BC64/SUMPRODUCT(S$97:S$131,$BC$58:$BC$92),0)</f>
        <v/>
      </c>
      <c r="T142" s="39">
        <f>IFERROR(T103*$BC64/SUMPRODUCT(T$97:T$131,$BC$58:$BC$92),0)</f>
        <v/>
      </c>
      <c r="U142" s="39">
        <f>IFERROR(U103*$BC64/SUMPRODUCT(U$97:U$131,$BC$58:$BC$92),0)</f>
        <v/>
      </c>
      <c r="V142" s="39">
        <f>IFERROR(V103*$BC64/SUMPRODUCT(V$97:V$131,$BC$58:$BC$92),0)</f>
        <v/>
      </c>
      <c r="W142" s="39">
        <f>IFERROR(W103*$BC64/SUMPRODUCT(W$97:W$131,$BC$58:$BC$92),0)</f>
        <v/>
      </c>
      <c r="X142" s="39">
        <f>IFERROR(X103*$BC64/SUMPRODUCT(X$97:X$131,$BC$58:$BC$92),0)</f>
        <v/>
      </c>
      <c r="Y142" s="39">
        <f>IFERROR(Y103*$BC64/SUMPRODUCT(Y$97:Y$131,$BC$58:$BC$92),0)</f>
        <v/>
      </c>
      <c r="Z142" s="39">
        <f>IFERROR(Z103*$BC64/SUMPRODUCT(Z$97:Z$131,$BC$58:$BC$92),0)</f>
        <v/>
      </c>
      <c r="AA142" s="39">
        <f>IFERROR(AA103*$BC64/SUMPRODUCT(AA$97:AA$131,$BC$58:$BC$92),0)</f>
        <v/>
      </c>
      <c r="AB142" s="39">
        <f>IFERROR(AB103*$BC64/SUMPRODUCT(AB$97:AB$131,$BC$58:$BC$92),0)</f>
        <v/>
      </c>
      <c r="AC142" s="39">
        <f>IFERROR(AC103*$BC64/SUMPRODUCT(AC$97:AC$131,$BC$58:$BC$92),0)</f>
        <v/>
      </c>
      <c r="AD142" s="39">
        <f>IFERROR(AD103*$BC64/SUMPRODUCT(AD$97:AD$131,$BC$58:$BC$92),0)</f>
        <v/>
      </c>
      <c r="AE142" s="39">
        <f>IFERROR(AE103*$BC64/SUMPRODUCT(AE$97:AE$131,$BC$58:$BC$92),0)</f>
        <v/>
      </c>
      <c r="AF142" s="39">
        <f>IFERROR(AF103*$BC64/SUMPRODUCT(AF$97:AF$131,$BC$58:$BC$92),0)</f>
        <v/>
      </c>
      <c r="AG142" s="39">
        <f>IFERROR(AG103*$BC64/SUMPRODUCT(AG$97:AG$131,$BC$58:$BC$92),0)</f>
        <v/>
      </c>
      <c r="AH142" s="39">
        <f>IFERROR(AH103*$BC64/SUMPRODUCT(AH$97:AH$131,$BC$58:$BC$92),0)</f>
        <v/>
      </c>
      <c r="AI142" s="39">
        <f>IFERROR(AI103*$BC64/SUMPRODUCT(AI$97:AI$131,$BC$58:$BC$92),0)</f>
        <v/>
      </c>
      <c r="AJ142" s="39">
        <f>IFERROR(AJ103*$BC64/SUMPRODUCT(AJ$97:AJ$131,$BC$58:$BC$92),0)</f>
        <v/>
      </c>
      <c r="AK142" s="39">
        <f>IFERROR(AK103*$BC64/SUMPRODUCT(AK$97:AK$131,$BC$58:$BC$92),0)</f>
        <v/>
      </c>
      <c r="AL142" s="39">
        <f>IFERROR(AL103*$BC64/SUMPRODUCT(AL$97:AL$131,$BC$58:$BC$92),0)</f>
        <v/>
      </c>
      <c r="AM142" s="39">
        <f>IFERROR(AM103*$BC64/SUMPRODUCT(AM$97:AM$131,$BC$58:$BC$92),0)</f>
        <v/>
      </c>
      <c r="AN142" s="39">
        <f>IFERROR(AN103*$BC64/SUMPRODUCT(AN$97:AN$131,$BC$58:$BC$92),0)</f>
        <v/>
      </c>
      <c r="AO142" s="39">
        <f>IFERROR(AO103*$BC64/SUMPRODUCT(AO$97:AO$131,$BC$58:$BC$92),0)</f>
        <v/>
      </c>
      <c r="AP142" s="39">
        <f>IFERROR(AP103*$BC64/SUMPRODUCT(AP$97:AP$131,$BC$58:$BC$92),0)</f>
        <v/>
      </c>
      <c r="AQ142" s="39">
        <f>IFERROR(AQ103*$BC64/SUMPRODUCT(AQ$97:AQ$131,$BC$58:$BC$92),0)</f>
        <v/>
      </c>
      <c r="AR142" s="39">
        <f>IFERROR(AR103*$BC64/SUMPRODUCT(AR$97:AR$131,$BC$58:$BC$92),0)</f>
        <v/>
      </c>
      <c r="AS142" s="39">
        <f>IFERROR(AS103*$BC64/SUMPRODUCT(AS$97:AS$131,$BC$58:$BC$92),0)</f>
        <v/>
      </c>
      <c r="AT142" s="39">
        <f>IFERROR(AT103*$BC64/SUMPRODUCT(AT$97:AT$131,$BC$58:$BC$92),0)</f>
        <v/>
      </c>
      <c r="AU142" s="39">
        <f>IFERROR(AU103*$BC64/SUMPRODUCT(AU$97:AU$131,$BC$58:$BC$92),0)</f>
        <v/>
      </c>
      <c r="AV142" s="39">
        <f>IFERROR(AV103*$BC64/SUMPRODUCT(AV$97:AV$131,$BC$58:$BC$92),0)</f>
        <v/>
      </c>
      <c r="AW142" s="39">
        <f>IFERROR(AW103*$BC64/SUMPRODUCT(AW$97:AW$131,$BC$58:$BC$92),0)</f>
        <v/>
      </c>
      <c r="AX142" s="39">
        <f>IFERROR(AX103*$BC64/SUMPRODUCT(AX$97:AX$131,$BC$58:$BC$92),0)</f>
        <v/>
      </c>
      <c r="AY142" s="39">
        <f>IFERROR(AY103*$BC64/SUMPRODUCT(AY$97:AY$131,$BC$58:$BC$92),0)</f>
        <v/>
      </c>
      <c r="AZ142" s="39">
        <f>IFERROR(AZ103*$BC64/SUMPRODUCT(AZ$97:AZ$131,$BC$58:$BC$92),0)</f>
        <v/>
      </c>
      <c r="BA142" s="39">
        <f>IFERROR(BA103*$BC64/SUMPRODUCT(BA$97:BA$131,$BC$58:$BC$92),0)</f>
        <v/>
      </c>
      <c r="BB142" s="39">
        <f>IFERROR(BB103*$BC64/SUMPRODUCT(BB$97:BB$131,$BC$58:$BC$92),0)</f>
        <v/>
      </c>
    </row>
    <row r="143">
      <c r="C143" s="1" t="n"/>
      <c r="D143" s="237">
        <f>D104</f>
        <v/>
      </c>
      <c r="E143" s="141">
        <f>IFERROR(E104*$BC65/SUMPRODUCT(E$97:E$131,$BC$58:$BC$92),0)</f>
        <v/>
      </c>
      <c r="F143" s="141">
        <f>IFERROR(F104*$BC65/SUMPRODUCT(F$97:F$131,$BC$58:$BC$92),0)</f>
        <v/>
      </c>
      <c r="G143" s="141">
        <f>IFERROR(G104*$BC65/SUMPRODUCT(G$97:G$131,$BC$58:$BC$92),0)</f>
        <v/>
      </c>
      <c r="H143" s="39">
        <f>IFERROR(H104*$BC65/SUMPRODUCT(H$97:H$131,$BC$58:$BC$92),0)</f>
        <v/>
      </c>
      <c r="I143" s="39">
        <f>IFERROR(I104*$BC65/SUMPRODUCT(I$97:I$131,$BC$58:$BC$92),0)</f>
        <v/>
      </c>
      <c r="J143" s="39">
        <f>IFERROR(J104*$BC65/SUMPRODUCT(J$97:J$131,$BC$58:$BC$92),0)</f>
        <v/>
      </c>
      <c r="K143" s="39">
        <f>IFERROR(K104*$BC65/SUMPRODUCT(K$97:K$131,$BC$58:$BC$92),0)</f>
        <v/>
      </c>
      <c r="L143" s="39">
        <f>IFERROR(L104*$BC65/SUMPRODUCT(L$97:L$131,$BC$58:$BC$92),0)</f>
        <v/>
      </c>
      <c r="M143" s="39">
        <f>IFERROR(M104*$BC65/SUMPRODUCT(M$97:M$131,$BC$58:$BC$92),0)</f>
        <v/>
      </c>
      <c r="N143" s="39">
        <f>IFERROR(N104*$BC65/SUMPRODUCT(N$97:N$131,$BC$58:$BC$92),0)</f>
        <v/>
      </c>
      <c r="O143" s="39">
        <f>IFERROR(O104*$BC65/SUMPRODUCT(O$97:O$131,$BC$58:$BC$92),0)</f>
        <v/>
      </c>
      <c r="P143" s="39">
        <f>IFERROR(P104*$BC65/SUMPRODUCT(P$97:P$131,$BC$58:$BC$92),0)</f>
        <v/>
      </c>
      <c r="Q143" s="39">
        <f>IFERROR(Q104*$BC65/SUMPRODUCT(Q$97:Q$131,$BC$58:$BC$92),0)</f>
        <v/>
      </c>
      <c r="R143" s="39">
        <f>IFERROR(R104*$BC65/SUMPRODUCT(R$97:R$131,$BC$58:$BC$92),0)</f>
        <v/>
      </c>
      <c r="S143" s="39">
        <f>IFERROR(S104*$BC65/SUMPRODUCT(S$97:S$131,$BC$58:$BC$92),0)</f>
        <v/>
      </c>
      <c r="T143" s="39">
        <f>IFERROR(T104*$BC65/SUMPRODUCT(T$97:T$131,$BC$58:$BC$92),0)</f>
        <v/>
      </c>
      <c r="U143" s="39">
        <f>IFERROR(U104*$BC65/SUMPRODUCT(U$97:U$131,$BC$58:$BC$92),0)</f>
        <v/>
      </c>
      <c r="V143" s="39">
        <f>IFERROR(V104*$BC65/SUMPRODUCT(V$97:V$131,$BC$58:$BC$92),0)</f>
        <v/>
      </c>
      <c r="W143" s="39">
        <f>IFERROR(W104*$BC65/SUMPRODUCT(W$97:W$131,$BC$58:$BC$92),0)</f>
        <v/>
      </c>
      <c r="X143" s="39">
        <f>IFERROR(X104*$BC65/SUMPRODUCT(X$97:X$131,$BC$58:$BC$92),0)</f>
        <v/>
      </c>
      <c r="Y143" s="39">
        <f>IFERROR(Y104*$BC65/SUMPRODUCT(Y$97:Y$131,$BC$58:$BC$92),0)</f>
        <v/>
      </c>
      <c r="Z143" s="39">
        <f>IFERROR(Z104*$BC65/SUMPRODUCT(Z$97:Z$131,$BC$58:$BC$92),0)</f>
        <v/>
      </c>
      <c r="AA143" s="39">
        <f>IFERROR(AA104*$BC65/SUMPRODUCT(AA$97:AA$131,$BC$58:$BC$92),0)</f>
        <v/>
      </c>
      <c r="AB143" s="39">
        <f>IFERROR(AB104*$BC65/SUMPRODUCT(AB$97:AB$131,$BC$58:$BC$92),0)</f>
        <v/>
      </c>
      <c r="AC143" s="39">
        <f>IFERROR(AC104*$BC65/SUMPRODUCT(AC$97:AC$131,$BC$58:$BC$92),0)</f>
        <v/>
      </c>
      <c r="AD143" s="39">
        <f>IFERROR(AD104*$BC65/SUMPRODUCT(AD$97:AD$131,$BC$58:$BC$92),0)</f>
        <v/>
      </c>
      <c r="AE143" s="39">
        <f>IFERROR(AE104*$BC65/SUMPRODUCT(AE$97:AE$131,$BC$58:$BC$92),0)</f>
        <v/>
      </c>
      <c r="AF143" s="39">
        <f>IFERROR(AF104*$BC65/SUMPRODUCT(AF$97:AF$131,$BC$58:$BC$92),0)</f>
        <v/>
      </c>
      <c r="AG143" s="39">
        <f>IFERROR(AG104*$BC65/SUMPRODUCT(AG$97:AG$131,$BC$58:$BC$92),0)</f>
        <v/>
      </c>
      <c r="AH143" s="39">
        <f>IFERROR(AH104*$BC65/SUMPRODUCT(AH$97:AH$131,$BC$58:$BC$92),0)</f>
        <v/>
      </c>
      <c r="AI143" s="39">
        <f>IFERROR(AI104*$BC65/SUMPRODUCT(AI$97:AI$131,$BC$58:$BC$92),0)</f>
        <v/>
      </c>
      <c r="AJ143" s="39">
        <f>IFERROR(AJ104*$BC65/SUMPRODUCT(AJ$97:AJ$131,$BC$58:$BC$92),0)</f>
        <v/>
      </c>
      <c r="AK143" s="39">
        <f>IFERROR(AK104*$BC65/SUMPRODUCT(AK$97:AK$131,$BC$58:$BC$92),0)</f>
        <v/>
      </c>
      <c r="AL143" s="39">
        <f>IFERROR(AL104*$BC65/SUMPRODUCT(AL$97:AL$131,$BC$58:$BC$92),0)</f>
        <v/>
      </c>
      <c r="AM143" s="39">
        <f>IFERROR(AM104*$BC65/SUMPRODUCT(AM$97:AM$131,$BC$58:$BC$92),0)</f>
        <v/>
      </c>
      <c r="AN143" s="39">
        <f>IFERROR(AN104*$BC65/SUMPRODUCT(AN$97:AN$131,$BC$58:$BC$92),0)</f>
        <v/>
      </c>
      <c r="AO143" s="39">
        <f>IFERROR(AO104*$BC65/SUMPRODUCT(AO$97:AO$131,$BC$58:$BC$92),0)</f>
        <v/>
      </c>
      <c r="AP143" s="39">
        <f>IFERROR(AP104*$BC65/SUMPRODUCT(AP$97:AP$131,$BC$58:$BC$92),0)</f>
        <v/>
      </c>
      <c r="AQ143" s="39">
        <f>IFERROR(AQ104*$BC65/SUMPRODUCT(AQ$97:AQ$131,$BC$58:$BC$92),0)</f>
        <v/>
      </c>
      <c r="AR143" s="39">
        <f>IFERROR(AR104*$BC65/SUMPRODUCT(AR$97:AR$131,$BC$58:$BC$92),0)</f>
        <v/>
      </c>
      <c r="AS143" s="39">
        <f>IFERROR(AS104*$BC65/SUMPRODUCT(AS$97:AS$131,$BC$58:$BC$92),0)</f>
        <v/>
      </c>
      <c r="AT143" s="39">
        <f>IFERROR(AT104*$BC65/SUMPRODUCT(AT$97:AT$131,$BC$58:$BC$92),0)</f>
        <v/>
      </c>
      <c r="AU143" s="39">
        <f>IFERROR(AU104*$BC65/SUMPRODUCT(AU$97:AU$131,$BC$58:$BC$92),0)</f>
        <v/>
      </c>
      <c r="AV143" s="39">
        <f>IFERROR(AV104*$BC65/SUMPRODUCT(AV$97:AV$131,$BC$58:$BC$92),0)</f>
        <v/>
      </c>
      <c r="AW143" s="39">
        <f>IFERROR(AW104*$BC65/SUMPRODUCT(AW$97:AW$131,$BC$58:$BC$92),0)</f>
        <v/>
      </c>
      <c r="AX143" s="39">
        <f>IFERROR(AX104*$BC65/SUMPRODUCT(AX$97:AX$131,$BC$58:$BC$92),0)</f>
        <v/>
      </c>
      <c r="AY143" s="39">
        <f>IFERROR(AY104*$BC65/SUMPRODUCT(AY$97:AY$131,$BC$58:$BC$92),0)</f>
        <v/>
      </c>
      <c r="AZ143" s="39">
        <f>IFERROR(AZ104*$BC65/SUMPRODUCT(AZ$97:AZ$131,$BC$58:$BC$92),0)</f>
        <v/>
      </c>
      <c r="BA143" s="39">
        <f>IFERROR(BA104*$BC65/SUMPRODUCT(BA$97:BA$131,$BC$58:$BC$92),0)</f>
        <v/>
      </c>
      <c r="BB143" s="39">
        <f>IFERROR(BB104*$BC65/SUMPRODUCT(BB$97:BB$131,$BC$58:$BC$92),0)</f>
        <v/>
      </c>
    </row>
    <row r="144">
      <c r="C144" s="1" t="n"/>
      <c r="D144" s="237">
        <f>D105</f>
        <v/>
      </c>
      <c r="E144" s="141">
        <f>IFERROR(E105*$BC66/SUMPRODUCT(E$97:E$131,$BC$58:$BC$92),0)</f>
        <v/>
      </c>
      <c r="F144" s="141">
        <f>IFERROR(F105*$BC66/SUMPRODUCT(F$97:F$131,$BC$58:$BC$92),0)</f>
        <v/>
      </c>
      <c r="G144" s="141">
        <f>IFERROR(G105*$BC66/SUMPRODUCT(G$97:G$131,$BC$58:$BC$92),0)</f>
        <v/>
      </c>
      <c r="H144" s="39">
        <f>IFERROR(H105*$BC66/SUMPRODUCT(H$97:H$131,$BC$58:$BC$92),0)</f>
        <v/>
      </c>
      <c r="I144" s="39">
        <f>IFERROR(I105*$BC66/SUMPRODUCT(I$97:I$131,$BC$58:$BC$92),0)</f>
        <v/>
      </c>
      <c r="J144" s="39">
        <f>IFERROR(J105*$BC66/SUMPRODUCT(J$97:J$131,$BC$58:$BC$92),0)</f>
        <v/>
      </c>
      <c r="K144" s="39">
        <f>IFERROR(K105*$BC66/SUMPRODUCT(K$97:K$131,$BC$58:$BC$92),0)</f>
        <v/>
      </c>
      <c r="L144" s="39">
        <f>IFERROR(L105*$BC66/SUMPRODUCT(L$97:L$131,$BC$58:$BC$92),0)</f>
        <v/>
      </c>
      <c r="M144" s="39">
        <f>IFERROR(M105*$BC66/SUMPRODUCT(M$97:M$131,$BC$58:$BC$92),0)</f>
        <v/>
      </c>
      <c r="N144" s="39">
        <f>IFERROR(N105*$BC66/SUMPRODUCT(N$97:N$131,$BC$58:$BC$92),0)</f>
        <v/>
      </c>
      <c r="O144" s="39">
        <f>IFERROR(O105*$BC66/SUMPRODUCT(O$97:O$131,$BC$58:$BC$92),0)</f>
        <v/>
      </c>
      <c r="P144" s="39">
        <f>IFERROR(P105*$BC66/SUMPRODUCT(P$97:P$131,$BC$58:$BC$92),0)</f>
        <v/>
      </c>
      <c r="Q144" s="39">
        <f>IFERROR(Q105*$BC66/SUMPRODUCT(Q$97:Q$131,$BC$58:$BC$92),0)</f>
        <v/>
      </c>
      <c r="R144" s="39">
        <f>IFERROR(R105*$BC66/SUMPRODUCT(R$97:R$131,$BC$58:$BC$92),0)</f>
        <v/>
      </c>
      <c r="S144" s="39">
        <f>IFERROR(S105*$BC66/SUMPRODUCT(S$97:S$131,$BC$58:$BC$92),0)</f>
        <v/>
      </c>
      <c r="T144" s="39">
        <f>IFERROR(T105*$BC66/SUMPRODUCT(T$97:T$131,$BC$58:$BC$92),0)</f>
        <v/>
      </c>
      <c r="U144" s="39">
        <f>IFERROR(U105*$BC66/SUMPRODUCT(U$97:U$131,$BC$58:$BC$92),0)</f>
        <v/>
      </c>
      <c r="V144" s="39">
        <f>IFERROR(V105*$BC66/SUMPRODUCT(V$97:V$131,$BC$58:$BC$92),0)</f>
        <v/>
      </c>
      <c r="W144" s="39">
        <f>IFERROR(W105*$BC66/SUMPRODUCT(W$97:W$131,$BC$58:$BC$92),0)</f>
        <v/>
      </c>
      <c r="X144" s="39">
        <f>IFERROR(X105*$BC66/SUMPRODUCT(X$97:X$131,$BC$58:$BC$92),0)</f>
        <v/>
      </c>
      <c r="Y144" s="39">
        <f>IFERROR(Y105*$BC66/SUMPRODUCT(Y$97:Y$131,$BC$58:$BC$92),0)</f>
        <v/>
      </c>
      <c r="Z144" s="39">
        <f>IFERROR(Z105*$BC66/SUMPRODUCT(Z$97:Z$131,$BC$58:$BC$92),0)</f>
        <v/>
      </c>
      <c r="AA144" s="39">
        <f>IFERROR(AA105*$BC66/SUMPRODUCT(AA$97:AA$131,$BC$58:$BC$92),0)</f>
        <v/>
      </c>
      <c r="AB144" s="39">
        <f>IFERROR(AB105*$BC66/SUMPRODUCT(AB$97:AB$131,$BC$58:$BC$92),0)</f>
        <v/>
      </c>
      <c r="AC144" s="39">
        <f>IFERROR(AC105*$BC66/SUMPRODUCT(AC$97:AC$131,$BC$58:$BC$92),0)</f>
        <v/>
      </c>
      <c r="AD144" s="39">
        <f>IFERROR(AD105*$BC66/SUMPRODUCT(AD$97:AD$131,$BC$58:$BC$92),0)</f>
        <v/>
      </c>
      <c r="AE144" s="39">
        <f>IFERROR(AE105*$BC66/SUMPRODUCT(AE$97:AE$131,$BC$58:$BC$92),0)</f>
        <v/>
      </c>
      <c r="AF144" s="39">
        <f>IFERROR(AF105*$BC66/SUMPRODUCT(AF$97:AF$131,$BC$58:$BC$92),0)</f>
        <v/>
      </c>
      <c r="AG144" s="39">
        <f>IFERROR(AG105*$BC66/SUMPRODUCT(AG$97:AG$131,$BC$58:$BC$92),0)</f>
        <v/>
      </c>
      <c r="AH144" s="39">
        <f>IFERROR(AH105*$BC66/SUMPRODUCT(AH$97:AH$131,$BC$58:$BC$92),0)</f>
        <v/>
      </c>
      <c r="AI144" s="39">
        <f>IFERROR(AI105*$BC66/SUMPRODUCT(AI$97:AI$131,$BC$58:$BC$92),0)</f>
        <v/>
      </c>
      <c r="AJ144" s="39">
        <f>IFERROR(AJ105*$BC66/SUMPRODUCT(AJ$97:AJ$131,$BC$58:$BC$92),0)</f>
        <v/>
      </c>
      <c r="AK144" s="39">
        <f>IFERROR(AK105*$BC66/SUMPRODUCT(AK$97:AK$131,$BC$58:$BC$92),0)</f>
        <v/>
      </c>
      <c r="AL144" s="39">
        <f>IFERROR(AL105*$BC66/SUMPRODUCT(AL$97:AL$131,$BC$58:$BC$92),0)</f>
        <v/>
      </c>
      <c r="AM144" s="39">
        <f>IFERROR(AM105*$BC66/SUMPRODUCT(AM$97:AM$131,$BC$58:$BC$92),0)</f>
        <v/>
      </c>
      <c r="AN144" s="39">
        <f>IFERROR(AN105*$BC66/SUMPRODUCT(AN$97:AN$131,$BC$58:$BC$92),0)</f>
        <v/>
      </c>
      <c r="AO144" s="39">
        <f>IFERROR(AO105*$BC66/SUMPRODUCT(AO$97:AO$131,$BC$58:$BC$92),0)</f>
        <v/>
      </c>
      <c r="AP144" s="39">
        <f>IFERROR(AP105*$BC66/SUMPRODUCT(AP$97:AP$131,$BC$58:$BC$92),0)</f>
        <v/>
      </c>
      <c r="AQ144" s="39">
        <f>IFERROR(AQ105*$BC66/SUMPRODUCT(AQ$97:AQ$131,$BC$58:$BC$92),0)</f>
        <v/>
      </c>
      <c r="AR144" s="39">
        <f>IFERROR(AR105*$BC66/SUMPRODUCT(AR$97:AR$131,$BC$58:$BC$92),0)</f>
        <v/>
      </c>
      <c r="AS144" s="39">
        <f>IFERROR(AS105*$BC66/SUMPRODUCT(AS$97:AS$131,$BC$58:$BC$92),0)</f>
        <v/>
      </c>
      <c r="AT144" s="39">
        <f>IFERROR(AT105*$BC66/SUMPRODUCT(AT$97:AT$131,$BC$58:$BC$92),0)</f>
        <v/>
      </c>
      <c r="AU144" s="39">
        <f>IFERROR(AU105*$BC66/SUMPRODUCT(AU$97:AU$131,$BC$58:$BC$92),0)</f>
        <v/>
      </c>
      <c r="AV144" s="39">
        <f>IFERROR(AV105*$BC66/SUMPRODUCT(AV$97:AV$131,$BC$58:$BC$92),0)</f>
        <v/>
      </c>
      <c r="AW144" s="39">
        <f>IFERROR(AW105*$BC66/SUMPRODUCT(AW$97:AW$131,$BC$58:$BC$92),0)</f>
        <v/>
      </c>
      <c r="AX144" s="39">
        <f>IFERROR(AX105*$BC66/SUMPRODUCT(AX$97:AX$131,$BC$58:$BC$92),0)</f>
        <v/>
      </c>
      <c r="AY144" s="39">
        <f>IFERROR(AY105*$BC66/SUMPRODUCT(AY$97:AY$131,$BC$58:$BC$92),0)</f>
        <v/>
      </c>
      <c r="AZ144" s="39">
        <f>IFERROR(AZ105*$BC66/SUMPRODUCT(AZ$97:AZ$131,$BC$58:$BC$92),0)</f>
        <v/>
      </c>
      <c r="BA144" s="39">
        <f>IFERROR(BA105*$BC66/SUMPRODUCT(BA$97:BA$131,$BC$58:$BC$92),0)</f>
        <v/>
      </c>
      <c r="BB144" s="39">
        <f>IFERROR(BB105*$BC66/SUMPRODUCT(BB$97:BB$131,$BC$58:$BC$92),0)</f>
        <v/>
      </c>
    </row>
    <row r="145">
      <c r="C145" s="1" t="n"/>
      <c r="D145" s="237">
        <f>D106</f>
        <v/>
      </c>
      <c r="E145" s="141">
        <f>IFERROR(E106*$BC67/SUMPRODUCT(E$97:E$131,$BC$58:$BC$92),0)</f>
        <v/>
      </c>
      <c r="F145" s="141">
        <f>IFERROR(F106*$BC67/SUMPRODUCT(F$97:F$131,$BC$58:$BC$92),0)</f>
        <v/>
      </c>
      <c r="G145" s="141">
        <f>IFERROR(G106*$BC67/SUMPRODUCT(G$97:G$131,$BC$58:$BC$92),0)</f>
        <v/>
      </c>
      <c r="H145" s="39">
        <f>IFERROR(H106*$BC67/SUMPRODUCT(H$97:H$131,$BC$58:$BC$92),0)</f>
        <v/>
      </c>
      <c r="I145" s="39">
        <f>IFERROR(I106*$BC67/SUMPRODUCT(I$97:I$131,$BC$58:$BC$92),0)</f>
        <v/>
      </c>
      <c r="J145" s="39">
        <f>IFERROR(J106*$BC67/SUMPRODUCT(J$97:J$131,$BC$58:$BC$92),0)</f>
        <v/>
      </c>
      <c r="K145" s="39">
        <f>IFERROR(K106*$BC67/SUMPRODUCT(K$97:K$131,$BC$58:$BC$92),0)</f>
        <v/>
      </c>
      <c r="L145" s="39">
        <f>IFERROR(L106*$BC67/SUMPRODUCT(L$97:L$131,$BC$58:$BC$92),0)</f>
        <v/>
      </c>
      <c r="M145" s="39">
        <f>IFERROR(M106*$BC67/SUMPRODUCT(M$97:M$131,$BC$58:$BC$92),0)</f>
        <v/>
      </c>
      <c r="N145" s="39">
        <f>IFERROR(N106*$BC67/SUMPRODUCT(N$97:N$131,$BC$58:$BC$92),0)</f>
        <v/>
      </c>
      <c r="O145" s="39">
        <f>IFERROR(O106*$BC67/SUMPRODUCT(O$97:O$131,$BC$58:$BC$92),0)</f>
        <v/>
      </c>
      <c r="P145" s="39">
        <f>IFERROR(P106*$BC67/SUMPRODUCT(P$97:P$131,$BC$58:$BC$92),0)</f>
        <v/>
      </c>
      <c r="Q145" s="39">
        <f>IFERROR(Q106*$BC67/SUMPRODUCT(Q$97:Q$131,$BC$58:$BC$92),0)</f>
        <v/>
      </c>
      <c r="R145" s="39">
        <f>IFERROR(R106*$BC67/SUMPRODUCT(R$97:R$131,$BC$58:$BC$92),0)</f>
        <v/>
      </c>
      <c r="S145" s="39">
        <f>IFERROR(S106*$BC67/SUMPRODUCT(S$97:S$131,$BC$58:$BC$92),0)</f>
        <v/>
      </c>
      <c r="T145" s="39">
        <f>IFERROR(T106*$BC67/SUMPRODUCT(T$97:T$131,$BC$58:$BC$92),0)</f>
        <v/>
      </c>
      <c r="U145" s="39">
        <f>IFERROR(U106*$BC67/SUMPRODUCT(U$97:U$131,$BC$58:$BC$92),0)</f>
        <v/>
      </c>
      <c r="V145" s="39">
        <f>IFERROR(V106*$BC67/SUMPRODUCT(V$97:V$131,$BC$58:$BC$92),0)</f>
        <v/>
      </c>
      <c r="W145" s="39">
        <f>IFERROR(W106*$BC67/SUMPRODUCT(W$97:W$131,$BC$58:$BC$92),0)</f>
        <v/>
      </c>
      <c r="X145" s="39">
        <f>IFERROR(X106*$BC67/SUMPRODUCT(X$97:X$131,$BC$58:$BC$92),0)</f>
        <v/>
      </c>
      <c r="Y145" s="39">
        <f>IFERROR(Y106*$BC67/SUMPRODUCT(Y$97:Y$131,$BC$58:$BC$92),0)</f>
        <v/>
      </c>
      <c r="Z145" s="39">
        <f>IFERROR(Z106*$BC67/SUMPRODUCT(Z$97:Z$131,$BC$58:$BC$92),0)</f>
        <v/>
      </c>
      <c r="AA145" s="39">
        <f>IFERROR(AA106*$BC67/SUMPRODUCT(AA$97:AA$131,$BC$58:$BC$92),0)</f>
        <v/>
      </c>
      <c r="AB145" s="39">
        <f>IFERROR(AB106*$BC67/SUMPRODUCT(AB$97:AB$131,$BC$58:$BC$92),0)</f>
        <v/>
      </c>
      <c r="AC145" s="39">
        <f>IFERROR(AC106*$BC67/SUMPRODUCT(AC$97:AC$131,$BC$58:$BC$92),0)</f>
        <v/>
      </c>
      <c r="AD145" s="39">
        <f>IFERROR(AD106*$BC67/SUMPRODUCT(AD$97:AD$131,$BC$58:$BC$92),0)</f>
        <v/>
      </c>
      <c r="AE145" s="39">
        <f>IFERROR(AE106*$BC67/SUMPRODUCT(AE$97:AE$131,$BC$58:$BC$92),0)</f>
        <v/>
      </c>
      <c r="AF145" s="39">
        <f>IFERROR(AF106*$BC67/SUMPRODUCT(AF$97:AF$131,$BC$58:$BC$92),0)</f>
        <v/>
      </c>
      <c r="AG145" s="39">
        <f>IFERROR(AG106*$BC67/SUMPRODUCT(AG$97:AG$131,$BC$58:$BC$92),0)</f>
        <v/>
      </c>
      <c r="AH145" s="39">
        <f>IFERROR(AH106*$BC67/SUMPRODUCT(AH$97:AH$131,$BC$58:$BC$92),0)</f>
        <v/>
      </c>
      <c r="AI145" s="39">
        <f>IFERROR(AI106*$BC67/SUMPRODUCT(AI$97:AI$131,$BC$58:$BC$92),0)</f>
        <v/>
      </c>
      <c r="AJ145" s="39">
        <f>IFERROR(AJ106*$BC67/SUMPRODUCT(AJ$97:AJ$131,$BC$58:$BC$92),0)</f>
        <v/>
      </c>
      <c r="AK145" s="39">
        <f>IFERROR(AK106*$BC67/SUMPRODUCT(AK$97:AK$131,$BC$58:$BC$92),0)</f>
        <v/>
      </c>
      <c r="AL145" s="39">
        <f>IFERROR(AL106*$BC67/SUMPRODUCT(AL$97:AL$131,$BC$58:$BC$92),0)</f>
        <v/>
      </c>
      <c r="AM145" s="39">
        <f>IFERROR(AM106*$BC67/SUMPRODUCT(AM$97:AM$131,$BC$58:$BC$92),0)</f>
        <v/>
      </c>
      <c r="AN145" s="39">
        <f>IFERROR(AN106*$BC67/SUMPRODUCT(AN$97:AN$131,$BC$58:$BC$92),0)</f>
        <v/>
      </c>
      <c r="AO145" s="39">
        <f>IFERROR(AO106*$BC67/SUMPRODUCT(AO$97:AO$131,$BC$58:$BC$92),0)</f>
        <v/>
      </c>
      <c r="AP145" s="39">
        <f>IFERROR(AP106*$BC67/SUMPRODUCT(AP$97:AP$131,$BC$58:$BC$92),0)</f>
        <v/>
      </c>
      <c r="AQ145" s="39">
        <f>IFERROR(AQ106*$BC67/SUMPRODUCT(AQ$97:AQ$131,$BC$58:$BC$92),0)</f>
        <v/>
      </c>
      <c r="AR145" s="39">
        <f>IFERROR(AR106*$BC67/SUMPRODUCT(AR$97:AR$131,$BC$58:$BC$92),0)</f>
        <v/>
      </c>
      <c r="AS145" s="39">
        <f>IFERROR(AS106*$BC67/SUMPRODUCT(AS$97:AS$131,$BC$58:$BC$92),0)</f>
        <v/>
      </c>
      <c r="AT145" s="39">
        <f>IFERROR(AT106*$BC67/SUMPRODUCT(AT$97:AT$131,$BC$58:$BC$92),0)</f>
        <v/>
      </c>
      <c r="AU145" s="39">
        <f>IFERROR(AU106*$BC67/SUMPRODUCT(AU$97:AU$131,$BC$58:$BC$92),0)</f>
        <v/>
      </c>
      <c r="AV145" s="39">
        <f>IFERROR(AV106*$BC67/SUMPRODUCT(AV$97:AV$131,$BC$58:$BC$92),0)</f>
        <v/>
      </c>
      <c r="AW145" s="39">
        <f>IFERROR(AW106*$BC67/SUMPRODUCT(AW$97:AW$131,$BC$58:$BC$92),0)</f>
        <v/>
      </c>
      <c r="AX145" s="39">
        <f>IFERROR(AX106*$BC67/SUMPRODUCT(AX$97:AX$131,$BC$58:$BC$92),0)</f>
        <v/>
      </c>
      <c r="AY145" s="39">
        <f>IFERROR(AY106*$BC67/SUMPRODUCT(AY$97:AY$131,$BC$58:$BC$92),0)</f>
        <v/>
      </c>
      <c r="AZ145" s="39">
        <f>IFERROR(AZ106*$BC67/SUMPRODUCT(AZ$97:AZ$131,$BC$58:$BC$92),0)</f>
        <v/>
      </c>
      <c r="BA145" s="39">
        <f>IFERROR(BA106*$BC67/SUMPRODUCT(BA$97:BA$131,$BC$58:$BC$92),0)</f>
        <v/>
      </c>
      <c r="BB145" s="39">
        <f>IFERROR(BB106*$BC67/SUMPRODUCT(BB$97:BB$131,$BC$58:$BC$92),0)</f>
        <v/>
      </c>
    </row>
    <row r="146">
      <c r="C146" s="1" t="n"/>
      <c r="D146" s="237">
        <f>D107</f>
        <v/>
      </c>
      <c r="E146" s="141">
        <f>IFERROR(E107*$BC68/SUMPRODUCT(E$97:E$131,$BC$58:$BC$92),0)</f>
        <v/>
      </c>
      <c r="F146" s="141">
        <f>IFERROR(F107*$BC68/SUMPRODUCT(F$97:F$131,$BC$58:$BC$92),0)</f>
        <v/>
      </c>
      <c r="G146" s="141">
        <f>IFERROR(G107*$BC68/SUMPRODUCT(G$97:G$131,$BC$58:$BC$92),0)</f>
        <v/>
      </c>
      <c r="H146" s="39">
        <f>IFERROR(H107*$BC68/SUMPRODUCT(H$97:H$131,$BC$58:$BC$92),0)</f>
        <v/>
      </c>
      <c r="I146" s="39">
        <f>IFERROR(I107*$BC68/SUMPRODUCT(I$97:I$131,$BC$58:$BC$92),0)</f>
        <v/>
      </c>
      <c r="J146" s="39">
        <f>IFERROR(J107*$BC68/SUMPRODUCT(J$97:J$131,$BC$58:$BC$92),0)</f>
        <v/>
      </c>
      <c r="K146" s="39">
        <f>IFERROR(K107*$BC68/SUMPRODUCT(K$97:K$131,$BC$58:$BC$92),0)</f>
        <v/>
      </c>
      <c r="L146" s="39">
        <f>IFERROR(L107*$BC68/SUMPRODUCT(L$97:L$131,$BC$58:$BC$92),0)</f>
        <v/>
      </c>
      <c r="M146" s="39">
        <f>IFERROR(M107*$BC68/SUMPRODUCT(M$97:M$131,$BC$58:$BC$92),0)</f>
        <v/>
      </c>
      <c r="N146" s="39">
        <f>IFERROR(N107*$BC68/SUMPRODUCT(N$97:N$131,$BC$58:$BC$92),0)</f>
        <v/>
      </c>
      <c r="O146" s="39">
        <f>IFERROR(O107*$BC68/SUMPRODUCT(O$97:O$131,$BC$58:$BC$92),0)</f>
        <v/>
      </c>
      <c r="P146" s="39">
        <f>IFERROR(P107*$BC68/SUMPRODUCT(P$97:P$131,$BC$58:$BC$92),0)</f>
        <v/>
      </c>
      <c r="Q146" s="39">
        <f>IFERROR(Q107*$BC68/SUMPRODUCT(Q$97:Q$131,$BC$58:$BC$92),0)</f>
        <v/>
      </c>
      <c r="R146" s="39">
        <f>IFERROR(R107*$BC68/SUMPRODUCT(R$97:R$131,$BC$58:$BC$92),0)</f>
        <v/>
      </c>
      <c r="S146" s="39">
        <f>IFERROR(S107*$BC68/SUMPRODUCT(S$97:S$131,$BC$58:$BC$92),0)</f>
        <v/>
      </c>
      <c r="T146" s="39">
        <f>IFERROR(T107*$BC68/SUMPRODUCT(T$97:T$131,$BC$58:$BC$92),0)</f>
        <v/>
      </c>
      <c r="U146" s="39">
        <f>IFERROR(U107*$BC68/SUMPRODUCT(U$97:U$131,$BC$58:$BC$92),0)</f>
        <v/>
      </c>
      <c r="V146" s="39">
        <f>IFERROR(V107*$BC68/SUMPRODUCT(V$97:V$131,$BC$58:$BC$92),0)</f>
        <v/>
      </c>
      <c r="W146" s="39">
        <f>IFERROR(W107*$BC68/SUMPRODUCT(W$97:W$131,$BC$58:$BC$92),0)</f>
        <v/>
      </c>
      <c r="X146" s="39">
        <f>IFERROR(X107*$BC68/SUMPRODUCT(X$97:X$131,$BC$58:$BC$92),0)</f>
        <v/>
      </c>
      <c r="Y146" s="39">
        <f>IFERROR(Y107*$BC68/SUMPRODUCT(Y$97:Y$131,$BC$58:$BC$92),0)</f>
        <v/>
      </c>
      <c r="Z146" s="39">
        <f>IFERROR(Z107*$BC68/SUMPRODUCT(Z$97:Z$131,$BC$58:$BC$92),0)</f>
        <v/>
      </c>
      <c r="AA146" s="39">
        <f>IFERROR(AA107*$BC68/SUMPRODUCT(AA$97:AA$131,$BC$58:$BC$92),0)</f>
        <v/>
      </c>
      <c r="AB146" s="39">
        <f>IFERROR(AB107*$BC68/SUMPRODUCT(AB$97:AB$131,$BC$58:$BC$92),0)</f>
        <v/>
      </c>
      <c r="AC146" s="39">
        <f>IFERROR(AC107*$BC68/SUMPRODUCT(AC$97:AC$131,$BC$58:$BC$92),0)</f>
        <v/>
      </c>
      <c r="AD146" s="39">
        <f>IFERROR(AD107*$BC68/SUMPRODUCT(AD$97:AD$131,$BC$58:$BC$92),0)</f>
        <v/>
      </c>
      <c r="AE146" s="39">
        <f>IFERROR(AE107*$BC68/SUMPRODUCT(AE$97:AE$131,$BC$58:$BC$92),0)</f>
        <v/>
      </c>
      <c r="AF146" s="39">
        <f>IFERROR(AF107*$BC68/SUMPRODUCT(AF$97:AF$131,$BC$58:$BC$92),0)</f>
        <v/>
      </c>
      <c r="AG146" s="39">
        <f>IFERROR(AG107*$BC68/SUMPRODUCT(AG$97:AG$131,$BC$58:$BC$92),0)</f>
        <v/>
      </c>
      <c r="AH146" s="39">
        <f>IFERROR(AH107*$BC68/SUMPRODUCT(AH$97:AH$131,$BC$58:$BC$92),0)</f>
        <v/>
      </c>
      <c r="AI146" s="39">
        <f>IFERROR(AI107*$BC68/SUMPRODUCT(AI$97:AI$131,$BC$58:$BC$92),0)</f>
        <v/>
      </c>
      <c r="AJ146" s="39">
        <f>IFERROR(AJ107*$BC68/SUMPRODUCT(AJ$97:AJ$131,$BC$58:$BC$92),0)</f>
        <v/>
      </c>
      <c r="AK146" s="39">
        <f>IFERROR(AK107*$BC68/SUMPRODUCT(AK$97:AK$131,$BC$58:$BC$92),0)</f>
        <v/>
      </c>
      <c r="AL146" s="39">
        <f>IFERROR(AL107*$BC68/SUMPRODUCT(AL$97:AL$131,$BC$58:$BC$92),0)</f>
        <v/>
      </c>
      <c r="AM146" s="39">
        <f>IFERROR(AM107*$BC68/SUMPRODUCT(AM$97:AM$131,$BC$58:$BC$92),0)</f>
        <v/>
      </c>
      <c r="AN146" s="39">
        <f>IFERROR(AN107*$BC68/SUMPRODUCT(AN$97:AN$131,$BC$58:$BC$92),0)</f>
        <v/>
      </c>
      <c r="AO146" s="39">
        <f>IFERROR(AO107*$BC68/SUMPRODUCT(AO$97:AO$131,$BC$58:$BC$92),0)</f>
        <v/>
      </c>
      <c r="AP146" s="39">
        <f>IFERROR(AP107*$BC68/SUMPRODUCT(AP$97:AP$131,$BC$58:$BC$92),0)</f>
        <v/>
      </c>
      <c r="AQ146" s="39">
        <f>IFERROR(AQ107*$BC68/SUMPRODUCT(AQ$97:AQ$131,$BC$58:$BC$92),0)</f>
        <v/>
      </c>
      <c r="AR146" s="39">
        <f>IFERROR(AR107*$BC68/SUMPRODUCT(AR$97:AR$131,$BC$58:$BC$92),0)</f>
        <v/>
      </c>
      <c r="AS146" s="39">
        <f>IFERROR(AS107*$BC68/SUMPRODUCT(AS$97:AS$131,$BC$58:$BC$92),0)</f>
        <v/>
      </c>
      <c r="AT146" s="39">
        <f>IFERROR(AT107*$BC68/SUMPRODUCT(AT$97:AT$131,$BC$58:$BC$92),0)</f>
        <v/>
      </c>
      <c r="AU146" s="39">
        <f>IFERROR(AU107*$BC68/SUMPRODUCT(AU$97:AU$131,$BC$58:$BC$92),0)</f>
        <v/>
      </c>
      <c r="AV146" s="39">
        <f>IFERROR(AV107*$BC68/SUMPRODUCT(AV$97:AV$131,$BC$58:$BC$92),0)</f>
        <v/>
      </c>
      <c r="AW146" s="39">
        <f>IFERROR(AW107*$BC68/SUMPRODUCT(AW$97:AW$131,$BC$58:$BC$92),0)</f>
        <v/>
      </c>
      <c r="AX146" s="39">
        <f>IFERROR(AX107*$BC68/SUMPRODUCT(AX$97:AX$131,$BC$58:$BC$92),0)</f>
        <v/>
      </c>
      <c r="AY146" s="39">
        <f>IFERROR(AY107*$BC68/SUMPRODUCT(AY$97:AY$131,$BC$58:$BC$92),0)</f>
        <v/>
      </c>
      <c r="AZ146" s="39">
        <f>IFERROR(AZ107*$BC68/SUMPRODUCT(AZ$97:AZ$131,$BC$58:$BC$92),0)</f>
        <v/>
      </c>
      <c r="BA146" s="39">
        <f>IFERROR(BA107*$BC68/SUMPRODUCT(BA$97:BA$131,$BC$58:$BC$92),0)</f>
        <v/>
      </c>
      <c r="BB146" s="39">
        <f>IFERROR(BB107*$BC68/SUMPRODUCT(BB$97:BB$131,$BC$58:$BC$92),0)</f>
        <v/>
      </c>
    </row>
    <row r="147">
      <c r="C147" s="1" t="n"/>
      <c r="D147" s="237">
        <f>D108</f>
        <v/>
      </c>
      <c r="E147" s="141">
        <f>IFERROR(E108*$BC69/SUMPRODUCT(E$97:E$131,$BC$58:$BC$92),0)</f>
        <v/>
      </c>
      <c r="F147" s="141">
        <f>IFERROR(F108*$BC69/SUMPRODUCT(F$97:F$131,$BC$58:$BC$92),0)</f>
        <v/>
      </c>
      <c r="G147" s="141">
        <f>IFERROR(G108*$BC69/SUMPRODUCT(G$97:G$131,$BC$58:$BC$92),0)</f>
        <v/>
      </c>
      <c r="H147" s="39">
        <f>IFERROR(H108*$BC69/SUMPRODUCT(H$97:H$131,$BC$58:$BC$92),0)</f>
        <v/>
      </c>
      <c r="I147" s="39">
        <f>IFERROR(I108*$BC69/SUMPRODUCT(I$97:I$131,$BC$58:$BC$92),0)</f>
        <v/>
      </c>
      <c r="J147" s="39">
        <f>IFERROR(J108*$BC69/SUMPRODUCT(J$97:J$131,$BC$58:$BC$92),0)</f>
        <v/>
      </c>
      <c r="K147" s="39">
        <f>IFERROR(K108*$BC69/SUMPRODUCT(K$97:K$131,$BC$58:$BC$92),0)</f>
        <v/>
      </c>
      <c r="L147" s="39">
        <f>IFERROR(L108*$BC69/SUMPRODUCT(L$97:L$131,$BC$58:$BC$92),0)</f>
        <v/>
      </c>
      <c r="M147" s="39">
        <f>IFERROR(M108*$BC69/SUMPRODUCT(M$97:M$131,$BC$58:$BC$92),0)</f>
        <v/>
      </c>
      <c r="N147" s="39">
        <f>IFERROR(N108*$BC69/SUMPRODUCT(N$97:N$131,$BC$58:$BC$92),0)</f>
        <v/>
      </c>
      <c r="O147" s="39">
        <f>IFERROR(O108*$BC69/SUMPRODUCT(O$97:O$131,$BC$58:$BC$92),0)</f>
        <v/>
      </c>
      <c r="P147" s="39">
        <f>IFERROR(P108*$BC69/SUMPRODUCT(P$97:P$131,$BC$58:$BC$92),0)</f>
        <v/>
      </c>
      <c r="Q147" s="39">
        <f>IFERROR(Q108*$BC69/SUMPRODUCT(Q$97:Q$131,$BC$58:$BC$92),0)</f>
        <v/>
      </c>
      <c r="R147" s="39">
        <f>IFERROR(R108*$BC69/SUMPRODUCT(R$97:R$131,$BC$58:$BC$92),0)</f>
        <v/>
      </c>
      <c r="S147" s="39">
        <f>IFERROR(S108*$BC69/SUMPRODUCT(S$97:S$131,$BC$58:$BC$92),0)</f>
        <v/>
      </c>
      <c r="T147" s="39">
        <f>IFERROR(T108*$BC69/SUMPRODUCT(T$97:T$131,$BC$58:$BC$92),0)</f>
        <v/>
      </c>
      <c r="U147" s="39">
        <f>IFERROR(U108*$BC69/SUMPRODUCT(U$97:U$131,$BC$58:$BC$92),0)</f>
        <v/>
      </c>
      <c r="V147" s="39">
        <f>IFERROR(V108*$BC69/SUMPRODUCT(V$97:V$131,$BC$58:$BC$92),0)</f>
        <v/>
      </c>
      <c r="W147" s="39">
        <f>IFERROR(W108*$BC69/SUMPRODUCT(W$97:W$131,$BC$58:$BC$92),0)</f>
        <v/>
      </c>
      <c r="X147" s="39">
        <f>IFERROR(X108*$BC69/SUMPRODUCT(X$97:X$131,$BC$58:$BC$92),0)</f>
        <v/>
      </c>
      <c r="Y147" s="39">
        <f>IFERROR(Y108*$BC69/SUMPRODUCT(Y$97:Y$131,$BC$58:$BC$92),0)</f>
        <v/>
      </c>
      <c r="Z147" s="39">
        <f>IFERROR(Z108*$BC69/SUMPRODUCT(Z$97:Z$131,$BC$58:$BC$92),0)</f>
        <v/>
      </c>
      <c r="AA147" s="39">
        <f>IFERROR(AA108*$BC69/SUMPRODUCT(AA$97:AA$131,$BC$58:$BC$92),0)</f>
        <v/>
      </c>
      <c r="AB147" s="39">
        <f>IFERROR(AB108*$BC69/SUMPRODUCT(AB$97:AB$131,$BC$58:$BC$92),0)</f>
        <v/>
      </c>
      <c r="AC147" s="39">
        <f>IFERROR(AC108*$BC69/SUMPRODUCT(AC$97:AC$131,$BC$58:$BC$92),0)</f>
        <v/>
      </c>
      <c r="AD147" s="39">
        <f>IFERROR(AD108*$BC69/SUMPRODUCT(AD$97:AD$131,$BC$58:$BC$92),0)</f>
        <v/>
      </c>
      <c r="AE147" s="39">
        <f>IFERROR(AE108*$BC69/SUMPRODUCT(AE$97:AE$131,$BC$58:$BC$92),0)</f>
        <v/>
      </c>
      <c r="AF147" s="39">
        <f>IFERROR(AF108*$BC69/SUMPRODUCT(AF$97:AF$131,$BC$58:$BC$92),0)</f>
        <v/>
      </c>
      <c r="AG147" s="39">
        <f>IFERROR(AG108*$BC69/SUMPRODUCT(AG$97:AG$131,$BC$58:$BC$92),0)</f>
        <v/>
      </c>
      <c r="AH147" s="39">
        <f>IFERROR(AH108*$BC69/SUMPRODUCT(AH$97:AH$131,$BC$58:$BC$92),0)</f>
        <v/>
      </c>
      <c r="AI147" s="39">
        <f>IFERROR(AI108*$BC69/SUMPRODUCT(AI$97:AI$131,$BC$58:$BC$92),0)</f>
        <v/>
      </c>
      <c r="AJ147" s="39">
        <f>IFERROR(AJ108*$BC69/SUMPRODUCT(AJ$97:AJ$131,$BC$58:$BC$92),0)</f>
        <v/>
      </c>
      <c r="AK147" s="39">
        <f>IFERROR(AK108*$BC69/SUMPRODUCT(AK$97:AK$131,$BC$58:$BC$92),0)</f>
        <v/>
      </c>
      <c r="AL147" s="39">
        <f>IFERROR(AL108*$BC69/SUMPRODUCT(AL$97:AL$131,$BC$58:$BC$92),0)</f>
        <v/>
      </c>
      <c r="AM147" s="39">
        <f>IFERROR(AM108*$BC69/SUMPRODUCT(AM$97:AM$131,$BC$58:$BC$92),0)</f>
        <v/>
      </c>
      <c r="AN147" s="39">
        <f>IFERROR(AN108*$BC69/SUMPRODUCT(AN$97:AN$131,$BC$58:$BC$92),0)</f>
        <v/>
      </c>
      <c r="AO147" s="39">
        <f>IFERROR(AO108*$BC69/SUMPRODUCT(AO$97:AO$131,$BC$58:$BC$92),0)</f>
        <v/>
      </c>
      <c r="AP147" s="39">
        <f>IFERROR(AP108*$BC69/SUMPRODUCT(AP$97:AP$131,$BC$58:$BC$92),0)</f>
        <v/>
      </c>
      <c r="AQ147" s="39">
        <f>IFERROR(AQ108*$BC69/SUMPRODUCT(AQ$97:AQ$131,$BC$58:$BC$92),0)</f>
        <v/>
      </c>
      <c r="AR147" s="39">
        <f>IFERROR(AR108*$BC69/SUMPRODUCT(AR$97:AR$131,$BC$58:$BC$92),0)</f>
        <v/>
      </c>
      <c r="AS147" s="39">
        <f>IFERROR(AS108*$BC69/SUMPRODUCT(AS$97:AS$131,$BC$58:$BC$92),0)</f>
        <v/>
      </c>
      <c r="AT147" s="39">
        <f>IFERROR(AT108*$BC69/SUMPRODUCT(AT$97:AT$131,$BC$58:$BC$92),0)</f>
        <v/>
      </c>
      <c r="AU147" s="39">
        <f>IFERROR(AU108*$BC69/SUMPRODUCT(AU$97:AU$131,$BC$58:$BC$92),0)</f>
        <v/>
      </c>
      <c r="AV147" s="39">
        <f>IFERROR(AV108*$BC69/SUMPRODUCT(AV$97:AV$131,$BC$58:$BC$92),0)</f>
        <v/>
      </c>
      <c r="AW147" s="39">
        <f>IFERROR(AW108*$BC69/SUMPRODUCT(AW$97:AW$131,$BC$58:$BC$92),0)</f>
        <v/>
      </c>
      <c r="AX147" s="39">
        <f>IFERROR(AX108*$BC69/SUMPRODUCT(AX$97:AX$131,$BC$58:$BC$92),0)</f>
        <v/>
      </c>
      <c r="AY147" s="39">
        <f>IFERROR(AY108*$BC69/SUMPRODUCT(AY$97:AY$131,$BC$58:$BC$92),0)</f>
        <v/>
      </c>
      <c r="AZ147" s="39">
        <f>IFERROR(AZ108*$BC69/SUMPRODUCT(AZ$97:AZ$131,$BC$58:$BC$92),0)</f>
        <v/>
      </c>
      <c r="BA147" s="39">
        <f>IFERROR(BA108*$BC69/SUMPRODUCT(BA$97:BA$131,$BC$58:$BC$92),0)</f>
        <v/>
      </c>
      <c r="BB147" s="39">
        <f>IFERROR(BB108*$BC69/SUMPRODUCT(BB$97:BB$131,$BC$58:$BC$92),0)</f>
        <v/>
      </c>
    </row>
    <row r="148">
      <c r="C148" s="1" t="n"/>
      <c r="D148" s="237">
        <f>D109</f>
        <v/>
      </c>
      <c r="E148" s="141">
        <f>IFERROR(E109*$BC70/SUMPRODUCT(E$97:E$131,$BC$58:$BC$92),0)</f>
        <v/>
      </c>
      <c r="F148" s="141">
        <f>IFERROR(F109*$BC70/SUMPRODUCT(F$97:F$131,$BC$58:$BC$92),0)</f>
        <v/>
      </c>
      <c r="G148" s="141">
        <f>IFERROR(G109*$BC70/SUMPRODUCT(G$97:G$131,$BC$58:$BC$92),0)</f>
        <v/>
      </c>
      <c r="H148" s="39">
        <f>IFERROR(H109*$BC70/SUMPRODUCT(H$97:H$131,$BC$58:$BC$92),0)</f>
        <v/>
      </c>
      <c r="I148" s="39">
        <f>IFERROR(I109*$BC70/SUMPRODUCT(I$97:I$131,$BC$58:$BC$92),0)</f>
        <v/>
      </c>
      <c r="J148" s="39">
        <f>IFERROR(J109*$BC70/SUMPRODUCT(J$97:J$131,$BC$58:$BC$92),0)</f>
        <v/>
      </c>
      <c r="K148" s="39">
        <f>IFERROR(K109*$BC70/SUMPRODUCT(K$97:K$131,$BC$58:$BC$92),0)</f>
        <v/>
      </c>
      <c r="L148" s="39">
        <f>IFERROR(L109*$BC70/SUMPRODUCT(L$97:L$131,$BC$58:$BC$92),0)</f>
        <v/>
      </c>
      <c r="M148" s="39">
        <f>IFERROR(M109*$BC70/SUMPRODUCT(M$97:M$131,$BC$58:$BC$92),0)</f>
        <v/>
      </c>
      <c r="N148" s="39">
        <f>IFERROR(N109*$BC70/SUMPRODUCT(N$97:N$131,$BC$58:$BC$92),0)</f>
        <v/>
      </c>
      <c r="O148" s="39">
        <f>IFERROR(O109*$BC70/SUMPRODUCT(O$97:O$131,$BC$58:$BC$92),0)</f>
        <v/>
      </c>
      <c r="P148" s="39">
        <f>IFERROR(P109*$BC70/SUMPRODUCT(P$97:P$131,$BC$58:$BC$92),0)</f>
        <v/>
      </c>
      <c r="Q148" s="39">
        <f>IFERROR(Q109*$BC70/SUMPRODUCT(Q$97:Q$131,$BC$58:$BC$92),0)</f>
        <v/>
      </c>
      <c r="R148" s="39">
        <f>IFERROR(R109*$BC70/SUMPRODUCT(R$97:R$131,$BC$58:$BC$92),0)</f>
        <v/>
      </c>
      <c r="S148" s="39">
        <f>IFERROR(S109*$BC70/SUMPRODUCT(S$97:S$131,$BC$58:$BC$92),0)</f>
        <v/>
      </c>
      <c r="T148" s="39">
        <f>IFERROR(T109*$BC70/SUMPRODUCT(T$97:T$131,$BC$58:$BC$92),0)</f>
        <v/>
      </c>
      <c r="U148" s="39">
        <f>IFERROR(U109*$BC70/SUMPRODUCT(U$97:U$131,$BC$58:$BC$92),0)</f>
        <v/>
      </c>
      <c r="V148" s="39">
        <f>IFERROR(V109*$BC70/SUMPRODUCT(V$97:V$131,$BC$58:$BC$92),0)</f>
        <v/>
      </c>
      <c r="W148" s="39">
        <f>IFERROR(W109*$BC70/SUMPRODUCT(W$97:W$131,$BC$58:$BC$92),0)</f>
        <v/>
      </c>
      <c r="X148" s="39">
        <f>IFERROR(X109*$BC70/SUMPRODUCT(X$97:X$131,$BC$58:$BC$92),0)</f>
        <v/>
      </c>
      <c r="Y148" s="39">
        <f>IFERROR(Y109*$BC70/SUMPRODUCT(Y$97:Y$131,$BC$58:$BC$92),0)</f>
        <v/>
      </c>
      <c r="Z148" s="39">
        <f>IFERROR(Z109*$BC70/SUMPRODUCT(Z$97:Z$131,$BC$58:$BC$92),0)</f>
        <v/>
      </c>
      <c r="AA148" s="39">
        <f>IFERROR(AA109*$BC70/SUMPRODUCT(AA$97:AA$131,$BC$58:$BC$92),0)</f>
        <v/>
      </c>
      <c r="AB148" s="39">
        <f>IFERROR(AB109*$BC70/SUMPRODUCT(AB$97:AB$131,$BC$58:$BC$92),0)</f>
        <v/>
      </c>
      <c r="AC148" s="39">
        <f>IFERROR(AC109*$BC70/SUMPRODUCT(AC$97:AC$131,$BC$58:$BC$92),0)</f>
        <v/>
      </c>
      <c r="AD148" s="39">
        <f>IFERROR(AD109*$BC70/SUMPRODUCT(AD$97:AD$131,$BC$58:$BC$92),0)</f>
        <v/>
      </c>
      <c r="AE148" s="39">
        <f>IFERROR(AE109*$BC70/SUMPRODUCT(AE$97:AE$131,$BC$58:$BC$92),0)</f>
        <v/>
      </c>
      <c r="AF148" s="39">
        <f>IFERROR(AF109*$BC70/SUMPRODUCT(AF$97:AF$131,$BC$58:$BC$92),0)</f>
        <v/>
      </c>
      <c r="AG148" s="39">
        <f>IFERROR(AG109*$BC70/SUMPRODUCT(AG$97:AG$131,$BC$58:$BC$92),0)</f>
        <v/>
      </c>
      <c r="AH148" s="39">
        <f>IFERROR(AH109*$BC70/SUMPRODUCT(AH$97:AH$131,$BC$58:$BC$92),0)</f>
        <v/>
      </c>
      <c r="AI148" s="39">
        <f>IFERROR(AI109*$BC70/SUMPRODUCT(AI$97:AI$131,$BC$58:$BC$92),0)</f>
        <v/>
      </c>
      <c r="AJ148" s="39">
        <f>IFERROR(AJ109*$BC70/SUMPRODUCT(AJ$97:AJ$131,$BC$58:$BC$92),0)</f>
        <v/>
      </c>
      <c r="AK148" s="39">
        <f>IFERROR(AK109*$BC70/SUMPRODUCT(AK$97:AK$131,$BC$58:$BC$92),0)</f>
        <v/>
      </c>
      <c r="AL148" s="39">
        <f>IFERROR(AL109*$BC70/SUMPRODUCT(AL$97:AL$131,$BC$58:$BC$92),0)</f>
        <v/>
      </c>
      <c r="AM148" s="39">
        <f>IFERROR(AM109*$BC70/SUMPRODUCT(AM$97:AM$131,$BC$58:$BC$92),0)</f>
        <v/>
      </c>
      <c r="AN148" s="39">
        <f>IFERROR(AN109*$BC70/SUMPRODUCT(AN$97:AN$131,$BC$58:$BC$92),0)</f>
        <v/>
      </c>
      <c r="AO148" s="39">
        <f>IFERROR(AO109*$BC70/SUMPRODUCT(AO$97:AO$131,$BC$58:$BC$92),0)</f>
        <v/>
      </c>
      <c r="AP148" s="39">
        <f>IFERROR(AP109*$BC70/SUMPRODUCT(AP$97:AP$131,$BC$58:$BC$92),0)</f>
        <v/>
      </c>
      <c r="AQ148" s="39">
        <f>IFERROR(AQ109*$BC70/SUMPRODUCT(AQ$97:AQ$131,$BC$58:$BC$92),0)</f>
        <v/>
      </c>
      <c r="AR148" s="39">
        <f>IFERROR(AR109*$BC70/SUMPRODUCT(AR$97:AR$131,$BC$58:$BC$92),0)</f>
        <v/>
      </c>
      <c r="AS148" s="39">
        <f>IFERROR(AS109*$BC70/SUMPRODUCT(AS$97:AS$131,$BC$58:$BC$92),0)</f>
        <v/>
      </c>
      <c r="AT148" s="39">
        <f>IFERROR(AT109*$BC70/SUMPRODUCT(AT$97:AT$131,$BC$58:$BC$92),0)</f>
        <v/>
      </c>
      <c r="AU148" s="39">
        <f>IFERROR(AU109*$BC70/SUMPRODUCT(AU$97:AU$131,$BC$58:$BC$92),0)</f>
        <v/>
      </c>
      <c r="AV148" s="39">
        <f>IFERROR(AV109*$BC70/SUMPRODUCT(AV$97:AV$131,$BC$58:$BC$92),0)</f>
        <v/>
      </c>
      <c r="AW148" s="39">
        <f>IFERROR(AW109*$BC70/SUMPRODUCT(AW$97:AW$131,$BC$58:$BC$92),0)</f>
        <v/>
      </c>
      <c r="AX148" s="39">
        <f>IFERROR(AX109*$BC70/SUMPRODUCT(AX$97:AX$131,$BC$58:$BC$92),0)</f>
        <v/>
      </c>
      <c r="AY148" s="39">
        <f>IFERROR(AY109*$BC70/SUMPRODUCT(AY$97:AY$131,$BC$58:$BC$92),0)</f>
        <v/>
      </c>
      <c r="AZ148" s="39">
        <f>IFERROR(AZ109*$BC70/SUMPRODUCT(AZ$97:AZ$131,$BC$58:$BC$92),0)</f>
        <v/>
      </c>
      <c r="BA148" s="39">
        <f>IFERROR(BA109*$BC70/SUMPRODUCT(BA$97:BA$131,$BC$58:$BC$92),0)</f>
        <v/>
      </c>
      <c r="BB148" s="39">
        <f>IFERROR(BB109*$BC70/SUMPRODUCT(BB$97:BB$131,$BC$58:$BC$92),0)</f>
        <v/>
      </c>
    </row>
    <row r="149">
      <c r="C149" s="1" t="n"/>
      <c r="D149" s="237">
        <f>D110</f>
        <v/>
      </c>
      <c r="E149" s="141">
        <f>IFERROR(E110*$BC71/SUMPRODUCT(E$97:E$131,$BC$58:$BC$92),0)</f>
        <v/>
      </c>
      <c r="F149" s="141">
        <f>IFERROR(F110*$BC71/SUMPRODUCT(F$97:F$131,$BC$58:$BC$92),0)</f>
        <v/>
      </c>
      <c r="G149" s="141">
        <f>IFERROR(G110*$BC71/SUMPRODUCT(G$97:G$131,$BC$58:$BC$92),0)</f>
        <v/>
      </c>
      <c r="H149" s="39">
        <f>IFERROR(H110*$BC71/SUMPRODUCT(H$97:H$131,$BC$58:$BC$92),0)</f>
        <v/>
      </c>
      <c r="I149" s="39">
        <f>IFERROR(I110*$BC71/SUMPRODUCT(I$97:I$131,$BC$58:$BC$92),0)</f>
        <v/>
      </c>
      <c r="J149" s="39">
        <f>IFERROR(J110*$BC71/SUMPRODUCT(J$97:J$131,$BC$58:$BC$92),0)</f>
        <v/>
      </c>
      <c r="K149" s="39">
        <f>IFERROR(K110*$BC71/SUMPRODUCT(K$97:K$131,$BC$58:$BC$92),0)</f>
        <v/>
      </c>
      <c r="L149" s="39">
        <f>IFERROR(L110*$BC71/SUMPRODUCT(L$97:L$131,$BC$58:$BC$92),0)</f>
        <v/>
      </c>
      <c r="M149" s="39">
        <f>IFERROR(M110*$BC71/SUMPRODUCT(M$97:M$131,$BC$58:$BC$92),0)</f>
        <v/>
      </c>
      <c r="N149" s="39">
        <f>IFERROR(N110*$BC71/SUMPRODUCT(N$97:N$131,$BC$58:$BC$92),0)</f>
        <v/>
      </c>
      <c r="O149" s="39">
        <f>IFERROR(O110*$BC71/SUMPRODUCT(O$97:O$131,$BC$58:$BC$92),0)</f>
        <v/>
      </c>
      <c r="P149" s="39">
        <f>IFERROR(P110*$BC71/SUMPRODUCT(P$97:P$131,$BC$58:$BC$92),0)</f>
        <v/>
      </c>
      <c r="Q149" s="39">
        <f>IFERROR(Q110*$BC71/SUMPRODUCT(Q$97:Q$131,$BC$58:$BC$92),0)</f>
        <v/>
      </c>
      <c r="R149" s="39">
        <f>IFERROR(R110*$BC71/SUMPRODUCT(R$97:R$131,$BC$58:$BC$92),0)</f>
        <v/>
      </c>
      <c r="S149" s="39">
        <f>IFERROR(S110*$BC71/SUMPRODUCT(S$97:S$131,$BC$58:$BC$92),0)</f>
        <v/>
      </c>
      <c r="T149" s="39">
        <f>IFERROR(T110*$BC71/SUMPRODUCT(T$97:T$131,$BC$58:$BC$92),0)</f>
        <v/>
      </c>
      <c r="U149" s="39">
        <f>IFERROR(U110*$BC71/SUMPRODUCT(U$97:U$131,$BC$58:$BC$92),0)</f>
        <v/>
      </c>
      <c r="V149" s="39">
        <f>IFERROR(V110*$BC71/SUMPRODUCT(V$97:V$131,$BC$58:$BC$92),0)</f>
        <v/>
      </c>
      <c r="W149" s="39">
        <f>IFERROR(W110*$BC71/SUMPRODUCT(W$97:W$131,$BC$58:$BC$92),0)</f>
        <v/>
      </c>
      <c r="X149" s="39">
        <f>IFERROR(X110*$BC71/SUMPRODUCT(X$97:X$131,$BC$58:$BC$92),0)</f>
        <v/>
      </c>
      <c r="Y149" s="39">
        <f>IFERROR(Y110*$BC71/SUMPRODUCT(Y$97:Y$131,$BC$58:$BC$92),0)</f>
        <v/>
      </c>
      <c r="Z149" s="39">
        <f>IFERROR(Z110*$BC71/SUMPRODUCT(Z$97:Z$131,$BC$58:$BC$92),0)</f>
        <v/>
      </c>
      <c r="AA149" s="39">
        <f>IFERROR(AA110*$BC71/SUMPRODUCT(AA$97:AA$131,$BC$58:$BC$92),0)</f>
        <v/>
      </c>
      <c r="AB149" s="39">
        <f>IFERROR(AB110*$BC71/SUMPRODUCT(AB$97:AB$131,$BC$58:$BC$92),0)</f>
        <v/>
      </c>
      <c r="AC149" s="39">
        <f>IFERROR(AC110*$BC71/SUMPRODUCT(AC$97:AC$131,$BC$58:$BC$92),0)</f>
        <v/>
      </c>
      <c r="AD149" s="39">
        <f>IFERROR(AD110*$BC71/SUMPRODUCT(AD$97:AD$131,$BC$58:$BC$92),0)</f>
        <v/>
      </c>
      <c r="AE149" s="39">
        <f>IFERROR(AE110*$BC71/SUMPRODUCT(AE$97:AE$131,$BC$58:$BC$92),0)</f>
        <v/>
      </c>
      <c r="AF149" s="39">
        <f>IFERROR(AF110*$BC71/SUMPRODUCT(AF$97:AF$131,$BC$58:$BC$92),0)</f>
        <v/>
      </c>
      <c r="AG149" s="39">
        <f>IFERROR(AG110*$BC71/SUMPRODUCT(AG$97:AG$131,$BC$58:$BC$92),0)</f>
        <v/>
      </c>
      <c r="AH149" s="39">
        <f>IFERROR(AH110*$BC71/SUMPRODUCT(AH$97:AH$131,$BC$58:$BC$92),0)</f>
        <v/>
      </c>
      <c r="AI149" s="39">
        <f>IFERROR(AI110*$BC71/SUMPRODUCT(AI$97:AI$131,$BC$58:$BC$92),0)</f>
        <v/>
      </c>
      <c r="AJ149" s="39">
        <f>IFERROR(AJ110*$BC71/SUMPRODUCT(AJ$97:AJ$131,$BC$58:$BC$92),0)</f>
        <v/>
      </c>
      <c r="AK149" s="39">
        <f>IFERROR(AK110*$BC71/SUMPRODUCT(AK$97:AK$131,$BC$58:$BC$92),0)</f>
        <v/>
      </c>
      <c r="AL149" s="39">
        <f>IFERROR(AL110*$BC71/SUMPRODUCT(AL$97:AL$131,$BC$58:$BC$92),0)</f>
        <v/>
      </c>
      <c r="AM149" s="39">
        <f>IFERROR(AM110*$BC71/SUMPRODUCT(AM$97:AM$131,$BC$58:$BC$92),0)</f>
        <v/>
      </c>
      <c r="AN149" s="39">
        <f>IFERROR(AN110*$BC71/SUMPRODUCT(AN$97:AN$131,$BC$58:$BC$92),0)</f>
        <v/>
      </c>
      <c r="AO149" s="39">
        <f>IFERROR(AO110*$BC71/SUMPRODUCT(AO$97:AO$131,$BC$58:$BC$92),0)</f>
        <v/>
      </c>
      <c r="AP149" s="39">
        <f>IFERROR(AP110*$BC71/SUMPRODUCT(AP$97:AP$131,$BC$58:$BC$92),0)</f>
        <v/>
      </c>
      <c r="AQ149" s="39">
        <f>IFERROR(AQ110*$BC71/SUMPRODUCT(AQ$97:AQ$131,$BC$58:$BC$92),0)</f>
        <v/>
      </c>
      <c r="AR149" s="39">
        <f>IFERROR(AR110*$BC71/SUMPRODUCT(AR$97:AR$131,$BC$58:$BC$92),0)</f>
        <v/>
      </c>
      <c r="AS149" s="39">
        <f>IFERROR(AS110*$BC71/SUMPRODUCT(AS$97:AS$131,$BC$58:$BC$92),0)</f>
        <v/>
      </c>
      <c r="AT149" s="39">
        <f>IFERROR(AT110*$BC71/SUMPRODUCT(AT$97:AT$131,$BC$58:$BC$92),0)</f>
        <v/>
      </c>
      <c r="AU149" s="39">
        <f>IFERROR(AU110*$BC71/SUMPRODUCT(AU$97:AU$131,$BC$58:$BC$92),0)</f>
        <v/>
      </c>
      <c r="AV149" s="39">
        <f>IFERROR(AV110*$BC71/SUMPRODUCT(AV$97:AV$131,$BC$58:$BC$92),0)</f>
        <v/>
      </c>
      <c r="AW149" s="39">
        <f>IFERROR(AW110*$BC71/SUMPRODUCT(AW$97:AW$131,$BC$58:$BC$92),0)</f>
        <v/>
      </c>
      <c r="AX149" s="39">
        <f>IFERROR(AX110*$BC71/SUMPRODUCT(AX$97:AX$131,$BC$58:$BC$92),0)</f>
        <v/>
      </c>
      <c r="AY149" s="39">
        <f>IFERROR(AY110*$BC71/SUMPRODUCT(AY$97:AY$131,$BC$58:$BC$92),0)</f>
        <v/>
      </c>
      <c r="AZ149" s="39">
        <f>IFERROR(AZ110*$BC71/SUMPRODUCT(AZ$97:AZ$131,$BC$58:$BC$92),0)</f>
        <v/>
      </c>
      <c r="BA149" s="39">
        <f>IFERROR(BA110*$BC71/SUMPRODUCT(BA$97:BA$131,$BC$58:$BC$92),0)</f>
        <v/>
      </c>
      <c r="BB149" s="39">
        <f>IFERROR(BB110*$BC71/SUMPRODUCT(BB$97:BB$131,$BC$58:$BC$92),0)</f>
        <v/>
      </c>
    </row>
    <row r="150">
      <c r="C150" s="1" t="n"/>
      <c r="D150" s="237">
        <f>D111</f>
        <v/>
      </c>
      <c r="E150" s="141">
        <f>IFERROR(E111*$BC72/SUMPRODUCT(E$97:E$131,$BC$58:$BC$92),0)</f>
        <v/>
      </c>
      <c r="F150" s="141">
        <f>IFERROR(F111*$BC72/SUMPRODUCT(F$97:F$131,$BC$58:$BC$92),0)</f>
        <v/>
      </c>
      <c r="G150" s="141">
        <f>IFERROR(G111*$BC72/SUMPRODUCT(G$97:G$131,$BC$58:$BC$92),0)</f>
        <v/>
      </c>
      <c r="H150" s="39">
        <f>IFERROR(H111*$BC72/SUMPRODUCT(H$97:H$131,$BC$58:$BC$92),0)</f>
        <v/>
      </c>
      <c r="I150" s="39">
        <f>IFERROR(I111*$BC72/SUMPRODUCT(I$97:I$131,$BC$58:$BC$92),0)</f>
        <v/>
      </c>
      <c r="J150" s="39">
        <f>IFERROR(J111*$BC72/SUMPRODUCT(J$97:J$131,$BC$58:$BC$92),0)</f>
        <v/>
      </c>
      <c r="K150" s="39">
        <f>IFERROR(K111*$BC72/SUMPRODUCT(K$97:K$131,$BC$58:$BC$92),0)</f>
        <v/>
      </c>
      <c r="L150" s="39">
        <f>IFERROR(L111*$BC72/SUMPRODUCT(L$97:L$131,$BC$58:$BC$92),0)</f>
        <v/>
      </c>
      <c r="M150" s="39">
        <f>IFERROR(M111*$BC72/SUMPRODUCT(M$97:M$131,$BC$58:$BC$92),0)</f>
        <v/>
      </c>
      <c r="N150" s="39">
        <f>IFERROR(N111*$BC72/SUMPRODUCT(N$97:N$131,$BC$58:$BC$92),0)</f>
        <v/>
      </c>
      <c r="O150" s="39">
        <f>IFERROR(O111*$BC72/SUMPRODUCT(O$97:O$131,$BC$58:$BC$92),0)</f>
        <v/>
      </c>
      <c r="P150" s="39">
        <f>IFERROR(P111*$BC72/SUMPRODUCT(P$97:P$131,$BC$58:$BC$92),0)</f>
        <v/>
      </c>
      <c r="Q150" s="39">
        <f>IFERROR(Q111*$BC72/SUMPRODUCT(Q$97:Q$131,$BC$58:$BC$92),0)</f>
        <v/>
      </c>
      <c r="R150" s="39">
        <f>IFERROR(R111*$BC72/SUMPRODUCT(R$97:R$131,$BC$58:$BC$92),0)</f>
        <v/>
      </c>
      <c r="S150" s="39">
        <f>IFERROR(S111*$BC72/SUMPRODUCT(S$97:S$131,$BC$58:$BC$92),0)</f>
        <v/>
      </c>
      <c r="T150" s="39">
        <f>IFERROR(T111*$BC72/SUMPRODUCT(T$97:T$131,$BC$58:$BC$92),0)</f>
        <v/>
      </c>
      <c r="U150" s="39">
        <f>IFERROR(U111*$BC72/SUMPRODUCT(U$97:U$131,$BC$58:$BC$92),0)</f>
        <v/>
      </c>
      <c r="V150" s="39">
        <f>IFERROR(V111*$BC72/SUMPRODUCT(V$97:V$131,$BC$58:$BC$92),0)</f>
        <v/>
      </c>
      <c r="W150" s="39">
        <f>IFERROR(W111*$BC72/SUMPRODUCT(W$97:W$131,$BC$58:$BC$92),0)</f>
        <v/>
      </c>
      <c r="X150" s="39">
        <f>IFERROR(X111*$BC72/SUMPRODUCT(X$97:X$131,$BC$58:$BC$92),0)</f>
        <v/>
      </c>
      <c r="Y150" s="39">
        <f>IFERROR(Y111*$BC72/SUMPRODUCT(Y$97:Y$131,$BC$58:$BC$92),0)</f>
        <v/>
      </c>
      <c r="Z150" s="39">
        <f>IFERROR(Z111*$BC72/SUMPRODUCT(Z$97:Z$131,$BC$58:$BC$92),0)</f>
        <v/>
      </c>
      <c r="AA150" s="39">
        <f>IFERROR(AA111*$BC72/SUMPRODUCT(AA$97:AA$131,$BC$58:$BC$92),0)</f>
        <v/>
      </c>
      <c r="AB150" s="39">
        <f>IFERROR(AB111*$BC72/SUMPRODUCT(AB$97:AB$131,$BC$58:$BC$92),0)</f>
        <v/>
      </c>
      <c r="AC150" s="39">
        <f>IFERROR(AC111*$BC72/SUMPRODUCT(AC$97:AC$131,$BC$58:$BC$92),0)</f>
        <v/>
      </c>
      <c r="AD150" s="39">
        <f>IFERROR(AD111*$BC72/SUMPRODUCT(AD$97:AD$131,$BC$58:$BC$92),0)</f>
        <v/>
      </c>
      <c r="AE150" s="39">
        <f>IFERROR(AE111*$BC72/SUMPRODUCT(AE$97:AE$131,$BC$58:$BC$92),0)</f>
        <v/>
      </c>
      <c r="AF150" s="39">
        <f>IFERROR(AF111*$BC72/SUMPRODUCT(AF$97:AF$131,$BC$58:$BC$92),0)</f>
        <v/>
      </c>
      <c r="AG150" s="39">
        <f>IFERROR(AG111*$BC72/SUMPRODUCT(AG$97:AG$131,$BC$58:$BC$92),0)</f>
        <v/>
      </c>
      <c r="AH150" s="39">
        <f>IFERROR(AH111*$BC72/SUMPRODUCT(AH$97:AH$131,$BC$58:$BC$92),0)</f>
        <v/>
      </c>
      <c r="AI150" s="39">
        <f>IFERROR(AI111*$BC72/SUMPRODUCT(AI$97:AI$131,$BC$58:$BC$92),0)</f>
        <v/>
      </c>
      <c r="AJ150" s="39">
        <f>IFERROR(AJ111*$BC72/SUMPRODUCT(AJ$97:AJ$131,$BC$58:$BC$92),0)</f>
        <v/>
      </c>
      <c r="AK150" s="39">
        <f>IFERROR(AK111*$BC72/SUMPRODUCT(AK$97:AK$131,$BC$58:$BC$92),0)</f>
        <v/>
      </c>
      <c r="AL150" s="39">
        <f>IFERROR(AL111*$BC72/SUMPRODUCT(AL$97:AL$131,$BC$58:$BC$92),0)</f>
        <v/>
      </c>
      <c r="AM150" s="39">
        <f>IFERROR(AM111*$BC72/SUMPRODUCT(AM$97:AM$131,$BC$58:$BC$92),0)</f>
        <v/>
      </c>
      <c r="AN150" s="39">
        <f>IFERROR(AN111*$BC72/SUMPRODUCT(AN$97:AN$131,$BC$58:$BC$92),0)</f>
        <v/>
      </c>
      <c r="AO150" s="39">
        <f>IFERROR(AO111*$BC72/SUMPRODUCT(AO$97:AO$131,$BC$58:$BC$92),0)</f>
        <v/>
      </c>
      <c r="AP150" s="39">
        <f>IFERROR(AP111*$BC72/SUMPRODUCT(AP$97:AP$131,$BC$58:$BC$92),0)</f>
        <v/>
      </c>
      <c r="AQ150" s="39">
        <f>IFERROR(AQ111*$BC72/SUMPRODUCT(AQ$97:AQ$131,$BC$58:$BC$92),0)</f>
        <v/>
      </c>
      <c r="AR150" s="39">
        <f>IFERROR(AR111*$BC72/SUMPRODUCT(AR$97:AR$131,$BC$58:$BC$92),0)</f>
        <v/>
      </c>
      <c r="AS150" s="39">
        <f>IFERROR(AS111*$BC72/SUMPRODUCT(AS$97:AS$131,$BC$58:$BC$92),0)</f>
        <v/>
      </c>
      <c r="AT150" s="39">
        <f>IFERROR(AT111*$BC72/SUMPRODUCT(AT$97:AT$131,$BC$58:$BC$92),0)</f>
        <v/>
      </c>
      <c r="AU150" s="39">
        <f>IFERROR(AU111*$BC72/SUMPRODUCT(AU$97:AU$131,$BC$58:$BC$92),0)</f>
        <v/>
      </c>
      <c r="AV150" s="39">
        <f>IFERROR(AV111*$BC72/SUMPRODUCT(AV$97:AV$131,$BC$58:$BC$92),0)</f>
        <v/>
      </c>
      <c r="AW150" s="39">
        <f>IFERROR(AW111*$BC72/SUMPRODUCT(AW$97:AW$131,$BC$58:$BC$92),0)</f>
        <v/>
      </c>
      <c r="AX150" s="39">
        <f>IFERROR(AX111*$BC72/SUMPRODUCT(AX$97:AX$131,$BC$58:$BC$92),0)</f>
        <v/>
      </c>
      <c r="AY150" s="39">
        <f>IFERROR(AY111*$BC72/SUMPRODUCT(AY$97:AY$131,$BC$58:$BC$92),0)</f>
        <v/>
      </c>
      <c r="AZ150" s="39">
        <f>IFERROR(AZ111*$BC72/SUMPRODUCT(AZ$97:AZ$131,$BC$58:$BC$92),0)</f>
        <v/>
      </c>
      <c r="BA150" s="39">
        <f>IFERROR(BA111*$BC72/SUMPRODUCT(BA$97:BA$131,$BC$58:$BC$92),0)</f>
        <v/>
      </c>
      <c r="BB150" s="39">
        <f>IFERROR(BB111*$BC72/SUMPRODUCT(BB$97:BB$131,$BC$58:$BC$92),0)</f>
        <v/>
      </c>
    </row>
    <row r="151">
      <c r="C151" s="1" t="n"/>
      <c r="D151" s="237">
        <f>D112</f>
        <v/>
      </c>
      <c r="E151" s="141">
        <f>IFERROR(E112*$BC73/SUMPRODUCT(E$97:E$131,$BC$58:$BC$92),0)</f>
        <v/>
      </c>
      <c r="F151" s="141">
        <f>IFERROR(F112*$BC73/SUMPRODUCT(F$97:F$131,$BC$58:$BC$92),0)</f>
        <v/>
      </c>
      <c r="G151" s="141">
        <f>IFERROR(G112*$BC73/SUMPRODUCT(G$97:G$131,$BC$58:$BC$92),0)</f>
        <v/>
      </c>
      <c r="H151" s="39">
        <f>IFERROR(H112*$BC73/SUMPRODUCT(H$97:H$131,$BC$58:$BC$92),0)</f>
        <v/>
      </c>
      <c r="I151" s="39">
        <f>IFERROR(I112*$BC73/SUMPRODUCT(I$97:I$131,$BC$58:$BC$92),0)</f>
        <v/>
      </c>
      <c r="J151" s="39">
        <f>IFERROR(J112*$BC73/SUMPRODUCT(J$97:J$131,$BC$58:$BC$92),0)</f>
        <v/>
      </c>
      <c r="K151" s="39">
        <f>IFERROR(K112*$BC73/SUMPRODUCT(K$97:K$131,$BC$58:$BC$92),0)</f>
        <v/>
      </c>
      <c r="L151" s="39">
        <f>IFERROR(L112*$BC73/SUMPRODUCT(L$97:L$131,$BC$58:$BC$92),0)</f>
        <v/>
      </c>
      <c r="M151" s="39">
        <f>IFERROR(M112*$BC73/SUMPRODUCT(M$97:M$131,$BC$58:$BC$92),0)</f>
        <v/>
      </c>
      <c r="N151" s="39">
        <f>IFERROR(N112*$BC73/SUMPRODUCT(N$97:N$131,$BC$58:$BC$92),0)</f>
        <v/>
      </c>
      <c r="O151" s="39">
        <f>IFERROR(O112*$BC73/SUMPRODUCT(O$97:O$131,$BC$58:$BC$92),0)</f>
        <v/>
      </c>
      <c r="P151" s="39">
        <f>IFERROR(P112*$BC73/SUMPRODUCT(P$97:P$131,$BC$58:$BC$92),0)</f>
        <v/>
      </c>
      <c r="Q151" s="39">
        <f>IFERROR(Q112*$BC73/SUMPRODUCT(Q$97:Q$131,$BC$58:$BC$92),0)</f>
        <v/>
      </c>
      <c r="R151" s="39">
        <f>IFERROR(R112*$BC73/SUMPRODUCT(R$97:R$131,$BC$58:$BC$92),0)</f>
        <v/>
      </c>
      <c r="S151" s="39">
        <f>IFERROR(S112*$BC73/SUMPRODUCT(S$97:S$131,$BC$58:$BC$92),0)</f>
        <v/>
      </c>
      <c r="T151" s="39">
        <f>IFERROR(T112*$BC73/SUMPRODUCT(T$97:T$131,$BC$58:$BC$92),0)</f>
        <v/>
      </c>
      <c r="U151" s="39">
        <f>IFERROR(U112*$BC73/SUMPRODUCT(U$97:U$131,$BC$58:$BC$92),0)</f>
        <v/>
      </c>
      <c r="V151" s="39">
        <f>IFERROR(V112*$BC73/SUMPRODUCT(V$97:V$131,$BC$58:$BC$92),0)</f>
        <v/>
      </c>
      <c r="W151" s="39">
        <f>IFERROR(W112*$BC73/SUMPRODUCT(W$97:W$131,$BC$58:$BC$92),0)</f>
        <v/>
      </c>
      <c r="X151" s="39">
        <f>IFERROR(X112*$BC73/SUMPRODUCT(X$97:X$131,$BC$58:$BC$92),0)</f>
        <v/>
      </c>
      <c r="Y151" s="39">
        <f>IFERROR(Y112*$BC73/SUMPRODUCT(Y$97:Y$131,$BC$58:$BC$92),0)</f>
        <v/>
      </c>
      <c r="Z151" s="39">
        <f>IFERROR(Z112*$BC73/SUMPRODUCT(Z$97:Z$131,$BC$58:$BC$92),0)</f>
        <v/>
      </c>
      <c r="AA151" s="39">
        <f>IFERROR(AA112*$BC73/SUMPRODUCT(AA$97:AA$131,$BC$58:$BC$92),0)</f>
        <v/>
      </c>
      <c r="AB151" s="39">
        <f>IFERROR(AB112*$BC73/SUMPRODUCT(AB$97:AB$131,$BC$58:$BC$92),0)</f>
        <v/>
      </c>
      <c r="AC151" s="39">
        <f>IFERROR(AC112*$BC73/SUMPRODUCT(AC$97:AC$131,$BC$58:$BC$92),0)</f>
        <v/>
      </c>
      <c r="AD151" s="39">
        <f>IFERROR(AD112*$BC73/SUMPRODUCT(AD$97:AD$131,$BC$58:$BC$92),0)</f>
        <v/>
      </c>
      <c r="AE151" s="39">
        <f>IFERROR(AE112*$BC73/SUMPRODUCT(AE$97:AE$131,$BC$58:$BC$92),0)</f>
        <v/>
      </c>
      <c r="AF151" s="39">
        <f>IFERROR(AF112*$BC73/SUMPRODUCT(AF$97:AF$131,$BC$58:$BC$92),0)</f>
        <v/>
      </c>
      <c r="AG151" s="39">
        <f>IFERROR(AG112*$BC73/SUMPRODUCT(AG$97:AG$131,$BC$58:$BC$92),0)</f>
        <v/>
      </c>
      <c r="AH151" s="39">
        <f>IFERROR(AH112*$BC73/SUMPRODUCT(AH$97:AH$131,$BC$58:$BC$92),0)</f>
        <v/>
      </c>
      <c r="AI151" s="39">
        <f>IFERROR(AI112*$BC73/SUMPRODUCT(AI$97:AI$131,$BC$58:$BC$92),0)</f>
        <v/>
      </c>
      <c r="AJ151" s="39">
        <f>IFERROR(AJ112*$BC73/SUMPRODUCT(AJ$97:AJ$131,$BC$58:$BC$92),0)</f>
        <v/>
      </c>
      <c r="AK151" s="39">
        <f>IFERROR(AK112*$BC73/SUMPRODUCT(AK$97:AK$131,$BC$58:$BC$92),0)</f>
        <v/>
      </c>
      <c r="AL151" s="39">
        <f>IFERROR(AL112*$BC73/SUMPRODUCT(AL$97:AL$131,$BC$58:$BC$92),0)</f>
        <v/>
      </c>
      <c r="AM151" s="39">
        <f>IFERROR(AM112*$BC73/SUMPRODUCT(AM$97:AM$131,$BC$58:$BC$92),0)</f>
        <v/>
      </c>
      <c r="AN151" s="39">
        <f>IFERROR(AN112*$BC73/SUMPRODUCT(AN$97:AN$131,$BC$58:$BC$92),0)</f>
        <v/>
      </c>
      <c r="AO151" s="39">
        <f>IFERROR(AO112*$BC73/SUMPRODUCT(AO$97:AO$131,$BC$58:$BC$92),0)</f>
        <v/>
      </c>
      <c r="AP151" s="39">
        <f>IFERROR(AP112*$BC73/SUMPRODUCT(AP$97:AP$131,$BC$58:$BC$92),0)</f>
        <v/>
      </c>
      <c r="AQ151" s="39">
        <f>IFERROR(AQ112*$BC73/SUMPRODUCT(AQ$97:AQ$131,$BC$58:$BC$92),0)</f>
        <v/>
      </c>
      <c r="AR151" s="39">
        <f>IFERROR(AR112*$BC73/SUMPRODUCT(AR$97:AR$131,$BC$58:$BC$92),0)</f>
        <v/>
      </c>
      <c r="AS151" s="39">
        <f>IFERROR(AS112*$BC73/SUMPRODUCT(AS$97:AS$131,$BC$58:$BC$92),0)</f>
        <v/>
      </c>
      <c r="AT151" s="39">
        <f>IFERROR(AT112*$BC73/SUMPRODUCT(AT$97:AT$131,$BC$58:$BC$92),0)</f>
        <v/>
      </c>
      <c r="AU151" s="39">
        <f>IFERROR(AU112*$BC73/SUMPRODUCT(AU$97:AU$131,$BC$58:$BC$92),0)</f>
        <v/>
      </c>
      <c r="AV151" s="39">
        <f>IFERROR(AV112*$BC73/SUMPRODUCT(AV$97:AV$131,$BC$58:$BC$92),0)</f>
        <v/>
      </c>
      <c r="AW151" s="39">
        <f>IFERROR(AW112*$BC73/SUMPRODUCT(AW$97:AW$131,$BC$58:$BC$92),0)</f>
        <v/>
      </c>
      <c r="AX151" s="39">
        <f>IFERROR(AX112*$BC73/SUMPRODUCT(AX$97:AX$131,$BC$58:$BC$92),0)</f>
        <v/>
      </c>
      <c r="AY151" s="39">
        <f>IFERROR(AY112*$BC73/SUMPRODUCT(AY$97:AY$131,$BC$58:$BC$92),0)</f>
        <v/>
      </c>
      <c r="AZ151" s="39">
        <f>IFERROR(AZ112*$BC73/SUMPRODUCT(AZ$97:AZ$131,$BC$58:$BC$92),0)</f>
        <v/>
      </c>
      <c r="BA151" s="39">
        <f>IFERROR(BA112*$BC73/SUMPRODUCT(BA$97:BA$131,$BC$58:$BC$92),0)</f>
        <v/>
      </c>
      <c r="BB151" s="39">
        <f>IFERROR(BB112*$BC73/SUMPRODUCT(BB$97:BB$131,$BC$58:$BC$92),0)</f>
        <v/>
      </c>
    </row>
    <row r="152">
      <c r="C152" s="1" t="n"/>
      <c r="D152" s="237">
        <f>D113</f>
        <v/>
      </c>
      <c r="E152" s="141">
        <f>IFERROR(E113*$BC74/SUMPRODUCT(E$97:E$131,$BC$58:$BC$92),0)</f>
        <v/>
      </c>
      <c r="F152" s="141">
        <f>IFERROR(F113*$BC74/SUMPRODUCT(F$97:F$131,$BC$58:$BC$92),0)</f>
        <v/>
      </c>
      <c r="G152" s="141">
        <f>IFERROR(G113*$BC74/SUMPRODUCT(G$97:G$131,$BC$58:$BC$92),0)</f>
        <v/>
      </c>
      <c r="H152" s="39">
        <f>IFERROR(H113*$BC74/SUMPRODUCT(H$97:H$131,$BC$58:$BC$92),0)</f>
        <v/>
      </c>
      <c r="I152" s="39">
        <f>IFERROR(I113*$BC74/SUMPRODUCT(I$97:I$131,$BC$58:$BC$92),0)</f>
        <v/>
      </c>
      <c r="J152" s="39">
        <f>IFERROR(J113*$BC74/SUMPRODUCT(J$97:J$131,$BC$58:$BC$92),0)</f>
        <v/>
      </c>
      <c r="K152" s="39">
        <f>IFERROR(K113*$BC74/SUMPRODUCT(K$97:K$131,$BC$58:$BC$92),0)</f>
        <v/>
      </c>
      <c r="L152" s="39">
        <f>IFERROR(L113*$BC74/SUMPRODUCT(L$97:L$131,$BC$58:$BC$92),0)</f>
        <v/>
      </c>
      <c r="M152" s="39">
        <f>IFERROR(M113*$BC74/SUMPRODUCT(M$97:M$131,$BC$58:$BC$92),0)</f>
        <v/>
      </c>
      <c r="N152" s="39">
        <f>IFERROR(N113*$BC74/SUMPRODUCT(N$97:N$131,$BC$58:$BC$92),0)</f>
        <v/>
      </c>
      <c r="O152" s="39">
        <f>IFERROR(O113*$BC74/SUMPRODUCT(O$97:O$131,$BC$58:$BC$92),0)</f>
        <v/>
      </c>
      <c r="P152" s="39">
        <f>IFERROR(P113*$BC74/SUMPRODUCT(P$97:P$131,$BC$58:$BC$92),0)</f>
        <v/>
      </c>
      <c r="Q152" s="39">
        <f>IFERROR(Q113*$BC74/SUMPRODUCT(Q$97:Q$131,$BC$58:$BC$92),0)</f>
        <v/>
      </c>
      <c r="R152" s="39">
        <f>IFERROR(R113*$BC74/SUMPRODUCT(R$97:R$131,$BC$58:$BC$92),0)</f>
        <v/>
      </c>
      <c r="S152" s="39">
        <f>IFERROR(S113*$BC74/SUMPRODUCT(S$97:S$131,$BC$58:$BC$92),0)</f>
        <v/>
      </c>
      <c r="T152" s="39">
        <f>IFERROR(T113*$BC74/SUMPRODUCT(T$97:T$131,$BC$58:$BC$92),0)</f>
        <v/>
      </c>
      <c r="U152" s="39">
        <f>IFERROR(U113*$BC74/SUMPRODUCT(U$97:U$131,$BC$58:$BC$92),0)</f>
        <v/>
      </c>
      <c r="V152" s="39">
        <f>IFERROR(V113*$BC74/SUMPRODUCT(V$97:V$131,$BC$58:$BC$92),0)</f>
        <v/>
      </c>
      <c r="W152" s="39">
        <f>IFERROR(W113*$BC74/SUMPRODUCT(W$97:W$131,$BC$58:$BC$92),0)</f>
        <v/>
      </c>
      <c r="X152" s="39">
        <f>IFERROR(X113*$BC74/SUMPRODUCT(X$97:X$131,$BC$58:$BC$92),0)</f>
        <v/>
      </c>
      <c r="Y152" s="39">
        <f>IFERROR(Y113*$BC74/SUMPRODUCT(Y$97:Y$131,$BC$58:$BC$92),0)</f>
        <v/>
      </c>
      <c r="Z152" s="39">
        <f>IFERROR(Z113*$BC74/SUMPRODUCT(Z$97:Z$131,$BC$58:$BC$92),0)</f>
        <v/>
      </c>
      <c r="AA152" s="39">
        <f>IFERROR(AA113*$BC74/SUMPRODUCT(AA$97:AA$131,$BC$58:$BC$92),0)</f>
        <v/>
      </c>
      <c r="AB152" s="39">
        <f>IFERROR(AB113*$BC74/SUMPRODUCT(AB$97:AB$131,$BC$58:$BC$92),0)</f>
        <v/>
      </c>
      <c r="AC152" s="39">
        <f>IFERROR(AC113*$BC74/SUMPRODUCT(AC$97:AC$131,$BC$58:$BC$92),0)</f>
        <v/>
      </c>
      <c r="AD152" s="39">
        <f>IFERROR(AD113*$BC74/SUMPRODUCT(AD$97:AD$131,$BC$58:$BC$92),0)</f>
        <v/>
      </c>
      <c r="AE152" s="39">
        <f>IFERROR(AE113*$BC74/SUMPRODUCT(AE$97:AE$131,$BC$58:$BC$92),0)</f>
        <v/>
      </c>
      <c r="AF152" s="39">
        <f>IFERROR(AF113*$BC74/SUMPRODUCT(AF$97:AF$131,$BC$58:$BC$92),0)</f>
        <v/>
      </c>
      <c r="AG152" s="39">
        <f>IFERROR(AG113*$BC74/SUMPRODUCT(AG$97:AG$131,$BC$58:$BC$92),0)</f>
        <v/>
      </c>
      <c r="AH152" s="39">
        <f>IFERROR(AH113*$BC74/SUMPRODUCT(AH$97:AH$131,$BC$58:$BC$92),0)</f>
        <v/>
      </c>
      <c r="AI152" s="39">
        <f>IFERROR(AI113*$BC74/SUMPRODUCT(AI$97:AI$131,$BC$58:$BC$92),0)</f>
        <v/>
      </c>
      <c r="AJ152" s="39">
        <f>IFERROR(AJ113*$BC74/SUMPRODUCT(AJ$97:AJ$131,$BC$58:$BC$92),0)</f>
        <v/>
      </c>
      <c r="AK152" s="39">
        <f>IFERROR(AK113*$BC74/SUMPRODUCT(AK$97:AK$131,$BC$58:$BC$92),0)</f>
        <v/>
      </c>
      <c r="AL152" s="39">
        <f>IFERROR(AL113*$BC74/SUMPRODUCT(AL$97:AL$131,$BC$58:$BC$92),0)</f>
        <v/>
      </c>
      <c r="AM152" s="39">
        <f>IFERROR(AM113*$BC74/SUMPRODUCT(AM$97:AM$131,$BC$58:$BC$92),0)</f>
        <v/>
      </c>
      <c r="AN152" s="39">
        <f>IFERROR(AN113*$BC74/SUMPRODUCT(AN$97:AN$131,$BC$58:$BC$92),0)</f>
        <v/>
      </c>
      <c r="AO152" s="39">
        <f>IFERROR(AO113*$BC74/SUMPRODUCT(AO$97:AO$131,$BC$58:$BC$92),0)</f>
        <v/>
      </c>
      <c r="AP152" s="39">
        <f>IFERROR(AP113*$BC74/SUMPRODUCT(AP$97:AP$131,$BC$58:$BC$92),0)</f>
        <v/>
      </c>
      <c r="AQ152" s="39">
        <f>IFERROR(AQ113*$BC74/SUMPRODUCT(AQ$97:AQ$131,$BC$58:$BC$92),0)</f>
        <v/>
      </c>
      <c r="AR152" s="39">
        <f>IFERROR(AR113*$BC74/SUMPRODUCT(AR$97:AR$131,$BC$58:$BC$92),0)</f>
        <v/>
      </c>
      <c r="AS152" s="39">
        <f>IFERROR(AS113*$BC74/SUMPRODUCT(AS$97:AS$131,$BC$58:$BC$92),0)</f>
        <v/>
      </c>
      <c r="AT152" s="39">
        <f>IFERROR(AT113*$BC74/SUMPRODUCT(AT$97:AT$131,$BC$58:$BC$92),0)</f>
        <v/>
      </c>
      <c r="AU152" s="39">
        <f>IFERROR(AU113*$BC74/SUMPRODUCT(AU$97:AU$131,$BC$58:$BC$92),0)</f>
        <v/>
      </c>
      <c r="AV152" s="39">
        <f>IFERROR(AV113*$BC74/SUMPRODUCT(AV$97:AV$131,$BC$58:$BC$92),0)</f>
        <v/>
      </c>
      <c r="AW152" s="39">
        <f>IFERROR(AW113*$BC74/SUMPRODUCT(AW$97:AW$131,$BC$58:$BC$92),0)</f>
        <v/>
      </c>
      <c r="AX152" s="39">
        <f>IFERROR(AX113*$BC74/SUMPRODUCT(AX$97:AX$131,$BC$58:$BC$92),0)</f>
        <v/>
      </c>
      <c r="AY152" s="39">
        <f>IFERROR(AY113*$BC74/SUMPRODUCT(AY$97:AY$131,$BC$58:$BC$92),0)</f>
        <v/>
      </c>
      <c r="AZ152" s="39">
        <f>IFERROR(AZ113*$BC74/SUMPRODUCT(AZ$97:AZ$131,$BC$58:$BC$92),0)</f>
        <v/>
      </c>
      <c r="BA152" s="39">
        <f>IFERROR(BA113*$BC74/SUMPRODUCT(BA$97:BA$131,$BC$58:$BC$92),0)</f>
        <v/>
      </c>
      <c r="BB152" s="39">
        <f>IFERROR(BB113*$BC74/SUMPRODUCT(BB$97:BB$131,$BC$58:$BC$92),0)</f>
        <v/>
      </c>
    </row>
    <row r="153">
      <c r="C153" s="1" t="n"/>
      <c r="D153" s="237">
        <f>D114</f>
        <v/>
      </c>
      <c r="E153" s="141">
        <f>IFERROR(E114*$BC75/SUMPRODUCT(E$97:E$131,$BC$58:$BC$92),0)</f>
        <v/>
      </c>
      <c r="F153" s="141">
        <f>IFERROR(F114*$BC75/SUMPRODUCT(F$97:F$131,$BC$58:$BC$92),0)</f>
        <v/>
      </c>
      <c r="G153" s="141">
        <f>IFERROR(G114*$BC75/SUMPRODUCT(G$97:G$131,$BC$58:$BC$92),0)</f>
        <v/>
      </c>
      <c r="H153" s="39">
        <f>IFERROR(H114*$BC75/SUMPRODUCT(H$97:H$131,$BC$58:$BC$92),0)</f>
        <v/>
      </c>
      <c r="I153" s="39">
        <f>IFERROR(I114*$BC75/SUMPRODUCT(I$97:I$131,$BC$58:$BC$92),0)</f>
        <v/>
      </c>
      <c r="J153" s="39">
        <f>IFERROR(J114*$BC75/SUMPRODUCT(J$97:J$131,$BC$58:$BC$92),0)</f>
        <v/>
      </c>
      <c r="K153" s="39">
        <f>IFERROR(K114*$BC75/SUMPRODUCT(K$97:K$131,$BC$58:$BC$92),0)</f>
        <v/>
      </c>
      <c r="L153" s="39">
        <f>IFERROR(L114*$BC75/SUMPRODUCT(L$97:L$131,$BC$58:$BC$92),0)</f>
        <v/>
      </c>
      <c r="M153" s="39">
        <f>IFERROR(M114*$BC75/SUMPRODUCT(M$97:M$131,$BC$58:$BC$92),0)</f>
        <v/>
      </c>
      <c r="N153" s="39">
        <f>IFERROR(N114*$BC75/SUMPRODUCT(N$97:N$131,$BC$58:$BC$92),0)</f>
        <v/>
      </c>
      <c r="O153" s="39">
        <f>IFERROR(O114*$BC75/SUMPRODUCT(O$97:O$131,$BC$58:$BC$92),0)</f>
        <v/>
      </c>
      <c r="P153" s="39">
        <f>IFERROR(P114*$BC75/SUMPRODUCT(P$97:P$131,$BC$58:$BC$92),0)</f>
        <v/>
      </c>
      <c r="Q153" s="39">
        <f>IFERROR(Q114*$BC75/SUMPRODUCT(Q$97:Q$131,$BC$58:$BC$92),0)</f>
        <v/>
      </c>
      <c r="R153" s="39">
        <f>IFERROR(R114*$BC75/SUMPRODUCT(R$97:R$131,$BC$58:$BC$92),0)</f>
        <v/>
      </c>
      <c r="S153" s="39">
        <f>IFERROR(S114*$BC75/SUMPRODUCT(S$97:S$131,$BC$58:$BC$92),0)</f>
        <v/>
      </c>
      <c r="T153" s="39">
        <f>IFERROR(T114*$BC75/SUMPRODUCT(T$97:T$131,$BC$58:$BC$92),0)</f>
        <v/>
      </c>
      <c r="U153" s="39">
        <f>IFERROR(U114*$BC75/SUMPRODUCT(U$97:U$131,$BC$58:$BC$92),0)</f>
        <v/>
      </c>
      <c r="V153" s="39">
        <f>IFERROR(V114*$BC75/SUMPRODUCT(V$97:V$131,$BC$58:$BC$92),0)</f>
        <v/>
      </c>
      <c r="W153" s="39">
        <f>IFERROR(W114*$BC75/SUMPRODUCT(W$97:W$131,$BC$58:$BC$92),0)</f>
        <v/>
      </c>
      <c r="X153" s="39">
        <f>IFERROR(X114*$BC75/SUMPRODUCT(X$97:X$131,$BC$58:$BC$92),0)</f>
        <v/>
      </c>
      <c r="Y153" s="39">
        <f>IFERROR(Y114*$BC75/SUMPRODUCT(Y$97:Y$131,$BC$58:$BC$92),0)</f>
        <v/>
      </c>
      <c r="Z153" s="39">
        <f>IFERROR(Z114*$BC75/SUMPRODUCT(Z$97:Z$131,$BC$58:$BC$92),0)</f>
        <v/>
      </c>
      <c r="AA153" s="39">
        <f>IFERROR(AA114*$BC75/SUMPRODUCT(AA$97:AA$131,$BC$58:$BC$92),0)</f>
        <v/>
      </c>
      <c r="AB153" s="39">
        <f>IFERROR(AB114*$BC75/SUMPRODUCT(AB$97:AB$131,$BC$58:$BC$92),0)</f>
        <v/>
      </c>
      <c r="AC153" s="39">
        <f>IFERROR(AC114*$BC75/SUMPRODUCT(AC$97:AC$131,$BC$58:$BC$92),0)</f>
        <v/>
      </c>
      <c r="AD153" s="39">
        <f>IFERROR(AD114*$BC75/SUMPRODUCT(AD$97:AD$131,$BC$58:$BC$92),0)</f>
        <v/>
      </c>
      <c r="AE153" s="39">
        <f>IFERROR(AE114*$BC75/SUMPRODUCT(AE$97:AE$131,$BC$58:$BC$92),0)</f>
        <v/>
      </c>
      <c r="AF153" s="39">
        <f>IFERROR(AF114*$BC75/SUMPRODUCT(AF$97:AF$131,$BC$58:$BC$92),0)</f>
        <v/>
      </c>
      <c r="AG153" s="39">
        <f>IFERROR(AG114*$BC75/SUMPRODUCT(AG$97:AG$131,$BC$58:$BC$92),0)</f>
        <v/>
      </c>
      <c r="AH153" s="39">
        <f>IFERROR(AH114*$BC75/SUMPRODUCT(AH$97:AH$131,$BC$58:$BC$92),0)</f>
        <v/>
      </c>
      <c r="AI153" s="39">
        <f>IFERROR(AI114*$BC75/SUMPRODUCT(AI$97:AI$131,$BC$58:$BC$92),0)</f>
        <v/>
      </c>
      <c r="AJ153" s="39">
        <f>IFERROR(AJ114*$BC75/SUMPRODUCT(AJ$97:AJ$131,$BC$58:$BC$92),0)</f>
        <v/>
      </c>
      <c r="AK153" s="39">
        <f>IFERROR(AK114*$BC75/SUMPRODUCT(AK$97:AK$131,$BC$58:$BC$92),0)</f>
        <v/>
      </c>
      <c r="AL153" s="39">
        <f>IFERROR(AL114*$BC75/SUMPRODUCT(AL$97:AL$131,$BC$58:$BC$92),0)</f>
        <v/>
      </c>
      <c r="AM153" s="39">
        <f>IFERROR(AM114*$BC75/SUMPRODUCT(AM$97:AM$131,$BC$58:$BC$92),0)</f>
        <v/>
      </c>
      <c r="AN153" s="39">
        <f>IFERROR(AN114*$BC75/SUMPRODUCT(AN$97:AN$131,$BC$58:$BC$92),0)</f>
        <v/>
      </c>
      <c r="AO153" s="39">
        <f>IFERROR(AO114*$BC75/SUMPRODUCT(AO$97:AO$131,$BC$58:$BC$92),0)</f>
        <v/>
      </c>
      <c r="AP153" s="39">
        <f>IFERROR(AP114*$BC75/SUMPRODUCT(AP$97:AP$131,$BC$58:$BC$92),0)</f>
        <v/>
      </c>
      <c r="AQ153" s="39">
        <f>IFERROR(AQ114*$BC75/SUMPRODUCT(AQ$97:AQ$131,$BC$58:$BC$92),0)</f>
        <v/>
      </c>
      <c r="AR153" s="39">
        <f>IFERROR(AR114*$BC75/SUMPRODUCT(AR$97:AR$131,$BC$58:$BC$92),0)</f>
        <v/>
      </c>
      <c r="AS153" s="39">
        <f>IFERROR(AS114*$BC75/SUMPRODUCT(AS$97:AS$131,$BC$58:$BC$92),0)</f>
        <v/>
      </c>
      <c r="AT153" s="39">
        <f>IFERROR(AT114*$BC75/SUMPRODUCT(AT$97:AT$131,$BC$58:$BC$92),0)</f>
        <v/>
      </c>
      <c r="AU153" s="39">
        <f>IFERROR(AU114*$BC75/SUMPRODUCT(AU$97:AU$131,$BC$58:$BC$92),0)</f>
        <v/>
      </c>
      <c r="AV153" s="39">
        <f>IFERROR(AV114*$BC75/SUMPRODUCT(AV$97:AV$131,$BC$58:$BC$92),0)</f>
        <v/>
      </c>
      <c r="AW153" s="39">
        <f>IFERROR(AW114*$BC75/SUMPRODUCT(AW$97:AW$131,$BC$58:$BC$92),0)</f>
        <v/>
      </c>
      <c r="AX153" s="39">
        <f>IFERROR(AX114*$BC75/SUMPRODUCT(AX$97:AX$131,$BC$58:$BC$92),0)</f>
        <v/>
      </c>
      <c r="AY153" s="39">
        <f>IFERROR(AY114*$BC75/SUMPRODUCT(AY$97:AY$131,$BC$58:$BC$92),0)</f>
        <v/>
      </c>
      <c r="AZ153" s="39">
        <f>IFERROR(AZ114*$BC75/SUMPRODUCT(AZ$97:AZ$131,$BC$58:$BC$92),0)</f>
        <v/>
      </c>
      <c r="BA153" s="39">
        <f>IFERROR(BA114*$BC75/SUMPRODUCT(BA$97:BA$131,$BC$58:$BC$92),0)</f>
        <v/>
      </c>
      <c r="BB153" s="39">
        <f>IFERROR(BB114*$BC75/SUMPRODUCT(BB$97:BB$131,$BC$58:$BC$92),0)</f>
        <v/>
      </c>
    </row>
    <row r="154">
      <c r="C154" s="1" t="n"/>
      <c r="D154" s="237">
        <f>D115</f>
        <v/>
      </c>
      <c r="E154" s="141">
        <f>IFERROR(E115*$BC76/SUMPRODUCT(E$97:E$131,$BC$58:$BC$92),0)</f>
        <v/>
      </c>
      <c r="F154" s="141">
        <f>IFERROR(F115*$BC76/SUMPRODUCT(F$97:F$131,$BC$58:$BC$92),0)</f>
        <v/>
      </c>
      <c r="G154" s="141">
        <f>IFERROR(G115*$BC76/SUMPRODUCT(G$97:G$131,$BC$58:$BC$92),0)</f>
        <v/>
      </c>
      <c r="H154" s="39">
        <f>IFERROR(H115*$BC76/SUMPRODUCT(H$97:H$131,$BC$58:$BC$92),0)</f>
        <v/>
      </c>
      <c r="I154" s="39">
        <f>IFERROR(I115*$BC76/SUMPRODUCT(I$97:I$131,$BC$58:$BC$92),0)</f>
        <v/>
      </c>
      <c r="J154" s="39">
        <f>IFERROR(J115*$BC76/SUMPRODUCT(J$97:J$131,$BC$58:$BC$92),0)</f>
        <v/>
      </c>
      <c r="K154" s="39">
        <f>IFERROR(K115*$BC76/SUMPRODUCT(K$97:K$131,$BC$58:$BC$92),0)</f>
        <v/>
      </c>
      <c r="L154" s="39">
        <f>IFERROR(L115*$BC76/SUMPRODUCT(L$97:L$131,$BC$58:$BC$92),0)</f>
        <v/>
      </c>
      <c r="M154" s="39">
        <f>IFERROR(M115*$BC76/SUMPRODUCT(M$97:M$131,$BC$58:$BC$92),0)</f>
        <v/>
      </c>
      <c r="N154" s="39">
        <f>IFERROR(N115*$BC76/SUMPRODUCT(N$97:N$131,$BC$58:$BC$92),0)</f>
        <v/>
      </c>
      <c r="O154" s="39">
        <f>IFERROR(O115*$BC76/SUMPRODUCT(O$97:O$131,$BC$58:$BC$92),0)</f>
        <v/>
      </c>
      <c r="P154" s="39">
        <f>IFERROR(P115*$BC76/SUMPRODUCT(P$97:P$131,$BC$58:$BC$92),0)</f>
        <v/>
      </c>
      <c r="Q154" s="39">
        <f>IFERROR(Q115*$BC76/SUMPRODUCT(Q$97:Q$131,$BC$58:$BC$92),0)</f>
        <v/>
      </c>
      <c r="R154" s="39">
        <f>IFERROR(R115*$BC76/SUMPRODUCT(R$97:R$131,$BC$58:$BC$92),0)</f>
        <v/>
      </c>
      <c r="S154" s="39">
        <f>IFERROR(S115*$BC76/SUMPRODUCT(S$97:S$131,$BC$58:$BC$92),0)</f>
        <v/>
      </c>
      <c r="T154" s="39">
        <f>IFERROR(T115*$BC76/SUMPRODUCT(T$97:T$131,$BC$58:$BC$92),0)</f>
        <v/>
      </c>
      <c r="U154" s="39">
        <f>IFERROR(U115*$BC76/SUMPRODUCT(U$97:U$131,$BC$58:$BC$92),0)</f>
        <v/>
      </c>
      <c r="V154" s="39">
        <f>IFERROR(V115*$BC76/SUMPRODUCT(V$97:V$131,$BC$58:$BC$92),0)</f>
        <v/>
      </c>
      <c r="W154" s="39">
        <f>IFERROR(W115*$BC76/SUMPRODUCT(W$97:W$131,$BC$58:$BC$92),0)</f>
        <v/>
      </c>
      <c r="X154" s="39">
        <f>IFERROR(X115*$BC76/SUMPRODUCT(X$97:X$131,$BC$58:$BC$92),0)</f>
        <v/>
      </c>
      <c r="Y154" s="39">
        <f>IFERROR(Y115*$BC76/SUMPRODUCT(Y$97:Y$131,$BC$58:$BC$92),0)</f>
        <v/>
      </c>
      <c r="Z154" s="39">
        <f>IFERROR(Z115*$BC76/SUMPRODUCT(Z$97:Z$131,$BC$58:$BC$92),0)</f>
        <v/>
      </c>
      <c r="AA154" s="39">
        <f>IFERROR(AA115*$BC76/SUMPRODUCT(AA$97:AA$131,$BC$58:$BC$92),0)</f>
        <v/>
      </c>
      <c r="AB154" s="39">
        <f>IFERROR(AB115*$BC76/SUMPRODUCT(AB$97:AB$131,$BC$58:$BC$92),0)</f>
        <v/>
      </c>
      <c r="AC154" s="39">
        <f>IFERROR(AC115*$BC76/SUMPRODUCT(AC$97:AC$131,$BC$58:$BC$92),0)</f>
        <v/>
      </c>
      <c r="AD154" s="39">
        <f>IFERROR(AD115*$BC76/SUMPRODUCT(AD$97:AD$131,$BC$58:$BC$92),0)</f>
        <v/>
      </c>
      <c r="AE154" s="39">
        <f>IFERROR(AE115*$BC76/SUMPRODUCT(AE$97:AE$131,$BC$58:$BC$92),0)</f>
        <v/>
      </c>
      <c r="AF154" s="39">
        <f>IFERROR(AF115*$BC76/SUMPRODUCT(AF$97:AF$131,$BC$58:$BC$92),0)</f>
        <v/>
      </c>
      <c r="AG154" s="39">
        <f>IFERROR(AG115*$BC76/SUMPRODUCT(AG$97:AG$131,$BC$58:$BC$92),0)</f>
        <v/>
      </c>
      <c r="AH154" s="39">
        <f>IFERROR(AH115*$BC76/SUMPRODUCT(AH$97:AH$131,$BC$58:$BC$92),0)</f>
        <v/>
      </c>
      <c r="AI154" s="39">
        <f>IFERROR(AI115*$BC76/SUMPRODUCT(AI$97:AI$131,$BC$58:$BC$92),0)</f>
        <v/>
      </c>
      <c r="AJ154" s="39">
        <f>IFERROR(AJ115*$BC76/SUMPRODUCT(AJ$97:AJ$131,$BC$58:$BC$92),0)</f>
        <v/>
      </c>
      <c r="AK154" s="39">
        <f>IFERROR(AK115*$BC76/SUMPRODUCT(AK$97:AK$131,$BC$58:$BC$92),0)</f>
        <v/>
      </c>
      <c r="AL154" s="39">
        <f>IFERROR(AL115*$BC76/SUMPRODUCT(AL$97:AL$131,$BC$58:$BC$92),0)</f>
        <v/>
      </c>
      <c r="AM154" s="39">
        <f>IFERROR(AM115*$BC76/SUMPRODUCT(AM$97:AM$131,$BC$58:$BC$92),0)</f>
        <v/>
      </c>
      <c r="AN154" s="39">
        <f>IFERROR(AN115*$BC76/SUMPRODUCT(AN$97:AN$131,$BC$58:$BC$92),0)</f>
        <v/>
      </c>
      <c r="AO154" s="39">
        <f>IFERROR(AO115*$BC76/SUMPRODUCT(AO$97:AO$131,$BC$58:$BC$92),0)</f>
        <v/>
      </c>
      <c r="AP154" s="39">
        <f>IFERROR(AP115*$BC76/SUMPRODUCT(AP$97:AP$131,$BC$58:$BC$92),0)</f>
        <v/>
      </c>
      <c r="AQ154" s="39">
        <f>IFERROR(AQ115*$BC76/SUMPRODUCT(AQ$97:AQ$131,$BC$58:$BC$92),0)</f>
        <v/>
      </c>
      <c r="AR154" s="39">
        <f>IFERROR(AR115*$BC76/SUMPRODUCT(AR$97:AR$131,$BC$58:$BC$92),0)</f>
        <v/>
      </c>
      <c r="AS154" s="39">
        <f>IFERROR(AS115*$BC76/SUMPRODUCT(AS$97:AS$131,$BC$58:$BC$92),0)</f>
        <v/>
      </c>
      <c r="AT154" s="39">
        <f>IFERROR(AT115*$BC76/SUMPRODUCT(AT$97:AT$131,$BC$58:$BC$92),0)</f>
        <v/>
      </c>
      <c r="AU154" s="39">
        <f>IFERROR(AU115*$BC76/SUMPRODUCT(AU$97:AU$131,$BC$58:$BC$92),0)</f>
        <v/>
      </c>
      <c r="AV154" s="39">
        <f>IFERROR(AV115*$BC76/SUMPRODUCT(AV$97:AV$131,$BC$58:$BC$92),0)</f>
        <v/>
      </c>
      <c r="AW154" s="39">
        <f>IFERROR(AW115*$BC76/SUMPRODUCT(AW$97:AW$131,$BC$58:$BC$92),0)</f>
        <v/>
      </c>
      <c r="AX154" s="39">
        <f>IFERROR(AX115*$BC76/SUMPRODUCT(AX$97:AX$131,$BC$58:$BC$92),0)</f>
        <v/>
      </c>
      <c r="AY154" s="39">
        <f>IFERROR(AY115*$BC76/SUMPRODUCT(AY$97:AY$131,$BC$58:$BC$92),0)</f>
        <v/>
      </c>
      <c r="AZ154" s="39">
        <f>IFERROR(AZ115*$BC76/SUMPRODUCT(AZ$97:AZ$131,$BC$58:$BC$92),0)</f>
        <v/>
      </c>
      <c r="BA154" s="39">
        <f>IFERROR(BA115*$BC76/SUMPRODUCT(BA$97:BA$131,$BC$58:$BC$92),0)</f>
        <v/>
      </c>
      <c r="BB154" s="39">
        <f>IFERROR(BB115*$BC76/SUMPRODUCT(BB$97:BB$131,$BC$58:$BC$92),0)</f>
        <v/>
      </c>
    </row>
    <row r="155">
      <c r="C155" s="1" t="n"/>
      <c r="D155" s="237">
        <f>D116</f>
        <v/>
      </c>
      <c r="E155" s="141">
        <f>IFERROR(E116*$BC77/SUMPRODUCT(E$97:E$131,$BC$58:$BC$92),0)</f>
        <v/>
      </c>
      <c r="F155" s="141">
        <f>IFERROR(F116*$BC77/SUMPRODUCT(F$97:F$131,$BC$58:$BC$92),0)</f>
        <v/>
      </c>
      <c r="G155" s="141">
        <f>IFERROR(G116*$BC77/SUMPRODUCT(G$97:G$131,$BC$58:$BC$92),0)</f>
        <v/>
      </c>
      <c r="H155" s="39">
        <f>IFERROR(H116*$BC77/SUMPRODUCT(H$97:H$131,$BC$58:$BC$92),0)</f>
        <v/>
      </c>
      <c r="I155" s="39">
        <f>IFERROR(I116*$BC77/SUMPRODUCT(I$97:I$131,$BC$58:$BC$92),0)</f>
        <v/>
      </c>
      <c r="J155" s="39">
        <f>IFERROR(J116*$BC77/SUMPRODUCT(J$97:J$131,$BC$58:$BC$92),0)</f>
        <v/>
      </c>
      <c r="K155" s="39">
        <f>IFERROR(K116*$BC77/SUMPRODUCT(K$97:K$131,$BC$58:$BC$92),0)</f>
        <v/>
      </c>
      <c r="L155" s="39">
        <f>IFERROR(L116*$BC77/SUMPRODUCT(L$97:L$131,$BC$58:$BC$92),0)</f>
        <v/>
      </c>
      <c r="M155" s="39">
        <f>IFERROR(M116*$BC77/SUMPRODUCT(M$97:M$131,$BC$58:$BC$92),0)</f>
        <v/>
      </c>
      <c r="N155" s="39">
        <f>IFERROR(N116*$BC77/SUMPRODUCT(N$97:N$131,$BC$58:$BC$92),0)</f>
        <v/>
      </c>
      <c r="O155" s="39">
        <f>IFERROR(O116*$BC77/SUMPRODUCT(O$97:O$131,$BC$58:$BC$92),0)</f>
        <v/>
      </c>
      <c r="P155" s="39">
        <f>IFERROR(P116*$BC77/SUMPRODUCT(P$97:P$131,$BC$58:$BC$92),0)</f>
        <v/>
      </c>
      <c r="Q155" s="39">
        <f>IFERROR(Q116*$BC77/SUMPRODUCT(Q$97:Q$131,$BC$58:$BC$92),0)</f>
        <v/>
      </c>
      <c r="R155" s="39">
        <f>IFERROR(R116*$BC77/SUMPRODUCT(R$97:R$131,$BC$58:$BC$92),0)</f>
        <v/>
      </c>
      <c r="S155" s="39">
        <f>IFERROR(S116*$BC77/SUMPRODUCT(S$97:S$131,$BC$58:$BC$92),0)</f>
        <v/>
      </c>
      <c r="T155" s="39">
        <f>IFERROR(T116*$BC77/SUMPRODUCT(T$97:T$131,$BC$58:$BC$92),0)</f>
        <v/>
      </c>
      <c r="U155" s="39">
        <f>IFERROR(U116*$BC77/SUMPRODUCT(U$97:U$131,$BC$58:$BC$92),0)</f>
        <v/>
      </c>
      <c r="V155" s="39">
        <f>IFERROR(V116*$BC77/SUMPRODUCT(V$97:V$131,$BC$58:$BC$92),0)</f>
        <v/>
      </c>
      <c r="W155" s="39">
        <f>IFERROR(W116*$BC77/SUMPRODUCT(W$97:W$131,$BC$58:$BC$92),0)</f>
        <v/>
      </c>
      <c r="X155" s="39">
        <f>IFERROR(X116*$BC77/SUMPRODUCT(X$97:X$131,$BC$58:$BC$92),0)</f>
        <v/>
      </c>
      <c r="Y155" s="39">
        <f>IFERROR(Y116*$BC77/SUMPRODUCT(Y$97:Y$131,$BC$58:$BC$92),0)</f>
        <v/>
      </c>
      <c r="Z155" s="39">
        <f>IFERROR(Z116*$BC77/SUMPRODUCT(Z$97:Z$131,$BC$58:$BC$92),0)</f>
        <v/>
      </c>
      <c r="AA155" s="39">
        <f>IFERROR(AA116*$BC77/SUMPRODUCT(AA$97:AA$131,$BC$58:$BC$92),0)</f>
        <v/>
      </c>
      <c r="AB155" s="39">
        <f>IFERROR(AB116*$BC77/SUMPRODUCT(AB$97:AB$131,$BC$58:$BC$92),0)</f>
        <v/>
      </c>
      <c r="AC155" s="39">
        <f>IFERROR(AC116*$BC77/SUMPRODUCT(AC$97:AC$131,$BC$58:$BC$92),0)</f>
        <v/>
      </c>
      <c r="AD155" s="39">
        <f>IFERROR(AD116*$BC77/SUMPRODUCT(AD$97:AD$131,$BC$58:$BC$92),0)</f>
        <v/>
      </c>
      <c r="AE155" s="39">
        <f>IFERROR(AE116*$BC77/SUMPRODUCT(AE$97:AE$131,$BC$58:$BC$92),0)</f>
        <v/>
      </c>
      <c r="AF155" s="39">
        <f>IFERROR(AF116*$BC77/SUMPRODUCT(AF$97:AF$131,$BC$58:$BC$92),0)</f>
        <v/>
      </c>
      <c r="AG155" s="39">
        <f>IFERROR(AG116*$BC77/SUMPRODUCT(AG$97:AG$131,$BC$58:$BC$92),0)</f>
        <v/>
      </c>
      <c r="AH155" s="39">
        <f>IFERROR(AH116*$BC77/SUMPRODUCT(AH$97:AH$131,$BC$58:$BC$92),0)</f>
        <v/>
      </c>
      <c r="AI155" s="39">
        <f>IFERROR(AI116*$BC77/SUMPRODUCT(AI$97:AI$131,$BC$58:$BC$92),0)</f>
        <v/>
      </c>
      <c r="AJ155" s="39">
        <f>IFERROR(AJ116*$BC77/SUMPRODUCT(AJ$97:AJ$131,$BC$58:$BC$92),0)</f>
        <v/>
      </c>
      <c r="AK155" s="39">
        <f>IFERROR(AK116*$BC77/SUMPRODUCT(AK$97:AK$131,$BC$58:$BC$92),0)</f>
        <v/>
      </c>
      <c r="AL155" s="39">
        <f>IFERROR(AL116*$BC77/SUMPRODUCT(AL$97:AL$131,$BC$58:$BC$92),0)</f>
        <v/>
      </c>
      <c r="AM155" s="39">
        <f>IFERROR(AM116*$BC77/SUMPRODUCT(AM$97:AM$131,$BC$58:$BC$92),0)</f>
        <v/>
      </c>
      <c r="AN155" s="39">
        <f>IFERROR(AN116*$BC77/SUMPRODUCT(AN$97:AN$131,$BC$58:$BC$92),0)</f>
        <v/>
      </c>
      <c r="AO155" s="39">
        <f>IFERROR(AO116*$BC77/SUMPRODUCT(AO$97:AO$131,$BC$58:$BC$92),0)</f>
        <v/>
      </c>
      <c r="AP155" s="39">
        <f>IFERROR(AP116*$BC77/SUMPRODUCT(AP$97:AP$131,$BC$58:$BC$92),0)</f>
        <v/>
      </c>
      <c r="AQ155" s="39">
        <f>IFERROR(AQ116*$BC77/SUMPRODUCT(AQ$97:AQ$131,$BC$58:$BC$92),0)</f>
        <v/>
      </c>
      <c r="AR155" s="39">
        <f>IFERROR(AR116*$BC77/SUMPRODUCT(AR$97:AR$131,$BC$58:$BC$92),0)</f>
        <v/>
      </c>
      <c r="AS155" s="39">
        <f>IFERROR(AS116*$BC77/SUMPRODUCT(AS$97:AS$131,$BC$58:$BC$92),0)</f>
        <v/>
      </c>
      <c r="AT155" s="39">
        <f>IFERROR(AT116*$BC77/SUMPRODUCT(AT$97:AT$131,$BC$58:$BC$92),0)</f>
        <v/>
      </c>
      <c r="AU155" s="39">
        <f>IFERROR(AU116*$BC77/SUMPRODUCT(AU$97:AU$131,$BC$58:$BC$92),0)</f>
        <v/>
      </c>
      <c r="AV155" s="39">
        <f>IFERROR(AV116*$BC77/SUMPRODUCT(AV$97:AV$131,$BC$58:$BC$92),0)</f>
        <v/>
      </c>
      <c r="AW155" s="39">
        <f>IFERROR(AW116*$BC77/SUMPRODUCT(AW$97:AW$131,$BC$58:$BC$92),0)</f>
        <v/>
      </c>
      <c r="AX155" s="39">
        <f>IFERROR(AX116*$BC77/SUMPRODUCT(AX$97:AX$131,$BC$58:$BC$92),0)</f>
        <v/>
      </c>
      <c r="AY155" s="39">
        <f>IFERROR(AY116*$BC77/SUMPRODUCT(AY$97:AY$131,$BC$58:$BC$92),0)</f>
        <v/>
      </c>
      <c r="AZ155" s="39">
        <f>IFERROR(AZ116*$BC77/SUMPRODUCT(AZ$97:AZ$131,$BC$58:$BC$92),0)</f>
        <v/>
      </c>
      <c r="BA155" s="39">
        <f>IFERROR(BA116*$BC77/SUMPRODUCT(BA$97:BA$131,$BC$58:$BC$92),0)</f>
        <v/>
      </c>
      <c r="BB155" s="39">
        <f>IFERROR(BB116*$BC77/SUMPRODUCT(BB$97:BB$131,$BC$58:$BC$92),0)</f>
        <v/>
      </c>
    </row>
    <row r="156">
      <c r="C156" s="1" t="n"/>
      <c r="D156" s="237">
        <f>D117</f>
        <v/>
      </c>
      <c r="E156" s="141">
        <f>IFERROR(E117*$BC78/SUMPRODUCT(E$97:E$131,$BC$58:$BC$92),0)</f>
        <v/>
      </c>
      <c r="F156" s="141">
        <f>IFERROR(F117*$BC78/SUMPRODUCT(F$97:F$131,$BC$58:$BC$92),0)</f>
        <v/>
      </c>
      <c r="G156" s="141">
        <f>IFERROR(G117*$BC78/SUMPRODUCT(G$97:G$131,$BC$58:$BC$92),0)</f>
        <v/>
      </c>
      <c r="H156" s="39">
        <f>IFERROR(H117*$BC78/SUMPRODUCT(H$97:H$131,$BC$58:$BC$92),0)</f>
        <v/>
      </c>
      <c r="I156" s="39">
        <f>IFERROR(I117*$BC78/SUMPRODUCT(I$97:I$131,$BC$58:$BC$92),0)</f>
        <v/>
      </c>
      <c r="J156" s="39">
        <f>IFERROR(J117*$BC78/SUMPRODUCT(J$97:J$131,$BC$58:$BC$92),0)</f>
        <v/>
      </c>
      <c r="K156" s="39">
        <f>IFERROR(K117*$BC78/SUMPRODUCT(K$97:K$131,$BC$58:$BC$92),0)</f>
        <v/>
      </c>
      <c r="L156" s="39">
        <f>IFERROR(L117*$BC78/SUMPRODUCT(L$97:L$131,$BC$58:$BC$92),0)</f>
        <v/>
      </c>
      <c r="M156" s="39">
        <f>IFERROR(M117*$BC78/SUMPRODUCT(M$97:M$131,$BC$58:$BC$92),0)</f>
        <v/>
      </c>
      <c r="N156" s="39">
        <f>IFERROR(N117*$BC78/SUMPRODUCT(N$97:N$131,$BC$58:$BC$92),0)</f>
        <v/>
      </c>
      <c r="O156" s="39">
        <f>IFERROR(O117*$BC78/SUMPRODUCT(O$97:O$131,$BC$58:$BC$92),0)</f>
        <v/>
      </c>
      <c r="P156" s="39">
        <f>IFERROR(P117*$BC78/SUMPRODUCT(P$97:P$131,$BC$58:$BC$92),0)</f>
        <v/>
      </c>
      <c r="Q156" s="39">
        <f>IFERROR(Q117*$BC78/SUMPRODUCT(Q$97:Q$131,$BC$58:$BC$92),0)</f>
        <v/>
      </c>
      <c r="R156" s="39">
        <f>IFERROR(R117*$BC78/SUMPRODUCT(R$97:R$131,$BC$58:$BC$92),0)</f>
        <v/>
      </c>
      <c r="S156" s="39">
        <f>IFERROR(S117*$BC78/SUMPRODUCT(S$97:S$131,$BC$58:$BC$92),0)</f>
        <v/>
      </c>
      <c r="T156" s="39">
        <f>IFERROR(T117*$BC78/SUMPRODUCT(T$97:T$131,$BC$58:$BC$92),0)</f>
        <v/>
      </c>
      <c r="U156" s="39">
        <f>IFERROR(U117*$BC78/SUMPRODUCT(U$97:U$131,$BC$58:$BC$92),0)</f>
        <v/>
      </c>
      <c r="V156" s="39">
        <f>IFERROR(V117*$BC78/SUMPRODUCT(V$97:V$131,$BC$58:$BC$92),0)</f>
        <v/>
      </c>
      <c r="W156" s="39">
        <f>IFERROR(W117*$BC78/SUMPRODUCT(W$97:W$131,$BC$58:$BC$92),0)</f>
        <v/>
      </c>
      <c r="X156" s="39">
        <f>IFERROR(X117*$BC78/SUMPRODUCT(X$97:X$131,$BC$58:$BC$92),0)</f>
        <v/>
      </c>
      <c r="Y156" s="39">
        <f>IFERROR(Y117*$BC78/SUMPRODUCT(Y$97:Y$131,$BC$58:$BC$92),0)</f>
        <v/>
      </c>
      <c r="Z156" s="39">
        <f>IFERROR(Z117*$BC78/SUMPRODUCT(Z$97:Z$131,$BC$58:$BC$92),0)</f>
        <v/>
      </c>
      <c r="AA156" s="39">
        <f>IFERROR(AA117*$BC78/SUMPRODUCT(AA$97:AA$131,$BC$58:$BC$92),0)</f>
        <v/>
      </c>
      <c r="AB156" s="39">
        <f>IFERROR(AB117*$BC78/SUMPRODUCT(AB$97:AB$131,$BC$58:$BC$92),0)</f>
        <v/>
      </c>
      <c r="AC156" s="39">
        <f>IFERROR(AC117*$BC78/SUMPRODUCT(AC$97:AC$131,$BC$58:$BC$92),0)</f>
        <v/>
      </c>
      <c r="AD156" s="39">
        <f>IFERROR(AD117*$BC78/SUMPRODUCT(AD$97:AD$131,$BC$58:$BC$92),0)</f>
        <v/>
      </c>
      <c r="AE156" s="39">
        <f>IFERROR(AE117*$BC78/SUMPRODUCT(AE$97:AE$131,$BC$58:$BC$92),0)</f>
        <v/>
      </c>
      <c r="AF156" s="39">
        <f>IFERROR(AF117*$BC78/SUMPRODUCT(AF$97:AF$131,$BC$58:$BC$92),0)</f>
        <v/>
      </c>
      <c r="AG156" s="39">
        <f>IFERROR(AG117*$BC78/SUMPRODUCT(AG$97:AG$131,$BC$58:$BC$92),0)</f>
        <v/>
      </c>
      <c r="AH156" s="39">
        <f>IFERROR(AH117*$BC78/SUMPRODUCT(AH$97:AH$131,$BC$58:$BC$92),0)</f>
        <v/>
      </c>
      <c r="AI156" s="39">
        <f>IFERROR(AI117*$BC78/SUMPRODUCT(AI$97:AI$131,$BC$58:$BC$92),0)</f>
        <v/>
      </c>
      <c r="AJ156" s="39">
        <f>IFERROR(AJ117*$BC78/SUMPRODUCT(AJ$97:AJ$131,$BC$58:$BC$92),0)</f>
        <v/>
      </c>
      <c r="AK156" s="39">
        <f>IFERROR(AK117*$BC78/SUMPRODUCT(AK$97:AK$131,$BC$58:$BC$92),0)</f>
        <v/>
      </c>
      <c r="AL156" s="39">
        <f>IFERROR(AL117*$BC78/SUMPRODUCT(AL$97:AL$131,$BC$58:$BC$92),0)</f>
        <v/>
      </c>
      <c r="AM156" s="39">
        <f>IFERROR(AM117*$BC78/SUMPRODUCT(AM$97:AM$131,$BC$58:$BC$92),0)</f>
        <v/>
      </c>
      <c r="AN156" s="39">
        <f>IFERROR(AN117*$BC78/SUMPRODUCT(AN$97:AN$131,$BC$58:$BC$92),0)</f>
        <v/>
      </c>
      <c r="AO156" s="39">
        <f>IFERROR(AO117*$BC78/SUMPRODUCT(AO$97:AO$131,$BC$58:$BC$92),0)</f>
        <v/>
      </c>
      <c r="AP156" s="39">
        <f>IFERROR(AP117*$BC78/SUMPRODUCT(AP$97:AP$131,$BC$58:$BC$92),0)</f>
        <v/>
      </c>
      <c r="AQ156" s="39">
        <f>IFERROR(AQ117*$BC78/SUMPRODUCT(AQ$97:AQ$131,$BC$58:$BC$92),0)</f>
        <v/>
      </c>
      <c r="AR156" s="39">
        <f>IFERROR(AR117*$BC78/SUMPRODUCT(AR$97:AR$131,$BC$58:$BC$92),0)</f>
        <v/>
      </c>
      <c r="AS156" s="39">
        <f>IFERROR(AS117*$BC78/SUMPRODUCT(AS$97:AS$131,$BC$58:$BC$92),0)</f>
        <v/>
      </c>
      <c r="AT156" s="39">
        <f>IFERROR(AT117*$BC78/SUMPRODUCT(AT$97:AT$131,$BC$58:$BC$92),0)</f>
        <v/>
      </c>
      <c r="AU156" s="39">
        <f>IFERROR(AU117*$BC78/SUMPRODUCT(AU$97:AU$131,$BC$58:$BC$92),0)</f>
        <v/>
      </c>
      <c r="AV156" s="39">
        <f>IFERROR(AV117*$BC78/SUMPRODUCT(AV$97:AV$131,$BC$58:$BC$92),0)</f>
        <v/>
      </c>
      <c r="AW156" s="39">
        <f>IFERROR(AW117*$BC78/SUMPRODUCT(AW$97:AW$131,$BC$58:$BC$92),0)</f>
        <v/>
      </c>
      <c r="AX156" s="39">
        <f>IFERROR(AX117*$BC78/SUMPRODUCT(AX$97:AX$131,$BC$58:$BC$92),0)</f>
        <v/>
      </c>
      <c r="AY156" s="39">
        <f>IFERROR(AY117*$BC78/SUMPRODUCT(AY$97:AY$131,$BC$58:$BC$92),0)</f>
        <v/>
      </c>
      <c r="AZ156" s="39">
        <f>IFERROR(AZ117*$BC78/SUMPRODUCT(AZ$97:AZ$131,$BC$58:$BC$92),0)</f>
        <v/>
      </c>
      <c r="BA156" s="39">
        <f>IFERROR(BA117*$BC78/SUMPRODUCT(BA$97:BA$131,$BC$58:$BC$92),0)</f>
        <v/>
      </c>
      <c r="BB156" s="39">
        <f>IFERROR(BB117*$BC78/SUMPRODUCT(BB$97:BB$131,$BC$58:$BC$92),0)</f>
        <v/>
      </c>
    </row>
    <row r="157">
      <c r="C157" s="1" t="n"/>
      <c r="D157" s="237">
        <f>D118</f>
        <v/>
      </c>
      <c r="E157" s="141">
        <f>IFERROR(E118*$BC79/SUMPRODUCT(E$97:E$131,$BC$58:$BC$92),0)</f>
        <v/>
      </c>
      <c r="F157" s="141">
        <f>IFERROR(F118*$BC79/SUMPRODUCT(F$97:F$131,$BC$58:$BC$92),0)</f>
        <v/>
      </c>
      <c r="G157" s="141">
        <f>IFERROR(G118*$BC79/SUMPRODUCT(G$97:G$131,$BC$58:$BC$92),0)</f>
        <v/>
      </c>
      <c r="H157" s="39">
        <f>IFERROR(H118*$BC79/SUMPRODUCT(H$97:H$131,$BC$58:$BC$92),0)</f>
        <v/>
      </c>
      <c r="I157" s="39">
        <f>IFERROR(I118*$BC79/SUMPRODUCT(I$97:I$131,$BC$58:$BC$92),0)</f>
        <v/>
      </c>
      <c r="J157" s="39">
        <f>IFERROR(J118*$BC79/SUMPRODUCT(J$97:J$131,$BC$58:$BC$92),0)</f>
        <v/>
      </c>
      <c r="K157" s="39">
        <f>IFERROR(K118*$BC79/SUMPRODUCT(K$97:K$131,$BC$58:$BC$92),0)</f>
        <v/>
      </c>
      <c r="L157" s="39">
        <f>IFERROR(L118*$BC79/SUMPRODUCT(L$97:L$131,$BC$58:$BC$92),0)</f>
        <v/>
      </c>
      <c r="M157" s="39">
        <f>IFERROR(M118*$BC79/SUMPRODUCT(M$97:M$131,$BC$58:$BC$92),0)</f>
        <v/>
      </c>
      <c r="N157" s="39">
        <f>IFERROR(N118*$BC79/SUMPRODUCT(N$97:N$131,$BC$58:$BC$92),0)</f>
        <v/>
      </c>
      <c r="O157" s="39">
        <f>IFERROR(O118*$BC79/SUMPRODUCT(O$97:O$131,$BC$58:$BC$92),0)</f>
        <v/>
      </c>
      <c r="P157" s="39">
        <f>IFERROR(P118*$BC79/SUMPRODUCT(P$97:P$131,$BC$58:$BC$92),0)</f>
        <v/>
      </c>
      <c r="Q157" s="39">
        <f>IFERROR(Q118*$BC79/SUMPRODUCT(Q$97:Q$131,$BC$58:$BC$92),0)</f>
        <v/>
      </c>
      <c r="R157" s="39">
        <f>IFERROR(R118*$BC79/SUMPRODUCT(R$97:R$131,$BC$58:$BC$92),0)</f>
        <v/>
      </c>
      <c r="S157" s="39">
        <f>IFERROR(S118*$BC79/SUMPRODUCT(S$97:S$131,$BC$58:$BC$92),0)</f>
        <v/>
      </c>
      <c r="T157" s="39">
        <f>IFERROR(T118*$BC79/SUMPRODUCT(T$97:T$131,$BC$58:$BC$92),0)</f>
        <v/>
      </c>
      <c r="U157" s="39">
        <f>IFERROR(U118*$BC79/SUMPRODUCT(U$97:U$131,$BC$58:$BC$92),0)</f>
        <v/>
      </c>
      <c r="V157" s="39">
        <f>IFERROR(V118*$BC79/SUMPRODUCT(V$97:V$131,$BC$58:$BC$92),0)</f>
        <v/>
      </c>
      <c r="W157" s="39">
        <f>IFERROR(W118*$BC79/SUMPRODUCT(W$97:W$131,$BC$58:$BC$92),0)</f>
        <v/>
      </c>
      <c r="X157" s="39">
        <f>IFERROR(X118*$BC79/SUMPRODUCT(X$97:X$131,$BC$58:$BC$92),0)</f>
        <v/>
      </c>
      <c r="Y157" s="39">
        <f>IFERROR(Y118*$BC79/SUMPRODUCT(Y$97:Y$131,$BC$58:$BC$92),0)</f>
        <v/>
      </c>
      <c r="Z157" s="39">
        <f>IFERROR(Z118*$BC79/SUMPRODUCT(Z$97:Z$131,$BC$58:$BC$92),0)</f>
        <v/>
      </c>
      <c r="AA157" s="39">
        <f>IFERROR(AA118*$BC79/SUMPRODUCT(AA$97:AA$131,$BC$58:$BC$92),0)</f>
        <v/>
      </c>
      <c r="AB157" s="39">
        <f>IFERROR(AB118*$BC79/SUMPRODUCT(AB$97:AB$131,$BC$58:$BC$92),0)</f>
        <v/>
      </c>
      <c r="AC157" s="39">
        <f>IFERROR(AC118*$BC79/SUMPRODUCT(AC$97:AC$131,$BC$58:$BC$92),0)</f>
        <v/>
      </c>
      <c r="AD157" s="39">
        <f>IFERROR(AD118*$BC79/SUMPRODUCT(AD$97:AD$131,$BC$58:$BC$92),0)</f>
        <v/>
      </c>
      <c r="AE157" s="39">
        <f>IFERROR(AE118*$BC79/SUMPRODUCT(AE$97:AE$131,$BC$58:$BC$92),0)</f>
        <v/>
      </c>
      <c r="AF157" s="39">
        <f>IFERROR(AF118*$BC79/SUMPRODUCT(AF$97:AF$131,$BC$58:$BC$92),0)</f>
        <v/>
      </c>
      <c r="AG157" s="39">
        <f>IFERROR(AG118*$BC79/SUMPRODUCT(AG$97:AG$131,$BC$58:$BC$92),0)</f>
        <v/>
      </c>
      <c r="AH157" s="39">
        <f>IFERROR(AH118*$BC79/SUMPRODUCT(AH$97:AH$131,$BC$58:$BC$92),0)</f>
        <v/>
      </c>
      <c r="AI157" s="39">
        <f>IFERROR(AI118*$BC79/SUMPRODUCT(AI$97:AI$131,$BC$58:$BC$92),0)</f>
        <v/>
      </c>
      <c r="AJ157" s="39">
        <f>IFERROR(AJ118*$BC79/SUMPRODUCT(AJ$97:AJ$131,$BC$58:$BC$92),0)</f>
        <v/>
      </c>
      <c r="AK157" s="39">
        <f>IFERROR(AK118*$BC79/SUMPRODUCT(AK$97:AK$131,$BC$58:$BC$92),0)</f>
        <v/>
      </c>
      <c r="AL157" s="39">
        <f>IFERROR(AL118*$BC79/SUMPRODUCT(AL$97:AL$131,$BC$58:$BC$92),0)</f>
        <v/>
      </c>
      <c r="AM157" s="39">
        <f>IFERROR(AM118*$BC79/SUMPRODUCT(AM$97:AM$131,$BC$58:$BC$92),0)</f>
        <v/>
      </c>
      <c r="AN157" s="39">
        <f>IFERROR(AN118*$BC79/SUMPRODUCT(AN$97:AN$131,$BC$58:$BC$92),0)</f>
        <v/>
      </c>
      <c r="AO157" s="39">
        <f>IFERROR(AO118*$BC79/SUMPRODUCT(AO$97:AO$131,$BC$58:$BC$92),0)</f>
        <v/>
      </c>
      <c r="AP157" s="39">
        <f>IFERROR(AP118*$BC79/SUMPRODUCT(AP$97:AP$131,$BC$58:$BC$92),0)</f>
        <v/>
      </c>
      <c r="AQ157" s="39">
        <f>IFERROR(AQ118*$BC79/SUMPRODUCT(AQ$97:AQ$131,$BC$58:$BC$92),0)</f>
        <v/>
      </c>
      <c r="AR157" s="39">
        <f>IFERROR(AR118*$BC79/SUMPRODUCT(AR$97:AR$131,$BC$58:$BC$92),0)</f>
        <v/>
      </c>
      <c r="AS157" s="39">
        <f>IFERROR(AS118*$BC79/SUMPRODUCT(AS$97:AS$131,$BC$58:$BC$92),0)</f>
        <v/>
      </c>
      <c r="AT157" s="39">
        <f>IFERROR(AT118*$BC79/SUMPRODUCT(AT$97:AT$131,$BC$58:$BC$92),0)</f>
        <v/>
      </c>
      <c r="AU157" s="39">
        <f>IFERROR(AU118*$BC79/SUMPRODUCT(AU$97:AU$131,$BC$58:$BC$92),0)</f>
        <v/>
      </c>
      <c r="AV157" s="39">
        <f>IFERROR(AV118*$BC79/SUMPRODUCT(AV$97:AV$131,$BC$58:$BC$92),0)</f>
        <v/>
      </c>
      <c r="AW157" s="39">
        <f>IFERROR(AW118*$BC79/SUMPRODUCT(AW$97:AW$131,$BC$58:$BC$92),0)</f>
        <v/>
      </c>
      <c r="AX157" s="39">
        <f>IFERROR(AX118*$BC79/SUMPRODUCT(AX$97:AX$131,$BC$58:$BC$92),0)</f>
        <v/>
      </c>
      <c r="AY157" s="39">
        <f>IFERROR(AY118*$BC79/SUMPRODUCT(AY$97:AY$131,$BC$58:$BC$92),0)</f>
        <v/>
      </c>
      <c r="AZ157" s="39">
        <f>IFERROR(AZ118*$BC79/SUMPRODUCT(AZ$97:AZ$131,$BC$58:$BC$92),0)</f>
        <v/>
      </c>
      <c r="BA157" s="39">
        <f>IFERROR(BA118*$BC79/SUMPRODUCT(BA$97:BA$131,$BC$58:$BC$92),0)</f>
        <v/>
      </c>
      <c r="BB157" s="39">
        <f>IFERROR(BB118*$BC79/SUMPRODUCT(BB$97:BB$131,$BC$58:$BC$92),0)</f>
        <v/>
      </c>
    </row>
    <row r="158">
      <c r="C158" s="1" t="n"/>
      <c r="D158" s="237">
        <f>D119</f>
        <v/>
      </c>
      <c r="E158" s="141">
        <f>IFERROR(E119*$BC80/SUMPRODUCT(E$97:E$131,$BC$58:$BC$92),0)</f>
        <v/>
      </c>
      <c r="F158" s="141">
        <f>IFERROR(F119*$BC80/SUMPRODUCT(F$97:F$131,$BC$58:$BC$92),0)</f>
        <v/>
      </c>
      <c r="G158" s="141">
        <f>IFERROR(G119*$BC80/SUMPRODUCT(G$97:G$131,$BC$58:$BC$92),0)</f>
        <v/>
      </c>
      <c r="H158" s="39">
        <f>IFERROR(H119*$BC80/SUMPRODUCT(H$97:H$131,$BC$58:$BC$92),0)</f>
        <v/>
      </c>
      <c r="I158" s="39">
        <f>IFERROR(I119*$BC80/SUMPRODUCT(I$97:I$131,$BC$58:$BC$92),0)</f>
        <v/>
      </c>
      <c r="J158" s="39">
        <f>IFERROR(J119*$BC80/SUMPRODUCT(J$97:J$131,$BC$58:$BC$92),0)</f>
        <v/>
      </c>
      <c r="K158" s="39">
        <f>IFERROR(K119*$BC80/SUMPRODUCT(K$97:K$131,$BC$58:$BC$92),0)</f>
        <v/>
      </c>
      <c r="L158" s="39">
        <f>IFERROR(L119*$BC80/SUMPRODUCT(L$97:L$131,$BC$58:$BC$92),0)</f>
        <v/>
      </c>
      <c r="M158" s="39">
        <f>IFERROR(M119*$BC80/SUMPRODUCT(M$97:M$131,$BC$58:$BC$92),0)</f>
        <v/>
      </c>
      <c r="N158" s="39">
        <f>IFERROR(N119*$BC80/SUMPRODUCT(N$97:N$131,$BC$58:$BC$92),0)</f>
        <v/>
      </c>
      <c r="O158" s="39">
        <f>IFERROR(O119*$BC80/SUMPRODUCT(O$97:O$131,$BC$58:$BC$92),0)</f>
        <v/>
      </c>
      <c r="P158" s="39">
        <f>IFERROR(P119*$BC80/SUMPRODUCT(P$97:P$131,$BC$58:$BC$92),0)</f>
        <v/>
      </c>
      <c r="Q158" s="39">
        <f>IFERROR(Q119*$BC80/SUMPRODUCT(Q$97:Q$131,$BC$58:$BC$92),0)</f>
        <v/>
      </c>
      <c r="R158" s="39">
        <f>IFERROR(R119*$BC80/SUMPRODUCT(R$97:R$131,$BC$58:$BC$92),0)</f>
        <v/>
      </c>
      <c r="S158" s="39">
        <f>IFERROR(S119*$BC80/SUMPRODUCT(S$97:S$131,$BC$58:$BC$92),0)</f>
        <v/>
      </c>
      <c r="T158" s="39">
        <f>IFERROR(T119*$BC80/SUMPRODUCT(T$97:T$131,$BC$58:$BC$92),0)</f>
        <v/>
      </c>
      <c r="U158" s="39">
        <f>IFERROR(U119*$BC80/SUMPRODUCT(U$97:U$131,$BC$58:$BC$92),0)</f>
        <v/>
      </c>
      <c r="V158" s="39">
        <f>IFERROR(V119*$BC80/SUMPRODUCT(V$97:V$131,$BC$58:$BC$92),0)</f>
        <v/>
      </c>
      <c r="W158" s="39">
        <f>IFERROR(W119*$BC80/SUMPRODUCT(W$97:W$131,$BC$58:$BC$92),0)</f>
        <v/>
      </c>
      <c r="X158" s="39">
        <f>IFERROR(X119*$BC80/SUMPRODUCT(X$97:X$131,$BC$58:$BC$92),0)</f>
        <v/>
      </c>
      <c r="Y158" s="39">
        <f>IFERROR(Y119*$BC80/SUMPRODUCT(Y$97:Y$131,$BC$58:$BC$92),0)</f>
        <v/>
      </c>
      <c r="Z158" s="39">
        <f>IFERROR(Z119*$BC80/SUMPRODUCT(Z$97:Z$131,$BC$58:$BC$92),0)</f>
        <v/>
      </c>
      <c r="AA158" s="39">
        <f>IFERROR(AA119*$BC80/SUMPRODUCT(AA$97:AA$131,$BC$58:$BC$92),0)</f>
        <v/>
      </c>
      <c r="AB158" s="39">
        <f>IFERROR(AB119*$BC80/SUMPRODUCT(AB$97:AB$131,$BC$58:$BC$92),0)</f>
        <v/>
      </c>
      <c r="AC158" s="39">
        <f>IFERROR(AC119*$BC80/SUMPRODUCT(AC$97:AC$131,$BC$58:$BC$92),0)</f>
        <v/>
      </c>
      <c r="AD158" s="39">
        <f>IFERROR(AD119*$BC80/SUMPRODUCT(AD$97:AD$131,$BC$58:$BC$92),0)</f>
        <v/>
      </c>
      <c r="AE158" s="39">
        <f>IFERROR(AE119*$BC80/SUMPRODUCT(AE$97:AE$131,$BC$58:$BC$92),0)</f>
        <v/>
      </c>
      <c r="AF158" s="39">
        <f>IFERROR(AF119*$BC80/SUMPRODUCT(AF$97:AF$131,$BC$58:$BC$92),0)</f>
        <v/>
      </c>
      <c r="AG158" s="39">
        <f>IFERROR(AG119*$BC80/SUMPRODUCT(AG$97:AG$131,$BC$58:$BC$92),0)</f>
        <v/>
      </c>
      <c r="AH158" s="39">
        <f>IFERROR(AH119*$BC80/SUMPRODUCT(AH$97:AH$131,$BC$58:$BC$92),0)</f>
        <v/>
      </c>
      <c r="AI158" s="39">
        <f>IFERROR(AI119*$BC80/SUMPRODUCT(AI$97:AI$131,$BC$58:$BC$92),0)</f>
        <v/>
      </c>
      <c r="AJ158" s="39">
        <f>IFERROR(AJ119*$BC80/SUMPRODUCT(AJ$97:AJ$131,$BC$58:$BC$92),0)</f>
        <v/>
      </c>
      <c r="AK158" s="39">
        <f>IFERROR(AK119*$BC80/SUMPRODUCT(AK$97:AK$131,$BC$58:$BC$92),0)</f>
        <v/>
      </c>
      <c r="AL158" s="39">
        <f>IFERROR(AL119*$BC80/SUMPRODUCT(AL$97:AL$131,$BC$58:$BC$92),0)</f>
        <v/>
      </c>
      <c r="AM158" s="39">
        <f>IFERROR(AM119*$BC80/SUMPRODUCT(AM$97:AM$131,$BC$58:$BC$92),0)</f>
        <v/>
      </c>
      <c r="AN158" s="39">
        <f>IFERROR(AN119*$BC80/SUMPRODUCT(AN$97:AN$131,$BC$58:$BC$92),0)</f>
        <v/>
      </c>
      <c r="AO158" s="39">
        <f>IFERROR(AO119*$BC80/SUMPRODUCT(AO$97:AO$131,$BC$58:$BC$92),0)</f>
        <v/>
      </c>
      <c r="AP158" s="39">
        <f>IFERROR(AP119*$BC80/SUMPRODUCT(AP$97:AP$131,$BC$58:$BC$92),0)</f>
        <v/>
      </c>
      <c r="AQ158" s="39">
        <f>IFERROR(AQ119*$BC80/SUMPRODUCT(AQ$97:AQ$131,$BC$58:$BC$92),0)</f>
        <v/>
      </c>
      <c r="AR158" s="39">
        <f>IFERROR(AR119*$BC80/SUMPRODUCT(AR$97:AR$131,$BC$58:$BC$92),0)</f>
        <v/>
      </c>
      <c r="AS158" s="39">
        <f>IFERROR(AS119*$BC80/SUMPRODUCT(AS$97:AS$131,$BC$58:$BC$92),0)</f>
        <v/>
      </c>
      <c r="AT158" s="39">
        <f>IFERROR(AT119*$BC80/SUMPRODUCT(AT$97:AT$131,$BC$58:$BC$92),0)</f>
        <v/>
      </c>
      <c r="AU158" s="39">
        <f>IFERROR(AU119*$BC80/SUMPRODUCT(AU$97:AU$131,$BC$58:$BC$92),0)</f>
        <v/>
      </c>
      <c r="AV158" s="39">
        <f>IFERROR(AV119*$BC80/SUMPRODUCT(AV$97:AV$131,$BC$58:$BC$92),0)</f>
        <v/>
      </c>
      <c r="AW158" s="39">
        <f>IFERROR(AW119*$BC80/SUMPRODUCT(AW$97:AW$131,$BC$58:$BC$92),0)</f>
        <v/>
      </c>
      <c r="AX158" s="39">
        <f>IFERROR(AX119*$BC80/SUMPRODUCT(AX$97:AX$131,$BC$58:$BC$92),0)</f>
        <v/>
      </c>
      <c r="AY158" s="39">
        <f>IFERROR(AY119*$BC80/SUMPRODUCT(AY$97:AY$131,$BC$58:$BC$92),0)</f>
        <v/>
      </c>
      <c r="AZ158" s="39">
        <f>IFERROR(AZ119*$BC80/SUMPRODUCT(AZ$97:AZ$131,$BC$58:$BC$92),0)</f>
        <v/>
      </c>
      <c r="BA158" s="39">
        <f>IFERROR(BA119*$BC80/SUMPRODUCT(BA$97:BA$131,$BC$58:$BC$92),0)</f>
        <v/>
      </c>
      <c r="BB158" s="39">
        <f>IFERROR(BB119*$BC80/SUMPRODUCT(BB$97:BB$131,$BC$58:$BC$92),0)</f>
        <v/>
      </c>
    </row>
    <row r="159">
      <c r="C159" s="1" t="n"/>
      <c r="D159" s="237">
        <f>D120</f>
        <v/>
      </c>
      <c r="E159" s="141">
        <f>IFERROR(E120*$BC81/SUMPRODUCT(E$97:E$131,$BC$58:$BC$92),0)</f>
        <v/>
      </c>
      <c r="F159" s="141">
        <f>IFERROR(F120*$BC81/SUMPRODUCT(F$97:F$131,$BC$58:$BC$92),0)</f>
        <v/>
      </c>
      <c r="G159" s="141">
        <f>IFERROR(G120*$BC81/SUMPRODUCT(G$97:G$131,$BC$58:$BC$92),0)</f>
        <v/>
      </c>
      <c r="H159" s="39">
        <f>IFERROR(H120*$BC81/SUMPRODUCT(H$97:H$131,$BC$58:$BC$92),0)</f>
        <v/>
      </c>
      <c r="I159" s="39">
        <f>IFERROR(I120*$BC81/SUMPRODUCT(I$97:I$131,$BC$58:$BC$92),0)</f>
        <v/>
      </c>
      <c r="J159" s="39">
        <f>IFERROR(J120*$BC81/SUMPRODUCT(J$97:J$131,$BC$58:$BC$92),0)</f>
        <v/>
      </c>
      <c r="K159" s="39">
        <f>IFERROR(K120*$BC81/SUMPRODUCT(K$97:K$131,$BC$58:$BC$92),0)</f>
        <v/>
      </c>
      <c r="L159" s="39">
        <f>IFERROR(L120*$BC81/SUMPRODUCT(L$97:L$131,$BC$58:$BC$92),0)</f>
        <v/>
      </c>
      <c r="M159" s="39">
        <f>IFERROR(M120*$BC81/SUMPRODUCT(M$97:M$131,$BC$58:$BC$92),0)</f>
        <v/>
      </c>
      <c r="N159" s="39">
        <f>IFERROR(N120*$BC81/SUMPRODUCT(N$97:N$131,$BC$58:$BC$92),0)</f>
        <v/>
      </c>
      <c r="O159" s="39">
        <f>IFERROR(O120*$BC81/SUMPRODUCT(O$97:O$131,$BC$58:$BC$92),0)</f>
        <v/>
      </c>
      <c r="P159" s="39">
        <f>IFERROR(P120*$BC81/SUMPRODUCT(P$97:P$131,$BC$58:$BC$92),0)</f>
        <v/>
      </c>
      <c r="Q159" s="39">
        <f>IFERROR(Q120*$BC81/SUMPRODUCT(Q$97:Q$131,$BC$58:$BC$92),0)</f>
        <v/>
      </c>
      <c r="R159" s="39">
        <f>IFERROR(R120*$BC81/SUMPRODUCT(R$97:R$131,$BC$58:$BC$92),0)</f>
        <v/>
      </c>
      <c r="S159" s="39">
        <f>IFERROR(S120*$BC81/SUMPRODUCT(S$97:S$131,$BC$58:$BC$92),0)</f>
        <v/>
      </c>
      <c r="T159" s="39">
        <f>IFERROR(T120*$BC81/SUMPRODUCT(T$97:T$131,$BC$58:$BC$92),0)</f>
        <v/>
      </c>
      <c r="U159" s="39">
        <f>IFERROR(U120*$BC81/SUMPRODUCT(U$97:U$131,$BC$58:$BC$92),0)</f>
        <v/>
      </c>
      <c r="V159" s="39">
        <f>IFERROR(V120*$BC81/SUMPRODUCT(V$97:V$131,$BC$58:$BC$92),0)</f>
        <v/>
      </c>
      <c r="W159" s="39">
        <f>IFERROR(W120*$BC81/SUMPRODUCT(W$97:W$131,$BC$58:$BC$92),0)</f>
        <v/>
      </c>
      <c r="X159" s="39">
        <f>IFERROR(X120*$BC81/SUMPRODUCT(X$97:X$131,$BC$58:$BC$92),0)</f>
        <v/>
      </c>
      <c r="Y159" s="39">
        <f>IFERROR(Y120*$BC81/SUMPRODUCT(Y$97:Y$131,$BC$58:$BC$92),0)</f>
        <v/>
      </c>
      <c r="Z159" s="39">
        <f>IFERROR(Z120*$BC81/SUMPRODUCT(Z$97:Z$131,$BC$58:$BC$92),0)</f>
        <v/>
      </c>
      <c r="AA159" s="39">
        <f>IFERROR(AA120*$BC81/SUMPRODUCT(AA$97:AA$131,$BC$58:$BC$92),0)</f>
        <v/>
      </c>
      <c r="AB159" s="39">
        <f>IFERROR(AB120*$BC81/SUMPRODUCT(AB$97:AB$131,$BC$58:$BC$92),0)</f>
        <v/>
      </c>
      <c r="AC159" s="39">
        <f>IFERROR(AC120*$BC81/SUMPRODUCT(AC$97:AC$131,$BC$58:$BC$92),0)</f>
        <v/>
      </c>
      <c r="AD159" s="39">
        <f>IFERROR(AD120*$BC81/SUMPRODUCT(AD$97:AD$131,$BC$58:$BC$92),0)</f>
        <v/>
      </c>
      <c r="AE159" s="39">
        <f>IFERROR(AE120*$BC81/SUMPRODUCT(AE$97:AE$131,$BC$58:$BC$92),0)</f>
        <v/>
      </c>
      <c r="AF159" s="39">
        <f>IFERROR(AF120*$BC81/SUMPRODUCT(AF$97:AF$131,$BC$58:$BC$92),0)</f>
        <v/>
      </c>
      <c r="AG159" s="39">
        <f>IFERROR(AG120*$BC81/SUMPRODUCT(AG$97:AG$131,$BC$58:$BC$92),0)</f>
        <v/>
      </c>
      <c r="AH159" s="39">
        <f>IFERROR(AH120*$BC81/SUMPRODUCT(AH$97:AH$131,$BC$58:$BC$92),0)</f>
        <v/>
      </c>
      <c r="AI159" s="39">
        <f>IFERROR(AI120*$BC81/SUMPRODUCT(AI$97:AI$131,$BC$58:$BC$92),0)</f>
        <v/>
      </c>
      <c r="AJ159" s="39">
        <f>IFERROR(AJ120*$BC81/SUMPRODUCT(AJ$97:AJ$131,$BC$58:$BC$92),0)</f>
        <v/>
      </c>
      <c r="AK159" s="39">
        <f>IFERROR(AK120*$BC81/SUMPRODUCT(AK$97:AK$131,$BC$58:$BC$92),0)</f>
        <v/>
      </c>
      <c r="AL159" s="39">
        <f>IFERROR(AL120*$BC81/SUMPRODUCT(AL$97:AL$131,$BC$58:$BC$92),0)</f>
        <v/>
      </c>
      <c r="AM159" s="39">
        <f>IFERROR(AM120*$BC81/SUMPRODUCT(AM$97:AM$131,$BC$58:$BC$92),0)</f>
        <v/>
      </c>
      <c r="AN159" s="39">
        <f>IFERROR(AN120*$BC81/SUMPRODUCT(AN$97:AN$131,$BC$58:$BC$92),0)</f>
        <v/>
      </c>
      <c r="AO159" s="39">
        <f>IFERROR(AO120*$BC81/SUMPRODUCT(AO$97:AO$131,$BC$58:$BC$92),0)</f>
        <v/>
      </c>
      <c r="AP159" s="39">
        <f>IFERROR(AP120*$BC81/SUMPRODUCT(AP$97:AP$131,$BC$58:$BC$92),0)</f>
        <v/>
      </c>
      <c r="AQ159" s="39">
        <f>IFERROR(AQ120*$BC81/SUMPRODUCT(AQ$97:AQ$131,$BC$58:$BC$92),0)</f>
        <v/>
      </c>
      <c r="AR159" s="39">
        <f>IFERROR(AR120*$BC81/SUMPRODUCT(AR$97:AR$131,$BC$58:$BC$92),0)</f>
        <v/>
      </c>
      <c r="AS159" s="39">
        <f>IFERROR(AS120*$BC81/SUMPRODUCT(AS$97:AS$131,$BC$58:$BC$92),0)</f>
        <v/>
      </c>
      <c r="AT159" s="39">
        <f>IFERROR(AT120*$BC81/SUMPRODUCT(AT$97:AT$131,$BC$58:$BC$92),0)</f>
        <v/>
      </c>
      <c r="AU159" s="39">
        <f>IFERROR(AU120*$BC81/SUMPRODUCT(AU$97:AU$131,$BC$58:$BC$92),0)</f>
        <v/>
      </c>
      <c r="AV159" s="39">
        <f>IFERROR(AV120*$BC81/SUMPRODUCT(AV$97:AV$131,$BC$58:$BC$92),0)</f>
        <v/>
      </c>
      <c r="AW159" s="39">
        <f>IFERROR(AW120*$BC81/SUMPRODUCT(AW$97:AW$131,$BC$58:$BC$92),0)</f>
        <v/>
      </c>
      <c r="AX159" s="39">
        <f>IFERROR(AX120*$BC81/SUMPRODUCT(AX$97:AX$131,$BC$58:$BC$92),0)</f>
        <v/>
      </c>
      <c r="AY159" s="39">
        <f>IFERROR(AY120*$BC81/SUMPRODUCT(AY$97:AY$131,$BC$58:$BC$92),0)</f>
        <v/>
      </c>
      <c r="AZ159" s="39">
        <f>IFERROR(AZ120*$BC81/SUMPRODUCT(AZ$97:AZ$131,$BC$58:$BC$92),0)</f>
        <v/>
      </c>
      <c r="BA159" s="39">
        <f>IFERROR(BA120*$BC81/SUMPRODUCT(BA$97:BA$131,$BC$58:$BC$92),0)</f>
        <v/>
      </c>
      <c r="BB159" s="39">
        <f>IFERROR(BB120*$BC81/SUMPRODUCT(BB$97:BB$131,$BC$58:$BC$92),0)</f>
        <v/>
      </c>
    </row>
    <row r="160">
      <c r="C160" s="1" t="n"/>
      <c r="D160" s="237">
        <f>D121</f>
        <v/>
      </c>
      <c r="E160" s="141">
        <f>IFERROR(E121*$BC82/SUMPRODUCT(E$97:E$131,$BC$58:$BC$92),0)</f>
        <v/>
      </c>
      <c r="F160" s="141">
        <f>IFERROR(F121*$BC82/SUMPRODUCT(F$97:F$131,$BC$58:$BC$92),0)</f>
        <v/>
      </c>
      <c r="G160" s="141">
        <f>IFERROR(G121*$BC82/SUMPRODUCT(G$97:G$131,$BC$58:$BC$92),0)</f>
        <v/>
      </c>
      <c r="H160" s="39">
        <f>IFERROR(H121*$BC82/SUMPRODUCT(H$97:H$131,$BC$58:$BC$92),0)</f>
        <v/>
      </c>
      <c r="I160" s="39">
        <f>IFERROR(I121*$BC82/SUMPRODUCT(I$97:I$131,$BC$58:$BC$92),0)</f>
        <v/>
      </c>
      <c r="J160" s="39">
        <f>IFERROR(J121*$BC82/SUMPRODUCT(J$97:J$131,$BC$58:$BC$92),0)</f>
        <v/>
      </c>
      <c r="K160" s="39">
        <f>IFERROR(K121*$BC82/SUMPRODUCT(K$97:K$131,$BC$58:$BC$92),0)</f>
        <v/>
      </c>
      <c r="L160" s="39">
        <f>IFERROR(L121*$BC82/SUMPRODUCT(L$97:L$131,$BC$58:$BC$92),0)</f>
        <v/>
      </c>
      <c r="M160" s="39">
        <f>IFERROR(M121*$BC82/SUMPRODUCT(M$97:M$131,$BC$58:$BC$92),0)</f>
        <v/>
      </c>
      <c r="N160" s="39">
        <f>IFERROR(N121*$BC82/SUMPRODUCT(N$97:N$131,$BC$58:$BC$92),0)</f>
        <v/>
      </c>
      <c r="O160" s="39">
        <f>IFERROR(O121*$BC82/SUMPRODUCT(O$97:O$131,$BC$58:$BC$92),0)</f>
        <v/>
      </c>
      <c r="P160" s="39">
        <f>IFERROR(P121*$BC82/SUMPRODUCT(P$97:P$131,$BC$58:$BC$92),0)</f>
        <v/>
      </c>
      <c r="Q160" s="39">
        <f>IFERROR(Q121*$BC82/SUMPRODUCT(Q$97:Q$131,$BC$58:$BC$92),0)</f>
        <v/>
      </c>
      <c r="R160" s="39">
        <f>IFERROR(R121*$BC82/SUMPRODUCT(R$97:R$131,$BC$58:$BC$92),0)</f>
        <v/>
      </c>
      <c r="S160" s="39">
        <f>IFERROR(S121*$BC82/SUMPRODUCT(S$97:S$131,$BC$58:$BC$92),0)</f>
        <v/>
      </c>
      <c r="T160" s="39">
        <f>IFERROR(T121*$BC82/SUMPRODUCT(T$97:T$131,$BC$58:$BC$92),0)</f>
        <v/>
      </c>
      <c r="U160" s="39">
        <f>IFERROR(U121*$BC82/SUMPRODUCT(U$97:U$131,$BC$58:$BC$92),0)</f>
        <v/>
      </c>
      <c r="V160" s="39">
        <f>IFERROR(V121*$BC82/SUMPRODUCT(V$97:V$131,$BC$58:$BC$92),0)</f>
        <v/>
      </c>
      <c r="W160" s="39">
        <f>IFERROR(W121*$BC82/SUMPRODUCT(W$97:W$131,$BC$58:$BC$92),0)</f>
        <v/>
      </c>
      <c r="X160" s="39">
        <f>IFERROR(X121*$BC82/SUMPRODUCT(X$97:X$131,$BC$58:$BC$92),0)</f>
        <v/>
      </c>
      <c r="Y160" s="39">
        <f>IFERROR(Y121*$BC82/SUMPRODUCT(Y$97:Y$131,$BC$58:$BC$92),0)</f>
        <v/>
      </c>
      <c r="Z160" s="39">
        <f>IFERROR(Z121*$BC82/SUMPRODUCT(Z$97:Z$131,$BC$58:$BC$92),0)</f>
        <v/>
      </c>
      <c r="AA160" s="39">
        <f>IFERROR(AA121*$BC82/SUMPRODUCT(AA$97:AA$131,$BC$58:$BC$92),0)</f>
        <v/>
      </c>
      <c r="AB160" s="39">
        <f>IFERROR(AB121*$BC82/SUMPRODUCT(AB$97:AB$131,$BC$58:$BC$92),0)</f>
        <v/>
      </c>
      <c r="AC160" s="39">
        <f>IFERROR(AC121*$BC82/SUMPRODUCT(AC$97:AC$131,$BC$58:$BC$92),0)</f>
        <v/>
      </c>
      <c r="AD160" s="39">
        <f>IFERROR(AD121*$BC82/SUMPRODUCT(AD$97:AD$131,$BC$58:$BC$92),0)</f>
        <v/>
      </c>
      <c r="AE160" s="39">
        <f>IFERROR(AE121*$BC82/SUMPRODUCT(AE$97:AE$131,$BC$58:$BC$92),0)</f>
        <v/>
      </c>
      <c r="AF160" s="39">
        <f>IFERROR(AF121*$BC82/SUMPRODUCT(AF$97:AF$131,$BC$58:$BC$92),0)</f>
        <v/>
      </c>
      <c r="AG160" s="39">
        <f>IFERROR(AG121*$BC82/SUMPRODUCT(AG$97:AG$131,$BC$58:$BC$92),0)</f>
        <v/>
      </c>
      <c r="AH160" s="39">
        <f>IFERROR(AH121*$BC82/SUMPRODUCT(AH$97:AH$131,$BC$58:$BC$92),0)</f>
        <v/>
      </c>
      <c r="AI160" s="39">
        <f>IFERROR(AI121*$BC82/SUMPRODUCT(AI$97:AI$131,$BC$58:$BC$92),0)</f>
        <v/>
      </c>
      <c r="AJ160" s="39">
        <f>IFERROR(AJ121*$BC82/SUMPRODUCT(AJ$97:AJ$131,$BC$58:$BC$92),0)</f>
        <v/>
      </c>
      <c r="AK160" s="39">
        <f>IFERROR(AK121*$BC82/SUMPRODUCT(AK$97:AK$131,$BC$58:$BC$92),0)</f>
        <v/>
      </c>
      <c r="AL160" s="39">
        <f>IFERROR(AL121*$BC82/SUMPRODUCT(AL$97:AL$131,$BC$58:$BC$92),0)</f>
        <v/>
      </c>
      <c r="AM160" s="39">
        <f>IFERROR(AM121*$BC82/SUMPRODUCT(AM$97:AM$131,$BC$58:$BC$92),0)</f>
        <v/>
      </c>
      <c r="AN160" s="39">
        <f>IFERROR(AN121*$BC82/SUMPRODUCT(AN$97:AN$131,$BC$58:$BC$92),0)</f>
        <v/>
      </c>
      <c r="AO160" s="39">
        <f>IFERROR(AO121*$BC82/SUMPRODUCT(AO$97:AO$131,$BC$58:$BC$92),0)</f>
        <v/>
      </c>
      <c r="AP160" s="39">
        <f>IFERROR(AP121*$BC82/SUMPRODUCT(AP$97:AP$131,$BC$58:$BC$92),0)</f>
        <v/>
      </c>
      <c r="AQ160" s="39">
        <f>IFERROR(AQ121*$BC82/SUMPRODUCT(AQ$97:AQ$131,$BC$58:$BC$92),0)</f>
        <v/>
      </c>
      <c r="AR160" s="39">
        <f>IFERROR(AR121*$BC82/SUMPRODUCT(AR$97:AR$131,$BC$58:$BC$92),0)</f>
        <v/>
      </c>
      <c r="AS160" s="39">
        <f>IFERROR(AS121*$BC82/SUMPRODUCT(AS$97:AS$131,$BC$58:$BC$92),0)</f>
        <v/>
      </c>
      <c r="AT160" s="39">
        <f>IFERROR(AT121*$BC82/SUMPRODUCT(AT$97:AT$131,$BC$58:$BC$92),0)</f>
        <v/>
      </c>
      <c r="AU160" s="39">
        <f>IFERROR(AU121*$BC82/SUMPRODUCT(AU$97:AU$131,$BC$58:$BC$92),0)</f>
        <v/>
      </c>
      <c r="AV160" s="39">
        <f>IFERROR(AV121*$BC82/SUMPRODUCT(AV$97:AV$131,$BC$58:$BC$92),0)</f>
        <v/>
      </c>
      <c r="AW160" s="39">
        <f>IFERROR(AW121*$BC82/SUMPRODUCT(AW$97:AW$131,$BC$58:$BC$92),0)</f>
        <v/>
      </c>
      <c r="AX160" s="39">
        <f>IFERROR(AX121*$BC82/SUMPRODUCT(AX$97:AX$131,$BC$58:$BC$92),0)</f>
        <v/>
      </c>
      <c r="AY160" s="39">
        <f>IFERROR(AY121*$BC82/SUMPRODUCT(AY$97:AY$131,$BC$58:$BC$92),0)</f>
        <v/>
      </c>
      <c r="AZ160" s="39">
        <f>IFERROR(AZ121*$BC82/SUMPRODUCT(AZ$97:AZ$131,$BC$58:$BC$92),0)</f>
        <v/>
      </c>
      <c r="BA160" s="39">
        <f>IFERROR(BA121*$BC82/SUMPRODUCT(BA$97:BA$131,$BC$58:$BC$92),0)</f>
        <v/>
      </c>
      <c r="BB160" s="39">
        <f>IFERROR(BB121*$BC82/SUMPRODUCT(BB$97:BB$131,$BC$58:$BC$92),0)</f>
        <v/>
      </c>
    </row>
    <row r="161">
      <c r="C161" s="1" t="n"/>
      <c r="D161" s="237">
        <f>D122</f>
        <v/>
      </c>
      <c r="E161" s="141">
        <f>IFERROR(E122*$BC83/SUMPRODUCT(E$97:E$131,$BC$58:$BC$92),0)</f>
        <v/>
      </c>
      <c r="F161" s="141">
        <f>IFERROR(F122*$BC83/SUMPRODUCT(F$97:F$131,$BC$58:$BC$92),0)</f>
        <v/>
      </c>
      <c r="G161" s="141">
        <f>IFERROR(G122*$BC83/SUMPRODUCT(G$97:G$131,$BC$58:$BC$92),0)</f>
        <v/>
      </c>
      <c r="H161" s="39">
        <f>IFERROR(H122*$BC83/SUMPRODUCT(H$97:H$131,$BC$58:$BC$92),0)</f>
        <v/>
      </c>
      <c r="I161" s="39">
        <f>IFERROR(I122*$BC83/SUMPRODUCT(I$97:I$131,$BC$58:$BC$92),0)</f>
        <v/>
      </c>
      <c r="J161" s="39">
        <f>IFERROR(J122*$BC83/SUMPRODUCT(J$97:J$131,$BC$58:$BC$92),0)</f>
        <v/>
      </c>
      <c r="K161" s="39">
        <f>IFERROR(K122*$BC83/SUMPRODUCT(K$97:K$131,$BC$58:$BC$92),0)</f>
        <v/>
      </c>
      <c r="L161" s="39">
        <f>IFERROR(L122*$BC83/SUMPRODUCT(L$97:L$131,$BC$58:$BC$92),0)</f>
        <v/>
      </c>
      <c r="M161" s="39">
        <f>IFERROR(M122*$BC83/SUMPRODUCT(M$97:M$131,$BC$58:$BC$92),0)</f>
        <v/>
      </c>
      <c r="N161" s="39">
        <f>IFERROR(N122*$BC83/SUMPRODUCT(N$97:N$131,$BC$58:$BC$92),0)</f>
        <v/>
      </c>
      <c r="O161" s="39">
        <f>IFERROR(O122*$BC83/SUMPRODUCT(O$97:O$131,$BC$58:$BC$92),0)</f>
        <v/>
      </c>
      <c r="P161" s="39">
        <f>IFERROR(P122*$BC83/SUMPRODUCT(P$97:P$131,$BC$58:$BC$92),0)</f>
        <v/>
      </c>
      <c r="Q161" s="39">
        <f>IFERROR(Q122*$BC83/SUMPRODUCT(Q$97:Q$131,$BC$58:$BC$92),0)</f>
        <v/>
      </c>
      <c r="R161" s="39">
        <f>IFERROR(R122*$BC83/SUMPRODUCT(R$97:R$131,$BC$58:$BC$92),0)</f>
        <v/>
      </c>
      <c r="S161" s="39">
        <f>IFERROR(S122*$BC83/SUMPRODUCT(S$97:S$131,$BC$58:$BC$92),0)</f>
        <v/>
      </c>
      <c r="T161" s="39">
        <f>IFERROR(T122*$BC83/SUMPRODUCT(T$97:T$131,$BC$58:$BC$92),0)</f>
        <v/>
      </c>
      <c r="U161" s="39">
        <f>IFERROR(U122*$BC83/SUMPRODUCT(U$97:U$131,$BC$58:$BC$92),0)</f>
        <v/>
      </c>
      <c r="V161" s="39">
        <f>IFERROR(V122*$BC83/SUMPRODUCT(V$97:V$131,$BC$58:$BC$92),0)</f>
        <v/>
      </c>
      <c r="W161" s="39">
        <f>IFERROR(W122*$BC83/SUMPRODUCT(W$97:W$131,$BC$58:$BC$92),0)</f>
        <v/>
      </c>
      <c r="X161" s="39">
        <f>IFERROR(X122*$BC83/SUMPRODUCT(X$97:X$131,$BC$58:$BC$92),0)</f>
        <v/>
      </c>
      <c r="Y161" s="39">
        <f>IFERROR(Y122*$BC83/SUMPRODUCT(Y$97:Y$131,$BC$58:$BC$92),0)</f>
        <v/>
      </c>
      <c r="Z161" s="39">
        <f>IFERROR(Z122*$BC83/SUMPRODUCT(Z$97:Z$131,$BC$58:$BC$92),0)</f>
        <v/>
      </c>
      <c r="AA161" s="39">
        <f>IFERROR(AA122*$BC83/SUMPRODUCT(AA$97:AA$131,$BC$58:$BC$92),0)</f>
        <v/>
      </c>
      <c r="AB161" s="39">
        <f>IFERROR(AB122*$BC83/SUMPRODUCT(AB$97:AB$131,$BC$58:$BC$92),0)</f>
        <v/>
      </c>
      <c r="AC161" s="39">
        <f>IFERROR(AC122*$BC83/SUMPRODUCT(AC$97:AC$131,$BC$58:$BC$92),0)</f>
        <v/>
      </c>
      <c r="AD161" s="39">
        <f>IFERROR(AD122*$BC83/SUMPRODUCT(AD$97:AD$131,$BC$58:$BC$92),0)</f>
        <v/>
      </c>
      <c r="AE161" s="39">
        <f>IFERROR(AE122*$BC83/SUMPRODUCT(AE$97:AE$131,$BC$58:$BC$92),0)</f>
        <v/>
      </c>
      <c r="AF161" s="39">
        <f>IFERROR(AF122*$BC83/SUMPRODUCT(AF$97:AF$131,$BC$58:$BC$92),0)</f>
        <v/>
      </c>
      <c r="AG161" s="39">
        <f>IFERROR(AG122*$BC83/SUMPRODUCT(AG$97:AG$131,$BC$58:$BC$92),0)</f>
        <v/>
      </c>
      <c r="AH161" s="39">
        <f>IFERROR(AH122*$BC83/SUMPRODUCT(AH$97:AH$131,$BC$58:$BC$92),0)</f>
        <v/>
      </c>
      <c r="AI161" s="39">
        <f>IFERROR(AI122*$BC83/SUMPRODUCT(AI$97:AI$131,$BC$58:$BC$92),0)</f>
        <v/>
      </c>
      <c r="AJ161" s="39">
        <f>IFERROR(AJ122*$BC83/SUMPRODUCT(AJ$97:AJ$131,$BC$58:$BC$92),0)</f>
        <v/>
      </c>
      <c r="AK161" s="39">
        <f>IFERROR(AK122*$BC83/SUMPRODUCT(AK$97:AK$131,$BC$58:$BC$92),0)</f>
        <v/>
      </c>
      <c r="AL161" s="39">
        <f>IFERROR(AL122*$BC83/SUMPRODUCT(AL$97:AL$131,$BC$58:$BC$92),0)</f>
        <v/>
      </c>
      <c r="AM161" s="39">
        <f>IFERROR(AM122*$BC83/SUMPRODUCT(AM$97:AM$131,$BC$58:$BC$92),0)</f>
        <v/>
      </c>
      <c r="AN161" s="39">
        <f>IFERROR(AN122*$BC83/SUMPRODUCT(AN$97:AN$131,$BC$58:$BC$92),0)</f>
        <v/>
      </c>
      <c r="AO161" s="39">
        <f>IFERROR(AO122*$BC83/SUMPRODUCT(AO$97:AO$131,$BC$58:$BC$92),0)</f>
        <v/>
      </c>
      <c r="AP161" s="39">
        <f>IFERROR(AP122*$BC83/SUMPRODUCT(AP$97:AP$131,$BC$58:$BC$92),0)</f>
        <v/>
      </c>
      <c r="AQ161" s="39">
        <f>IFERROR(AQ122*$BC83/SUMPRODUCT(AQ$97:AQ$131,$BC$58:$BC$92),0)</f>
        <v/>
      </c>
      <c r="AR161" s="39">
        <f>IFERROR(AR122*$BC83/SUMPRODUCT(AR$97:AR$131,$BC$58:$BC$92),0)</f>
        <v/>
      </c>
      <c r="AS161" s="39">
        <f>IFERROR(AS122*$BC83/SUMPRODUCT(AS$97:AS$131,$BC$58:$BC$92),0)</f>
        <v/>
      </c>
      <c r="AT161" s="39">
        <f>IFERROR(AT122*$BC83/SUMPRODUCT(AT$97:AT$131,$BC$58:$BC$92),0)</f>
        <v/>
      </c>
      <c r="AU161" s="39">
        <f>IFERROR(AU122*$BC83/SUMPRODUCT(AU$97:AU$131,$BC$58:$BC$92),0)</f>
        <v/>
      </c>
      <c r="AV161" s="39">
        <f>IFERROR(AV122*$BC83/SUMPRODUCT(AV$97:AV$131,$BC$58:$BC$92),0)</f>
        <v/>
      </c>
      <c r="AW161" s="39">
        <f>IFERROR(AW122*$BC83/SUMPRODUCT(AW$97:AW$131,$BC$58:$BC$92),0)</f>
        <v/>
      </c>
      <c r="AX161" s="39">
        <f>IFERROR(AX122*$BC83/SUMPRODUCT(AX$97:AX$131,$BC$58:$BC$92),0)</f>
        <v/>
      </c>
      <c r="AY161" s="39">
        <f>IFERROR(AY122*$BC83/SUMPRODUCT(AY$97:AY$131,$BC$58:$BC$92),0)</f>
        <v/>
      </c>
      <c r="AZ161" s="39">
        <f>IFERROR(AZ122*$BC83/SUMPRODUCT(AZ$97:AZ$131,$BC$58:$BC$92),0)</f>
        <v/>
      </c>
      <c r="BA161" s="39">
        <f>IFERROR(BA122*$BC83/SUMPRODUCT(BA$97:BA$131,$BC$58:$BC$92),0)</f>
        <v/>
      </c>
      <c r="BB161" s="39">
        <f>IFERROR(BB122*$BC83/SUMPRODUCT(BB$97:BB$131,$BC$58:$BC$92),0)</f>
        <v/>
      </c>
    </row>
    <row r="162">
      <c r="C162" s="1" t="n"/>
      <c r="D162" s="237">
        <f>D123</f>
        <v/>
      </c>
      <c r="E162" s="141">
        <f>IFERROR(E123*$BC84/SUMPRODUCT(E$97:E$131,$BC$58:$BC$92),0)</f>
        <v/>
      </c>
      <c r="F162" s="141">
        <f>IFERROR(F123*$BC84/SUMPRODUCT(F$97:F$131,$BC$58:$BC$92),0)</f>
        <v/>
      </c>
      <c r="G162" s="141">
        <f>IFERROR(G123*$BC84/SUMPRODUCT(G$97:G$131,$BC$58:$BC$92),0)</f>
        <v/>
      </c>
      <c r="H162" s="39">
        <f>IFERROR(H123*$BC84/SUMPRODUCT(H$97:H$131,$BC$58:$BC$92),0)</f>
        <v/>
      </c>
      <c r="I162" s="39">
        <f>IFERROR(I123*$BC84/SUMPRODUCT(I$97:I$131,$BC$58:$BC$92),0)</f>
        <v/>
      </c>
      <c r="J162" s="39">
        <f>IFERROR(J123*$BC84/SUMPRODUCT(J$97:J$131,$BC$58:$BC$92),0)</f>
        <v/>
      </c>
      <c r="K162" s="39">
        <f>IFERROR(K123*$BC84/SUMPRODUCT(K$97:K$131,$BC$58:$BC$92),0)</f>
        <v/>
      </c>
      <c r="L162" s="39">
        <f>IFERROR(L123*$BC84/SUMPRODUCT(L$97:L$131,$BC$58:$BC$92),0)</f>
        <v/>
      </c>
      <c r="M162" s="39">
        <f>IFERROR(M123*$BC84/SUMPRODUCT(M$97:M$131,$BC$58:$BC$92),0)</f>
        <v/>
      </c>
      <c r="N162" s="39">
        <f>IFERROR(N123*$BC84/SUMPRODUCT(N$97:N$131,$BC$58:$BC$92),0)</f>
        <v/>
      </c>
      <c r="O162" s="39">
        <f>IFERROR(O123*$BC84/SUMPRODUCT(O$97:O$131,$BC$58:$BC$92),0)</f>
        <v/>
      </c>
      <c r="P162" s="39">
        <f>IFERROR(P123*$BC84/SUMPRODUCT(P$97:P$131,$BC$58:$BC$92),0)</f>
        <v/>
      </c>
      <c r="Q162" s="39">
        <f>IFERROR(Q123*$BC84/SUMPRODUCT(Q$97:Q$131,$BC$58:$BC$92),0)</f>
        <v/>
      </c>
      <c r="R162" s="39">
        <f>IFERROR(R123*$BC84/SUMPRODUCT(R$97:R$131,$BC$58:$BC$92),0)</f>
        <v/>
      </c>
      <c r="S162" s="39">
        <f>IFERROR(S123*$BC84/SUMPRODUCT(S$97:S$131,$BC$58:$BC$92),0)</f>
        <v/>
      </c>
      <c r="T162" s="39">
        <f>IFERROR(T123*$BC84/SUMPRODUCT(T$97:T$131,$BC$58:$BC$92),0)</f>
        <v/>
      </c>
      <c r="U162" s="39">
        <f>IFERROR(U123*$BC84/SUMPRODUCT(U$97:U$131,$BC$58:$BC$92),0)</f>
        <v/>
      </c>
      <c r="V162" s="39">
        <f>IFERROR(V123*$BC84/SUMPRODUCT(V$97:V$131,$BC$58:$BC$92),0)</f>
        <v/>
      </c>
      <c r="W162" s="39">
        <f>IFERROR(W123*$BC84/SUMPRODUCT(W$97:W$131,$BC$58:$BC$92),0)</f>
        <v/>
      </c>
      <c r="X162" s="39">
        <f>IFERROR(X123*$BC84/SUMPRODUCT(X$97:X$131,$BC$58:$BC$92),0)</f>
        <v/>
      </c>
      <c r="Y162" s="39">
        <f>IFERROR(Y123*$BC84/SUMPRODUCT(Y$97:Y$131,$BC$58:$BC$92),0)</f>
        <v/>
      </c>
      <c r="Z162" s="39">
        <f>IFERROR(Z123*$BC84/SUMPRODUCT(Z$97:Z$131,$BC$58:$BC$92),0)</f>
        <v/>
      </c>
      <c r="AA162" s="39">
        <f>IFERROR(AA123*$BC84/SUMPRODUCT(AA$97:AA$131,$BC$58:$BC$92),0)</f>
        <v/>
      </c>
      <c r="AB162" s="39">
        <f>IFERROR(AB123*$BC84/SUMPRODUCT(AB$97:AB$131,$BC$58:$BC$92),0)</f>
        <v/>
      </c>
      <c r="AC162" s="39">
        <f>IFERROR(AC123*$BC84/SUMPRODUCT(AC$97:AC$131,$BC$58:$BC$92),0)</f>
        <v/>
      </c>
      <c r="AD162" s="39">
        <f>IFERROR(AD123*$BC84/SUMPRODUCT(AD$97:AD$131,$BC$58:$BC$92),0)</f>
        <v/>
      </c>
      <c r="AE162" s="39">
        <f>IFERROR(AE123*$BC84/SUMPRODUCT(AE$97:AE$131,$BC$58:$BC$92),0)</f>
        <v/>
      </c>
      <c r="AF162" s="39">
        <f>IFERROR(AF123*$BC84/SUMPRODUCT(AF$97:AF$131,$BC$58:$BC$92),0)</f>
        <v/>
      </c>
      <c r="AG162" s="39">
        <f>IFERROR(AG123*$BC84/SUMPRODUCT(AG$97:AG$131,$BC$58:$BC$92),0)</f>
        <v/>
      </c>
      <c r="AH162" s="39">
        <f>IFERROR(AH123*$BC84/SUMPRODUCT(AH$97:AH$131,$BC$58:$BC$92),0)</f>
        <v/>
      </c>
      <c r="AI162" s="39">
        <f>IFERROR(AI123*$BC84/SUMPRODUCT(AI$97:AI$131,$BC$58:$BC$92),0)</f>
        <v/>
      </c>
      <c r="AJ162" s="39">
        <f>IFERROR(AJ123*$BC84/SUMPRODUCT(AJ$97:AJ$131,$BC$58:$BC$92),0)</f>
        <v/>
      </c>
      <c r="AK162" s="39">
        <f>IFERROR(AK123*$BC84/SUMPRODUCT(AK$97:AK$131,$BC$58:$BC$92),0)</f>
        <v/>
      </c>
      <c r="AL162" s="39">
        <f>IFERROR(AL123*$BC84/SUMPRODUCT(AL$97:AL$131,$BC$58:$BC$92),0)</f>
        <v/>
      </c>
      <c r="AM162" s="39">
        <f>IFERROR(AM123*$BC84/SUMPRODUCT(AM$97:AM$131,$BC$58:$BC$92),0)</f>
        <v/>
      </c>
      <c r="AN162" s="39">
        <f>IFERROR(AN123*$BC84/SUMPRODUCT(AN$97:AN$131,$BC$58:$BC$92),0)</f>
        <v/>
      </c>
      <c r="AO162" s="39">
        <f>IFERROR(AO123*$BC84/SUMPRODUCT(AO$97:AO$131,$BC$58:$BC$92),0)</f>
        <v/>
      </c>
      <c r="AP162" s="39">
        <f>IFERROR(AP123*$BC84/SUMPRODUCT(AP$97:AP$131,$BC$58:$BC$92),0)</f>
        <v/>
      </c>
      <c r="AQ162" s="39">
        <f>IFERROR(AQ123*$BC84/SUMPRODUCT(AQ$97:AQ$131,$BC$58:$BC$92),0)</f>
        <v/>
      </c>
      <c r="AR162" s="39">
        <f>IFERROR(AR123*$BC84/SUMPRODUCT(AR$97:AR$131,$BC$58:$BC$92),0)</f>
        <v/>
      </c>
      <c r="AS162" s="39">
        <f>IFERROR(AS123*$BC84/SUMPRODUCT(AS$97:AS$131,$BC$58:$BC$92),0)</f>
        <v/>
      </c>
      <c r="AT162" s="39">
        <f>IFERROR(AT123*$BC84/SUMPRODUCT(AT$97:AT$131,$BC$58:$BC$92),0)</f>
        <v/>
      </c>
      <c r="AU162" s="39">
        <f>IFERROR(AU123*$BC84/SUMPRODUCT(AU$97:AU$131,$BC$58:$BC$92),0)</f>
        <v/>
      </c>
      <c r="AV162" s="39">
        <f>IFERROR(AV123*$BC84/SUMPRODUCT(AV$97:AV$131,$BC$58:$BC$92),0)</f>
        <v/>
      </c>
      <c r="AW162" s="39">
        <f>IFERROR(AW123*$BC84/SUMPRODUCT(AW$97:AW$131,$BC$58:$BC$92),0)</f>
        <v/>
      </c>
      <c r="AX162" s="39">
        <f>IFERROR(AX123*$BC84/SUMPRODUCT(AX$97:AX$131,$BC$58:$BC$92),0)</f>
        <v/>
      </c>
      <c r="AY162" s="39">
        <f>IFERROR(AY123*$BC84/SUMPRODUCT(AY$97:AY$131,$BC$58:$BC$92),0)</f>
        <v/>
      </c>
      <c r="AZ162" s="39">
        <f>IFERROR(AZ123*$BC84/SUMPRODUCT(AZ$97:AZ$131,$BC$58:$BC$92),0)</f>
        <v/>
      </c>
      <c r="BA162" s="39">
        <f>IFERROR(BA123*$BC84/SUMPRODUCT(BA$97:BA$131,$BC$58:$BC$92),0)</f>
        <v/>
      </c>
      <c r="BB162" s="39">
        <f>IFERROR(BB123*$BC84/SUMPRODUCT(BB$97:BB$131,$BC$58:$BC$92),0)</f>
        <v/>
      </c>
    </row>
    <row r="163">
      <c r="C163" s="1" t="n"/>
      <c r="D163" s="237">
        <f>D124</f>
        <v/>
      </c>
      <c r="E163" s="39">
        <f>IFERROR(E124*$BC85/SUMPRODUCT(E$97:E$131,$BC$58:$BC$92),0)</f>
        <v/>
      </c>
      <c r="F163" s="39">
        <f>IFERROR(F124*$BC85/SUMPRODUCT(F$97:F$131,$BC$58:$BC$92),0)</f>
        <v/>
      </c>
      <c r="G163" s="39">
        <f>IFERROR(G124*$BC85/SUMPRODUCT(G$97:G$131,$BC$58:$BC$92),0)</f>
        <v/>
      </c>
      <c r="H163" s="39">
        <f>IFERROR(H124*$BC85/SUMPRODUCT(H$97:H$131,$BC$58:$BC$92),0)</f>
        <v/>
      </c>
      <c r="I163" s="39">
        <f>IFERROR(I124*$BC85/SUMPRODUCT(I$97:I$131,$BC$58:$BC$92),0)</f>
        <v/>
      </c>
      <c r="J163" s="39">
        <f>IFERROR(J124*$BC85/SUMPRODUCT(J$97:J$131,$BC$58:$BC$92),0)</f>
        <v/>
      </c>
      <c r="K163" s="39">
        <f>IFERROR(K124*$BC85/SUMPRODUCT(K$97:K$131,$BC$58:$BC$92),0)</f>
        <v/>
      </c>
      <c r="L163" s="39">
        <f>IFERROR(L124*$BC85/SUMPRODUCT(L$97:L$131,$BC$58:$BC$92),0)</f>
        <v/>
      </c>
      <c r="M163" s="39">
        <f>IFERROR(M124*$BC85/SUMPRODUCT(M$97:M$131,$BC$58:$BC$92),0)</f>
        <v/>
      </c>
      <c r="N163" s="39">
        <f>IFERROR(N124*$BC85/SUMPRODUCT(N$97:N$131,$BC$58:$BC$92),0)</f>
        <v/>
      </c>
      <c r="O163" s="39">
        <f>IFERROR(O124*$BC85/SUMPRODUCT(O$97:O$131,$BC$58:$BC$92),0)</f>
        <v/>
      </c>
      <c r="P163" s="39">
        <f>IFERROR(P124*$BC85/SUMPRODUCT(P$97:P$131,$BC$58:$BC$92),0)</f>
        <v/>
      </c>
      <c r="Q163" s="39">
        <f>IFERROR(Q124*$BC85/SUMPRODUCT(Q$97:Q$131,$BC$58:$BC$92),0)</f>
        <v/>
      </c>
      <c r="R163" s="39">
        <f>IFERROR(R124*$BC85/SUMPRODUCT(R$97:R$131,$BC$58:$BC$92),0)</f>
        <v/>
      </c>
      <c r="S163" s="39">
        <f>IFERROR(S124*$BC85/SUMPRODUCT(S$97:S$131,$BC$58:$BC$92),0)</f>
        <v/>
      </c>
      <c r="T163" s="39">
        <f>IFERROR(T124*$BC85/SUMPRODUCT(T$97:T$131,$BC$58:$BC$92),0)</f>
        <v/>
      </c>
      <c r="U163" s="39">
        <f>IFERROR(U124*$BC85/SUMPRODUCT(U$97:U$131,$BC$58:$BC$92),0)</f>
        <v/>
      </c>
      <c r="V163" s="39">
        <f>IFERROR(V124*$BC85/SUMPRODUCT(V$97:V$131,$BC$58:$BC$92),0)</f>
        <v/>
      </c>
      <c r="W163" s="39">
        <f>IFERROR(W124*$BC85/SUMPRODUCT(W$97:W$131,$BC$58:$BC$92),0)</f>
        <v/>
      </c>
      <c r="X163" s="39">
        <f>IFERROR(X124*$BC85/SUMPRODUCT(X$97:X$131,$BC$58:$BC$92),0)</f>
        <v/>
      </c>
      <c r="Y163" s="39">
        <f>IFERROR(Y124*$BC85/SUMPRODUCT(Y$97:Y$131,$BC$58:$BC$92),0)</f>
        <v/>
      </c>
      <c r="Z163" s="39">
        <f>IFERROR(Z124*$BC85/SUMPRODUCT(Z$97:Z$131,$BC$58:$BC$92),0)</f>
        <v/>
      </c>
      <c r="AA163" s="39">
        <f>IFERROR(AA124*$BC85/SUMPRODUCT(AA$97:AA$131,$BC$58:$BC$92),0)</f>
        <v/>
      </c>
      <c r="AB163" s="39">
        <f>IFERROR(AB124*$BC85/SUMPRODUCT(AB$97:AB$131,$BC$58:$BC$92),0)</f>
        <v/>
      </c>
      <c r="AC163" s="39">
        <f>IFERROR(AC124*$BC85/SUMPRODUCT(AC$97:AC$131,$BC$58:$BC$92),0)</f>
        <v/>
      </c>
      <c r="AD163" s="39">
        <f>IFERROR(AD124*$BC85/SUMPRODUCT(AD$97:AD$131,$BC$58:$BC$92),0)</f>
        <v/>
      </c>
      <c r="AE163" s="39">
        <f>IFERROR(AE124*$BC85/SUMPRODUCT(AE$97:AE$131,$BC$58:$BC$92),0)</f>
        <v/>
      </c>
      <c r="AF163" s="39">
        <f>IFERROR(AF124*$BC85/SUMPRODUCT(AF$97:AF$131,$BC$58:$BC$92),0)</f>
        <v/>
      </c>
      <c r="AG163" s="39">
        <f>IFERROR(AG124*$BC85/SUMPRODUCT(AG$97:AG$131,$BC$58:$BC$92),0)</f>
        <v/>
      </c>
      <c r="AH163" s="39">
        <f>IFERROR(AH124*$BC85/SUMPRODUCT(AH$97:AH$131,$BC$58:$BC$92),0)</f>
        <v/>
      </c>
      <c r="AI163" s="39">
        <f>IFERROR(AI124*$BC85/SUMPRODUCT(AI$97:AI$131,$BC$58:$BC$92),0)</f>
        <v/>
      </c>
      <c r="AJ163" s="39">
        <f>IFERROR(AJ124*$BC85/SUMPRODUCT(AJ$97:AJ$131,$BC$58:$BC$92),0)</f>
        <v/>
      </c>
      <c r="AK163" s="39">
        <f>IFERROR(AK124*$BC85/SUMPRODUCT(AK$97:AK$131,$BC$58:$BC$92),0)</f>
        <v/>
      </c>
      <c r="AL163" s="39">
        <f>IFERROR(AL124*$BC85/SUMPRODUCT(AL$97:AL$131,$BC$58:$BC$92),0)</f>
        <v/>
      </c>
      <c r="AM163" s="39">
        <f>IFERROR(AM124*$BC85/SUMPRODUCT(AM$97:AM$131,$BC$58:$BC$92),0)</f>
        <v/>
      </c>
      <c r="AN163" s="39">
        <f>IFERROR(AN124*$BC85/SUMPRODUCT(AN$97:AN$131,$BC$58:$BC$92),0)</f>
        <v/>
      </c>
      <c r="AO163" s="39">
        <f>IFERROR(AO124*$BC85/SUMPRODUCT(AO$97:AO$131,$BC$58:$BC$92),0)</f>
        <v/>
      </c>
      <c r="AP163" s="39">
        <f>IFERROR(AP124*$BC85/SUMPRODUCT(AP$97:AP$131,$BC$58:$BC$92),0)</f>
        <v/>
      </c>
      <c r="AQ163" s="39">
        <f>IFERROR(AQ124*$BC85/SUMPRODUCT(AQ$97:AQ$131,$BC$58:$BC$92),0)</f>
        <v/>
      </c>
      <c r="AR163" s="39">
        <f>IFERROR(AR124*$BC85/SUMPRODUCT(AR$97:AR$131,$BC$58:$BC$92),0)</f>
        <v/>
      </c>
      <c r="AS163" s="39">
        <f>IFERROR(AS124*$BC85/SUMPRODUCT(AS$97:AS$131,$BC$58:$BC$92),0)</f>
        <v/>
      </c>
      <c r="AT163" s="39">
        <f>IFERROR(AT124*$BC85/SUMPRODUCT(AT$97:AT$131,$BC$58:$BC$92),0)</f>
        <v/>
      </c>
      <c r="AU163" s="39">
        <f>IFERROR(AU124*$BC85/SUMPRODUCT(AU$97:AU$131,$BC$58:$BC$92),0)</f>
        <v/>
      </c>
      <c r="AV163" s="39">
        <f>IFERROR(AV124*$BC85/SUMPRODUCT(AV$97:AV$131,$BC$58:$BC$92),0)</f>
        <v/>
      </c>
      <c r="AW163" s="39">
        <f>IFERROR(AW124*$BC85/SUMPRODUCT(AW$97:AW$131,$BC$58:$BC$92),0)</f>
        <v/>
      </c>
      <c r="AX163" s="39">
        <f>IFERROR(AX124*$BC85/SUMPRODUCT(AX$97:AX$131,$BC$58:$BC$92),0)</f>
        <v/>
      </c>
      <c r="AY163" s="39">
        <f>IFERROR(AY124*$BC85/SUMPRODUCT(AY$97:AY$131,$BC$58:$BC$92),0)</f>
        <v/>
      </c>
      <c r="AZ163" s="39">
        <f>IFERROR(AZ124*$BC85/SUMPRODUCT(AZ$97:AZ$131,$BC$58:$BC$92),0)</f>
        <v/>
      </c>
      <c r="BA163" s="39">
        <f>IFERROR(BA124*$BC85/SUMPRODUCT(BA$97:BA$131,$BC$58:$BC$92),0)</f>
        <v/>
      </c>
      <c r="BB163" s="39">
        <f>IFERROR(BB124*$BC85/SUMPRODUCT(BB$97:BB$131,$BC$58:$BC$92),0)</f>
        <v/>
      </c>
    </row>
    <row r="164">
      <c r="C164" s="1" t="n"/>
      <c r="D164" s="237">
        <f>D125</f>
        <v/>
      </c>
      <c r="E164" s="39">
        <f>IFERROR(E125*$BC86/SUMPRODUCT(E$97:E$131,$BC$58:$BC$92),0)</f>
        <v/>
      </c>
      <c r="F164" s="39">
        <f>IFERROR(F125*$BC86/SUMPRODUCT(F$97:F$131,$BC$58:$BC$92),0)</f>
        <v/>
      </c>
      <c r="G164" s="39">
        <f>IFERROR(G125*$BC86/SUMPRODUCT(G$97:G$131,$BC$58:$BC$92),0)</f>
        <v/>
      </c>
      <c r="H164" s="39">
        <f>IFERROR(H125*$BC86/SUMPRODUCT(H$97:H$131,$BC$58:$BC$92),0)</f>
        <v/>
      </c>
      <c r="I164" s="39">
        <f>IFERROR(I125*$BC86/SUMPRODUCT(I$97:I$131,$BC$58:$BC$92),0)</f>
        <v/>
      </c>
      <c r="J164" s="39">
        <f>IFERROR(J125*$BC86/SUMPRODUCT(J$97:J$131,$BC$58:$BC$92),0)</f>
        <v/>
      </c>
      <c r="K164" s="39">
        <f>IFERROR(K125*$BC86/SUMPRODUCT(K$97:K$131,$BC$58:$BC$92),0)</f>
        <v/>
      </c>
      <c r="L164" s="39">
        <f>IFERROR(L125*$BC86/SUMPRODUCT(L$97:L$131,$BC$58:$BC$92),0)</f>
        <v/>
      </c>
      <c r="M164" s="39">
        <f>IFERROR(M125*$BC86/SUMPRODUCT(M$97:M$131,$BC$58:$BC$92),0)</f>
        <v/>
      </c>
      <c r="N164" s="39">
        <f>IFERROR(N125*$BC86/SUMPRODUCT(N$97:N$131,$BC$58:$BC$92),0)</f>
        <v/>
      </c>
      <c r="O164" s="39">
        <f>IFERROR(O125*$BC86/SUMPRODUCT(O$97:O$131,$BC$58:$BC$92),0)</f>
        <v/>
      </c>
      <c r="P164" s="39">
        <f>IFERROR(P125*$BC86/SUMPRODUCT(P$97:P$131,$BC$58:$BC$92),0)</f>
        <v/>
      </c>
      <c r="Q164" s="39">
        <f>IFERROR(Q125*$BC86/SUMPRODUCT(Q$97:Q$131,$BC$58:$BC$92),0)</f>
        <v/>
      </c>
      <c r="R164" s="39">
        <f>IFERROR(R125*$BC86/SUMPRODUCT(R$97:R$131,$BC$58:$BC$92),0)</f>
        <v/>
      </c>
      <c r="S164" s="39">
        <f>IFERROR(S125*$BC86/SUMPRODUCT(S$97:S$131,$BC$58:$BC$92),0)</f>
        <v/>
      </c>
      <c r="T164" s="39">
        <f>IFERROR(T125*$BC86/SUMPRODUCT(T$97:T$131,$BC$58:$BC$92),0)</f>
        <v/>
      </c>
      <c r="U164" s="39">
        <f>IFERROR(U125*$BC86/SUMPRODUCT(U$97:U$131,$BC$58:$BC$92),0)</f>
        <v/>
      </c>
      <c r="V164" s="39">
        <f>IFERROR(V125*$BC86/SUMPRODUCT(V$97:V$131,$BC$58:$BC$92),0)</f>
        <v/>
      </c>
      <c r="W164" s="39">
        <f>IFERROR(W125*$BC86/SUMPRODUCT(W$97:W$131,$BC$58:$BC$92),0)</f>
        <v/>
      </c>
      <c r="X164" s="39">
        <f>IFERROR(X125*$BC86/SUMPRODUCT(X$97:X$131,$BC$58:$BC$92),0)</f>
        <v/>
      </c>
      <c r="Y164" s="39">
        <f>IFERROR(Y125*$BC86/SUMPRODUCT(Y$97:Y$131,$BC$58:$BC$92),0)</f>
        <v/>
      </c>
      <c r="Z164" s="39">
        <f>IFERROR(Z125*$BC86/SUMPRODUCT(Z$97:Z$131,$BC$58:$BC$92),0)</f>
        <v/>
      </c>
      <c r="AA164" s="39">
        <f>IFERROR(AA125*$BC86/SUMPRODUCT(AA$97:AA$131,$BC$58:$BC$92),0)</f>
        <v/>
      </c>
      <c r="AB164" s="39">
        <f>IFERROR(AB125*$BC86/SUMPRODUCT(AB$97:AB$131,$BC$58:$BC$92),0)</f>
        <v/>
      </c>
      <c r="AC164" s="39">
        <f>IFERROR(AC125*$BC86/SUMPRODUCT(AC$97:AC$131,$BC$58:$BC$92),0)</f>
        <v/>
      </c>
      <c r="AD164" s="39">
        <f>IFERROR(AD125*$BC86/SUMPRODUCT(AD$97:AD$131,$BC$58:$BC$92),0)</f>
        <v/>
      </c>
      <c r="AE164" s="39">
        <f>IFERROR(AE125*$BC86/SUMPRODUCT(AE$97:AE$131,$BC$58:$BC$92),0)</f>
        <v/>
      </c>
      <c r="AF164" s="39">
        <f>IFERROR(AF125*$BC86/SUMPRODUCT(AF$97:AF$131,$BC$58:$BC$92),0)</f>
        <v/>
      </c>
      <c r="AG164" s="39">
        <f>IFERROR(AG125*$BC86/SUMPRODUCT(AG$97:AG$131,$BC$58:$BC$92),0)</f>
        <v/>
      </c>
      <c r="AH164" s="39">
        <f>IFERROR(AH125*$BC86/SUMPRODUCT(AH$97:AH$131,$BC$58:$BC$92),0)</f>
        <v/>
      </c>
      <c r="AI164" s="39">
        <f>IFERROR(AI125*$BC86/SUMPRODUCT(AI$97:AI$131,$BC$58:$BC$92),0)</f>
        <v/>
      </c>
      <c r="AJ164" s="39">
        <f>IFERROR(AJ125*$BC86/SUMPRODUCT(AJ$97:AJ$131,$BC$58:$BC$92),0)</f>
        <v/>
      </c>
      <c r="AK164" s="39">
        <f>IFERROR(AK125*$BC86/SUMPRODUCT(AK$97:AK$131,$BC$58:$BC$92),0)</f>
        <v/>
      </c>
      <c r="AL164" s="39">
        <f>IFERROR(AL125*$BC86/SUMPRODUCT(AL$97:AL$131,$BC$58:$BC$92),0)</f>
        <v/>
      </c>
      <c r="AM164" s="39">
        <f>IFERROR(AM125*$BC86/SUMPRODUCT(AM$97:AM$131,$BC$58:$BC$92),0)</f>
        <v/>
      </c>
      <c r="AN164" s="39">
        <f>IFERROR(AN125*$BC86/SUMPRODUCT(AN$97:AN$131,$BC$58:$BC$92),0)</f>
        <v/>
      </c>
      <c r="AO164" s="39">
        <f>IFERROR(AO125*$BC86/SUMPRODUCT(AO$97:AO$131,$BC$58:$BC$92),0)</f>
        <v/>
      </c>
      <c r="AP164" s="39">
        <f>IFERROR(AP125*$BC86/SUMPRODUCT(AP$97:AP$131,$BC$58:$BC$92),0)</f>
        <v/>
      </c>
      <c r="AQ164" s="39">
        <f>IFERROR(AQ125*$BC86/SUMPRODUCT(AQ$97:AQ$131,$BC$58:$BC$92),0)</f>
        <v/>
      </c>
      <c r="AR164" s="39">
        <f>IFERROR(AR125*$BC86/SUMPRODUCT(AR$97:AR$131,$BC$58:$BC$92),0)</f>
        <v/>
      </c>
      <c r="AS164" s="39">
        <f>IFERROR(AS125*$BC86/SUMPRODUCT(AS$97:AS$131,$BC$58:$BC$92),0)</f>
        <v/>
      </c>
      <c r="AT164" s="39">
        <f>IFERROR(AT125*$BC86/SUMPRODUCT(AT$97:AT$131,$BC$58:$BC$92),0)</f>
        <v/>
      </c>
      <c r="AU164" s="39">
        <f>IFERROR(AU125*$BC86/SUMPRODUCT(AU$97:AU$131,$BC$58:$BC$92),0)</f>
        <v/>
      </c>
      <c r="AV164" s="39">
        <f>IFERROR(AV125*$BC86/SUMPRODUCT(AV$97:AV$131,$BC$58:$BC$92),0)</f>
        <v/>
      </c>
      <c r="AW164" s="39">
        <f>IFERROR(AW125*$BC86/SUMPRODUCT(AW$97:AW$131,$BC$58:$BC$92),0)</f>
        <v/>
      </c>
      <c r="AX164" s="39">
        <f>IFERROR(AX125*$BC86/SUMPRODUCT(AX$97:AX$131,$BC$58:$BC$92),0)</f>
        <v/>
      </c>
      <c r="AY164" s="39">
        <f>IFERROR(AY125*$BC86/SUMPRODUCT(AY$97:AY$131,$BC$58:$BC$92),0)</f>
        <v/>
      </c>
      <c r="AZ164" s="39">
        <f>IFERROR(AZ125*$BC86/SUMPRODUCT(AZ$97:AZ$131,$BC$58:$BC$92),0)</f>
        <v/>
      </c>
      <c r="BA164" s="39">
        <f>IFERROR(BA125*$BC86/SUMPRODUCT(BA$97:BA$131,$BC$58:$BC$92),0)</f>
        <v/>
      </c>
      <c r="BB164" s="39">
        <f>IFERROR(BB125*$BC86/SUMPRODUCT(BB$97:BB$131,$BC$58:$BC$92),0)</f>
        <v/>
      </c>
    </row>
    <row r="165">
      <c r="C165" s="1" t="n"/>
      <c r="D165" s="237">
        <f>D126</f>
        <v/>
      </c>
      <c r="E165" s="39">
        <f>IFERROR(E126*$BC87/SUMPRODUCT(E$97:E$131,$BC$58:$BC$92),0)</f>
        <v/>
      </c>
      <c r="F165" s="39">
        <f>IFERROR(F126*$BC87/SUMPRODUCT(F$97:F$131,$BC$58:$BC$92),0)</f>
        <v/>
      </c>
      <c r="G165" s="39">
        <f>IFERROR(G126*$BC87/SUMPRODUCT(G$97:G$131,$BC$58:$BC$92),0)</f>
        <v/>
      </c>
      <c r="H165" s="39">
        <f>IFERROR(H126*$BC87/SUMPRODUCT(H$97:H$131,$BC$58:$BC$92),0)</f>
        <v/>
      </c>
      <c r="I165" s="39">
        <f>IFERROR(I126*$BC87/SUMPRODUCT(I$97:I$131,$BC$58:$BC$92),0)</f>
        <v/>
      </c>
      <c r="J165" s="39">
        <f>IFERROR(J126*$BC87/SUMPRODUCT(J$97:J$131,$BC$58:$BC$92),0)</f>
        <v/>
      </c>
      <c r="K165" s="39">
        <f>IFERROR(K126*$BC87/SUMPRODUCT(K$97:K$131,$BC$58:$BC$92),0)</f>
        <v/>
      </c>
      <c r="L165" s="39">
        <f>IFERROR(L126*$BC87/SUMPRODUCT(L$97:L$131,$BC$58:$BC$92),0)</f>
        <v/>
      </c>
      <c r="M165" s="39">
        <f>IFERROR(M126*$BC87/SUMPRODUCT(M$97:M$131,$BC$58:$BC$92),0)</f>
        <v/>
      </c>
      <c r="N165" s="39">
        <f>IFERROR(N126*$BC87/SUMPRODUCT(N$97:N$131,$BC$58:$BC$92),0)</f>
        <v/>
      </c>
      <c r="O165" s="39">
        <f>IFERROR(O126*$BC87/SUMPRODUCT(O$97:O$131,$BC$58:$BC$92),0)</f>
        <v/>
      </c>
      <c r="P165" s="39">
        <f>IFERROR(P126*$BC87/SUMPRODUCT(P$97:P$131,$BC$58:$BC$92),0)</f>
        <v/>
      </c>
      <c r="Q165" s="39">
        <f>IFERROR(Q126*$BC87/SUMPRODUCT(Q$97:Q$131,$BC$58:$BC$92),0)</f>
        <v/>
      </c>
      <c r="R165" s="39">
        <f>IFERROR(R126*$BC87/SUMPRODUCT(R$97:R$131,$BC$58:$BC$92),0)</f>
        <v/>
      </c>
      <c r="S165" s="39">
        <f>IFERROR(S126*$BC87/SUMPRODUCT(S$97:S$131,$BC$58:$BC$92),0)</f>
        <v/>
      </c>
      <c r="T165" s="39">
        <f>IFERROR(T126*$BC87/SUMPRODUCT(T$97:T$131,$BC$58:$BC$92),0)</f>
        <v/>
      </c>
      <c r="U165" s="39">
        <f>IFERROR(U126*$BC87/SUMPRODUCT(U$97:U$131,$BC$58:$BC$92),0)</f>
        <v/>
      </c>
      <c r="V165" s="39">
        <f>IFERROR(V126*$BC87/SUMPRODUCT(V$97:V$131,$BC$58:$BC$92),0)</f>
        <v/>
      </c>
      <c r="W165" s="39">
        <f>IFERROR(W126*$BC87/SUMPRODUCT(W$97:W$131,$BC$58:$BC$92),0)</f>
        <v/>
      </c>
      <c r="X165" s="39">
        <f>IFERROR(X126*$BC87/SUMPRODUCT(X$97:X$131,$BC$58:$BC$92),0)</f>
        <v/>
      </c>
      <c r="Y165" s="39">
        <f>IFERROR(Y126*$BC87/SUMPRODUCT(Y$97:Y$131,$BC$58:$BC$92),0)</f>
        <v/>
      </c>
      <c r="Z165" s="39">
        <f>IFERROR(Z126*$BC87/SUMPRODUCT(Z$97:Z$131,$BC$58:$BC$92),0)</f>
        <v/>
      </c>
      <c r="AA165" s="39">
        <f>IFERROR(AA126*$BC87/SUMPRODUCT(AA$97:AA$131,$BC$58:$BC$92),0)</f>
        <v/>
      </c>
      <c r="AB165" s="39">
        <f>IFERROR(AB126*$BC87/SUMPRODUCT(AB$97:AB$131,$BC$58:$BC$92),0)</f>
        <v/>
      </c>
      <c r="AC165" s="39">
        <f>IFERROR(AC126*$BC87/SUMPRODUCT(AC$97:AC$131,$BC$58:$BC$92),0)</f>
        <v/>
      </c>
      <c r="AD165" s="39">
        <f>IFERROR(AD126*$BC87/SUMPRODUCT(AD$97:AD$131,$BC$58:$BC$92),0)</f>
        <v/>
      </c>
      <c r="AE165" s="39">
        <f>IFERROR(AE126*$BC87/SUMPRODUCT(AE$97:AE$131,$BC$58:$BC$92),0)</f>
        <v/>
      </c>
      <c r="AF165" s="39">
        <f>IFERROR(AF126*$BC87/SUMPRODUCT(AF$97:AF$131,$BC$58:$BC$92),0)</f>
        <v/>
      </c>
      <c r="AG165" s="39">
        <f>IFERROR(AG126*$BC87/SUMPRODUCT(AG$97:AG$131,$BC$58:$BC$92),0)</f>
        <v/>
      </c>
      <c r="AH165" s="39">
        <f>IFERROR(AH126*$BC87/SUMPRODUCT(AH$97:AH$131,$BC$58:$BC$92),0)</f>
        <v/>
      </c>
      <c r="AI165" s="39">
        <f>IFERROR(AI126*$BC87/SUMPRODUCT(AI$97:AI$131,$BC$58:$BC$92),0)</f>
        <v/>
      </c>
      <c r="AJ165" s="39">
        <f>IFERROR(AJ126*$BC87/SUMPRODUCT(AJ$97:AJ$131,$BC$58:$BC$92),0)</f>
        <v/>
      </c>
      <c r="AK165" s="39">
        <f>IFERROR(AK126*$BC87/SUMPRODUCT(AK$97:AK$131,$BC$58:$BC$92),0)</f>
        <v/>
      </c>
      <c r="AL165" s="39">
        <f>IFERROR(AL126*$BC87/SUMPRODUCT(AL$97:AL$131,$BC$58:$BC$92),0)</f>
        <v/>
      </c>
      <c r="AM165" s="39">
        <f>IFERROR(AM126*$BC87/SUMPRODUCT(AM$97:AM$131,$BC$58:$BC$92),0)</f>
        <v/>
      </c>
      <c r="AN165" s="39">
        <f>IFERROR(AN126*$BC87/SUMPRODUCT(AN$97:AN$131,$BC$58:$BC$92),0)</f>
        <v/>
      </c>
      <c r="AO165" s="39">
        <f>IFERROR(AO126*$BC87/SUMPRODUCT(AO$97:AO$131,$BC$58:$BC$92),0)</f>
        <v/>
      </c>
      <c r="AP165" s="39">
        <f>IFERROR(AP126*$BC87/SUMPRODUCT(AP$97:AP$131,$BC$58:$BC$92),0)</f>
        <v/>
      </c>
      <c r="AQ165" s="39">
        <f>IFERROR(AQ126*$BC87/SUMPRODUCT(AQ$97:AQ$131,$BC$58:$BC$92),0)</f>
        <v/>
      </c>
      <c r="AR165" s="39">
        <f>IFERROR(AR126*$BC87/SUMPRODUCT(AR$97:AR$131,$BC$58:$BC$92),0)</f>
        <v/>
      </c>
      <c r="AS165" s="39">
        <f>IFERROR(AS126*$BC87/SUMPRODUCT(AS$97:AS$131,$BC$58:$BC$92),0)</f>
        <v/>
      </c>
      <c r="AT165" s="39">
        <f>IFERROR(AT126*$BC87/SUMPRODUCT(AT$97:AT$131,$BC$58:$BC$92),0)</f>
        <v/>
      </c>
      <c r="AU165" s="39">
        <f>IFERROR(AU126*$BC87/SUMPRODUCT(AU$97:AU$131,$BC$58:$BC$92),0)</f>
        <v/>
      </c>
      <c r="AV165" s="39">
        <f>IFERROR(AV126*$BC87/SUMPRODUCT(AV$97:AV$131,$BC$58:$BC$92),0)</f>
        <v/>
      </c>
      <c r="AW165" s="39">
        <f>IFERROR(AW126*$BC87/SUMPRODUCT(AW$97:AW$131,$BC$58:$BC$92),0)</f>
        <v/>
      </c>
      <c r="AX165" s="39">
        <f>IFERROR(AX126*$BC87/SUMPRODUCT(AX$97:AX$131,$BC$58:$BC$92),0)</f>
        <v/>
      </c>
      <c r="AY165" s="39">
        <f>IFERROR(AY126*$BC87/SUMPRODUCT(AY$97:AY$131,$BC$58:$BC$92),0)</f>
        <v/>
      </c>
      <c r="AZ165" s="39">
        <f>IFERROR(AZ126*$BC87/SUMPRODUCT(AZ$97:AZ$131,$BC$58:$BC$92),0)</f>
        <v/>
      </c>
      <c r="BA165" s="39">
        <f>IFERROR(BA126*$BC87/SUMPRODUCT(BA$97:BA$131,$BC$58:$BC$92),0)</f>
        <v/>
      </c>
      <c r="BB165" s="39">
        <f>IFERROR(BB126*$BC87/SUMPRODUCT(BB$97:BB$131,$BC$58:$BC$92),0)</f>
        <v/>
      </c>
    </row>
    <row r="166">
      <c r="C166" s="1" t="n"/>
      <c r="D166" s="237">
        <f>D127</f>
        <v/>
      </c>
      <c r="E166" s="39">
        <f>IFERROR(E127*$BC88/SUMPRODUCT(E$97:E$131,$BC$58:$BC$92),0)</f>
        <v/>
      </c>
      <c r="F166" s="39">
        <f>IFERROR(F127*$BC88/SUMPRODUCT(F$97:F$131,$BC$58:$BC$92),0)</f>
        <v/>
      </c>
      <c r="G166" s="39">
        <f>IFERROR(G127*$BC88/SUMPRODUCT(G$97:G$131,$BC$58:$BC$92),0)</f>
        <v/>
      </c>
      <c r="H166" s="39">
        <f>IFERROR(H127*$BC88/SUMPRODUCT(H$97:H$131,$BC$58:$BC$92),0)</f>
        <v/>
      </c>
      <c r="I166" s="39">
        <f>IFERROR(I127*$BC88/SUMPRODUCT(I$97:I$131,$BC$58:$BC$92),0)</f>
        <v/>
      </c>
      <c r="J166" s="39">
        <f>IFERROR(J127*$BC88/SUMPRODUCT(J$97:J$131,$BC$58:$BC$92),0)</f>
        <v/>
      </c>
      <c r="K166" s="39">
        <f>IFERROR(K127*$BC88/SUMPRODUCT(K$97:K$131,$BC$58:$BC$92),0)</f>
        <v/>
      </c>
      <c r="L166" s="39">
        <f>IFERROR(L127*$BC88/SUMPRODUCT(L$97:L$131,$BC$58:$BC$92),0)</f>
        <v/>
      </c>
      <c r="M166" s="39">
        <f>IFERROR(M127*$BC88/SUMPRODUCT(M$97:M$131,$BC$58:$BC$92),0)</f>
        <v/>
      </c>
      <c r="N166" s="39">
        <f>IFERROR(N127*$BC88/SUMPRODUCT(N$97:N$131,$BC$58:$BC$92),0)</f>
        <v/>
      </c>
      <c r="O166" s="39">
        <f>IFERROR(O127*$BC88/SUMPRODUCT(O$97:O$131,$BC$58:$BC$92),0)</f>
        <v/>
      </c>
      <c r="P166" s="39">
        <f>IFERROR(P127*$BC88/SUMPRODUCT(P$97:P$131,$BC$58:$BC$92),0)</f>
        <v/>
      </c>
      <c r="Q166" s="39">
        <f>IFERROR(Q127*$BC88/SUMPRODUCT(Q$97:Q$131,$BC$58:$BC$92),0)</f>
        <v/>
      </c>
      <c r="R166" s="39">
        <f>IFERROR(R127*$BC88/SUMPRODUCT(R$97:R$131,$BC$58:$BC$92),0)</f>
        <v/>
      </c>
      <c r="S166" s="39">
        <f>IFERROR(S127*$BC88/SUMPRODUCT(S$97:S$131,$BC$58:$BC$92),0)</f>
        <v/>
      </c>
      <c r="T166" s="39">
        <f>IFERROR(T127*$BC88/SUMPRODUCT(T$97:T$131,$BC$58:$BC$92),0)</f>
        <v/>
      </c>
      <c r="U166" s="39">
        <f>IFERROR(U127*$BC88/SUMPRODUCT(U$97:U$131,$BC$58:$BC$92),0)</f>
        <v/>
      </c>
      <c r="V166" s="39">
        <f>IFERROR(V127*$BC88/SUMPRODUCT(V$97:V$131,$BC$58:$BC$92),0)</f>
        <v/>
      </c>
      <c r="W166" s="39">
        <f>IFERROR(W127*$BC88/SUMPRODUCT(W$97:W$131,$BC$58:$BC$92),0)</f>
        <v/>
      </c>
      <c r="X166" s="39">
        <f>IFERROR(X127*$BC88/SUMPRODUCT(X$97:X$131,$BC$58:$BC$92),0)</f>
        <v/>
      </c>
      <c r="Y166" s="39">
        <f>IFERROR(Y127*$BC88/SUMPRODUCT(Y$97:Y$131,$BC$58:$BC$92),0)</f>
        <v/>
      </c>
      <c r="Z166" s="39">
        <f>IFERROR(Z127*$BC88/SUMPRODUCT(Z$97:Z$131,$BC$58:$BC$92),0)</f>
        <v/>
      </c>
      <c r="AA166" s="39">
        <f>IFERROR(AA127*$BC88/SUMPRODUCT(AA$97:AA$131,$BC$58:$BC$92),0)</f>
        <v/>
      </c>
      <c r="AB166" s="39">
        <f>IFERROR(AB127*$BC88/SUMPRODUCT(AB$97:AB$131,$BC$58:$BC$92),0)</f>
        <v/>
      </c>
      <c r="AC166" s="39">
        <f>IFERROR(AC127*$BC88/SUMPRODUCT(AC$97:AC$131,$BC$58:$BC$92),0)</f>
        <v/>
      </c>
      <c r="AD166" s="39">
        <f>IFERROR(AD127*$BC88/SUMPRODUCT(AD$97:AD$131,$BC$58:$BC$92),0)</f>
        <v/>
      </c>
      <c r="AE166" s="39">
        <f>IFERROR(AE127*$BC88/SUMPRODUCT(AE$97:AE$131,$BC$58:$BC$92),0)</f>
        <v/>
      </c>
      <c r="AF166" s="39">
        <f>IFERROR(AF127*$BC88/SUMPRODUCT(AF$97:AF$131,$BC$58:$BC$92),0)</f>
        <v/>
      </c>
      <c r="AG166" s="39">
        <f>IFERROR(AG127*$BC88/SUMPRODUCT(AG$97:AG$131,$BC$58:$BC$92),0)</f>
        <v/>
      </c>
      <c r="AH166" s="39">
        <f>IFERROR(AH127*$BC88/SUMPRODUCT(AH$97:AH$131,$BC$58:$BC$92),0)</f>
        <v/>
      </c>
      <c r="AI166" s="39">
        <f>IFERROR(AI127*$BC88/SUMPRODUCT(AI$97:AI$131,$BC$58:$BC$92),0)</f>
        <v/>
      </c>
      <c r="AJ166" s="39">
        <f>IFERROR(AJ127*$BC88/SUMPRODUCT(AJ$97:AJ$131,$BC$58:$BC$92),0)</f>
        <v/>
      </c>
      <c r="AK166" s="39">
        <f>IFERROR(AK127*$BC88/SUMPRODUCT(AK$97:AK$131,$BC$58:$BC$92),0)</f>
        <v/>
      </c>
      <c r="AL166" s="39">
        <f>IFERROR(AL127*$BC88/SUMPRODUCT(AL$97:AL$131,$BC$58:$BC$92),0)</f>
        <v/>
      </c>
      <c r="AM166" s="39">
        <f>IFERROR(AM127*$BC88/SUMPRODUCT(AM$97:AM$131,$BC$58:$BC$92),0)</f>
        <v/>
      </c>
      <c r="AN166" s="39">
        <f>IFERROR(AN127*$BC88/SUMPRODUCT(AN$97:AN$131,$BC$58:$BC$92),0)</f>
        <v/>
      </c>
      <c r="AO166" s="39">
        <f>IFERROR(AO127*$BC88/SUMPRODUCT(AO$97:AO$131,$BC$58:$BC$92),0)</f>
        <v/>
      </c>
      <c r="AP166" s="39">
        <f>IFERROR(AP127*$BC88/SUMPRODUCT(AP$97:AP$131,$BC$58:$BC$92),0)</f>
        <v/>
      </c>
      <c r="AQ166" s="39">
        <f>IFERROR(AQ127*$BC88/SUMPRODUCT(AQ$97:AQ$131,$BC$58:$BC$92),0)</f>
        <v/>
      </c>
      <c r="AR166" s="39">
        <f>IFERROR(AR127*$BC88/SUMPRODUCT(AR$97:AR$131,$BC$58:$BC$92),0)</f>
        <v/>
      </c>
      <c r="AS166" s="39">
        <f>IFERROR(AS127*$BC88/SUMPRODUCT(AS$97:AS$131,$BC$58:$BC$92),0)</f>
        <v/>
      </c>
      <c r="AT166" s="39">
        <f>IFERROR(AT127*$BC88/SUMPRODUCT(AT$97:AT$131,$BC$58:$BC$92),0)</f>
        <v/>
      </c>
      <c r="AU166" s="39">
        <f>IFERROR(AU127*$BC88/SUMPRODUCT(AU$97:AU$131,$BC$58:$BC$92),0)</f>
        <v/>
      </c>
      <c r="AV166" s="39">
        <f>IFERROR(AV127*$BC88/SUMPRODUCT(AV$97:AV$131,$BC$58:$BC$92),0)</f>
        <v/>
      </c>
      <c r="AW166" s="39">
        <f>IFERROR(AW127*$BC88/SUMPRODUCT(AW$97:AW$131,$BC$58:$BC$92),0)</f>
        <v/>
      </c>
      <c r="AX166" s="39">
        <f>IFERROR(AX127*$BC88/SUMPRODUCT(AX$97:AX$131,$BC$58:$BC$92),0)</f>
        <v/>
      </c>
      <c r="AY166" s="39">
        <f>IFERROR(AY127*$BC88/SUMPRODUCT(AY$97:AY$131,$BC$58:$BC$92),0)</f>
        <v/>
      </c>
      <c r="AZ166" s="39">
        <f>IFERROR(AZ127*$BC88/SUMPRODUCT(AZ$97:AZ$131,$BC$58:$BC$92),0)</f>
        <v/>
      </c>
      <c r="BA166" s="39">
        <f>IFERROR(BA127*$BC88/SUMPRODUCT(BA$97:BA$131,$BC$58:$BC$92),0)</f>
        <v/>
      </c>
      <c r="BB166" s="39">
        <f>IFERROR(BB127*$BC88/SUMPRODUCT(BB$97:BB$131,$BC$58:$BC$92),0)</f>
        <v/>
      </c>
    </row>
    <row r="167">
      <c r="C167" s="1" t="n"/>
      <c r="D167" s="237">
        <f>D128</f>
        <v/>
      </c>
      <c r="E167" s="39">
        <f>IFERROR(E128*$BC89/SUMPRODUCT(E$97:E$131,$BC$58:$BC$92),0)</f>
        <v/>
      </c>
      <c r="F167" s="39">
        <f>IFERROR(F128*$BC89/SUMPRODUCT(F$97:F$131,$BC$58:$BC$92),0)</f>
        <v/>
      </c>
      <c r="G167" s="39">
        <f>IFERROR(G128*$BC89/SUMPRODUCT(G$97:G$131,$BC$58:$BC$92),0)</f>
        <v/>
      </c>
      <c r="H167" s="39">
        <f>IFERROR(H128*$BC89/SUMPRODUCT(H$97:H$131,$BC$58:$BC$92),0)</f>
        <v/>
      </c>
      <c r="I167" s="39">
        <f>IFERROR(I128*$BC89/SUMPRODUCT(I$97:I$131,$BC$58:$BC$92),0)</f>
        <v/>
      </c>
      <c r="J167" s="39">
        <f>IFERROR(J128*$BC89/SUMPRODUCT(J$97:J$131,$BC$58:$BC$92),0)</f>
        <v/>
      </c>
      <c r="K167" s="39">
        <f>IFERROR(K128*$BC89/SUMPRODUCT(K$97:K$131,$BC$58:$BC$92),0)</f>
        <v/>
      </c>
      <c r="L167" s="39">
        <f>IFERROR(L128*$BC89/SUMPRODUCT(L$97:L$131,$BC$58:$BC$92),0)</f>
        <v/>
      </c>
      <c r="M167" s="39">
        <f>IFERROR(M128*$BC89/SUMPRODUCT(M$97:M$131,$BC$58:$BC$92),0)</f>
        <v/>
      </c>
      <c r="N167" s="39">
        <f>IFERROR(N128*$BC89/SUMPRODUCT(N$97:N$131,$BC$58:$BC$92),0)</f>
        <v/>
      </c>
      <c r="O167" s="39">
        <f>IFERROR(O128*$BC89/SUMPRODUCT(O$97:O$131,$BC$58:$BC$92),0)</f>
        <v/>
      </c>
      <c r="P167" s="39">
        <f>IFERROR(P128*$BC89/SUMPRODUCT(P$97:P$131,$BC$58:$BC$92),0)</f>
        <v/>
      </c>
      <c r="Q167" s="39">
        <f>IFERROR(Q128*$BC89/SUMPRODUCT(Q$97:Q$131,$BC$58:$BC$92),0)</f>
        <v/>
      </c>
      <c r="R167" s="39">
        <f>IFERROR(R128*$BC89/SUMPRODUCT(R$97:R$131,$BC$58:$BC$92),0)</f>
        <v/>
      </c>
      <c r="S167" s="39">
        <f>IFERROR(S128*$BC89/SUMPRODUCT(S$97:S$131,$BC$58:$BC$92),0)</f>
        <v/>
      </c>
      <c r="T167" s="39">
        <f>IFERROR(T128*$BC89/SUMPRODUCT(T$97:T$131,$BC$58:$BC$92),0)</f>
        <v/>
      </c>
      <c r="U167" s="39">
        <f>IFERROR(U128*$BC89/SUMPRODUCT(U$97:U$131,$BC$58:$BC$92),0)</f>
        <v/>
      </c>
      <c r="V167" s="39">
        <f>IFERROR(V128*$BC89/SUMPRODUCT(V$97:V$131,$BC$58:$BC$92),0)</f>
        <v/>
      </c>
      <c r="W167" s="39">
        <f>IFERROR(W128*$BC89/SUMPRODUCT(W$97:W$131,$BC$58:$BC$92),0)</f>
        <v/>
      </c>
      <c r="X167" s="39">
        <f>IFERROR(X128*$BC89/SUMPRODUCT(X$97:X$131,$BC$58:$BC$92),0)</f>
        <v/>
      </c>
      <c r="Y167" s="39">
        <f>IFERROR(Y128*$BC89/SUMPRODUCT(Y$97:Y$131,$BC$58:$BC$92),0)</f>
        <v/>
      </c>
      <c r="Z167" s="39">
        <f>IFERROR(Z128*$BC89/SUMPRODUCT(Z$97:Z$131,$BC$58:$BC$92),0)</f>
        <v/>
      </c>
      <c r="AA167" s="39">
        <f>IFERROR(AA128*$BC89/SUMPRODUCT(AA$97:AA$131,$BC$58:$BC$92),0)</f>
        <v/>
      </c>
      <c r="AB167" s="39">
        <f>IFERROR(AB128*$BC89/SUMPRODUCT(AB$97:AB$131,$BC$58:$BC$92),0)</f>
        <v/>
      </c>
      <c r="AC167" s="39">
        <f>IFERROR(AC128*$BC89/SUMPRODUCT(AC$97:AC$131,$BC$58:$BC$92),0)</f>
        <v/>
      </c>
      <c r="AD167" s="39">
        <f>IFERROR(AD128*$BC89/SUMPRODUCT(AD$97:AD$131,$BC$58:$BC$92),0)</f>
        <v/>
      </c>
      <c r="AE167" s="39">
        <f>IFERROR(AE128*$BC89/SUMPRODUCT(AE$97:AE$131,$BC$58:$BC$92),0)</f>
        <v/>
      </c>
      <c r="AF167" s="39">
        <f>IFERROR(AF128*$BC89/SUMPRODUCT(AF$97:AF$131,$BC$58:$BC$92),0)</f>
        <v/>
      </c>
      <c r="AG167" s="39">
        <f>IFERROR(AG128*$BC89/SUMPRODUCT(AG$97:AG$131,$BC$58:$BC$92),0)</f>
        <v/>
      </c>
      <c r="AH167" s="39">
        <f>IFERROR(AH128*$BC89/SUMPRODUCT(AH$97:AH$131,$BC$58:$BC$92),0)</f>
        <v/>
      </c>
      <c r="AI167" s="39">
        <f>IFERROR(AI128*$BC89/SUMPRODUCT(AI$97:AI$131,$BC$58:$BC$92),0)</f>
        <v/>
      </c>
      <c r="AJ167" s="39">
        <f>IFERROR(AJ128*$BC89/SUMPRODUCT(AJ$97:AJ$131,$BC$58:$BC$92),0)</f>
        <v/>
      </c>
      <c r="AK167" s="39">
        <f>IFERROR(AK128*$BC89/SUMPRODUCT(AK$97:AK$131,$BC$58:$BC$92),0)</f>
        <v/>
      </c>
      <c r="AL167" s="39">
        <f>IFERROR(AL128*$BC89/SUMPRODUCT(AL$97:AL$131,$BC$58:$BC$92),0)</f>
        <v/>
      </c>
      <c r="AM167" s="39">
        <f>IFERROR(AM128*$BC89/SUMPRODUCT(AM$97:AM$131,$BC$58:$BC$92),0)</f>
        <v/>
      </c>
      <c r="AN167" s="39">
        <f>IFERROR(AN128*$BC89/SUMPRODUCT(AN$97:AN$131,$BC$58:$BC$92),0)</f>
        <v/>
      </c>
      <c r="AO167" s="39">
        <f>IFERROR(AO128*$BC89/SUMPRODUCT(AO$97:AO$131,$BC$58:$BC$92),0)</f>
        <v/>
      </c>
      <c r="AP167" s="39">
        <f>IFERROR(AP128*$BC89/SUMPRODUCT(AP$97:AP$131,$BC$58:$BC$92),0)</f>
        <v/>
      </c>
      <c r="AQ167" s="39">
        <f>IFERROR(AQ128*$BC89/SUMPRODUCT(AQ$97:AQ$131,$BC$58:$BC$92),0)</f>
        <v/>
      </c>
      <c r="AR167" s="39">
        <f>IFERROR(AR128*$BC89/SUMPRODUCT(AR$97:AR$131,$BC$58:$BC$92),0)</f>
        <v/>
      </c>
      <c r="AS167" s="39">
        <f>IFERROR(AS128*$BC89/SUMPRODUCT(AS$97:AS$131,$BC$58:$BC$92),0)</f>
        <v/>
      </c>
      <c r="AT167" s="39">
        <f>IFERROR(AT128*$BC89/SUMPRODUCT(AT$97:AT$131,$BC$58:$BC$92),0)</f>
        <v/>
      </c>
      <c r="AU167" s="39">
        <f>IFERROR(AU128*$BC89/SUMPRODUCT(AU$97:AU$131,$BC$58:$BC$92),0)</f>
        <v/>
      </c>
      <c r="AV167" s="39">
        <f>IFERROR(AV128*$BC89/SUMPRODUCT(AV$97:AV$131,$BC$58:$BC$92),0)</f>
        <v/>
      </c>
      <c r="AW167" s="39">
        <f>IFERROR(AW128*$BC89/SUMPRODUCT(AW$97:AW$131,$BC$58:$BC$92),0)</f>
        <v/>
      </c>
      <c r="AX167" s="39">
        <f>IFERROR(AX128*$BC89/SUMPRODUCT(AX$97:AX$131,$BC$58:$BC$92),0)</f>
        <v/>
      </c>
      <c r="AY167" s="39">
        <f>IFERROR(AY128*$BC89/SUMPRODUCT(AY$97:AY$131,$BC$58:$BC$92),0)</f>
        <v/>
      </c>
      <c r="AZ167" s="39">
        <f>IFERROR(AZ128*$BC89/SUMPRODUCT(AZ$97:AZ$131,$BC$58:$BC$92),0)</f>
        <v/>
      </c>
      <c r="BA167" s="39">
        <f>IFERROR(BA128*$BC89/SUMPRODUCT(BA$97:BA$131,$BC$58:$BC$92),0)</f>
        <v/>
      </c>
      <c r="BB167" s="39">
        <f>IFERROR(BB128*$BC89/SUMPRODUCT(BB$97:BB$131,$BC$58:$BC$92),0)</f>
        <v/>
      </c>
    </row>
    <row r="168">
      <c r="C168" s="1" t="n"/>
      <c r="D168" s="237">
        <f>D129</f>
        <v/>
      </c>
      <c r="E168" s="39">
        <f>IFERROR(E129*$BC90/SUMPRODUCT(E$97:E$131,$BC$58:$BC$92),0)</f>
        <v/>
      </c>
      <c r="F168" s="39">
        <f>IFERROR(F129*$BC90/SUMPRODUCT(F$97:F$131,$BC$58:$BC$92),0)</f>
        <v/>
      </c>
      <c r="G168" s="39">
        <f>IFERROR(G129*$BC90/SUMPRODUCT(G$97:G$131,$BC$58:$BC$92),0)</f>
        <v/>
      </c>
      <c r="H168" s="39">
        <f>IFERROR(H129*$BC90/SUMPRODUCT(H$97:H$131,$BC$58:$BC$92),0)</f>
        <v/>
      </c>
      <c r="I168" s="39">
        <f>IFERROR(I129*$BC90/SUMPRODUCT(I$97:I$131,$BC$58:$BC$92),0)</f>
        <v/>
      </c>
      <c r="J168" s="39">
        <f>IFERROR(J129*$BC90/SUMPRODUCT(J$97:J$131,$BC$58:$BC$92),0)</f>
        <v/>
      </c>
      <c r="K168" s="39">
        <f>IFERROR(K129*$BC90/SUMPRODUCT(K$97:K$131,$BC$58:$BC$92),0)</f>
        <v/>
      </c>
      <c r="L168" s="39">
        <f>IFERROR(L129*$BC90/SUMPRODUCT(L$97:L$131,$BC$58:$BC$92),0)</f>
        <v/>
      </c>
      <c r="M168" s="39">
        <f>IFERROR(M129*$BC90/SUMPRODUCT(M$97:M$131,$BC$58:$BC$92),0)</f>
        <v/>
      </c>
      <c r="N168" s="39">
        <f>IFERROR(N129*$BC90/SUMPRODUCT(N$97:N$131,$BC$58:$BC$92),0)</f>
        <v/>
      </c>
      <c r="O168" s="39">
        <f>IFERROR(O129*$BC90/SUMPRODUCT(O$97:O$131,$BC$58:$BC$92),0)</f>
        <v/>
      </c>
      <c r="P168" s="39">
        <f>IFERROR(P129*$BC90/SUMPRODUCT(P$97:P$131,$BC$58:$BC$92),0)</f>
        <v/>
      </c>
      <c r="Q168" s="39">
        <f>IFERROR(Q129*$BC90/SUMPRODUCT(Q$97:Q$131,$BC$58:$BC$92),0)</f>
        <v/>
      </c>
      <c r="R168" s="39">
        <f>IFERROR(R129*$BC90/SUMPRODUCT(R$97:R$131,$BC$58:$BC$92),0)</f>
        <v/>
      </c>
      <c r="S168" s="39">
        <f>IFERROR(S129*$BC90/SUMPRODUCT(S$97:S$131,$BC$58:$BC$92),0)</f>
        <v/>
      </c>
      <c r="T168" s="39">
        <f>IFERROR(T129*$BC90/SUMPRODUCT(T$97:T$131,$BC$58:$BC$92),0)</f>
        <v/>
      </c>
      <c r="U168" s="39">
        <f>IFERROR(U129*$BC90/SUMPRODUCT(U$97:U$131,$BC$58:$BC$92),0)</f>
        <v/>
      </c>
      <c r="V168" s="39">
        <f>IFERROR(V129*$BC90/SUMPRODUCT(V$97:V$131,$BC$58:$BC$92),0)</f>
        <v/>
      </c>
      <c r="W168" s="39">
        <f>IFERROR(W129*$BC90/SUMPRODUCT(W$97:W$131,$BC$58:$BC$92),0)</f>
        <v/>
      </c>
      <c r="X168" s="39">
        <f>IFERROR(X129*$BC90/SUMPRODUCT(X$97:X$131,$BC$58:$BC$92),0)</f>
        <v/>
      </c>
      <c r="Y168" s="39">
        <f>IFERROR(Y129*$BC90/SUMPRODUCT(Y$97:Y$131,$BC$58:$BC$92),0)</f>
        <v/>
      </c>
      <c r="Z168" s="39">
        <f>IFERROR(Z129*$BC90/SUMPRODUCT(Z$97:Z$131,$BC$58:$BC$92),0)</f>
        <v/>
      </c>
      <c r="AA168" s="39">
        <f>IFERROR(AA129*$BC90/SUMPRODUCT(AA$97:AA$131,$BC$58:$BC$92),0)</f>
        <v/>
      </c>
      <c r="AB168" s="39">
        <f>IFERROR(AB129*$BC90/SUMPRODUCT(AB$97:AB$131,$BC$58:$BC$92),0)</f>
        <v/>
      </c>
      <c r="AC168" s="39">
        <f>IFERROR(AC129*$BC90/SUMPRODUCT(AC$97:AC$131,$BC$58:$BC$92),0)</f>
        <v/>
      </c>
      <c r="AD168" s="39">
        <f>IFERROR(AD129*$BC90/SUMPRODUCT(AD$97:AD$131,$BC$58:$BC$92),0)</f>
        <v/>
      </c>
      <c r="AE168" s="39">
        <f>IFERROR(AE129*$BC90/SUMPRODUCT(AE$97:AE$131,$BC$58:$BC$92),0)</f>
        <v/>
      </c>
      <c r="AF168" s="39">
        <f>IFERROR(AF129*$BC90/SUMPRODUCT(AF$97:AF$131,$BC$58:$BC$92),0)</f>
        <v/>
      </c>
      <c r="AG168" s="39">
        <f>IFERROR(AG129*$BC90/SUMPRODUCT(AG$97:AG$131,$BC$58:$BC$92),0)</f>
        <v/>
      </c>
      <c r="AH168" s="39">
        <f>IFERROR(AH129*$BC90/SUMPRODUCT(AH$97:AH$131,$BC$58:$BC$92),0)</f>
        <v/>
      </c>
      <c r="AI168" s="39">
        <f>IFERROR(AI129*$BC90/SUMPRODUCT(AI$97:AI$131,$BC$58:$BC$92),0)</f>
        <v/>
      </c>
      <c r="AJ168" s="39">
        <f>IFERROR(AJ129*$BC90/SUMPRODUCT(AJ$97:AJ$131,$BC$58:$BC$92),0)</f>
        <v/>
      </c>
      <c r="AK168" s="39">
        <f>IFERROR(AK129*$BC90/SUMPRODUCT(AK$97:AK$131,$BC$58:$BC$92),0)</f>
        <v/>
      </c>
      <c r="AL168" s="39">
        <f>IFERROR(AL129*$BC90/SUMPRODUCT(AL$97:AL$131,$BC$58:$BC$92),0)</f>
        <v/>
      </c>
      <c r="AM168" s="39">
        <f>IFERROR(AM129*$BC90/SUMPRODUCT(AM$97:AM$131,$BC$58:$BC$92),0)</f>
        <v/>
      </c>
      <c r="AN168" s="39">
        <f>IFERROR(AN129*$BC90/SUMPRODUCT(AN$97:AN$131,$BC$58:$BC$92),0)</f>
        <v/>
      </c>
      <c r="AO168" s="39">
        <f>IFERROR(AO129*$BC90/SUMPRODUCT(AO$97:AO$131,$BC$58:$BC$92),0)</f>
        <v/>
      </c>
      <c r="AP168" s="39">
        <f>IFERROR(AP129*$BC90/SUMPRODUCT(AP$97:AP$131,$BC$58:$BC$92),0)</f>
        <v/>
      </c>
      <c r="AQ168" s="39">
        <f>IFERROR(AQ129*$BC90/SUMPRODUCT(AQ$97:AQ$131,$BC$58:$BC$92),0)</f>
        <v/>
      </c>
      <c r="AR168" s="39">
        <f>IFERROR(AR129*$BC90/SUMPRODUCT(AR$97:AR$131,$BC$58:$BC$92),0)</f>
        <v/>
      </c>
      <c r="AS168" s="39">
        <f>IFERROR(AS129*$BC90/SUMPRODUCT(AS$97:AS$131,$BC$58:$BC$92),0)</f>
        <v/>
      </c>
      <c r="AT168" s="39">
        <f>IFERROR(AT129*$BC90/SUMPRODUCT(AT$97:AT$131,$BC$58:$BC$92),0)</f>
        <v/>
      </c>
      <c r="AU168" s="39">
        <f>IFERROR(AU129*$BC90/SUMPRODUCT(AU$97:AU$131,$BC$58:$BC$92),0)</f>
        <v/>
      </c>
      <c r="AV168" s="39">
        <f>IFERROR(AV129*$BC90/SUMPRODUCT(AV$97:AV$131,$BC$58:$BC$92),0)</f>
        <v/>
      </c>
      <c r="AW168" s="39">
        <f>IFERROR(AW129*$BC90/SUMPRODUCT(AW$97:AW$131,$BC$58:$BC$92),0)</f>
        <v/>
      </c>
      <c r="AX168" s="39">
        <f>IFERROR(AX129*$BC90/SUMPRODUCT(AX$97:AX$131,$BC$58:$BC$92),0)</f>
        <v/>
      </c>
      <c r="AY168" s="39">
        <f>IFERROR(AY129*$BC90/SUMPRODUCT(AY$97:AY$131,$BC$58:$BC$92),0)</f>
        <v/>
      </c>
      <c r="AZ168" s="39">
        <f>IFERROR(AZ129*$BC90/SUMPRODUCT(AZ$97:AZ$131,$BC$58:$BC$92),0)</f>
        <v/>
      </c>
      <c r="BA168" s="39">
        <f>IFERROR(BA129*$BC90/SUMPRODUCT(BA$97:BA$131,$BC$58:$BC$92),0)</f>
        <v/>
      </c>
      <c r="BB168" s="39">
        <f>IFERROR(BB129*$BC90/SUMPRODUCT(BB$97:BB$131,$BC$58:$BC$92),0)</f>
        <v/>
      </c>
    </row>
    <row r="169">
      <c r="C169" s="1" t="n"/>
      <c r="D169" s="237">
        <f>D130</f>
        <v/>
      </c>
      <c r="E169" s="39">
        <f>IFERROR(E130*$BC91/SUMPRODUCT(E$97:E$131,$BC$58:$BC$92),0)</f>
        <v/>
      </c>
      <c r="F169" s="39">
        <f>IFERROR(F130*$BC91/SUMPRODUCT(F$97:F$131,$BC$58:$BC$92),0)</f>
        <v/>
      </c>
      <c r="G169" s="39">
        <f>IFERROR(G130*$BC91/SUMPRODUCT(G$97:G$131,$BC$58:$BC$92),0)</f>
        <v/>
      </c>
      <c r="H169" s="39">
        <f>IFERROR(H130*$BC91/SUMPRODUCT(H$97:H$131,$BC$58:$BC$92),0)</f>
        <v/>
      </c>
      <c r="I169" s="39">
        <f>IFERROR(I130*$BC91/SUMPRODUCT(I$97:I$131,$BC$58:$BC$92),0)</f>
        <v/>
      </c>
      <c r="J169" s="39">
        <f>IFERROR(J130*$BC91/SUMPRODUCT(J$97:J$131,$BC$58:$BC$92),0)</f>
        <v/>
      </c>
      <c r="K169" s="39">
        <f>IFERROR(K130*$BC91/SUMPRODUCT(K$97:K$131,$BC$58:$BC$92),0)</f>
        <v/>
      </c>
      <c r="L169" s="39">
        <f>IFERROR(L130*$BC91/SUMPRODUCT(L$97:L$131,$BC$58:$BC$92),0)</f>
        <v/>
      </c>
      <c r="M169" s="39">
        <f>IFERROR(M130*$BC91/SUMPRODUCT(M$97:M$131,$BC$58:$BC$92),0)</f>
        <v/>
      </c>
      <c r="N169" s="39">
        <f>IFERROR(N130*$BC91/SUMPRODUCT(N$97:N$131,$BC$58:$BC$92),0)</f>
        <v/>
      </c>
      <c r="O169" s="39">
        <f>IFERROR(O130*$BC91/SUMPRODUCT(O$97:O$131,$BC$58:$BC$92),0)</f>
        <v/>
      </c>
      <c r="P169" s="39">
        <f>IFERROR(P130*$BC91/SUMPRODUCT(P$97:P$131,$BC$58:$BC$92),0)</f>
        <v/>
      </c>
      <c r="Q169" s="39">
        <f>IFERROR(Q130*$BC91/SUMPRODUCT(Q$97:Q$131,$BC$58:$BC$92),0)</f>
        <v/>
      </c>
      <c r="R169" s="39">
        <f>IFERROR(R130*$BC91/SUMPRODUCT(R$97:R$131,$BC$58:$BC$92),0)</f>
        <v/>
      </c>
      <c r="S169" s="39">
        <f>IFERROR(S130*$BC91/SUMPRODUCT(S$97:S$131,$BC$58:$BC$92),0)</f>
        <v/>
      </c>
      <c r="T169" s="39">
        <f>IFERROR(T130*$BC91/SUMPRODUCT(T$97:T$131,$BC$58:$BC$92),0)</f>
        <v/>
      </c>
      <c r="U169" s="39">
        <f>IFERROR(U130*$BC91/SUMPRODUCT(U$97:U$131,$BC$58:$BC$92),0)</f>
        <v/>
      </c>
      <c r="V169" s="39">
        <f>IFERROR(V130*$BC91/SUMPRODUCT(V$97:V$131,$BC$58:$BC$92),0)</f>
        <v/>
      </c>
      <c r="W169" s="39">
        <f>IFERROR(W130*$BC91/SUMPRODUCT(W$97:W$131,$BC$58:$BC$92),0)</f>
        <v/>
      </c>
      <c r="X169" s="39">
        <f>IFERROR(X130*$BC91/SUMPRODUCT(X$97:X$131,$BC$58:$BC$92),0)</f>
        <v/>
      </c>
      <c r="Y169" s="39">
        <f>IFERROR(Y130*$BC91/SUMPRODUCT(Y$97:Y$131,$BC$58:$BC$92),0)</f>
        <v/>
      </c>
      <c r="Z169" s="39">
        <f>IFERROR(Z130*$BC91/SUMPRODUCT(Z$97:Z$131,$BC$58:$BC$92),0)</f>
        <v/>
      </c>
      <c r="AA169" s="39">
        <f>IFERROR(AA130*$BC91/SUMPRODUCT(AA$97:AA$131,$BC$58:$BC$92),0)</f>
        <v/>
      </c>
      <c r="AB169" s="39">
        <f>IFERROR(AB130*$BC91/SUMPRODUCT(AB$97:AB$131,$BC$58:$BC$92),0)</f>
        <v/>
      </c>
      <c r="AC169" s="39">
        <f>IFERROR(AC130*$BC91/SUMPRODUCT(AC$97:AC$131,$BC$58:$BC$92),0)</f>
        <v/>
      </c>
      <c r="AD169" s="39">
        <f>IFERROR(AD130*$BC91/SUMPRODUCT(AD$97:AD$131,$BC$58:$BC$92),0)</f>
        <v/>
      </c>
      <c r="AE169" s="39">
        <f>IFERROR(AE130*$BC91/SUMPRODUCT(AE$97:AE$131,$BC$58:$BC$92),0)</f>
        <v/>
      </c>
      <c r="AF169" s="39">
        <f>IFERROR(AF130*$BC91/SUMPRODUCT(AF$97:AF$131,$BC$58:$BC$92),0)</f>
        <v/>
      </c>
      <c r="AG169" s="39">
        <f>IFERROR(AG130*$BC91/SUMPRODUCT(AG$97:AG$131,$BC$58:$BC$92),0)</f>
        <v/>
      </c>
      <c r="AH169" s="39">
        <f>IFERROR(AH130*$BC91/SUMPRODUCT(AH$97:AH$131,$BC$58:$BC$92),0)</f>
        <v/>
      </c>
      <c r="AI169" s="39">
        <f>IFERROR(AI130*$BC91/SUMPRODUCT(AI$97:AI$131,$BC$58:$BC$92),0)</f>
        <v/>
      </c>
      <c r="AJ169" s="39">
        <f>IFERROR(AJ130*$BC91/SUMPRODUCT(AJ$97:AJ$131,$BC$58:$BC$92),0)</f>
        <v/>
      </c>
      <c r="AK169" s="39">
        <f>IFERROR(AK130*$BC91/SUMPRODUCT(AK$97:AK$131,$BC$58:$BC$92),0)</f>
        <v/>
      </c>
      <c r="AL169" s="39">
        <f>IFERROR(AL130*$BC91/SUMPRODUCT(AL$97:AL$131,$BC$58:$BC$92),0)</f>
        <v/>
      </c>
      <c r="AM169" s="39">
        <f>IFERROR(AM130*$BC91/SUMPRODUCT(AM$97:AM$131,$BC$58:$BC$92),0)</f>
        <v/>
      </c>
      <c r="AN169" s="39">
        <f>IFERROR(AN130*$BC91/SUMPRODUCT(AN$97:AN$131,$BC$58:$BC$92),0)</f>
        <v/>
      </c>
      <c r="AO169" s="39">
        <f>IFERROR(AO130*$BC91/SUMPRODUCT(AO$97:AO$131,$BC$58:$BC$92),0)</f>
        <v/>
      </c>
      <c r="AP169" s="39">
        <f>IFERROR(AP130*$BC91/SUMPRODUCT(AP$97:AP$131,$BC$58:$BC$92),0)</f>
        <v/>
      </c>
      <c r="AQ169" s="39">
        <f>IFERROR(AQ130*$BC91/SUMPRODUCT(AQ$97:AQ$131,$BC$58:$BC$92),0)</f>
        <v/>
      </c>
      <c r="AR169" s="39">
        <f>IFERROR(AR130*$BC91/SUMPRODUCT(AR$97:AR$131,$BC$58:$BC$92),0)</f>
        <v/>
      </c>
      <c r="AS169" s="39">
        <f>IFERROR(AS130*$BC91/SUMPRODUCT(AS$97:AS$131,$BC$58:$BC$92),0)</f>
        <v/>
      </c>
      <c r="AT169" s="39">
        <f>IFERROR(AT130*$BC91/SUMPRODUCT(AT$97:AT$131,$BC$58:$BC$92),0)</f>
        <v/>
      </c>
      <c r="AU169" s="39">
        <f>IFERROR(AU130*$BC91/SUMPRODUCT(AU$97:AU$131,$BC$58:$BC$92),0)</f>
        <v/>
      </c>
      <c r="AV169" s="39">
        <f>IFERROR(AV130*$BC91/SUMPRODUCT(AV$97:AV$131,$BC$58:$BC$92),0)</f>
        <v/>
      </c>
      <c r="AW169" s="39">
        <f>IFERROR(AW130*$BC91/SUMPRODUCT(AW$97:AW$131,$BC$58:$BC$92),0)</f>
        <v/>
      </c>
      <c r="AX169" s="39">
        <f>IFERROR(AX130*$BC91/SUMPRODUCT(AX$97:AX$131,$BC$58:$BC$92),0)</f>
        <v/>
      </c>
      <c r="AY169" s="39">
        <f>IFERROR(AY130*$BC91/SUMPRODUCT(AY$97:AY$131,$BC$58:$BC$92),0)</f>
        <v/>
      </c>
      <c r="AZ169" s="39">
        <f>IFERROR(AZ130*$BC91/SUMPRODUCT(AZ$97:AZ$131,$BC$58:$BC$92),0)</f>
        <v/>
      </c>
      <c r="BA169" s="39">
        <f>IFERROR(BA130*$BC91/SUMPRODUCT(BA$97:BA$131,$BC$58:$BC$92),0)</f>
        <v/>
      </c>
      <c r="BB169" s="39">
        <f>IFERROR(BB130*$BC91/SUMPRODUCT(BB$97:BB$131,$BC$58:$BC$92),0)</f>
        <v/>
      </c>
    </row>
    <row r="170">
      <c r="C170" s="1" t="n"/>
      <c r="D170" s="237">
        <f>D131</f>
        <v/>
      </c>
      <c r="E170" s="39">
        <f>IFERROR(E131*$BC92/SUMPRODUCT(E$97:E$131,$BC$58:$BC$92),0)</f>
        <v/>
      </c>
      <c r="F170" s="39">
        <f>IFERROR(F131*$BC92/SUMPRODUCT(F$97:F$131,$BC$58:$BC$92),0)</f>
        <v/>
      </c>
      <c r="G170" s="39">
        <f>IFERROR(G131*$BC92/SUMPRODUCT(G$97:G$131,$BC$58:$BC$92),0)</f>
        <v/>
      </c>
      <c r="H170" s="39">
        <f>IFERROR(H131*$BC92/SUMPRODUCT(H$97:H$131,$BC$58:$BC$92),0)</f>
        <v/>
      </c>
      <c r="I170" s="39">
        <f>IFERROR(I131*$BC92/SUMPRODUCT(I$97:I$131,$BC$58:$BC$92),0)</f>
        <v/>
      </c>
      <c r="J170" s="39">
        <f>IFERROR(J131*$BC92/SUMPRODUCT(J$97:J$131,$BC$58:$BC$92),0)</f>
        <v/>
      </c>
      <c r="K170" s="39">
        <f>IFERROR(K131*$BC92/SUMPRODUCT(K$97:K$131,$BC$58:$BC$92),0)</f>
        <v/>
      </c>
      <c r="L170" s="39">
        <f>IFERROR(L131*$BC92/SUMPRODUCT(L$97:L$131,$BC$58:$BC$92),0)</f>
        <v/>
      </c>
      <c r="M170" s="39">
        <f>IFERROR(M131*$BC92/SUMPRODUCT(M$97:M$131,$BC$58:$BC$92),0)</f>
        <v/>
      </c>
      <c r="N170" s="39">
        <f>IFERROR(N131*$BC92/SUMPRODUCT(N$97:N$131,$BC$58:$BC$92),0)</f>
        <v/>
      </c>
      <c r="O170" s="39">
        <f>IFERROR(O131*$BC92/SUMPRODUCT(O$97:O$131,$BC$58:$BC$92),0)</f>
        <v/>
      </c>
      <c r="P170" s="39">
        <f>IFERROR(P131*$BC92/SUMPRODUCT(P$97:P$131,$BC$58:$BC$92),0)</f>
        <v/>
      </c>
      <c r="Q170" s="39">
        <f>IFERROR(Q131*$BC92/SUMPRODUCT(Q$97:Q$131,$BC$58:$BC$92),0)</f>
        <v/>
      </c>
      <c r="R170" s="39">
        <f>IFERROR(R131*$BC92/SUMPRODUCT(R$97:R$131,$BC$58:$BC$92),0)</f>
        <v/>
      </c>
      <c r="S170" s="39">
        <f>IFERROR(S131*$BC92/SUMPRODUCT(S$97:S$131,$BC$58:$BC$92),0)</f>
        <v/>
      </c>
      <c r="T170" s="39">
        <f>IFERROR(T131*$BC92/SUMPRODUCT(T$97:T$131,$BC$58:$BC$92),0)</f>
        <v/>
      </c>
      <c r="U170" s="39">
        <f>IFERROR(U131*$BC92/SUMPRODUCT(U$97:U$131,$BC$58:$BC$92),0)</f>
        <v/>
      </c>
      <c r="V170" s="39">
        <f>IFERROR(V131*$BC92/SUMPRODUCT(V$97:V$131,$BC$58:$BC$92),0)</f>
        <v/>
      </c>
      <c r="W170" s="39">
        <f>IFERROR(W131*$BC92/SUMPRODUCT(W$97:W$131,$BC$58:$BC$92),0)</f>
        <v/>
      </c>
      <c r="X170" s="39">
        <f>IFERROR(X131*$BC92/SUMPRODUCT(X$97:X$131,$BC$58:$BC$92),0)</f>
        <v/>
      </c>
      <c r="Y170" s="39">
        <f>IFERROR(Y131*$BC92/SUMPRODUCT(Y$97:Y$131,$BC$58:$BC$92),0)</f>
        <v/>
      </c>
      <c r="Z170" s="39">
        <f>IFERROR(Z131*$BC92/SUMPRODUCT(Z$97:Z$131,$BC$58:$BC$92),0)</f>
        <v/>
      </c>
      <c r="AA170" s="39">
        <f>IFERROR(AA131*$BC92/SUMPRODUCT(AA$97:AA$131,$BC$58:$BC$92),0)</f>
        <v/>
      </c>
      <c r="AB170" s="39">
        <f>IFERROR(AB131*$BC92/SUMPRODUCT(AB$97:AB$131,$BC$58:$BC$92),0)</f>
        <v/>
      </c>
      <c r="AC170" s="39">
        <f>IFERROR(AC131*$BC92/SUMPRODUCT(AC$97:AC$131,$BC$58:$BC$92),0)</f>
        <v/>
      </c>
      <c r="AD170" s="39">
        <f>IFERROR(AD131*$BC92/SUMPRODUCT(AD$97:AD$131,$BC$58:$BC$92),0)</f>
        <v/>
      </c>
      <c r="AE170" s="39">
        <f>IFERROR(AE131*$BC92/SUMPRODUCT(AE$97:AE$131,$BC$58:$BC$92),0)</f>
        <v/>
      </c>
      <c r="AF170" s="39">
        <f>IFERROR(AF131*$BC92/SUMPRODUCT(AF$97:AF$131,$BC$58:$BC$92),0)</f>
        <v/>
      </c>
      <c r="AG170" s="39">
        <f>IFERROR(AG131*$BC92/SUMPRODUCT(AG$97:AG$131,$BC$58:$BC$92),0)</f>
        <v/>
      </c>
      <c r="AH170" s="39">
        <f>IFERROR(AH131*$BC92/SUMPRODUCT(AH$97:AH$131,$BC$58:$BC$92),0)</f>
        <v/>
      </c>
      <c r="AI170" s="39">
        <f>IFERROR(AI131*$BC92/SUMPRODUCT(AI$97:AI$131,$BC$58:$BC$92),0)</f>
        <v/>
      </c>
      <c r="AJ170" s="39">
        <f>IFERROR(AJ131*$BC92/SUMPRODUCT(AJ$97:AJ$131,$BC$58:$BC$92),0)</f>
        <v/>
      </c>
      <c r="AK170" s="39">
        <f>IFERROR(AK131*$BC92/SUMPRODUCT(AK$97:AK$131,$BC$58:$BC$92),0)</f>
        <v/>
      </c>
      <c r="AL170" s="39">
        <f>IFERROR(AL131*$BC92/SUMPRODUCT(AL$97:AL$131,$BC$58:$BC$92),0)</f>
        <v/>
      </c>
      <c r="AM170" s="39">
        <f>IFERROR(AM131*$BC92/SUMPRODUCT(AM$97:AM$131,$BC$58:$BC$92),0)</f>
        <v/>
      </c>
      <c r="AN170" s="39">
        <f>IFERROR(AN131*$BC92/SUMPRODUCT(AN$97:AN$131,$BC$58:$BC$92),0)</f>
        <v/>
      </c>
      <c r="AO170" s="39">
        <f>IFERROR(AO131*$BC92/SUMPRODUCT(AO$97:AO$131,$BC$58:$BC$92),0)</f>
        <v/>
      </c>
      <c r="AP170" s="39">
        <f>IFERROR(AP131*$BC92/SUMPRODUCT(AP$97:AP$131,$BC$58:$BC$92),0)</f>
        <v/>
      </c>
      <c r="AQ170" s="39">
        <f>IFERROR(AQ131*$BC92/SUMPRODUCT(AQ$97:AQ$131,$BC$58:$BC$92),0)</f>
        <v/>
      </c>
      <c r="AR170" s="39">
        <f>IFERROR(AR131*$BC92/SUMPRODUCT(AR$97:AR$131,$BC$58:$BC$92),0)</f>
        <v/>
      </c>
      <c r="AS170" s="39">
        <f>IFERROR(AS131*$BC92/SUMPRODUCT(AS$97:AS$131,$BC$58:$BC$92),0)</f>
        <v/>
      </c>
      <c r="AT170" s="39">
        <f>IFERROR(AT131*$BC92/SUMPRODUCT(AT$97:AT$131,$BC$58:$BC$92),0)</f>
        <v/>
      </c>
      <c r="AU170" s="39">
        <f>IFERROR(AU131*$BC92/SUMPRODUCT(AU$97:AU$131,$BC$58:$BC$92),0)</f>
        <v/>
      </c>
      <c r="AV170" s="39">
        <f>IFERROR(AV131*$BC92/SUMPRODUCT(AV$97:AV$131,$BC$58:$BC$92),0)</f>
        <v/>
      </c>
      <c r="AW170" s="39">
        <f>IFERROR(AW131*$BC92/SUMPRODUCT(AW$97:AW$131,$BC$58:$BC$92),0)</f>
        <v/>
      </c>
      <c r="AX170" s="39">
        <f>IFERROR(AX131*$BC92/SUMPRODUCT(AX$97:AX$131,$BC$58:$BC$92),0)</f>
        <v/>
      </c>
      <c r="AY170" s="39">
        <f>IFERROR(AY131*$BC92/SUMPRODUCT(AY$97:AY$131,$BC$58:$BC$92),0)</f>
        <v/>
      </c>
      <c r="AZ170" s="39">
        <f>IFERROR(AZ131*$BC92/SUMPRODUCT(AZ$97:AZ$131,$BC$58:$BC$92),0)</f>
        <v/>
      </c>
      <c r="BA170" s="39">
        <f>IFERROR(BA131*$BC92/SUMPRODUCT(BA$97:BA$131,$BC$58:$BC$92),0)</f>
        <v/>
      </c>
      <c r="BB170" s="39">
        <f>IFERROR(BB131*$BC92/SUMPRODUCT(BB$97:BB$131,$BC$58:$BC$92),0)</f>
        <v/>
      </c>
    </row>
    <row r="171" ht="16.5" customHeight="1" s="179">
      <c r="D171" s="232" t="n"/>
      <c r="E171" s="239" t="n"/>
      <c r="F171" s="239" t="n"/>
      <c r="G171" s="239" t="n"/>
      <c r="H171" s="239" t="n"/>
      <c r="I171" s="239" t="n"/>
      <c r="J171" s="239" t="n"/>
      <c r="K171" s="239" t="n"/>
      <c r="L171" s="239" t="n"/>
      <c r="M171" s="239" t="n"/>
      <c r="N171" s="239" t="n"/>
      <c r="O171" s="239" t="n"/>
      <c r="P171" s="239" t="n"/>
      <c r="Q171" s="239" t="n"/>
      <c r="R171" s="239" t="n"/>
      <c r="S171" s="239" t="n"/>
      <c r="T171" s="239" t="n"/>
      <c r="U171" s="7" t="n"/>
    </row>
  </sheetData>
  <mergeCells count="5">
    <mergeCell ref="A4:A7"/>
    <mergeCell ref="A96:B96"/>
    <mergeCell ref="A8:A11"/>
    <mergeCell ref="B8:B11"/>
    <mergeCell ref="B4:B7"/>
  </mergeCells>
  <conditionalFormatting sqref="C42:C44 D41 D44 E45:N4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3:D9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 D131:D134">
    <cfRule type="colorScale" priority="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4">
    <cfRule type="cellIs" priority="1" operator="equal" dxfId="6">
      <formula>0</formula>
    </cfRule>
  </conditionalFormatting>
  <conditionalFormatting sqref="E42:N43 G43:BB43">
    <cfRule type="cellIs" priority="6" operator="equal" dxfId="6">
      <formula>0</formula>
    </cfRule>
  </conditionalFormatting>
  <conditionalFormatting sqref="E3:BB40">
    <cfRule type="cellIs" priority="2" operator="equal" dxfId="6">
      <formula>0</formula>
    </cfRule>
  </conditionalFormatting>
  <conditionalFormatting sqref="E46:BB46">
    <cfRule type="cellIs" priority="4" operator="equal" dxfId="6">
      <formula>0</formula>
    </cfRule>
  </conditionalFormatting>
  <conditionalFormatting sqref="E58:BD92">
    <cfRule type="cellIs" priority="8" operator="equal" dxfId="0">
      <formula>0</formula>
    </cfRule>
  </conditionalFormatting>
  <conditionalFormatting sqref="H1:BB2">
    <cfRule type="cellIs" priority="3" operator="equal" dxfId="6">
      <formula>0</formula>
    </cfRule>
  </conditionalFormatting>
  <conditionalFormatting sqref="D102:K106 D107:BA131 H97:L108 L97:BA106 BB97:BB131">
    <cfRule type="cellIs" priority="10" operator="equal" dxfId="0">
      <formula>0</formula>
    </cfRule>
  </conditionalFormatting>
  <conditionalFormatting sqref="D141:K143 D144:BA170 H136:K144 L136:BA143 BB136:BB170">
    <cfRule type="cellIs" priority="9" operator="equal" dxfId="0">
      <formula>0</formula>
    </cfRule>
  </conditionalFormatting>
  <conditionalFormatting sqref="N4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paperSize="9"/>
</worksheet>
</file>

<file path=xl/worksheets/sheet9.xml><?xml version="1.0" encoding="utf-8"?>
<worksheet xmlns="http://schemas.openxmlformats.org/spreadsheetml/2006/main">
  <sheetPr codeName="Sheet10">
    <tabColor theme="1" tint="0.0499893185216834"/>
    <outlinePr summaryBelow="1" summaryRight="1"/>
    <pageSetUpPr/>
  </sheetPr>
  <dimension ref="B1:AZ44"/>
  <sheetViews>
    <sheetView topLeftCell="AG1" zoomScale="47" zoomScaleNormal="70" workbookViewId="0">
      <selection activeCell="K24" sqref="K24"/>
    </sheetView>
  </sheetViews>
  <sheetFormatPr baseColWidth="8" defaultColWidth="9.1640625" defaultRowHeight="14"/>
  <cols>
    <col width="9.1640625" customWidth="1" style="53" min="1" max="1"/>
    <col width="41.75" customWidth="1" style="51" min="2" max="2"/>
    <col width="9.4140625" customWidth="1" style="51" min="3" max="7"/>
    <col width="9.4140625" customWidth="1" style="53" min="8" max="10"/>
    <col width="9.1640625" customWidth="1" style="53" min="11" max="11"/>
    <col width="10.75" customWidth="1" style="53" min="12" max="12"/>
    <col width="9.1640625" customWidth="1" style="53" min="13" max="18"/>
    <col width="9.1640625" customWidth="1" style="53" min="19" max="26"/>
    <col width="9.1640625" customWidth="1" style="53" min="27" max="16384"/>
  </cols>
  <sheetData>
    <row r="1" ht="66" customHeight="1" s="179">
      <c r="B1" s="52" t="inlineStr">
        <is>
          <t>KPI</t>
        </is>
      </c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  <c r="AP1" s="52" t="n"/>
      <c r="AQ1" s="52" t="n"/>
      <c r="AR1" s="52" t="n"/>
      <c r="AS1" s="52" t="n"/>
      <c r="AT1" s="52" t="n"/>
      <c r="AU1" s="52" t="n"/>
      <c r="AV1" s="52" t="n"/>
      <c r="AW1" s="52" t="n"/>
      <c r="AX1" s="52" t="n"/>
      <c r="AY1" s="52" t="n"/>
      <c r="AZ1" s="52" t="n"/>
    </row>
    <row r="2" ht="33" customHeight="1" s="179">
      <c r="B2" s="54" t="n"/>
      <c r="C2" s="55">
        <f>'2D Mapping'!D3</f>
        <v/>
      </c>
      <c r="D2" s="55">
        <f>'2D Mapping'!D4</f>
        <v/>
      </c>
      <c r="E2" s="55">
        <f>'2D Mapping'!D5</f>
        <v/>
      </c>
      <c r="F2" s="55">
        <f>'2D Mapping'!D6</f>
        <v/>
      </c>
      <c r="G2" s="55">
        <f>'2D Mapping'!D7</f>
        <v/>
      </c>
      <c r="H2" s="55">
        <f>'2D Mapping'!D8</f>
        <v/>
      </c>
      <c r="I2" s="55">
        <f>'2D Mapping'!D9</f>
        <v/>
      </c>
      <c r="J2" s="55">
        <f>'2D Mapping'!D10</f>
        <v/>
      </c>
      <c r="K2" s="55">
        <f>'2D Mapping'!D11</f>
        <v/>
      </c>
      <c r="L2" s="55">
        <f>'2D Mapping'!D12</f>
        <v/>
      </c>
      <c r="M2" s="55">
        <f>'2D Mapping'!D13</f>
        <v/>
      </c>
      <c r="N2" s="55">
        <f>'2D Mapping'!D14</f>
        <v/>
      </c>
      <c r="O2" s="55">
        <f>'2D Mapping'!D15</f>
        <v/>
      </c>
      <c r="P2" s="55">
        <f>'2D Mapping'!D16</f>
        <v/>
      </c>
      <c r="Q2" s="55">
        <f>'2D Mapping'!D17</f>
        <v/>
      </c>
      <c r="R2" s="55">
        <f>'2D Mapping'!D18</f>
        <v/>
      </c>
      <c r="S2" s="55">
        <f>'2D Mapping'!D19</f>
        <v/>
      </c>
      <c r="T2" s="55">
        <f>'2D Mapping'!D20</f>
        <v/>
      </c>
      <c r="U2" s="55">
        <f>'2D Mapping'!D21</f>
        <v/>
      </c>
      <c r="V2" s="55">
        <f>'2D Mapping'!D22</f>
        <v/>
      </c>
      <c r="W2" s="55">
        <f>'2D Mapping'!E22</f>
        <v/>
      </c>
      <c r="X2" s="55">
        <f>'2D Mapping'!F22</f>
        <v/>
      </c>
      <c r="Y2" s="55">
        <f>'2D Mapping'!G22</f>
        <v/>
      </c>
      <c r="Z2" s="55">
        <f>'2D Mapping'!H22</f>
        <v/>
      </c>
      <c r="AA2" s="55">
        <f>'2D Mapping'!I22</f>
        <v/>
      </c>
      <c r="AB2" s="55">
        <f>'2D Mapping'!J22</f>
        <v/>
      </c>
      <c r="AC2" s="55">
        <f>'2D Mapping'!K22</f>
        <v/>
      </c>
      <c r="AD2" s="55">
        <f>'2D Mapping'!L22</f>
        <v/>
      </c>
      <c r="AE2" s="55">
        <f>'2D Mapping'!M22</f>
        <v/>
      </c>
      <c r="AF2" s="55">
        <f>'2D Mapping'!N22</f>
        <v/>
      </c>
      <c r="AG2" s="55">
        <f>'2D Mapping'!O22</f>
        <v/>
      </c>
      <c r="AH2" s="55">
        <f>'2D Mapping'!P22</f>
        <v/>
      </c>
      <c r="AI2" s="55">
        <f>'2D Mapping'!Q22</f>
        <v/>
      </c>
      <c r="AJ2" s="55">
        <f>'2D Mapping'!R22</f>
        <v/>
      </c>
      <c r="AK2" s="55">
        <f>'2D Mapping'!S22</f>
        <v/>
      </c>
      <c r="AL2" s="55">
        <f>'2D Mapping'!T22</f>
        <v/>
      </c>
      <c r="AM2" s="55">
        <f>'2D Mapping'!U22</f>
        <v/>
      </c>
      <c r="AN2" s="55">
        <f>'2D Mapping'!V22</f>
        <v/>
      </c>
      <c r="AO2" s="55">
        <f>'2D Mapping'!W22</f>
        <v/>
      </c>
      <c r="AP2" s="55">
        <f>'2D Mapping'!X22</f>
        <v/>
      </c>
      <c r="AQ2" s="55">
        <f>'2D Mapping'!Y22</f>
        <v/>
      </c>
      <c r="AR2" s="55">
        <f>'2D Mapping'!Z22</f>
        <v/>
      </c>
      <c r="AS2" s="55">
        <f>'2D Mapping'!AA22</f>
        <v/>
      </c>
      <c r="AT2" s="55">
        <f>'2D Mapping'!AB22</f>
        <v/>
      </c>
      <c r="AU2" s="55">
        <f>'2D Mapping'!AC22</f>
        <v/>
      </c>
      <c r="AV2" s="55">
        <f>'2D Mapping'!AD22</f>
        <v/>
      </c>
      <c r="AW2" s="55">
        <f>'2D Mapping'!AE22</f>
        <v/>
      </c>
      <c r="AX2" s="55">
        <f>'2D Mapping'!AF22</f>
        <v/>
      </c>
      <c r="AY2" s="55">
        <f>'2D Mapping'!AG22</f>
        <v/>
      </c>
      <c r="AZ2" s="55">
        <f>'2D Mapping'!AH22</f>
        <v/>
      </c>
    </row>
    <row r="3">
      <c r="B3" s="56" t="inlineStr">
        <is>
          <t>Other (No exposure)</t>
        </is>
      </c>
      <c r="C3" s="240">
        <f>'2E.Analysis_MIA'!E49</f>
        <v/>
      </c>
      <c r="D3" s="240">
        <f>'2E.Analysis_MIA'!F49</f>
        <v/>
      </c>
      <c r="E3" s="240">
        <f>'2E.Analysis_MIA'!G49</f>
        <v/>
      </c>
      <c r="F3" s="240">
        <f>'2E.Analysis_MIA'!H49</f>
        <v/>
      </c>
      <c r="G3" s="240">
        <f>'2E.Analysis_MIA'!I49</f>
        <v/>
      </c>
      <c r="H3" s="240">
        <f>'2E.Analysis_MIA'!J49</f>
        <v/>
      </c>
      <c r="I3" s="240">
        <f>'2E.Analysis_MIA'!K49</f>
        <v/>
      </c>
      <c r="J3" s="240">
        <f>'2E.Analysis_MIA'!L49</f>
        <v/>
      </c>
      <c r="K3" s="240">
        <f>'2E.Analysis_MIA'!M49</f>
        <v/>
      </c>
      <c r="L3" s="240">
        <f>'2E.Analysis_MIA'!N49</f>
        <v/>
      </c>
      <c r="M3" s="240">
        <f>'2E.Analysis_MIA'!O49</f>
        <v/>
      </c>
      <c r="N3" s="240">
        <f>'2E.Analysis_MIA'!P49</f>
        <v/>
      </c>
      <c r="O3" s="240">
        <f>'2E.Analysis_MIA'!Q49</f>
        <v/>
      </c>
      <c r="P3" s="240">
        <f>'2E.Analysis_MIA'!R49</f>
        <v/>
      </c>
      <c r="Q3" s="240">
        <f>'2E.Analysis_MIA'!S49</f>
        <v/>
      </c>
      <c r="R3" s="240">
        <f>'2E.Analysis_MIA'!T49</f>
        <v/>
      </c>
      <c r="S3" s="240">
        <f>'2E.Analysis_MIA'!U49</f>
        <v/>
      </c>
      <c r="T3" s="240">
        <f>'2E.Analysis_MIA'!V49</f>
        <v/>
      </c>
      <c r="U3" s="240">
        <f>'2E.Analysis_MIA'!W49</f>
        <v/>
      </c>
      <c r="V3" s="240">
        <f>'2E.Analysis_MIA'!X49</f>
        <v/>
      </c>
      <c r="W3" s="240">
        <f>'2E.Analysis_MIA'!Y49</f>
        <v/>
      </c>
      <c r="X3" s="240">
        <f>'2E.Analysis_MIA'!Z49</f>
        <v/>
      </c>
      <c r="Y3" s="240">
        <f>'2E.Analysis_MIA'!AA49</f>
        <v/>
      </c>
      <c r="Z3" s="240">
        <f>'2E.Analysis_MIA'!AB49</f>
        <v/>
      </c>
      <c r="AA3" s="240">
        <f>'2E.Analysis_MIA'!AC49</f>
        <v/>
      </c>
      <c r="AB3" s="240">
        <f>'2E.Analysis_MIA'!AD49</f>
        <v/>
      </c>
      <c r="AC3" s="240">
        <f>'2E.Analysis_MIA'!AE49</f>
        <v/>
      </c>
      <c r="AD3" s="240">
        <f>'2E.Analysis_MIA'!AF49</f>
        <v/>
      </c>
      <c r="AE3" s="240">
        <f>'2E.Analysis_MIA'!AG49</f>
        <v/>
      </c>
      <c r="AF3" s="240">
        <f>'2E.Analysis_MIA'!AH49</f>
        <v/>
      </c>
      <c r="AG3" s="240">
        <f>'2E.Analysis_MIA'!AI49</f>
        <v/>
      </c>
      <c r="AH3" s="240">
        <f>'2E.Analysis_MIA'!AJ49</f>
        <v/>
      </c>
      <c r="AI3" s="240">
        <f>'2E.Analysis_MIA'!AK49</f>
        <v/>
      </c>
      <c r="AJ3" s="240">
        <f>'2E.Analysis_MIA'!AL49</f>
        <v/>
      </c>
      <c r="AK3" s="240">
        <f>'2E.Analysis_MIA'!AM49</f>
        <v/>
      </c>
      <c r="AL3" s="240">
        <f>'2E.Analysis_MIA'!AN49</f>
        <v/>
      </c>
      <c r="AM3" s="240">
        <f>'2E.Analysis_MIA'!AO49</f>
        <v/>
      </c>
      <c r="AN3" s="240">
        <f>'2E.Analysis_MIA'!AP49</f>
        <v/>
      </c>
      <c r="AO3" s="240">
        <f>'2E.Analysis_MIA'!AQ49</f>
        <v/>
      </c>
      <c r="AP3" s="240">
        <f>'2E.Analysis_MIA'!AR49</f>
        <v/>
      </c>
      <c r="AQ3" s="240">
        <f>'2E.Analysis_MIA'!AS49</f>
        <v/>
      </c>
      <c r="AR3" s="240">
        <f>'2E.Analysis_MIA'!AT49</f>
        <v/>
      </c>
      <c r="AS3" s="240">
        <f>'2E.Analysis_MIA'!AU49</f>
        <v/>
      </c>
      <c r="AT3" s="240">
        <f>'2E.Analysis_MIA'!AV49</f>
        <v/>
      </c>
      <c r="AU3" s="240">
        <f>'2E.Analysis_MIA'!AW49</f>
        <v/>
      </c>
      <c r="AV3" s="240">
        <f>'2E.Analysis_MIA'!AX49</f>
        <v/>
      </c>
      <c r="AW3" s="240">
        <f>'2E.Analysis_MIA'!AY49</f>
        <v/>
      </c>
      <c r="AX3" s="240">
        <f>'2E.Analysis_MIA'!AZ49</f>
        <v/>
      </c>
      <c r="AY3" s="240">
        <f>'2E.Analysis_MIA'!BA49</f>
        <v/>
      </c>
      <c r="AZ3" s="240">
        <f>'2E.Analysis_MIA'!BB49</f>
        <v/>
      </c>
    </row>
    <row r="4">
      <c r="B4" s="58" t="inlineStr">
        <is>
          <t>Campaign Impacts (contribution from exposure)</t>
        </is>
      </c>
      <c r="C4" s="240">
        <f>'2E.Analysis_MIA'!E50</f>
        <v/>
      </c>
      <c r="D4" s="240">
        <f>'2E.Analysis_MIA'!F50</f>
        <v/>
      </c>
      <c r="E4" s="240">
        <f>'2E.Analysis_MIA'!G50</f>
        <v/>
      </c>
      <c r="F4" s="240">
        <f>'2E.Analysis_MIA'!H50</f>
        <v/>
      </c>
      <c r="G4" s="240">
        <f>'2E.Analysis_MIA'!I50</f>
        <v/>
      </c>
      <c r="H4" s="240">
        <f>'2E.Analysis_MIA'!J50</f>
        <v/>
      </c>
      <c r="I4" s="240">
        <f>'2E.Analysis_MIA'!K50</f>
        <v/>
      </c>
      <c r="J4" s="240">
        <f>'2E.Analysis_MIA'!L50</f>
        <v/>
      </c>
      <c r="K4" s="240">
        <f>'2E.Analysis_MIA'!M50</f>
        <v/>
      </c>
      <c r="L4" s="240">
        <f>'2E.Analysis_MIA'!N50</f>
        <v/>
      </c>
      <c r="M4" s="240">
        <f>'2E.Analysis_MIA'!O50</f>
        <v/>
      </c>
      <c r="N4" s="240">
        <f>'2E.Analysis_MIA'!P50</f>
        <v/>
      </c>
      <c r="O4" s="240">
        <f>'2E.Analysis_MIA'!Q50</f>
        <v/>
      </c>
      <c r="P4" s="240">
        <f>'2E.Analysis_MIA'!R50</f>
        <v/>
      </c>
      <c r="Q4" s="240">
        <f>'2E.Analysis_MIA'!S50</f>
        <v/>
      </c>
      <c r="R4" s="240">
        <f>'2E.Analysis_MIA'!T50</f>
        <v/>
      </c>
      <c r="S4" s="240">
        <f>'2E.Analysis_MIA'!U50</f>
        <v/>
      </c>
      <c r="T4" s="240">
        <f>'2E.Analysis_MIA'!V50</f>
        <v/>
      </c>
      <c r="U4" s="240">
        <f>'2E.Analysis_MIA'!W50</f>
        <v/>
      </c>
      <c r="V4" s="240">
        <f>'2E.Analysis_MIA'!X50</f>
        <v/>
      </c>
      <c r="W4" s="240">
        <f>'2E.Analysis_MIA'!Y50</f>
        <v/>
      </c>
      <c r="X4" s="240">
        <f>'2E.Analysis_MIA'!Z50</f>
        <v/>
      </c>
      <c r="Y4" s="240">
        <f>'2E.Analysis_MIA'!AA50</f>
        <v/>
      </c>
      <c r="Z4" s="240">
        <f>'2E.Analysis_MIA'!AB50</f>
        <v/>
      </c>
      <c r="AA4" s="240">
        <f>'2E.Analysis_MIA'!AC50</f>
        <v/>
      </c>
      <c r="AB4" s="240">
        <f>'2E.Analysis_MIA'!AD50</f>
        <v/>
      </c>
      <c r="AC4" s="240">
        <f>'2E.Analysis_MIA'!AE50</f>
        <v/>
      </c>
      <c r="AD4" s="240">
        <f>'2E.Analysis_MIA'!AF50</f>
        <v/>
      </c>
      <c r="AE4" s="240">
        <f>'2E.Analysis_MIA'!AG50</f>
        <v/>
      </c>
      <c r="AF4" s="240">
        <f>'2E.Analysis_MIA'!AH50</f>
        <v/>
      </c>
      <c r="AG4" s="240">
        <f>'2E.Analysis_MIA'!AI50</f>
        <v/>
      </c>
      <c r="AH4" s="240">
        <f>'2E.Analysis_MIA'!AJ50</f>
        <v/>
      </c>
      <c r="AI4" s="240">
        <f>'2E.Analysis_MIA'!AK50</f>
        <v/>
      </c>
      <c r="AJ4" s="240">
        <f>'2E.Analysis_MIA'!AL50</f>
        <v/>
      </c>
      <c r="AK4" s="240">
        <f>'2E.Analysis_MIA'!AM50</f>
        <v/>
      </c>
      <c r="AL4" s="240">
        <f>'2E.Analysis_MIA'!AN50</f>
        <v/>
      </c>
      <c r="AM4" s="240">
        <f>'2E.Analysis_MIA'!AO50</f>
        <v/>
      </c>
      <c r="AN4" s="240">
        <f>'2E.Analysis_MIA'!AP50</f>
        <v/>
      </c>
      <c r="AO4" s="240">
        <f>'2E.Analysis_MIA'!AQ50</f>
        <v/>
      </c>
      <c r="AP4" s="240">
        <f>'2E.Analysis_MIA'!AR50</f>
        <v/>
      </c>
      <c r="AQ4" s="240">
        <f>'2E.Analysis_MIA'!AS50</f>
        <v/>
      </c>
      <c r="AR4" s="240">
        <f>'2E.Analysis_MIA'!AT50</f>
        <v/>
      </c>
      <c r="AS4" s="240">
        <f>'2E.Analysis_MIA'!AU50</f>
        <v/>
      </c>
      <c r="AT4" s="240">
        <f>'2E.Analysis_MIA'!AV50</f>
        <v/>
      </c>
      <c r="AU4" s="240">
        <f>'2E.Analysis_MIA'!AW50</f>
        <v/>
      </c>
      <c r="AV4" s="240">
        <f>'2E.Analysis_MIA'!AX50</f>
        <v/>
      </c>
      <c r="AW4" s="240">
        <f>'2E.Analysis_MIA'!AY50</f>
        <v/>
      </c>
      <c r="AX4" s="240">
        <f>'2E.Analysis_MIA'!AZ50</f>
        <v/>
      </c>
      <c r="AY4" s="240">
        <f>'2E.Analysis_MIA'!BA50</f>
        <v/>
      </c>
      <c r="AZ4" s="240">
        <f>'2E.Analysis_MIA'!BB50</f>
        <v/>
      </c>
    </row>
    <row r="5">
      <c r="B5" s="59" t="inlineStr">
        <is>
          <t>Performance</t>
        </is>
      </c>
      <c r="C5" s="241">
        <f>'2E.Analysis_MIA'!E48</f>
        <v/>
      </c>
      <c r="D5" s="241">
        <f>'2E.Analysis_MIA'!F48</f>
        <v/>
      </c>
      <c r="E5" s="241">
        <f>'2E.Analysis_MIA'!G48</f>
        <v/>
      </c>
      <c r="F5" s="241">
        <f>'2E.Analysis_MIA'!H48</f>
        <v/>
      </c>
      <c r="G5" s="241">
        <f>'2E.Analysis_MIA'!I48</f>
        <v/>
      </c>
      <c r="H5" s="241">
        <f>'2E.Analysis_MIA'!J48</f>
        <v/>
      </c>
      <c r="I5" s="241">
        <f>'2E.Analysis_MIA'!K48</f>
        <v/>
      </c>
      <c r="J5" s="241">
        <f>'2E.Analysis_MIA'!L48</f>
        <v/>
      </c>
      <c r="K5" s="241">
        <f>'2E.Analysis_MIA'!M48</f>
        <v/>
      </c>
      <c r="L5" s="241">
        <f>'2E.Analysis_MIA'!N48</f>
        <v/>
      </c>
      <c r="M5" s="241">
        <f>'2E.Analysis_MIA'!O48</f>
        <v/>
      </c>
      <c r="N5" s="241">
        <f>'2E.Analysis_MIA'!P48</f>
        <v/>
      </c>
      <c r="O5" s="241">
        <f>'2E.Analysis_MIA'!Q48</f>
        <v/>
      </c>
      <c r="P5" s="241">
        <f>'2E.Analysis_MIA'!R48</f>
        <v/>
      </c>
      <c r="Q5" s="241">
        <f>'2E.Analysis_MIA'!S48</f>
        <v/>
      </c>
      <c r="R5" s="241">
        <f>'2E.Analysis_MIA'!T48</f>
        <v/>
      </c>
      <c r="S5" s="241">
        <f>'2E.Analysis_MIA'!U48</f>
        <v/>
      </c>
      <c r="T5" s="241">
        <f>'2E.Analysis_MIA'!V48</f>
        <v/>
      </c>
      <c r="U5" s="241">
        <f>'2E.Analysis_MIA'!W48</f>
        <v/>
      </c>
      <c r="V5" s="241">
        <f>'2E.Analysis_MIA'!X48</f>
        <v/>
      </c>
      <c r="W5" s="241">
        <f>'2E.Analysis_MIA'!Y48</f>
        <v/>
      </c>
      <c r="X5" s="241">
        <f>'2E.Analysis_MIA'!Z48</f>
        <v/>
      </c>
      <c r="Y5" s="241">
        <f>'2E.Analysis_MIA'!AA48</f>
        <v/>
      </c>
      <c r="Z5" s="241">
        <f>'2E.Analysis_MIA'!AB48</f>
        <v/>
      </c>
      <c r="AA5" s="241">
        <f>'2E.Analysis_MIA'!AC48</f>
        <v/>
      </c>
      <c r="AB5" s="241">
        <f>'2E.Analysis_MIA'!AD48</f>
        <v/>
      </c>
      <c r="AC5" s="241">
        <f>'2E.Analysis_MIA'!AE48</f>
        <v/>
      </c>
      <c r="AD5" s="241">
        <f>'2E.Analysis_MIA'!AF48</f>
        <v/>
      </c>
      <c r="AE5" s="241">
        <f>'2E.Analysis_MIA'!AG48</f>
        <v/>
      </c>
      <c r="AF5" s="241">
        <f>'2E.Analysis_MIA'!AH48</f>
        <v/>
      </c>
      <c r="AG5" s="241">
        <f>'2E.Analysis_MIA'!AI48</f>
        <v/>
      </c>
      <c r="AH5" s="241">
        <f>'2E.Analysis_MIA'!AJ48</f>
        <v/>
      </c>
      <c r="AI5" s="241">
        <f>'2E.Analysis_MIA'!AK48</f>
        <v/>
      </c>
      <c r="AJ5" s="241">
        <f>'2E.Analysis_MIA'!AL48</f>
        <v/>
      </c>
      <c r="AK5" s="241">
        <f>'2E.Analysis_MIA'!AM48</f>
        <v/>
      </c>
      <c r="AL5" s="241">
        <f>'2E.Analysis_MIA'!AN48</f>
        <v/>
      </c>
      <c r="AM5" s="241">
        <f>'2E.Analysis_MIA'!AO48</f>
        <v/>
      </c>
      <c r="AN5" s="241">
        <f>'2E.Analysis_MIA'!AP48</f>
        <v/>
      </c>
      <c r="AO5" s="241">
        <f>'2E.Analysis_MIA'!AQ48</f>
        <v/>
      </c>
      <c r="AP5" s="241">
        <f>'2E.Analysis_MIA'!AR48</f>
        <v/>
      </c>
      <c r="AQ5" s="241">
        <f>'2E.Analysis_MIA'!AS48</f>
        <v/>
      </c>
      <c r="AR5" s="241">
        <f>'2E.Analysis_MIA'!AT48</f>
        <v/>
      </c>
      <c r="AS5" s="241">
        <f>'2E.Analysis_MIA'!AU48</f>
        <v/>
      </c>
      <c r="AT5" s="241">
        <f>'2E.Analysis_MIA'!AV48</f>
        <v/>
      </c>
      <c r="AU5" s="241">
        <f>'2E.Analysis_MIA'!AW48</f>
        <v/>
      </c>
      <c r="AV5" s="241">
        <f>'2E.Analysis_MIA'!AX48</f>
        <v/>
      </c>
      <c r="AW5" s="241">
        <f>'2E.Analysis_MIA'!AY48</f>
        <v/>
      </c>
      <c r="AX5" s="241">
        <f>'2E.Analysis_MIA'!AZ48</f>
        <v/>
      </c>
      <c r="AY5" s="241">
        <f>'2E.Analysis_MIA'!BA48</f>
        <v/>
      </c>
      <c r="AZ5" s="241">
        <f>'2E.Analysis_MIA'!BB48</f>
        <v/>
      </c>
    </row>
    <row r="6">
      <c r="C6" s="242" t="n"/>
      <c r="D6" s="242" t="n"/>
      <c r="E6" s="242" t="n"/>
      <c r="F6" s="242" t="n"/>
      <c r="G6" s="242" t="n"/>
      <c r="H6" s="242" t="n"/>
      <c r="I6" s="242" t="n"/>
      <c r="J6" s="242" t="n"/>
    </row>
    <row r="7">
      <c r="B7" s="62" t="n"/>
      <c r="C7" s="62" t="n"/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  <c r="V7" s="62" t="n"/>
      <c r="W7" s="62" t="n"/>
      <c r="X7" s="62" t="n"/>
      <c r="Y7" s="62" t="n"/>
      <c r="Z7" s="62" t="n"/>
      <c r="AA7" s="62" t="n"/>
      <c r="AB7" s="62" t="n"/>
      <c r="AC7" s="62" t="n"/>
      <c r="AD7" s="62" t="n"/>
      <c r="AE7" s="62" t="n"/>
      <c r="AF7" s="62" t="n"/>
      <c r="AG7" s="62" t="n"/>
      <c r="AH7" s="62" t="n"/>
      <c r="AI7" s="62" t="n"/>
      <c r="AJ7" s="62" t="n"/>
      <c r="AK7" s="62" t="n"/>
      <c r="AL7" s="62" t="n"/>
      <c r="AM7" s="62" t="n"/>
      <c r="AN7" s="62" t="n"/>
      <c r="AO7" s="62" t="n"/>
      <c r="AP7" s="62" t="n"/>
      <c r="AQ7" s="62" t="n"/>
      <c r="AR7" s="62" t="n"/>
      <c r="AS7" s="62" t="n"/>
      <c r="AT7" s="62" t="n"/>
      <c r="AU7" s="62" t="n"/>
      <c r="AV7" s="62" t="n"/>
      <c r="AW7" s="62" t="n"/>
      <c r="AX7" s="62" t="n"/>
      <c r="AY7" s="62" t="n"/>
      <c r="AZ7" s="62" t="n"/>
    </row>
    <row r="8" ht="16.5" customHeight="1" s="179">
      <c r="B8" s="63" t="inlineStr">
        <is>
          <t xml:space="preserve">Contribution% of Media Channel </t>
        </is>
      </c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</row>
    <row r="9" ht="33.75" customHeight="1" s="179">
      <c r="B9" s="64" t="inlineStr">
        <is>
          <t>channel</t>
        </is>
      </c>
      <c r="C9" s="55">
        <f>C2</f>
        <v/>
      </c>
      <c r="D9" s="55">
        <f>D2</f>
        <v/>
      </c>
      <c r="E9" s="55">
        <f>E2</f>
        <v/>
      </c>
      <c r="F9" s="55">
        <f>F2</f>
        <v/>
      </c>
      <c r="G9" s="55">
        <f>G2</f>
        <v/>
      </c>
      <c r="H9" s="55">
        <f>H2</f>
        <v/>
      </c>
      <c r="I9" s="55">
        <f>I2</f>
        <v/>
      </c>
      <c r="J9" s="55">
        <f>J2</f>
        <v/>
      </c>
      <c r="K9" s="55">
        <f>K2</f>
        <v/>
      </c>
      <c r="L9" s="55">
        <f>L2</f>
        <v/>
      </c>
      <c r="M9" s="55">
        <f>M2</f>
        <v/>
      </c>
      <c r="N9" s="55">
        <f>N2</f>
        <v/>
      </c>
      <c r="O9" s="55">
        <f>O2</f>
        <v/>
      </c>
      <c r="P9" s="55">
        <f>P2</f>
        <v/>
      </c>
      <c r="Q9" s="55">
        <f>Q2</f>
        <v/>
      </c>
      <c r="R9" s="55">
        <f>R2</f>
        <v/>
      </c>
      <c r="S9" s="55">
        <f>S2</f>
        <v/>
      </c>
      <c r="T9" s="55">
        <f>T2</f>
        <v/>
      </c>
      <c r="U9" s="55">
        <f>U2</f>
        <v/>
      </c>
      <c r="V9" s="55">
        <f>V2</f>
        <v/>
      </c>
      <c r="W9" s="55">
        <f>W2</f>
        <v/>
      </c>
      <c r="X9" s="55">
        <f>X2</f>
        <v/>
      </c>
      <c r="Y9" s="55">
        <f>Y2</f>
        <v/>
      </c>
      <c r="Z9" s="55">
        <f>Z2</f>
        <v/>
      </c>
      <c r="AA9" s="55">
        <f>AA2</f>
        <v/>
      </c>
      <c r="AB9" s="55">
        <f>AB2</f>
        <v/>
      </c>
      <c r="AC9" s="55">
        <f>AC2</f>
        <v/>
      </c>
      <c r="AD9" s="55">
        <f>AD2</f>
        <v/>
      </c>
      <c r="AE9" s="55">
        <f>AE2</f>
        <v/>
      </c>
      <c r="AF9" s="55">
        <f>AF2</f>
        <v/>
      </c>
      <c r="AG9" s="55">
        <f>AG2</f>
        <v/>
      </c>
      <c r="AH9" s="55">
        <f>AH2</f>
        <v/>
      </c>
      <c r="AI9" s="55">
        <f>AI2</f>
        <v/>
      </c>
      <c r="AJ9" s="55">
        <f>AJ2</f>
        <v/>
      </c>
      <c r="AK9" s="55">
        <f>AK2</f>
        <v/>
      </c>
      <c r="AL9" s="55">
        <f>AL2</f>
        <v/>
      </c>
      <c r="AM9" s="55">
        <f>AM2</f>
        <v/>
      </c>
      <c r="AN9" s="55">
        <f>AN2</f>
        <v/>
      </c>
      <c r="AO9" s="55">
        <f>AO2</f>
        <v/>
      </c>
      <c r="AP9" s="55">
        <f>AP2</f>
        <v/>
      </c>
      <c r="AQ9" s="55">
        <f>AQ2</f>
        <v/>
      </c>
      <c r="AR9" s="55">
        <f>AR2</f>
        <v/>
      </c>
      <c r="AS9" s="55">
        <f>AS2</f>
        <v/>
      </c>
      <c r="AT9" s="55">
        <f>AT2</f>
        <v/>
      </c>
      <c r="AU9" s="55">
        <f>AU2</f>
        <v/>
      </c>
      <c r="AV9" s="55">
        <f>AV2</f>
        <v/>
      </c>
      <c r="AW9" s="55">
        <f>AW2</f>
        <v/>
      </c>
      <c r="AX9" s="55">
        <f>AX2</f>
        <v/>
      </c>
      <c r="AY9" s="55">
        <f>AY2</f>
        <v/>
      </c>
      <c r="AZ9" s="55">
        <f>AZ2</f>
        <v/>
      </c>
    </row>
    <row r="10" ht="16.5" customHeight="1" s="179">
      <c r="B10" s="65">
        <f>'2D Mapping'!H2</f>
        <v/>
      </c>
      <c r="C10" s="68">
        <f>'2E.Analysis_MIA'!E136</f>
        <v/>
      </c>
      <c r="D10" s="68">
        <f>'2E.Analysis_MIA'!F136</f>
        <v/>
      </c>
      <c r="E10" s="68">
        <f>'2E.Analysis_MIA'!G136</f>
        <v/>
      </c>
      <c r="F10" s="68">
        <f>'2E.Analysis_MIA'!H136</f>
        <v/>
      </c>
      <c r="G10" s="68">
        <f>'2E.Analysis_MIA'!I136</f>
        <v/>
      </c>
      <c r="H10" s="68">
        <f>'2E.Analysis_MIA'!J136</f>
        <v/>
      </c>
      <c r="I10" s="68">
        <f>'2E.Analysis_MIA'!K136</f>
        <v/>
      </c>
      <c r="J10" s="68">
        <f>'2E.Analysis_MIA'!L136</f>
        <v/>
      </c>
      <c r="K10" s="68">
        <f>'2E.Analysis_MIA'!M136</f>
        <v/>
      </c>
      <c r="L10" s="68">
        <f>'2E.Analysis_MIA'!N136</f>
        <v/>
      </c>
      <c r="M10" s="68">
        <f>'2E.Analysis_MIA'!O136</f>
        <v/>
      </c>
      <c r="N10" s="68">
        <f>'2E.Analysis_MIA'!P136</f>
        <v/>
      </c>
      <c r="O10" s="68">
        <f>'2E.Analysis_MIA'!Q136</f>
        <v/>
      </c>
      <c r="P10" s="68">
        <f>'2E.Analysis_MIA'!R136</f>
        <v/>
      </c>
      <c r="Q10" s="68">
        <f>'2E.Analysis_MIA'!S136</f>
        <v/>
      </c>
      <c r="R10" s="68">
        <f>'2E.Analysis_MIA'!T136</f>
        <v/>
      </c>
      <c r="S10" s="68">
        <f>'2E.Analysis_MIA'!U136</f>
        <v/>
      </c>
      <c r="T10" s="68">
        <f>'2E.Analysis_MIA'!V136</f>
        <v/>
      </c>
      <c r="U10" s="68">
        <f>'2E.Analysis_MIA'!W136</f>
        <v/>
      </c>
      <c r="V10" s="68">
        <f>'2E.Analysis_MIA'!X136</f>
        <v/>
      </c>
      <c r="W10" s="68">
        <f>'2E.Analysis_MIA'!Y136</f>
        <v/>
      </c>
      <c r="X10" s="68">
        <f>'2E.Analysis_MIA'!Z136</f>
        <v/>
      </c>
      <c r="Y10" s="68">
        <f>'2E.Analysis_MIA'!AA136</f>
        <v/>
      </c>
      <c r="Z10" s="68">
        <f>'2E.Analysis_MIA'!AB136</f>
        <v/>
      </c>
      <c r="AA10" s="68">
        <f>'2E.Analysis_MIA'!AC136</f>
        <v/>
      </c>
      <c r="AB10" s="68">
        <f>'2E.Analysis_MIA'!AD136</f>
        <v/>
      </c>
      <c r="AC10" s="68">
        <f>'2E.Analysis_MIA'!AE136</f>
        <v/>
      </c>
      <c r="AD10" s="68">
        <f>'2E.Analysis_MIA'!AF136</f>
        <v/>
      </c>
      <c r="AE10" s="68">
        <f>'2E.Analysis_MIA'!AG136</f>
        <v/>
      </c>
      <c r="AF10" s="68">
        <f>'2E.Analysis_MIA'!AH136</f>
        <v/>
      </c>
      <c r="AG10" s="68">
        <f>'2E.Analysis_MIA'!AI136</f>
        <v/>
      </c>
      <c r="AH10" s="68">
        <f>'2E.Analysis_MIA'!AJ136</f>
        <v/>
      </c>
      <c r="AI10" s="68">
        <f>'2E.Analysis_MIA'!AK136</f>
        <v/>
      </c>
      <c r="AJ10" s="68">
        <f>'2E.Analysis_MIA'!AL136</f>
        <v/>
      </c>
      <c r="AK10" s="68">
        <f>'2E.Analysis_MIA'!AM136</f>
        <v/>
      </c>
      <c r="AL10" s="68">
        <f>'2E.Analysis_MIA'!AN136</f>
        <v/>
      </c>
      <c r="AM10" s="68">
        <f>'2E.Analysis_MIA'!AO136</f>
        <v/>
      </c>
      <c r="AN10" s="68">
        <f>'2E.Analysis_MIA'!AP136</f>
        <v/>
      </c>
      <c r="AO10" s="68">
        <f>'2E.Analysis_MIA'!AQ136</f>
        <v/>
      </c>
      <c r="AP10" s="68">
        <f>'2E.Analysis_MIA'!AR136</f>
        <v/>
      </c>
      <c r="AQ10" s="68">
        <f>'2E.Analysis_MIA'!AS136</f>
        <v/>
      </c>
      <c r="AR10" s="68">
        <f>'2E.Analysis_MIA'!AT136</f>
        <v/>
      </c>
      <c r="AS10" s="68">
        <f>'2E.Analysis_MIA'!AU136</f>
        <v/>
      </c>
      <c r="AT10" s="68">
        <f>'2E.Analysis_MIA'!AV136</f>
        <v/>
      </c>
      <c r="AU10" s="68">
        <f>'2E.Analysis_MIA'!AW136</f>
        <v/>
      </c>
      <c r="AV10" s="68">
        <f>'2E.Analysis_MIA'!AX136</f>
        <v/>
      </c>
      <c r="AW10" s="68">
        <f>'2E.Analysis_MIA'!AY136</f>
        <v/>
      </c>
      <c r="AX10" s="68">
        <f>'2E.Analysis_MIA'!AZ136</f>
        <v/>
      </c>
      <c r="AY10" s="68">
        <f>'2E.Analysis_MIA'!BA136</f>
        <v/>
      </c>
      <c r="AZ10" s="68">
        <f>'2E.Analysis_MIA'!BB136</f>
        <v/>
      </c>
    </row>
    <row r="11" ht="16.5" customHeight="1" s="179">
      <c r="B11" s="65">
        <f>'2D Mapping'!H3</f>
        <v/>
      </c>
      <c r="C11" s="68">
        <f>'2E.Analysis_MIA'!E137</f>
        <v/>
      </c>
      <c r="D11" s="68">
        <f>'2E.Analysis_MIA'!F137</f>
        <v/>
      </c>
      <c r="E11" s="68">
        <f>'2E.Analysis_MIA'!G137</f>
        <v/>
      </c>
      <c r="F11" s="68">
        <f>'2E.Analysis_MIA'!H137</f>
        <v/>
      </c>
      <c r="G11" s="68">
        <f>'2E.Analysis_MIA'!I137</f>
        <v/>
      </c>
      <c r="H11" s="68">
        <f>'2E.Analysis_MIA'!J137</f>
        <v/>
      </c>
      <c r="I11" s="68">
        <f>'2E.Analysis_MIA'!K137</f>
        <v/>
      </c>
      <c r="J11" s="68">
        <f>'2E.Analysis_MIA'!L137</f>
        <v/>
      </c>
      <c r="K11" s="68">
        <f>'2E.Analysis_MIA'!M137</f>
        <v/>
      </c>
      <c r="L11" s="68">
        <f>'2E.Analysis_MIA'!N137</f>
        <v/>
      </c>
      <c r="M11" s="68">
        <f>'2E.Analysis_MIA'!O137</f>
        <v/>
      </c>
      <c r="N11" s="68">
        <f>'2E.Analysis_MIA'!P137</f>
        <v/>
      </c>
      <c r="O11" s="68">
        <f>'2E.Analysis_MIA'!Q137</f>
        <v/>
      </c>
      <c r="P11" s="68">
        <f>'2E.Analysis_MIA'!R137</f>
        <v/>
      </c>
      <c r="Q11" s="68">
        <f>'2E.Analysis_MIA'!S137</f>
        <v/>
      </c>
      <c r="R11" s="68">
        <f>'2E.Analysis_MIA'!T137</f>
        <v/>
      </c>
      <c r="S11" s="68">
        <f>'2E.Analysis_MIA'!U137</f>
        <v/>
      </c>
      <c r="T11" s="68">
        <f>'2E.Analysis_MIA'!V137</f>
        <v/>
      </c>
      <c r="U11" s="68">
        <f>'2E.Analysis_MIA'!W137</f>
        <v/>
      </c>
      <c r="V11" s="68">
        <f>'2E.Analysis_MIA'!X137</f>
        <v/>
      </c>
      <c r="W11" s="68">
        <f>'2E.Analysis_MIA'!Y137</f>
        <v/>
      </c>
      <c r="X11" s="68">
        <f>'2E.Analysis_MIA'!Z137</f>
        <v/>
      </c>
      <c r="Y11" s="68">
        <f>'2E.Analysis_MIA'!AA137</f>
        <v/>
      </c>
      <c r="Z11" s="68">
        <f>'2E.Analysis_MIA'!AB137</f>
        <v/>
      </c>
      <c r="AA11" s="68">
        <f>'2E.Analysis_MIA'!AC137</f>
        <v/>
      </c>
      <c r="AB11" s="68">
        <f>'2E.Analysis_MIA'!AD137</f>
        <v/>
      </c>
      <c r="AC11" s="68">
        <f>'2E.Analysis_MIA'!AE137</f>
        <v/>
      </c>
      <c r="AD11" s="68">
        <f>'2E.Analysis_MIA'!AF137</f>
        <v/>
      </c>
      <c r="AE11" s="68">
        <f>'2E.Analysis_MIA'!AG137</f>
        <v/>
      </c>
      <c r="AF11" s="68">
        <f>'2E.Analysis_MIA'!AH137</f>
        <v/>
      </c>
      <c r="AG11" s="68">
        <f>'2E.Analysis_MIA'!AI137</f>
        <v/>
      </c>
      <c r="AH11" s="68">
        <f>'2E.Analysis_MIA'!AJ137</f>
        <v/>
      </c>
      <c r="AI11" s="68">
        <f>'2E.Analysis_MIA'!AK137</f>
        <v/>
      </c>
      <c r="AJ11" s="68">
        <f>'2E.Analysis_MIA'!AL137</f>
        <v/>
      </c>
      <c r="AK11" s="68">
        <f>'2E.Analysis_MIA'!AM137</f>
        <v/>
      </c>
      <c r="AL11" s="68">
        <f>'2E.Analysis_MIA'!AN137</f>
        <v/>
      </c>
      <c r="AM11" s="68">
        <f>'2E.Analysis_MIA'!AO137</f>
        <v/>
      </c>
      <c r="AN11" s="68">
        <f>'2E.Analysis_MIA'!AP137</f>
        <v/>
      </c>
      <c r="AO11" s="68">
        <f>'2E.Analysis_MIA'!AQ137</f>
        <v/>
      </c>
      <c r="AP11" s="68">
        <f>'2E.Analysis_MIA'!AR137</f>
        <v/>
      </c>
      <c r="AQ11" s="68">
        <f>'2E.Analysis_MIA'!AS137</f>
        <v/>
      </c>
      <c r="AR11" s="68">
        <f>'2E.Analysis_MIA'!AT137</f>
        <v/>
      </c>
      <c r="AS11" s="68">
        <f>'2E.Analysis_MIA'!AU137</f>
        <v/>
      </c>
      <c r="AT11" s="68">
        <f>'2E.Analysis_MIA'!AV137</f>
        <v/>
      </c>
      <c r="AU11" s="68">
        <f>'2E.Analysis_MIA'!AW137</f>
        <v/>
      </c>
      <c r="AV11" s="68">
        <f>'2E.Analysis_MIA'!AX137</f>
        <v/>
      </c>
      <c r="AW11" s="68">
        <f>'2E.Analysis_MIA'!AY137</f>
        <v/>
      </c>
      <c r="AX11" s="68">
        <f>'2E.Analysis_MIA'!AZ137</f>
        <v/>
      </c>
      <c r="AY11" s="68">
        <f>'2E.Analysis_MIA'!BA137</f>
        <v/>
      </c>
      <c r="AZ11" s="68">
        <f>'2E.Analysis_MIA'!BB137</f>
        <v/>
      </c>
    </row>
    <row r="12" ht="16.5" customHeight="1" s="179">
      <c r="B12" s="65">
        <f>'2D Mapping'!H4</f>
        <v/>
      </c>
      <c r="C12" s="68">
        <f>'2E.Analysis_MIA'!E138</f>
        <v/>
      </c>
      <c r="D12" s="68">
        <f>'2E.Analysis_MIA'!F138</f>
        <v/>
      </c>
      <c r="E12" s="68">
        <f>'2E.Analysis_MIA'!G138</f>
        <v/>
      </c>
      <c r="F12" s="68">
        <f>'2E.Analysis_MIA'!H138</f>
        <v/>
      </c>
      <c r="G12" s="68">
        <f>'2E.Analysis_MIA'!I138</f>
        <v/>
      </c>
      <c r="H12" s="68">
        <f>'2E.Analysis_MIA'!J138</f>
        <v/>
      </c>
      <c r="I12" s="68">
        <f>'2E.Analysis_MIA'!K138</f>
        <v/>
      </c>
      <c r="J12" s="68">
        <f>'2E.Analysis_MIA'!L138</f>
        <v/>
      </c>
      <c r="K12" s="68">
        <f>'2E.Analysis_MIA'!M138</f>
        <v/>
      </c>
      <c r="L12" s="68">
        <f>'2E.Analysis_MIA'!N138</f>
        <v/>
      </c>
      <c r="M12" s="68">
        <f>'2E.Analysis_MIA'!O138</f>
        <v/>
      </c>
      <c r="N12" s="68">
        <f>'2E.Analysis_MIA'!P138</f>
        <v/>
      </c>
      <c r="O12" s="68">
        <f>'2E.Analysis_MIA'!Q138</f>
        <v/>
      </c>
      <c r="P12" s="68">
        <f>'2E.Analysis_MIA'!R138</f>
        <v/>
      </c>
      <c r="Q12" s="68">
        <f>'2E.Analysis_MIA'!S138</f>
        <v/>
      </c>
      <c r="R12" s="68">
        <f>'2E.Analysis_MIA'!T138</f>
        <v/>
      </c>
      <c r="S12" s="68">
        <f>'2E.Analysis_MIA'!U138</f>
        <v/>
      </c>
      <c r="T12" s="68">
        <f>'2E.Analysis_MIA'!V138</f>
        <v/>
      </c>
      <c r="U12" s="68">
        <f>'2E.Analysis_MIA'!W138</f>
        <v/>
      </c>
      <c r="V12" s="68">
        <f>'2E.Analysis_MIA'!X138</f>
        <v/>
      </c>
      <c r="W12" s="68">
        <f>'2E.Analysis_MIA'!Y138</f>
        <v/>
      </c>
      <c r="X12" s="68">
        <f>'2E.Analysis_MIA'!Z138</f>
        <v/>
      </c>
      <c r="Y12" s="68">
        <f>'2E.Analysis_MIA'!AA138</f>
        <v/>
      </c>
      <c r="Z12" s="68">
        <f>'2E.Analysis_MIA'!AB138</f>
        <v/>
      </c>
      <c r="AA12" s="68">
        <f>'2E.Analysis_MIA'!AC138</f>
        <v/>
      </c>
      <c r="AB12" s="68">
        <f>'2E.Analysis_MIA'!AD138</f>
        <v/>
      </c>
      <c r="AC12" s="68">
        <f>'2E.Analysis_MIA'!AE138</f>
        <v/>
      </c>
      <c r="AD12" s="68">
        <f>'2E.Analysis_MIA'!AF138</f>
        <v/>
      </c>
      <c r="AE12" s="68">
        <f>'2E.Analysis_MIA'!AG138</f>
        <v/>
      </c>
      <c r="AF12" s="68">
        <f>'2E.Analysis_MIA'!AH138</f>
        <v/>
      </c>
      <c r="AG12" s="68">
        <f>'2E.Analysis_MIA'!AI138</f>
        <v/>
      </c>
      <c r="AH12" s="68">
        <f>'2E.Analysis_MIA'!AJ138</f>
        <v/>
      </c>
      <c r="AI12" s="68">
        <f>'2E.Analysis_MIA'!AK138</f>
        <v/>
      </c>
      <c r="AJ12" s="68">
        <f>'2E.Analysis_MIA'!AL138</f>
        <v/>
      </c>
      <c r="AK12" s="68">
        <f>'2E.Analysis_MIA'!AM138</f>
        <v/>
      </c>
      <c r="AL12" s="68">
        <f>'2E.Analysis_MIA'!AN138</f>
        <v/>
      </c>
      <c r="AM12" s="68">
        <f>'2E.Analysis_MIA'!AO138</f>
        <v/>
      </c>
      <c r="AN12" s="68">
        <f>'2E.Analysis_MIA'!AP138</f>
        <v/>
      </c>
      <c r="AO12" s="68">
        <f>'2E.Analysis_MIA'!AQ138</f>
        <v/>
      </c>
      <c r="AP12" s="68">
        <f>'2E.Analysis_MIA'!AR138</f>
        <v/>
      </c>
      <c r="AQ12" s="68">
        <f>'2E.Analysis_MIA'!AS138</f>
        <v/>
      </c>
      <c r="AR12" s="68">
        <f>'2E.Analysis_MIA'!AT138</f>
        <v/>
      </c>
      <c r="AS12" s="68">
        <f>'2E.Analysis_MIA'!AU138</f>
        <v/>
      </c>
      <c r="AT12" s="68">
        <f>'2E.Analysis_MIA'!AV138</f>
        <v/>
      </c>
      <c r="AU12" s="68">
        <f>'2E.Analysis_MIA'!AW138</f>
        <v/>
      </c>
      <c r="AV12" s="68">
        <f>'2E.Analysis_MIA'!AX138</f>
        <v/>
      </c>
      <c r="AW12" s="68">
        <f>'2E.Analysis_MIA'!AY138</f>
        <v/>
      </c>
      <c r="AX12" s="68">
        <f>'2E.Analysis_MIA'!AZ138</f>
        <v/>
      </c>
      <c r="AY12" s="68">
        <f>'2E.Analysis_MIA'!BA138</f>
        <v/>
      </c>
      <c r="AZ12" s="68">
        <f>'2E.Analysis_MIA'!BB138</f>
        <v/>
      </c>
    </row>
    <row r="13" ht="16.5" customHeight="1" s="179">
      <c r="B13" s="65">
        <f>'2D Mapping'!H5</f>
        <v/>
      </c>
      <c r="C13" s="68">
        <f>'2E.Analysis_MIA'!E139</f>
        <v/>
      </c>
      <c r="D13" s="68">
        <f>'2E.Analysis_MIA'!F139</f>
        <v/>
      </c>
      <c r="E13" s="68">
        <f>'2E.Analysis_MIA'!G139</f>
        <v/>
      </c>
      <c r="F13" s="68">
        <f>'2E.Analysis_MIA'!H139</f>
        <v/>
      </c>
      <c r="G13" s="68">
        <f>'2E.Analysis_MIA'!I139</f>
        <v/>
      </c>
      <c r="H13" s="68">
        <f>'2E.Analysis_MIA'!J139</f>
        <v/>
      </c>
      <c r="I13" s="68">
        <f>'2E.Analysis_MIA'!K139</f>
        <v/>
      </c>
      <c r="J13" s="68">
        <f>'2E.Analysis_MIA'!L139</f>
        <v/>
      </c>
      <c r="K13" s="68">
        <f>'2E.Analysis_MIA'!M139</f>
        <v/>
      </c>
      <c r="L13" s="68">
        <f>'2E.Analysis_MIA'!N139</f>
        <v/>
      </c>
      <c r="M13" s="68">
        <f>'2E.Analysis_MIA'!O139</f>
        <v/>
      </c>
      <c r="N13" s="68">
        <f>'2E.Analysis_MIA'!P139</f>
        <v/>
      </c>
      <c r="O13" s="68">
        <f>'2E.Analysis_MIA'!Q139</f>
        <v/>
      </c>
      <c r="P13" s="68">
        <f>'2E.Analysis_MIA'!R139</f>
        <v/>
      </c>
      <c r="Q13" s="68">
        <f>'2E.Analysis_MIA'!S139</f>
        <v/>
      </c>
      <c r="R13" s="68">
        <f>'2E.Analysis_MIA'!T139</f>
        <v/>
      </c>
      <c r="S13" s="68">
        <f>'2E.Analysis_MIA'!U139</f>
        <v/>
      </c>
      <c r="T13" s="68">
        <f>'2E.Analysis_MIA'!V139</f>
        <v/>
      </c>
      <c r="U13" s="68">
        <f>'2E.Analysis_MIA'!W139</f>
        <v/>
      </c>
      <c r="V13" s="68">
        <f>'2E.Analysis_MIA'!X139</f>
        <v/>
      </c>
      <c r="W13" s="68">
        <f>'2E.Analysis_MIA'!Y139</f>
        <v/>
      </c>
      <c r="X13" s="68">
        <f>'2E.Analysis_MIA'!Z139</f>
        <v/>
      </c>
      <c r="Y13" s="68">
        <f>'2E.Analysis_MIA'!AA139</f>
        <v/>
      </c>
      <c r="Z13" s="68">
        <f>'2E.Analysis_MIA'!AB139</f>
        <v/>
      </c>
      <c r="AA13" s="68">
        <f>'2E.Analysis_MIA'!AC139</f>
        <v/>
      </c>
      <c r="AB13" s="68">
        <f>'2E.Analysis_MIA'!AD139</f>
        <v/>
      </c>
      <c r="AC13" s="68">
        <f>'2E.Analysis_MIA'!AE139</f>
        <v/>
      </c>
      <c r="AD13" s="68">
        <f>'2E.Analysis_MIA'!AF139</f>
        <v/>
      </c>
      <c r="AE13" s="68">
        <f>'2E.Analysis_MIA'!AG139</f>
        <v/>
      </c>
      <c r="AF13" s="68">
        <f>'2E.Analysis_MIA'!AH139</f>
        <v/>
      </c>
      <c r="AG13" s="68">
        <f>'2E.Analysis_MIA'!AI139</f>
        <v/>
      </c>
      <c r="AH13" s="68">
        <f>'2E.Analysis_MIA'!AJ139</f>
        <v/>
      </c>
      <c r="AI13" s="68">
        <f>'2E.Analysis_MIA'!AK139</f>
        <v/>
      </c>
      <c r="AJ13" s="68">
        <f>'2E.Analysis_MIA'!AL139</f>
        <v/>
      </c>
      <c r="AK13" s="68">
        <f>'2E.Analysis_MIA'!AM139</f>
        <v/>
      </c>
      <c r="AL13" s="68">
        <f>'2E.Analysis_MIA'!AN139</f>
        <v/>
      </c>
      <c r="AM13" s="68">
        <f>'2E.Analysis_MIA'!AO139</f>
        <v/>
      </c>
      <c r="AN13" s="68">
        <f>'2E.Analysis_MIA'!AP139</f>
        <v/>
      </c>
      <c r="AO13" s="68">
        <f>'2E.Analysis_MIA'!AQ139</f>
        <v/>
      </c>
      <c r="AP13" s="68">
        <f>'2E.Analysis_MIA'!AR139</f>
        <v/>
      </c>
      <c r="AQ13" s="68">
        <f>'2E.Analysis_MIA'!AS139</f>
        <v/>
      </c>
      <c r="AR13" s="68">
        <f>'2E.Analysis_MIA'!AT139</f>
        <v/>
      </c>
      <c r="AS13" s="68">
        <f>'2E.Analysis_MIA'!AU139</f>
        <v/>
      </c>
      <c r="AT13" s="68">
        <f>'2E.Analysis_MIA'!AV139</f>
        <v/>
      </c>
      <c r="AU13" s="68">
        <f>'2E.Analysis_MIA'!AW139</f>
        <v/>
      </c>
      <c r="AV13" s="68">
        <f>'2E.Analysis_MIA'!AX139</f>
        <v/>
      </c>
      <c r="AW13" s="68">
        <f>'2E.Analysis_MIA'!AY139</f>
        <v/>
      </c>
      <c r="AX13" s="68">
        <f>'2E.Analysis_MIA'!AZ139</f>
        <v/>
      </c>
      <c r="AY13" s="68">
        <f>'2E.Analysis_MIA'!BA139</f>
        <v/>
      </c>
      <c r="AZ13" s="68">
        <f>'2E.Analysis_MIA'!BB139</f>
        <v/>
      </c>
    </row>
    <row r="14" ht="16.5" customHeight="1" s="179">
      <c r="B14" s="65">
        <f>'2D Mapping'!H6</f>
        <v/>
      </c>
      <c r="C14" s="68">
        <f>'2E.Analysis_MIA'!E140</f>
        <v/>
      </c>
      <c r="D14" s="68">
        <f>'2E.Analysis_MIA'!F140</f>
        <v/>
      </c>
      <c r="E14" s="68">
        <f>'2E.Analysis_MIA'!G140</f>
        <v/>
      </c>
      <c r="F14" s="68">
        <f>'2E.Analysis_MIA'!H140</f>
        <v/>
      </c>
      <c r="G14" s="68">
        <f>'2E.Analysis_MIA'!I140</f>
        <v/>
      </c>
      <c r="H14" s="68">
        <f>'2E.Analysis_MIA'!J140</f>
        <v/>
      </c>
      <c r="I14" s="68">
        <f>'2E.Analysis_MIA'!K140</f>
        <v/>
      </c>
      <c r="J14" s="68">
        <f>'2E.Analysis_MIA'!L140</f>
        <v/>
      </c>
      <c r="K14" s="68">
        <f>'2E.Analysis_MIA'!M140</f>
        <v/>
      </c>
      <c r="L14" s="68">
        <f>'2E.Analysis_MIA'!N140</f>
        <v/>
      </c>
      <c r="M14" s="68">
        <f>'2E.Analysis_MIA'!O140</f>
        <v/>
      </c>
      <c r="N14" s="68">
        <f>'2E.Analysis_MIA'!P140</f>
        <v/>
      </c>
      <c r="O14" s="68">
        <f>'2E.Analysis_MIA'!Q140</f>
        <v/>
      </c>
      <c r="P14" s="68">
        <f>'2E.Analysis_MIA'!R140</f>
        <v/>
      </c>
      <c r="Q14" s="68">
        <f>'2E.Analysis_MIA'!S140</f>
        <v/>
      </c>
      <c r="R14" s="68">
        <f>'2E.Analysis_MIA'!T140</f>
        <v/>
      </c>
      <c r="S14" s="68">
        <f>'2E.Analysis_MIA'!U140</f>
        <v/>
      </c>
      <c r="T14" s="68">
        <f>'2E.Analysis_MIA'!V140</f>
        <v/>
      </c>
      <c r="U14" s="68">
        <f>'2E.Analysis_MIA'!W140</f>
        <v/>
      </c>
      <c r="V14" s="68">
        <f>'2E.Analysis_MIA'!X140</f>
        <v/>
      </c>
      <c r="W14" s="68">
        <f>'2E.Analysis_MIA'!Y140</f>
        <v/>
      </c>
      <c r="X14" s="68">
        <f>'2E.Analysis_MIA'!Z140</f>
        <v/>
      </c>
      <c r="Y14" s="68">
        <f>'2E.Analysis_MIA'!AA140</f>
        <v/>
      </c>
      <c r="Z14" s="68">
        <f>'2E.Analysis_MIA'!AB140</f>
        <v/>
      </c>
      <c r="AA14" s="68">
        <f>'2E.Analysis_MIA'!AC140</f>
        <v/>
      </c>
      <c r="AB14" s="68">
        <f>'2E.Analysis_MIA'!AD140</f>
        <v/>
      </c>
      <c r="AC14" s="68">
        <f>'2E.Analysis_MIA'!AE140</f>
        <v/>
      </c>
      <c r="AD14" s="68">
        <f>'2E.Analysis_MIA'!AF140</f>
        <v/>
      </c>
      <c r="AE14" s="68">
        <f>'2E.Analysis_MIA'!AG140</f>
        <v/>
      </c>
      <c r="AF14" s="68">
        <f>'2E.Analysis_MIA'!AH140</f>
        <v/>
      </c>
      <c r="AG14" s="68">
        <f>'2E.Analysis_MIA'!AI140</f>
        <v/>
      </c>
      <c r="AH14" s="68">
        <f>'2E.Analysis_MIA'!AJ140</f>
        <v/>
      </c>
      <c r="AI14" s="68">
        <f>'2E.Analysis_MIA'!AK140</f>
        <v/>
      </c>
      <c r="AJ14" s="68">
        <f>'2E.Analysis_MIA'!AL140</f>
        <v/>
      </c>
      <c r="AK14" s="68">
        <f>'2E.Analysis_MIA'!AM140</f>
        <v/>
      </c>
      <c r="AL14" s="68">
        <f>'2E.Analysis_MIA'!AN140</f>
        <v/>
      </c>
      <c r="AM14" s="68">
        <f>'2E.Analysis_MIA'!AO140</f>
        <v/>
      </c>
      <c r="AN14" s="68">
        <f>'2E.Analysis_MIA'!AP140</f>
        <v/>
      </c>
      <c r="AO14" s="68">
        <f>'2E.Analysis_MIA'!AQ140</f>
        <v/>
      </c>
      <c r="AP14" s="68">
        <f>'2E.Analysis_MIA'!AR140</f>
        <v/>
      </c>
      <c r="AQ14" s="68">
        <f>'2E.Analysis_MIA'!AS140</f>
        <v/>
      </c>
      <c r="AR14" s="68">
        <f>'2E.Analysis_MIA'!AT140</f>
        <v/>
      </c>
      <c r="AS14" s="68">
        <f>'2E.Analysis_MIA'!AU140</f>
        <v/>
      </c>
      <c r="AT14" s="68">
        <f>'2E.Analysis_MIA'!AV140</f>
        <v/>
      </c>
      <c r="AU14" s="68">
        <f>'2E.Analysis_MIA'!AW140</f>
        <v/>
      </c>
      <c r="AV14" s="68">
        <f>'2E.Analysis_MIA'!AX140</f>
        <v/>
      </c>
      <c r="AW14" s="68">
        <f>'2E.Analysis_MIA'!AY140</f>
        <v/>
      </c>
      <c r="AX14" s="68">
        <f>'2E.Analysis_MIA'!AZ140</f>
        <v/>
      </c>
      <c r="AY14" s="68">
        <f>'2E.Analysis_MIA'!BA140</f>
        <v/>
      </c>
      <c r="AZ14" s="68">
        <f>'2E.Analysis_MIA'!BB140</f>
        <v/>
      </c>
    </row>
    <row r="15" ht="16.5" customHeight="1" s="179">
      <c r="B15" s="65">
        <f>'2D Mapping'!H7</f>
        <v/>
      </c>
      <c r="C15" s="68">
        <f>'2E.Analysis_MIA'!E141</f>
        <v/>
      </c>
      <c r="D15" s="68">
        <f>'2E.Analysis_MIA'!F141</f>
        <v/>
      </c>
      <c r="E15" s="68">
        <f>'2E.Analysis_MIA'!G141</f>
        <v/>
      </c>
      <c r="F15" s="68">
        <f>'2E.Analysis_MIA'!H141</f>
        <v/>
      </c>
      <c r="G15" s="68">
        <f>'2E.Analysis_MIA'!I141</f>
        <v/>
      </c>
      <c r="H15" s="68">
        <f>'2E.Analysis_MIA'!J141</f>
        <v/>
      </c>
      <c r="I15" s="68">
        <f>'2E.Analysis_MIA'!K141</f>
        <v/>
      </c>
      <c r="J15" s="68">
        <f>'2E.Analysis_MIA'!L141</f>
        <v/>
      </c>
      <c r="K15" s="68">
        <f>'2E.Analysis_MIA'!M141</f>
        <v/>
      </c>
      <c r="L15" s="68">
        <f>'2E.Analysis_MIA'!N141</f>
        <v/>
      </c>
      <c r="M15" s="68">
        <f>'2E.Analysis_MIA'!O141</f>
        <v/>
      </c>
      <c r="N15" s="68">
        <f>'2E.Analysis_MIA'!P141</f>
        <v/>
      </c>
      <c r="O15" s="68">
        <f>'2E.Analysis_MIA'!Q141</f>
        <v/>
      </c>
      <c r="P15" s="68">
        <f>'2E.Analysis_MIA'!R141</f>
        <v/>
      </c>
      <c r="Q15" s="68">
        <f>'2E.Analysis_MIA'!S141</f>
        <v/>
      </c>
      <c r="R15" s="68">
        <f>'2E.Analysis_MIA'!T141</f>
        <v/>
      </c>
      <c r="S15" s="68">
        <f>'2E.Analysis_MIA'!U141</f>
        <v/>
      </c>
      <c r="T15" s="68">
        <f>'2E.Analysis_MIA'!V141</f>
        <v/>
      </c>
      <c r="U15" s="68">
        <f>'2E.Analysis_MIA'!W141</f>
        <v/>
      </c>
      <c r="V15" s="68">
        <f>'2E.Analysis_MIA'!X141</f>
        <v/>
      </c>
      <c r="W15" s="68">
        <f>'2E.Analysis_MIA'!Y141</f>
        <v/>
      </c>
      <c r="X15" s="68">
        <f>'2E.Analysis_MIA'!Z141</f>
        <v/>
      </c>
      <c r="Y15" s="68">
        <f>'2E.Analysis_MIA'!AA141</f>
        <v/>
      </c>
      <c r="Z15" s="68">
        <f>'2E.Analysis_MIA'!AB141</f>
        <v/>
      </c>
      <c r="AA15" s="68">
        <f>'2E.Analysis_MIA'!AC141</f>
        <v/>
      </c>
      <c r="AB15" s="68">
        <f>'2E.Analysis_MIA'!AD141</f>
        <v/>
      </c>
      <c r="AC15" s="68">
        <f>'2E.Analysis_MIA'!AE141</f>
        <v/>
      </c>
      <c r="AD15" s="68">
        <f>'2E.Analysis_MIA'!AF141</f>
        <v/>
      </c>
      <c r="AE15" s="68">
        <f>'2E.Analysis_MIA'!AG141</f>
        <v/>
      </c>
      <c r="AF15" s="68">
        <f>'2E.Analysis_MIA'!AH141</f>
        <v/>
      </c>
      <c r="AG15" s="68">
        <f>'2E.Analysis_MIA'!AI141</f>
        <v/>
      </c>
      <c r="AH15" s="68">
        <f>'2E.Analysis_MIA'!AJ141</f>
        <v/>
      </c>
      <c r="AI15" s="68">
        <f>'2E.Analysis_MIA'!AK141</f>
        <v/>
      </c>
      <c r="AJ15" s="68">
        <f>'2E.Analysis_MIA'!AL141</f>
        <v/>
      </c>
      <c r="AK15" s="68">
        <f>'2E.Analysis_MIA'!AM141</f>
        <v/>
      </c>
      <c r="AL15" s="68">
        <f>'2E.Analysis_MIA'!AN141</f>
        <v/>
      </c>
      <c r="AM15" s="68">
        <f>'2E.Analysis_MIA'!AO141</f>
        <v/>
      </c>
      <c r="AN15" s="68">
        <f>'2E.Analysis_MIA'!AP141</f>
        <v/>
      </c>
      <c r="AO15" s="68">
        <f>'2E.Analysis_MIA'!AQ141</f>
        <v/>
      </c>
      <c r="AP15" s="68">
        <f>'2E.Analysis_MIA'!AR141</f>
        <v/>
      </c>
      <c r="AQ15" s="68">
        <f>'2E.Analysis_MIA'!AS141</f>
        <v/>
      </c>
      <c r="AR15" s="68">
        <f>'2E.Analysis_MIA'!AT141</f>
        <v/>
      </c>
      <c r="AS15" s="68">
        <f>'2E.Analysis_MIA'!AU141</f>
        <v/>
      </c>
      <c r="AT15" s="68">
        <f>'2E.Analysis_MIA'!AV141</f>
        <v/>
      </c>
      <c r="AU15" s="68">
        <f>'2E.Analysis_MIA'!AW141</f>
        <v/>
      </c>
      <c r="AV15" s="68">
        <f>'2E.Analysis_MIA'!AX141</f>
        <v/>
      </c>
      <c r="AW15" s="68">
        <f>'2E.Analysis_MIA'!AY141</f>
        <v/>
      </c>
      <c r="AX15" s="68">
        <f>'2E.Analysis_MIA'!AZ141</f>
        <v/>
      </c>
      <c r="AY15" s="68">
        <f>'2E.Analysis_MIA'!BA141</f>
        <v/>
      </c>
      <c r="AZ15" s="68">
        <f>'2E.Analysis_MIA'!BB141</f>
        <v/>
      </c>
    </row>
    <row r="16" ht="16.5" customHeight="1" s="179">
      <c r="B16" s="65">
        <f>'2D Mapping'!H8</f>
        <v/>
      </c>
      <c r="C16" s="68">
        <f>'2E.Analysis_MIA'!E142</f>
        <v/>
      </c>
      <c r="D16" s="68">
        <f>'2E.Analysis_MIA'!F142</f>
        <v/>
      </c>
      <c r="E16" s="68">
        <f>'2E.Analysis_MIA'!G142</f>
        <v/>
      </c>
      <c r="F16" s="68">
        <f>'2E.Analysis_MIA'!H142</f>
        <v/>
      </c>
      <c r="G16" s="68">
        <f>'2E.Analysis_MIA'!I142</f>
        <v/>
      </c>
      <c r="H16" s="68">
        <f>'2E.Analysis_MIA'!J142</f>
        <v/>
      </c>
      <c r="I16" s="68">
        <f>'2E.Analysis_MIA'!K142</f>
        <v/>
      </c>
      <c r="J16" s="68">
        <f>'2E.Analysis_MIA'!L142</f>
        <v/>
      </c>
      <c r="K16" s="68">
        <f>'2E.Analysis_MIA'!M142</f>
        <v/>
      </c>
      <c r="L16" s="68">
        <f>'2E.Analysis_MIA'!N142</f>
        <v/>
      </c>
      <c r="M16" s="68">
        <f>'2E.Analysis_MIA'!O142</f>
        <v/>
      </c>
      <c r="N16" s="68">
        <f>'2E.Analysis_MIA'!P142</f>
        <v/>
      </c>
      <c r="O16" s="68">
        <f>'2E.Analysis_MIA'!Q142</f>
        <v/>
      </c>
      <c r="P16" s="68">
        <f>'2E.Analysis_MIA'!R142</f>
        <v/>
      </c>
      <c r="Q16" s="68">
        <f>'2E.Analysis_MIA'!S142</f>
        <v/>
      </c>
      <c r="R16" s="68">
        <f>'2E.Analysis_MIA'!T142</f>
        <v/>
      </c>
      <c r="S16" s="68">
        <f>'2E.Analysis_MIA'!U142</f>
        <v/>
      </c>
      <c r="T16" s="68">
        <f>'2E.Analysis_MIA'!V142</f>
        <v/>
      </c>
      <c r="U16" s="68">
        <f>'2E.Analysis_MIA'!W142</f>
        <v/>
      </c>
      <c r="V16" s="68">
        <f>'2E.Analysis_MIA'!X142</f>
        <v/>
      </c>
      <c r="W16" s="68">
        <f>'2E.Analysis_MIA'!Y142</f>
        <v/>
      </c>
      <c r="X16" s="68">
        <f>'2E.Analysis_MIA'!Z142</f>
        <v/>
      </c>
      <c r="Y16" s="68">
        <f>'2E.Analysis_MIA'!AA142</f>
        <v/>
      </c>
      <c r="Z16" s="68">
        <f>'2E.Analysis_MIA'!AB142</f>
        <v/>
      </c>
      <c r="AA16" s="68">
        <f>'2E.Analysis_MIA'!AC142</f>
        <v/>
      </c>
      <c r="AB16" s="68">
        <f>'2E.Analysis_MIA'!AD142</f>
        <v/>
      </c>
      <c r="AC16" s="68">
        <f>'2E.Analysis_MIA'!AE142</f>
        <v/>
      </c>
      <c r="AD16" s="68">
        <f>'2E.Analysis_MIA'!AF142</f>
        <v/>
      </c>
      <c r="AE16" s="68">
        <f>'2E.Analysis_MIA'!AG142</f>
        <v/>
      </c>
      <c r="AF16" s="68">
        <f>'2E.Analysis_MIA'!AH142</f>
        <v/>
      </c>
      <c r="AG16" s="68">
        <f>'2E.Analysis_MIA'!AI142</f>
        <v/>
      </c>
      <c r="AH16" s="68">
        <f>'2E.Analysis_MIA'!AJ142</f>
        <v/>
      </c>
      <c r="AI16" s="68">
        <f>'2E.Analysis_MIA'!AK142</f>
        <v/>
      </c>
      <c r="AJ16" s="68">
        <f>'2E.Analysis_MIA'!AL142</f>
        <v/>
      </c>
      <c r="AK16" s="68">
        <f>'2E.Analysis_MIA'!AM142</f>
        <v/>
      </c>
      <c r="AL16" s="68">
        <f>'2E.Analysis_MIA'!AN142</f>
        <v/>
      </c>
      <c r="AM16" s="68">
        <f>'2E.Analysis_MIA'!AO142</f>
        <v/>
      </c>
      <c r="AN16" s="68">
        <f>'2E.Analysis_MIA'!AP142</f>
        <v/>
      </c>
      <c r="AO16" s="68">
        <f>'2E.Analysis_MIA'!AQ142</f>
        <v/>
      </c>
      <c r="AP16" s="68">
        <f>'2E.Analysis_MIA'!AR142</f>
        <v/>
      </c>
      <c r="AQ16" s="68">
        <f>'2E.Analysis_MIA'!AS142</f>
        <v/>
      </c>
      <c r="AR16" s="68">
        <f>'2E.Analysis_MIA'!AT142</f>
        <v/>
      </c>
      <c r="AS16" s="68">
        <f>'2E.Analysis_MIA'!AU142</f>
        <v/>
      </c>
      <c r="AT16" s="68">
        <f>'2E.Analysis_MIA'!AV142</f>
        <v/>
      </c>
      <c r="AU16" s="68">
        <f>'2E.Analysis_MIA'!AW142</f>
        <v/>
      </c>
      <c r="AV16" s="68">
        <f>'2E.Analysis_MIA'!AX142</f>
        <v/>
      </c>
      <c r="AW16" s="68">
        <f>'2E.Analysis_MIA'!AY142</f>
        <v/>
      </c>
      <c r="AX16" s="68">
        <f>'2E.Analysis_MIA'!AZ142</f>
        <v/>
      </c>
      <c r="AY16" s="68">
        <f>'2E.Analysis_MIA'!BA142</f>
        <v/>
      </c>
      <c r="AZ16" s="68">
        <f>'2E.Analysis_MIA'!BB142</f>
        <v/>
      </c>
    </row>
    <row r="17" ht="16.5" customHeight="1" s="179">
      <c r="B17" s="65">
        <f>'2D Mapping'!H9</f>
        <v/>
      </c>
      <c r="C17" s="68">
        <f>'2E.Analysis_MIA'!E143</f>
        <v/>
      </c>
      <c r="D17" s="68">
        <f>'2E.Analysis_MIA'!F143</f>
        <v/>
      </c>
      <c r="E17" s="68">
        <f>'2E.Analysis_MIA'!G143</f>
        <v/>
      </c>
      <c r="F17" s="68">
        <f>'2E.Analysis_MIA'!H143</f>
        <v/>
      </c>
      <c r="G17" s="68">
        <f>'2E.Analysis_MIA'!I143</f>
        <v/>
      </c>
      <c r="H17" s="68">
        <f>'2E.Analysis_MIA'!J143</f>
        <v/>
      </c>
      <c r="I17" s="68">
        <f>'2E.Analysis_MIA'!K143</f>
        <v/>
      </c>
      <c r="J17" s="68">
        <f>'2E.Analysis_MIA'!L143</f>
        <v/>
      </c>
      <c r="K17" s="68">
        <f>'2E.Analysis_MIA'!M143</f>
        <v/>
      </c>
      <c r="L17" s="68">
        <f>'2E.Analysis_MIA'!N143</f>
        <v/>
      </c>
      <c r="M17" s="68">
        <f>'2E.Analysis_MIA'!O143</f>
        <v/>
      </c>
      <c r="N17" s="68">
        <f>'2E.Analysis_MIA'!P143</f>
        <v/>
      </c>
      <c r="O17" s="68">
        <f>'2E.Analysis_MIA'!Q143</f>
        <v/>
      </c>
      <c r="P17" s="68">
        <f>'2E.Analysis_MIA'!R143</f>
        <v/>
      </c>
      <c r="Q17" s="68">
        <f>'2E.Analysis_MIA'!S143</f>
        <v/>
      </c>
      <c r="R17" s="68">
        <f>'2E.Analysis_MIA'!T143</f>
        <v/>
      </c>
      <c r="S17" s="68">
        <f>'2E.Analysis_MIA'!U143</f>
        <v/>
      </c>
      <c r="T17" s="68">
        <f>'2E.Analysis_MIA'!V143</f>
        <v/>
      </c>
      <c r="U17" s="68">
        <f>'2E.Analysis_MIA'!W143</f>
        <v/>
      </c>
      <c r="V17" s="68">
        <f>'2E.Analysis_MIA'!X143</f>
        <v/>
      </c>
      <c r="W17" s="68">
        <f>'2E.Analysis_MIA'!Y143</f>
        <v/>
      </c>
      <c r="X17" s="68">
        <f>'2E.Analysis_MIA'!Z143</f>
        <v/>
      </c>
      <c r="Y17" s="68">
        <f>'2E.Analysis_MIA'!AA143</f>
        <v/>
      </c>
      <c r="Z17" s="68">
        <f>'2E.Analysis_MIA'!AB143</f>
        <v/>
      </c>
      <c r="AA17" s="68">
        <f>'2E.Analysis_MIA'!AC143</f>
        <v/>
      </c>
      <c r="AB17" s="68">
        <f>'2E.Analysis_MIA'!AD143</f>
        <v/>
      </c>
      <c r="AC17" s="68">
        <f>'2E.Analysis_MIA'!AE143</f>
        <v/>
      </c>
      <c r="AD17" s="68">
        <f>'2E.Analysis_MIA'!AF143</f>
        <v/>
      </c>
      <c r="AE17" s="68">
        <f>'2E.Analysis_MIA'!AG143</f>
        <v/>
      </c>
      <c r="AF17" s="68">
        <f>'2E.Analysis_MIA'!AH143</f>
        <v/>
      </c>
      <c r="AG17" s="68">
        <f>'2E.Analysis_MIA'!AI143</f>
        <v/>
      </c>
      <c r="AH17" s="68">
        <f>'2E.Analysis_MIA'!AJ143</f>
        <v/>
      </c>
      <c r="AI17" s="68">
        <f>'2E.Analysis_MIA'!AK143</f>
        <v/>
      </c>
      <c r="AJ17" s="68">
        <f>'2E.Analysis_MIA'!AL143</f>
        <v/>
      </c>
      <c r="AK17" s="68">
        <f>'2E.Analysis_MIA'!AM143</f>
        <v/>
      </c>
      <c r="AL17" s="68">
        <f>'2E.Analysis_MIA'!AN143</f>
        <v/>
      </c>
      <c r="AM17" s="68">
        <f>'2E.Analysis_MIA'!AO143</f>
        <v/>
      </c>
      <c r="AN17" s="68">
        <f>'2E.Analysis_MIA'!AP143</f>
        <v/>
      </c>
      <c r="AO17" s="68">
        <f>'2E.Analysis_MIA'!AQ143</f>
        <v/>
      </c>
      <c r="AP17" s="68">
        <f>'2E.Analysis_MIA'!AR143</f>
        <v/>
      </c>
      <c r="AQ17" s="68">
        <f>'2E.Analysis_MIA'!AS143</f>
        <v/>
      </c>
      <c r="AR17" s="68">
        <f>'2E.Analysis_MIA'!AT143</f>
        <v/>
      </c>
      <c r="AS17" s="68">
        <f>'2E.Analysis_MIA'!AU143</f>
        <v/>
      </c>
      <c r="AT17" s="68">
        <f>'2E.Analysis_MIA'!AV143</f>
        <v/>
      </c>
      <c r="AU17" s="68">
        <f>'2E.Analysis_MIA'!AW143</f>
        <v/>
      </c>
      <c r="AV17" s="68">
        <f>'2E.Analysis_MIA'!AX143</f>
        <v/>
      </c>
      <c r="AW17" s="68">
        <f>'2E.Analysis_MIA'!AY143</f>
        <v/>
      </c>
      <c r="AX17" s="68">
        <f>'2E.Analysis_MIA'!AZ143</f>
        <v/>
      </c>
      <c r="AY17" s="68">
        <f>'2E.Analysis_MIA'!BA143</f>
        <v/>
      </c>
      <c r="AZ17" s="68">
        <f>'2E.Analysis_MIA'!BB143</f>
        <v/>
      </c>
    </row>
    <row r="18" ht="16.5" customHeight="1" s="179">
      <c r="B18" s="65">
        <f>'2D Mapping'!H10</f>
        <v/>
      </c>
      <c r="C18" s="68">
        <f>'2E.Analysis_MIA'!E144</f>
        <v/>
      </c>
      <c r="D18" s="68">
        <f>'2E.Analysis_MIA'!F144</f>
        <v/>
      </c>
      <c r="E18" s="68">
        <f>'2E.Analysis_MIA'!G144</f>
        <v/>
      </c>
      <c r="F18" s="68">
        <f>'2E.Analysis_MIA'!H144</f>
        <v/>
      </c>
      <c r="G18" s="68">
        <f>'2E.Analysis_MIA'!I144</f>
        <v/>
      </c>
      <c r="H18" s="68">
        <f>'2E.Analysis_MIA'!J144</f>
        <v/>
      </c>
      <c r="I18" s="68">
        <f>'2E.Analysis_MIA'!K144</f>
        <v/>
      </c>
      <c r="J18" s="68">
        <f>'2E.Analysis_MIA'!L144</f>
        <v/>
      </c>
      <c r="K18" s="68">
        <f>'2E.Analysis_MIA'!M144</f>
        <v/>
      </c>
      <c r="L18" s="68">
        <f>'2E.Analysis_MIA'!N144</f>
        <v/>
      </c>
      <c r="M18" s="68">
        <f>'2E.Analysis_MIA'!O144</f>
        <v/>
      </c>
      <c r="N18" s="68">
        <f>'2E.Analysis_MIA'!P144</f>
        <v/>
      </c>
      <c r="O18" s="68">
        <f>'2E.Analysis_MIA'!Q144</f>
        <v/>
      </c>
      <c r="P18" s="68">
        <f>'2E.Analysis_MIA'!R144</f>
        <v/>
      </c>
      <c r="Q18" s="68">
        <f>'2E.Analysis_MIA'!S144</f>
        <v/>
      </c>
      <c r="R18" s="68">
        <f>'2E.Analysis_MIA'!T144</f>
        <v/>
      </c>
      <c r="S18" s="68">
        <f>'2E.Analysis_MIA'!U144</f>
        <v/>
      </c>
      <c r="T18" s="68">
        <f>'2E.Analysis_MIA'!V144</f>
        <v/>
      </c>
      <c r="U18" s="68">
        <f>'2E.Analysis_MIA'!W144</f>
        <v/>
      </c>
      <c r="V18" s="68">
        <f>'2E.Analysis_MIA'!X144</f>
        <v/>
      </c>
      <c r="W18" s="68">
        <f>'2E.Analysis_MIA'!Y144</f>
        <v/>
      </c>
      <c r="X18" s="68">
        <f>'2E.Analysis_MIA'!Z144</f>
        <v/>
      </c>
      <c r="Y18" s="68">
        <f>'2E.Analysis_MIA'!AA144</f>
        <v/>
      </c>
      <c r="Z18" s="68">
        <f>'2E.Analysis_MIA'!AB144</f>
        <v/>
      </c>
      <c r="AA18" s="68">
        <f>'2E.Analysis_MIA'!AC144</f>
        <v/>
      </c>
      <c r="AB18" s="68">
        <f>'2E.Analysis_MIA'!AD144</f>
        <v/>
      </c>
      <c r="AC18" s="68">
        <f>'2E.Analysis_MIA'!AE144</f>
        <v/>
      </c>
      <c r="AD18" s="68">
        <f>'2E.Analysis_MIA'!AF144</f>
        <v/>
      </c>
      <c r="AE18" s="68">
        <f>'2E.Analysis_MIA'!AG144</f>
        <v/>
      </c>
      <c r="AF18" s="68">
        <f>'2E.Analysis_MIA'!AH144</f>
        <v/>
      </c>
      <c r="AG18" s="68">
        <f>'2E.Analysis_MIA'!AI144</f>
        <v/>
      </c>
      <c r="AH18" s="68">
        <f>'2E.Analysis_MIA'!AJ144</f>
        <v/>
      </c>
      <c r="AI18" s="68">
        <f>'2E.Analysis_MIA'!AK144</f>
        <v/>
      </c>
      <c r="AJ18" s="68">
        <f>'2E.Analysis_MIA'!AL144</f>
        <v/>
      </c>
      <c r="AK18" s="68">
        <f>'2E.Analysis_MIA'!AM144</f>
        <v/>
      </c>
      <c r="AL18" s="68">
        <f>'2E.Analysis_MIA'!AN144</f>
        <v/>
      </c>
      <c r="AM18" s="68">
        <f>'2E.Analysis_MIA'!AO144</f>
        <v/>
      </c>
      <c r="AN18" s="68">
        <f>'2E.Analysis_MIA'!AP144</f>
        <v/>
      </c>
      <c r="AO18" s="68">
        <f>'2E.Analysis_MIA'!AQ144</f>
        <v/>
      </c>
      <c r="AP18" s="68">
        <f>'2E.Analysis_MIA'!AR144</f>
        <v/>
      </c>
      <c r="AQ18" s="68">
        <f>'2E.Analysis_MIA'!AS144</f>
        <v/>
      </c>
      <c r="AR18" s="68">
        <f>'2E.Analysis_MIA'!AT144</f>
        <v/>
      </c>
      <c r="AS18" s="68">
        <f>'2E.Analysis_MIA'!AU144</f>
        <v/>
      </c>
      <c r="AT18" s="68">
        <f>'2E.Analysis_MIA'!AV144</f>
        <v/>
      </c>
      <c r="AU18" s="68">
        <f>'2E.Analysis_MIA'!AW144</f>
        <v/>
      </c>
      <c r="AV18" s="68">
        <f>'2E.Analysis_MIA'!AX144</f>
        <v/>
      </c>
      <c r="AW18" s="68">
        <f>'2E.Analysis_MIA'!AY144</f>
        <v/>
      </c>
      <c r="AX18" s="68">
        <f>'2E.Analysis_MIA'!AZ144</f>
        <v/>
      </c>
      <c r="AY18" s="68">
        <f>'2E.Analysis_MIA'!BA144</f>
        <v/>
      </c>
      <c r="AZ18" s="68">
        <f>'2E.Analysis_MIA'!BB144</f>
        <v/>
      </c>
    </row>
    <row r="19" ht="16.5" customHeight="1" s="179">
      <c r="B19" s="65">
        <f>'2D Mapping'!H11</f>
        <v/>
      </c>
      <c r="C19" s="68">
        <f>'2E.Analysis_MIA'!E145</f>
        <v/>
      </c>
      <c r="D19" s="68">
        <f>'2E.Analysis_MIA'!F145</f>
        <v/>
      </c>
      <c r="E19" s="68">
        <f>'2E.Analysis_MIA'!G145</f>
        <v/>
      </c>
      <c r="F19" s="68">
        <f>'2E.Analysis_MIA'!H145</f>
        <v/>
      </c>
      <c r="G19" s="68">
        <f>'2E.Analysis_MIA'!I145</f>
        <v/>
      </c>
      <c r="H19" s="68">
        <f>'2E.Analysis_MIA'!J145</f>
        <v/>
      </c>
      <c r="I19" s="68">
        <f>'2E.Analysis_MIA'!K145</f>
        <v/>
      </c>
      <c r="J19" s="68">
        <f>'2E.Analysis_MIA'!L145</f>
        <v/>
      </c>
      <c r="K19" s="68">
        <f>'2E.Analysis_MIA'!M145</f>
        <v/>
      </c>
      <c r="L19" s="68">
        <f>'2E.Analysis_MIA'!N145</f>
        <v/>
      </c>
      <c r="M19" s="68">
        <f>'2E.Analysis_MIA'!O145</f>
        <v/>
      </c>
      <c r="N19" s="68">
        <f>'2E.Analysis_MIA'!P145</f>
        <v/>
      </c>
      <c r="O19" s="68">
        <f>'2E.Analysis_MIA'!Q145</f>
        <v/>
      </c>
      <c r="P19" s="68">
        <f>'2E.Analysis_MIA'!R145</f>
        <v/>
      </c>
      <c r="Q19" s="68">
        <f>'2E.Analysis_MIA'!S145</f>
        <v/>
      </c>
      <c r="R19" s="68">
        <f>'2E.Analysis_MIA'!T145</f>
        <v/>
      </c>
      <c r="S19" s="68">
        <f>'2E.Analysis_MIA'!U145</f>
        <v/>
      </c>
      <c r="T19" s="68">
        <f>'2E.Analysis_MIA'!V145</f>
        <v/>
      </c>
      <c r="U19" s="68">
        <f>'2E.Analysis_MIA'!W145</f>
        <v/>
      </c>
      <c r="V19" s="68">
        <f>'2E.Analysis_MIA'!X145</f>
        <v/>
      </c>
      <c r="W19" s="68">
        <f>'2E.Analysis_MIA'!Y145</f>
        <v/>
      </c>
      <c r="X19" s="68">
        <f>'2E.Analysis_MIA'!Z145</f>
        <v/>
      </c>
      <c r="Y19" s="68">
        <f>'2E.Analysis_MIA'!AA145</f>
        <v/>
      </c>
      <c r="Z19" s="68">
        <f>'2E.Analysis_MIA'!AB145</f>
        <v/>
      </c>
      <c r="AA19" s="68">
        <f>'2E.Analysis_MIA'!AC145</f>
        <v/>
      </c>
      <c r="AB19" s="68">
        <f>'2E.Analysis_MIA'!AD145</f>
        <v/>
      </c>
      <c r="AC19" s="68">
        <f>'2E.Analysis_MIA'!AE145</f>
        <v/>
      </c>
      <c r="AD19" s="68">
        <f>'2E.Analysis_MIA'!AF145</f>
        <v/>
      </c>
      <c r="AE19" s="68">
        <f>'2E.Analysis_MIA'!AG145</f>
        <v/>
      </c>
      <c r="AF19" s="68">
        <f>'2E.Analysis_MIA'!AH145</f>
        <v/>
      </c>
      <c r="AG19" s="68">
        <f>'2E.Analysis_MIA'!AI145</f>
        <v/>
      </c>
      <c r="AH19" s="68">
        <f>'2E.Analysis_MIA'!AJ145</f>
        <v/>
      </c>
      <c r="AI19" s="68">
        <f>'2E.Analysis_MIA'!AK145</f>
        <v/>
      </c>
      <c r="AJ19" s="68">
        <f>'2E.Analysis_MIA'!AL145</f>
        <v/>
      </c>
      <c r="AK19" s="68">
        <f>'2E.Analysis_MIA'!AM145</f>
        <v/>
      </c>
      <c r="AL19" s="68">
        <f>'2E.Analysis_MIA'!AN145</f>
        <v/>
      </c>
      <c r="AM19" s="68">
        <f>'2E.Analysis_MIA'!AO145</f>
        <v/>
      </c>
      <c r="AN19" s="68">
        <f>'2E.Analysis_MIA'!AP145</f>
        <v/>
      </c>
      <c r="AO19" s="68">
        <f>'2E.Analysis_MIA'!AQ145</f>
        <v/>
      </c>
      <c r="AP19" s="68">
        <f>'2E.Analysis_MIA'!AR145</f>
        <v/>
      </c>
      <c r="AQ19" s="68">
        <f>'2E.Analysis_MIA'!AS145</f>
        <v/>
      </c>
      <c r="AR19" s="68">
        <f>'2E.Analysis_MIA'!AT145</f>
        <v/>
      </c>
      <c r="AS19" s="68">
        <f>'2E.Analysis_MIA'!AU145</f>
        <v/>
      </c>
      <c r="AT19" s="68">
        <f>'2E.Analysis_MIA'!AV145</f>
        <v/>
      </c>
      <c r="AU19" s="68">
        <f>'2E.Analysis_MIA'!AW145</f>
        <v/>
      </c>
      <c r="AV19" s="68">
        <f>'2E.Analysis_MIA'!AX145</f>
        <v/>
      </c>
      <c r="AW19" s="68">
        <f>'2E.Analysis_MIA'!AY145</f>
        <v/>
      </c>
      <c r="AX19" s="68">
        <f>'2E.Analysis_MIA'!AZ145</f>
        <v/>
      </c>
      <c r="AY19" s="68">
        <f>'2E.Analysis_MIA'!BA145</f>
        <v/>
      </c>
      <c r="AZ19" s="68">
        <f>'2E.Analysis_MIA'!BB145</f>
        <v/>
      </c>
    </row>
    <row r="20" ht="16.5" customHeight="1" s="179">
      <c r="B20" s="65">
        <f>'2D Mapping'!H12</f>
        <v/>
      </c>
      <c r="C20" s="68">
        <f>'2E.Analysis_MIA'!E146</f>
        <v/>
      </c>
      <c r="D20" s="68">
        <f>'2E.Analysis_MIA'!F146</f>
        <v/>
      </c>
      <c r="E20" s="68">
        <f>'2E.Analysis_MIA'!G146</f>
        <v/>
      </c>
      <c r="F20" s="68">
        <f>'2E.Analysis_MIA'!H146</f>
        <v/>
      </c>
      <c r="G20" s="68">
        <f>'2E.Analysis_MIA'!I146</f>
        <v/>
      </c>
      <c r="H20" s="68">
        <f>'2E.Analysis_MIA'!J146</f>
        <v/>
      </c>
      <c r="I20" s="68">
        <f>'2E.Analysis_MIA'!K146</f>
        <v/>
      </c>
      <c r="J20" s="68">
        <f>'2E.Analysis_MIA'!L146</f>
        <v/>
      </c>
      <c r="K20" s="68">
        <f>'2E.Analysis_MIA'!M146</f>
        <v/>
      </c>
      <c r="L20" s="68">
        <f>'2E.Analysis_MIA'!N146</f>
        <v/>
      </c>
      <c r="M20" s="68">
        <f>'2E.Analysis_MIA'!O146</f>
        <v/>
      </c>
      <c r="N20" s="68">
        <f>'2E.Analysis_MIA'!P146</f>
        <v/>
      </c>
      <c r="O20" s="68">
        <f>'2E.Analysis_MIA'!Q146</f>
        <v/>
      </c>
      <c r="P20" s="68">
        <f>'2E.Analysis_MIA'!R146</f>
        <v/>
      </c>
      <c r="Q20" s="68">
        <f>'2E.Analysis_MIA'!S146</f>
        <v/>
      </c>
      <c r="R20" s="68">
        <f>'2E.Analysis_MIA'!T146</f>
        <v/>
      </c>
      <c r="S20" s="68">
        <f>'2E.Analysis_MIA'!U146</f>
        <v/>
      </c>
      <c r="T20" s="68">
        <f>'2E.Analysis_MIA'!V146</f>
        <v/>
      </c>
      <c r="U20" s="68">
        <f>'2E.Analysis_MIA'!W146</f>
        <v/>
      </c>
      <c r="V20" s="68">
        <f>'2E.Analysis_MIA'!X146</f>
        <v/>
      </c>
      <c r="W20" s="68">
        <f>'2E.Analysis_MIA'!Y146</f>
        <v/>
      </c>
      <c r="X20" s="68">
        <f>'2E.Analysis_MIA'!Z146</f>
        <v/>
      </c>
      <c r="Y20" s="68">
        <f>'2E.Analysis_MIA'!AA146</f>
        <v/>
      </c>
      <c r="Z20" s="68">
        <f>'2E.Analysis_MIA'!AB146</f>
        <v/>
      </c>
      <c r="AA20" s="68">
        <f>'2E.Analysis_MIA'!AC146</f>
        <v/>
      </c>
      <c r="AB20" s="68">
        <f>'2E.Analysis_MIA'!AD146</f>
        <v/>
      </c>
      <c r="AC20" s="68">
        <f>'2E.Analysis_MIA'!AE146</f>
        <v/>
      </c>
      <c r="AD20" s="68">
        <f>'2E.Analysis_MIA'!AF146</f>
        <v/>
      </c>
      <c r="AE20" s="68">
        <f>'2E.Analysis_MIA'!AG146</f>
        <v/>
      </c>
      <c r="AF20" s="68">
        <f>'2E.Analysis_MIA'!AH146</f>
        <v/>
      </c>
      <c r="AG20" s="68">
        <f>'2E.Analysis_MIA'!AI146</f>
        <v/>
      </c>
      <c r="AH20" s="68">
        <f>'2E.Analysis_MIA'!AJ146</f>
        <v/>
      </c>
      <c r="AI20" s="68">
        <f>'2E.Analysis_MIA'!AK146</f>
        <v/>
      </c>
      <c r="AJ20" s="68">
        <f>'2E.Analysis_MIA'!AL146</f>
        <v/>
      </c>
      <c r="AK20" s="68">
        <f>'2E.Analysis_MIA'!AM146</f>
        <v/>
      </c>
      <c r="AL20" s="68">
        <f>'2E.Analysis_MIA'!AN146</f>
        <v/>
      </c>
      <c r="AM20" s="68">
        <f>'2E.Analysis_MIA'!AO146</f>
        <v/>
      </c>
      <c r="AN20" s="68">
        <f>'2E.Analysis_MIA'!AP146</f>
        <v/>
      </c>
      <c r="AO20" s="68">
        <f>'2E.Analysis_MIA'!AQ146</f>
        <v/>
      </c>
      <c r="AP20" s="68">
        <f>'2E.Analysis_MIA'!AR146</f>
        <v/>
      </c>
      <c r="AQ20" s="68">
        <f>'2E.Analysis_MIA'!AS146</f>
        <v/>
      </c>
      <c r="AR20" s="68">
        <f>'2E.Analysis_MIA'!AT146</f>
        <v/>
      </c>
      <c r="AS20" s="68">
        <f>'2E.Analysis_MIA'!AU146</f>
        <v/>
      </c>
      <c r="AT20" s="68">
        <f>'2E.Analysis_MIA'!AV146</f>
        <v/>
      </c>
      <c r="AU20" s="68">
        <f>'2E.Analysis_MIA'!AW146</f>
        <v/>
      </c>
      <c r="AV20" s="68">
        <f>'2E.Analysis_MIA'!AX146</f>
        <v/>
      </c>
      <c r="AW20" s="68">
        <f>'2E.Analysis_MIA'!AY146</f>
        <v/>
      </c>
      <c r="AX20" s="68">
        <f>'2E.Analysis_MIA'!AZ146</f>
        <v/>
      </c>
      <c r="AY20" s="68">
        <f>'2E.Analysis_MIA'!BA146</f>
        <v/>
      </c>
      <c r="AZ20" s="68">
        <f>'2E.Analysis_MIA'!BB146</f>
        <v/>
      </c>
    </row>
    <row r="21" ht="16.5" customHeight="1" s="179">
      <c r="B21" s="65">
        <f>'2D Mapping'!H13</f>
        <v/>
      </c>
      <c r="C21" s="68">
        <f>'2E.Analysis_MIA'!E147</f>
        <v/>
      </c>
      <c r="D21" s="68">
        <f>'2E.Analysis_MIA'!F147</f>
        <v/>
      </c>
      <c r="E21" s="68">
        <f>'2E.Analysis_MIA'!G147</f>
        <v/>
      </c>
      <c r="F21" s="68">
        <f>'2E.Analysis_MIA'!H147</f>
        <v/>
      </c>
      <c r="G21" s="68">
        <f>'2E.Analysis_MIA'!I147</f>
        <v/>
      </c>
      <c r="H21" s="68">
        <f>'2E.Analysis_MIA'!J147</f>
        <v/>
      </c>
      <c r="I21" s="68">
        <f>'2E.Analysis_MIA'!K147</f>
        <v/>
      </c>
      <c r="J21" s="68">
        <f>'2E.Analysis_MIA'!L147</f>
        <v/>
      </c>
      <c r="K21" s="68">
        <f>'2E.Analysis_MIA'!M147</f>
        <v/>
      </c>
      <c r="L21" s="68">
        <f>'2E.Analysis_MIA'!N147</f>
        <v/>
      </c>
      <c r="M21" s="68">
        <f>'2E.Analysis_MIA'!O147</f>
        <v/>
      </c>
      <c r="N21" s="68">
        <f>'2E.Analysis_MIA'!P147</f>
        <v/>
      </c>
      <c r="O21" s="68">
        <f>'2E.Analysis_MIA'!Q147</f>
        <v/>
      </c>
      <c r="P21" s="68">
        <f>'2E.Analysis_MIA'!R147</f>
        <v/>
      </c>
      <c r="Q21" s="68">
        <f>'2E.Analysis_MIA'!S147</f>
        <v/>
      </c>
      <c r="R21" s="68">
        <f>'2E.Analysis_MIA'!T147</f>
        <v/>
      </c>
      <c r="S21" s="68">
        <f>'2E.Analysis_MIA'!U147</f>
        <v/>
      </c>
      <c r="T21" s="68">
        <f>'2E.Analysis_MIA'!V147</f>
        <v/>
      </c>
      <c r="U21" s="68">
        <f>'2E.Analysis_MIA'!W147</f>
        <v/>
      </c>
      <c r="V21" s="68">
        <f>'2E.Analysis_MIA'!X147</f>
        <v/>
      </c>
      <c r="W21" s="68">
        <f>'2E.Analysis_MIA'!Y147</f>
        <v/>
      </c>
      <c r="X21" s="68">
        <f>'2E.Analysis_MIA'!Z147</f>
        <v/>
      </c>
      <c r="Y21" s="68">
        <f>'2E.Analysis_MIA'!AA147</f>
        <v/>
      </c>
      <c r="Z21" s="68">
        <f>'2E.Analysis_MIA'!AB147</f>
        <v/>
      </c>
      <c r="AA21" s="68">
        <f>'2E.Analysis_MIA'!AC147</f>
        <v/>
      </c>
      <c r="AB21" s="68">
        <f>'2E.Analysis_MIA'!AD147</f>
        <v/>
      </c>
      <c r="AC21" s="68">
        <f>'2E.Analysis_MIA'!AE147</f>
        <v/>
      </c>
      <c r="AD21" s="68">
        <f>'2E.Analysis_MIA'!AF147</f>
        <v/>
      </c>
      <c r="AE21" s="68">
        <f>'2E.Analysis_MIA'!AG147</f>
        <v/>
      </c>
      <c r="AF21" s="68">
        <f>'2E.Analysis_MIA'!AH147</f>
        <v/>
      </c>
      <c r="AG21" s="68">
        <f>'2E.Analysis_MIA'!AI147</f>
        <v/>
      </c>
      <c r="AH21" s="68">
        <f>'2E.Analysis_MIA'!AJ147</f>
        <v/>
      </c>
      <c r="AI21" s="68">
        <f>'2E.Analysis_MIA'!AK147</f>
        <v/>
      </c>
      <c r="AJ21" s="68">
        <f>'2E.Analysis_MIA'!AL147</f>
        <v/>
      </c>
      <c r="AK21" s="68">
        <f>'2E.Analysis_MIA'!AM147</f>
        <v/>
      </c>
      <c r="AL21" s="68">
        <f>'2E.Analysis_MIA'!AN147</f>
        <v/>
      </c>
      <c r="AM21" s="68">
        <f>'2E.Analysis_MIA'!AO147</f>
        <v/>
      </c>
      <c r="AN21" s="68">
        <f>'2E.Analysis_MIA'!AP147</f>
        <v/>
      </c>
      <c r="AO21" s="68">
        <f>'2E.Analysis_MIA'!AQ147</f>
        <v/>
      </c>
      <c r="AP21" s="68">
        <f>'2E.Analysis_MIA'!AR147</f>
        <v/>
      </c>
      <c r="AQ21" s="68">
        <f>'2E.Analysis_MIA'!AS147</f>
        <v/>
      </c>
      <c r="AR21" s="68">
        <f>'2E.Analysis_MIA'!AT147</f>
        <v/>
      </c>
      <c r="AS21" s="68">
        <f>'2E.Analysis_MIA'!AU147</f>
        <v/>
      </c>
      <c r="AT21" s="68">
        <f>'2E.Analysis_MIA'!AV147</f>
        <v/>
      </c>
      <c r="AU21" s="68">
        <f>'2E.Analysis_MIA'!AW147</f>
        <v/>
      </c>
      <c r="AV21" s="68">
        <f>'2E.Analysis_MIA'!AX147</f>
        <v/>
      </c>
      <c r="AW21" s="68">
        <f>'2E.Analysis_MIA'!AY147</f>
        <v/>
      </c>
      <c r="AX21" s="68">
        <f>'2E.Analysis_MIA'!AZ147</f>
        <v/>
      </c>
      <c r="AY21" s="68">
        <f>'2E.Analysis_MIA'!BA147</f>
        <v/>
      </c>
      <c r="AZ21" s="68">
        <f>'2E.Analysis_MIA'!BB147</f>
        <v/>
      </c>
    </row>
    <row r="22" ht="16.5" customHeight="1" s="179">
      <c r="B22" s="65">
        <f>'2D Mapping'!H14</f>
        <v/>
      </c>
      <c r="C22" s="68">
        <f>'2E.Analysis_MIA'!E148</f>
        <v/>
      </c>
      <c r="D22" s="68">
        <f>'2E.Analysis_MIA'!F148</f>
        <v/>
      </c>
      <c r="E22" s="68">
        <f>'2E.Analysis_MIA'!G148</f>
        <v/>
      </c>
      <c r="F22" s="68">
        <f>'2E.Analysis_MIA'!H148</f>
        <v/>
      </c>
      <c r="G22" s="68">
        <f>'2E.Analysis_MIA'!I148</f>
        <v/>
      </c>
      <c r="H22" s="68">
        <f>'2E.Analysis_MIA'!J148</f>
        <v/>
      </c>
      <c r="I22" s="68">
        <f>'2E.Analysis_MIA'!K148</f>
        <v/>
      </c>
      <c r="J22" s="68">
        <f>'2E.Analysis_MIA'!L148</f>
        <v/>
      </c>
      <c r="K22" s="68">
        <f>'2E.Analysis_MIA'!M148</f>
        <v/>
      </c>
      <c r="L22" s="68">
        <f>'2E.Analysis_MIA'!N148</f>
        <v/>
      </c>
      <c r="M22" s="68">
        <f>'2E.Analysis_MIA'!O148</f>
        <v/>
      </c>
      <c r="N22" s="68">
        <f>'2E.Analysis_MIA'!P148</f>
        <v/>
      </c>
      <c r="O22" s="68">
        <f>'2E.Analysis_MIA'!Q148</f>
        <v/>
      </c>
      <c r="P22" s="68">
        <f>'2E.Analysis_MIA'!R148</f>
        <v/>
      </c>
      <c r="Q22" s="68">
        <f>'2E.Analysis_MIA'!S148</f>
        <v/>
      </c>
      <c r="R22" s="68">
        <f>'2E.Analysis_MIA'!T148</f>
        <v/>
      </c>
      <c r="S22" s="68">
        <f>'2E.Analysis_MIA'!U148</f>
        <v/>
      </c>
      <c r="T22" s="68">
        <f>'2E.Analysis_MIA'!V148</f>
        <v/>
      </c>
      <c r="U22" s="68">
        <f>'2E.Analysis_MIA'!W148</f>
        <v/>
      </c>
      <c r="V22" s="68">
        <f>'2E.Analysis_MIA'!X148</f>
        <v/>
      </c>
      <c r="W22" s="68">
        <f>'2E.Analysis_MIA'!Y148</f>
        <v/>
      </c>
      <c r="X22" s="68">
        <f>'2E.Analysis_MIA'!Z148</f>
        <v/>
      </c>
      <c r="Y22" s="68">
        <f>'2E.Analysis_MIA'!AA148</f>
        <v/>
      </c>
      <c r="Z22" s="68">
        <f>'2E.Analysis_MIA'!AB148</f>
        <v/>
      </c>
      <c r="AA22" s="68">
        <f>'2E.Analysis_MIA'!AC148</f>
        <v/>
      </c>
      <c r="AB22" s="68">
        <f>'2E.Analysis_MIA'!AD148</f>
        <v/>
      </c>
      <c r="AC22" s="68">
        <f>'2E.Analysis_MIA'!AE148</f>
        <v/>
      </c>
      <c r="AD22" s="68">
        <f>'2E.Analysis_MIA'!AF148</f>
        <v/>
      </c>
      <c r="AE22" s="68">
        <f>'2E.Analysis_MIA'!AG148</f>
        <v/>
      </c>
      <c r="AF22" s="68">
        <f>'2E.Analysis_MIA'!AH148</f>
        <v/>
      </c>
      <c r="AG22" s="68">
        <f>'2E.Analysis_MIA'!AI148</f>
        <v/>
      </c>
      <c r="AH22" s="68">
        <f>'2E.Analysis_MIA'!AJ148</f>
        <v/>
      </c>
      <c r="AI22" s="68">
        <f>'2E.Analysis_MIA'!AK148</f>
        <v/>
      </c>
      <c r="AJ22" s="68">
        <f>'2E.Analysis_MIA'!AL148</f>
        <v/>
      </c>
      <c r="AK22" s="68">
        <f>'2E.Analysis_MIA'!AM148</f>
        <v/>
      </c>
      <c r="AL22" s="68">
        <f>'2E.Analysis_MIA'!AN148</f>
        <v/>
      </c>
      <c r="AM22" s="68">
        <f>'2E.Analysis_MIA'!AO148</f>
        <v/>
      </c>
      <c r="AN22" s="68">
        <f>'2E.Analysis_MIA'!AP148</f>
        <v/>
      </c>
      <c r="AO22" s="68">
        <f>'2E.Analysis_MIA'!AQ148</f>
        <v/>
      </c>
      <c r="AP22" s="68">
        <f>'2E.Analysis_MIA'!AR148</f>
        <v/>
      </c>
      <c r="AQ22" s="68">
        <f>'2E.Analysis_MIA'!AS148</f>
        <v/>
      </c>
      <c r="AR22" s="68">
        <f>'2E.Analysis_MIA'!AT148</f>
        <v/>
      </c>
      <c r="AS22" s="68">
        <f>'2E.Analysis_MIA'!AU148</f>
        <v/>
      </c>
      <c r="AT22" s="68">
        <f>'2E.Analysis_MIA'!AV148</f>
        <v/>
      </c>
      <c r="AU22" s="68">
        <f>'2E.Analysis_MIA'!AW148</f>
        <v/>
      </c>
      <c r="AV22" s="68">
        <f>'2E.Analysis_MIA'!AX148</f>
        <v/>
      </c>
      <c r="AW22" s="68">
        <f>'2E.Analysis_MIA'!AY148</f>
        <v/>
      </c>
      <c r="AX22" s="68">
        <f>'2E.Analysis_MIA'!AZ148</f>
        <v/>
      </c>
      <c r="AY22" s="68">
        <f>'2E.Analysis_MIA'!BA148</f>
        <v/>
      </c>
      <c r="AZ22" s="68">
        <f>'2E.Analysis_MIA'!BB148</f>
        <v/>
      </c>
    </row>
    <row r="23" ht="16.5" customHeight="1" s="179">
      <c r="B23" s="65">
        <f>'2D Mapping'!H15</f>
        <v/>
      </c>
      <c r="C23" s="68">
        <f>'2E.Analysis_MIA'!E149</f>
        <v/>
      </c>
      <c r="D23" s="68">
        <f>'2E.Analysis_MIA'!F149</f>
        <v/>
      </c>
      <c r="E23" s="68">
        <f>'2E.Analysis_MIA'!G149</f>
        <v/>
      </c>
      <c r="F23" s="68">
        <f>'2E.Analysis_MIA'!H149</f>
        <v/>
      </c>
      <c r="G23" s="68">
        <f>'2E.Analysis_MIA'!I149</f>
        <v/>
      </c>
      <c r="H23" s="68">
        <f>'2E.Analysis_MIA'!J149</f>
        <v/>
      </c>
      <c r="I23" s="68">
        <f>'2E.Analysis_MIA'!K149</f>
        <v/>
      </c>
      <c r="J23" s="68">
        <f>'2E.Analysis_MIA'!L149</f>
        <v/>
      </c>
      <c r="K23" s="68">
        <f>'2E.Analysis_MIA'!M149</f>
        <v/>
      </c>
      <c r="L23" s="68">
        <f>'2E.Analysis_MIA'!N149</f>
        <v/>
      </c>
      <c r="M23" s="68">
        <f>'2E.Analysis_MIA'!O149</f>
        <v/>
      </c>
      <c r="N23" s="68">
        <f>'2E.Analysis_MIA'!P149</f>
        <v/>
      </c>
      <c r="O23" s="68">
        <f>'2E.Analysis_MIA'!Q149</f>
        <v/>
      </c>
      <c r="P23" s="68">
        <f>'2E.Analysis_MIA'!R149</f>
        <v/>
      </c>
      <c r="Q23" s="68">
        <f>'2E.Analysis_MIA'!S149</f>
        <v/>
      </c>
      <c r="R23" s="68">
        <f>'2E.Analysis_MIA'!T149</f>
        <v/>
      </c>
      <c r="S23" s="68">
        <f>'2E.Analysis_MIA'!U149</f>
        <v/>
      </c>
      <c r="T23" s="68">
        <f>'2E.Analysis_MIA'!V149</f>
        <v/>
      </c>
      <c r="U23" s="68">
        <f>'2E.Analysis_MIA'!W149</f>
        <v/>
      </c>
      <c r="V23" s="68">
        <f>'2E.Analysis_MIA'!X149</f>
        <v/>
      </c>
      <c r="W23" s="68">
        <f>'2E.Analysis_MIA'!Y149</f>
        <v/>
      </c>
      <c r="X23" s="68">
        <f>'2E.Analysis_MIA'!Z149</f>
        <v/>
      </c>
      <c r="Y23" s="68">
        <f>'2E.Analysis_MIA'!AA149</f>
        <v/>
      </c>
      <c r="Z23" s="68">
        <f>'2E.Analysis_MIA'!AB149</f>
        <v/>
      </c>
      <c r="AA23" s="68">
        <f>'2E.Analysis_MIA'!AC149</f>
        <v/>
      </c>
      <c r="AB23" s="68">
        <f>'2E.Analysis_MIA'!AD149</f>
        <v/>
      </c>
      <c r="AC23" s="68">
        <f>'2E.Analysis_MIA'!AE149</f>
        <v/>
      </c>
      <c r="AD23" s="68">
        <f>'2E.Analysis_MIA'!AF149</f>
        <v/>
      </c>
      <c r="AE23" s="68">
        <f>'2E.Analysis_MIA'!AG149</f>
        <v/>
      </c>
      <c r="AF23" s="68">
        <f>'2E.Analysis_MIA'!AH149</f>
        <v/>
      </c>
      <c r="AG23" s="68">
        <f>'2E.Analysis_MIA'!AI149</f>
        <v/>
      </c>
      <c r="AH23" s="68">
        <f>'2E.Analysis_MIA'!AJ149</f>
        <v/>
      </c>
      <c r="AI23" s="68">
        <f>'2E.Analysis_MIA'!AK149</f>
        <v/>
      </c>
      <c r="AJ23" s="68">
        <f>'2E.Analysis_MIA'!AL149</f>
        <v/>
      </c>
      <c r="AK23" s="68">
        <f>'2E.Analysis_MIA'!AM149</f>
        <v/>
      </c>
      <c r="AL23" s="68">
        <f>'2E.Analysis_MIA'!AN149</f>
        <v/>
      </c>
      <c r="AM23" s="68">
        <f>'2E.Analysis_MIA'!AO149</f>
        <v/>
      </c>
      <c r="AN23" s="68">
        <f>'2E.Analysis_MIA'!AP149</f>
        <v/>
      </c>
      <c r="AO23" s="68">
        <f>'2E.Analysis_MIA'!AQ149</f>
        <v/>
      </c>
      <c r="AP23" s="68">
        <f>'2E.Analysis_MIA'!AR149</f>
        <v/>
      </c>
      <c r="AQ23" s="68">
        <f>'2E.Analysis_MIA'!AS149</f>
        <v/>
      </c>
      <c r="AR23" s="68">
        <f>'2E.Analysis_MIA'!AT149</f>
        <v/>
      </c>
      <c r="AS23" s="68">
        <f>'2E.Analysis_MIA'!AU149</f>
        <v/>
      </c>
      <c r="AT23" s="68">
        <f>'2E.Analysis_MIA'!AV149</f>
        <v/>
      </c>
      <c r="AU23" s="68">
        <f>'2E.Analysis_MIA'!AW149</f>
        <v/>
      </c>
      <c r="AV23" s="68">
        <f>'2E.Analysis_MIA'!AX149</f>
        <v/>
      </c>
      <c r="AW23" s="68">
        <f>'2E.Analysis_MIA'!AY149</f>
        <v/>
      </c>
      <c r="AX23" s="68">
        <f>'2E.Analysis_MIA'!AZ149</f>
        <v/>
      </c>
      <c r="AY23" s="68">
        <f>'2E.Analysis_MIA'!BA149</f>
        <v/>
      </c>
      <c r="AZ23" s="68">
        <f>'2E.Analysis_MIA'!BB149</f>
        <v/>
      </c>
    </row>
    <row r="24" ht="16.5" customHeight="1" s="179">
      <c r="B24" s="65">
        <f>'2D Mapping'!H16</f>
        <v/>
      </c>
      <c r="C24" s="68">
        <f>'2E.Analysis_MIA'!E150</f>
        <v/>
      </c>
      <c r="D24" s="68">
        <f>'2E.Analysis_MIA'!F150</f>
        <v/>
      </c>
      <c r="E24" s="68">
        <f>'2E.Analysis_MIA'!G150</f>
        <v/>
      </c>
      <c r="F24" s="68">
        <f>'2E.Analysis_MIA'!H150</f>
        <v/>
      </c>
      <c r="G24" s="68">
        <f>'2E.Analysis_MIA'!I150</f>
        <v/>
      </c>
      <c r="H24" s="68">
        <f>'2E.Analysis_MIA'!J150</f>
        <v/>
      </c>
      <c r="I24" s="68">
        <f>'2E.Analysis_MIA'!K150</f>
        <v/>
      </c>
      <c r="J24" s="68">
        <f>'2E.Analysis_MIA'!L150</f>
        <v/>
      </c>
      <c r="K24" s="68">
        <f>'2E.Analysis_MIA'!M150</f>
        <v/>
      </c>
      <c r="L24" s="68">
        <f>'2E.Analysis_MIA'!N150</f>
        <v/>
      </c>
      <c r="M24" s="68">
        <f>'2E.Analysis_MIA'!O150</f>
        <v/>
      </c>
      <c r="N24" s="68">
        <f>'2E.Analysis_MIA'!P150</f>
        <v/>
      </c>
      <c r="O24" s="68">
        <f>'2E.Analysis_MIA'!Q150</f>
        <v/>
      </c>
      <c r="P24" s="68">
        <f>'2E.Analysis_MIA'!R150</f>
        <v/>
      </c>
      <c r="Q24" s="68">
        <f>'2E.Analysis_MIA'!S150</f>
        <v/>
      </c>
      <c r="R24" s="68">
        <f>'2E.Analysis_MIA'!T150</f>
        <v/>
      </c>
      <c r="S24" s="68">
        <f>'2E.Analysis_MIA'!U150</f>
        <v/>
      </c>
      <c r="T24" s="68">
        <f>'2E.Analysis_MIA'!V150</f>
        <v/>
      </c>
      <c r="U24" s="68">
        <f>'2E.Analysis_MIA'!W150</f>
        <v/>
      </c>
      <c r="V24" s="68">
        <f>'2E.Analysis_MIA'!X150</f>
        <v/>
      </c>
      <c r="W24" s="68">
        <f>'2E.Analysis_MIA'!Y150</f>
        <v/>
      </c>
      <c r="X24" s="68">
        <f>'2E.Analysis_MIA'!Z150</f>
        <v/>
      </c>
      <c r="Y24" s="68">
        <f>'2E.Analysis_MIA'!AA150</f>
        <v/>
      </c>
      <c r="Z24" s="68">
        <f>'2E.Analysis_MIA'!AB150</f>
        <v/>
      </c>
      <c r="AA24" s="68">
        <f>'2E.Analysis_MIA'!AC150</f>
        <v/>
      </c>
      <c r="AB24" s="68">
        <f>'2E.Analysis_MIA'!AD150</f>
        <v/>
      </c>
      <c r="AC24" s="68">
        <f>'2E.Analysis_MIA'!AE150</f>
        <v/>
      </c>
      <c r="AD24" s="68">
        <f>'2E.Analysis_MIA'!AF150</f>
        <v/>
      </c>
      <c r="AE24" s="68">
        <f>'2E.Analysis_MIA'!AG150</f>
        <v/>
      </c>
      <c r="AF24" s="68">
        <f>'2E.Analysis_MIA'!AH150</f>
        <v/>
      </c>
      <c r="AG24" s="68">
        <f>'2E.Analysis_MIA'!AI150</f>
        <v/>
      </c>
      <c r="AH24" s="68">
        <f>'2E.Analysis_MIA'!AJ150</f>
        <v/>
      </c>
      <c r="AI24" s="68">
        <f>'2E.Analysis_MIA'!AK150</f>
        <v/>
      </c>
      <c r="AJ24" s="68">
        <f>'2E.Analysis_MIA'!AL150</f>
        <v/>
      </c>
      <c r="AK24" s="68">
        <f>'2E.Analysis_MIA'!AM150</f>
        <v/>
      </c>
      <c r="AL24" s="68">
        <f>'2E.Analysis_MIA'!AN150</f>
        <v/>
      </c>
      <c r="AM24" s="68">
        <f>'2E.Analysis_MIA'!AO150</f>
        <v/>
      </c>
      <c r="AN24" s="68">
        <f>'2E.Analysis_MIA'!AP150</f>
        <v/>
      </c>
      <c r="AO24" s="68">
        <f>'2E.Analysis_MIA'!AQ150</f>
        <v/>
      </c>
      <c r="AP24" s="68">
        <f>'2E.Analysis_MIA'!AR150</f>
        <v/>
      </c>
      <c r="AQ24" s="68">
        <f>'2E.Analysis_MIA'!AS150</f>
        <v/>
      </c>
      <c r="AR24" s="68">
        <f>'2E.Analysis_MIA'!AT150</f>
        <v/>
      </c>
      <c r="AS24" s="68">
        <f>'2E.Analysis_MIA'!AU150</f>
        <v/>
      </c>
      <c r="AT24" s="68">
        <f>'2E.Analysis_MIA'!AV150</f>
        <v/>
      </c>
      <c r="AU24" s="68">
        <f>'2E.Analysis_MIA'!AW150</f>
        <v/>
      </c>
      <c r="AV24" s="68">
        <f>'2E.Analysis_MIA'!AX150</f>
        <v/>
      </c>
      <c r="AW24" s="68">
        <f>'2E.Analysis_MIA'!AY150</f>
        <v/>
      </c>
      <c r="AX24" s="68">
        <f>'2E.Analysis_MIA'!AZ150</f>
        <v/>
      </c>
      <c r="AY24" s="68">
        <f>'2E.Analysis_MIA'!BA150</f>
        <v/>
      </c>
      <c r="AZ24" s="68">
        <f>'2E.Analysis_MIA'!BB150</f>
        <v/>
      </c>
    </row>
    <row r="25" ht="16.5" customHeight="1" s="179">
      <c r="B25" s="65">
        <f>'2D Mapping'!H17</f>
        <v/>
      </c>
      <c r="C25" s="68">
        <f>'2E.Analysis_MIA'!E151</f>
        <v/>
      </c>
      <c r="D25" s="68">
        <f>'2E.Analysis_MIA'!F151</f>
        <v/>
      </c>
      <c r="E25" s="68">
        <f>'2E.Analysis_MIA'!G151</f>
        <v/>
      </c>
      <c r="F25" s="68">
        <f>'2E.Analysis_MIA'!H151</f>
        <v/>
      </c>
      <c r="G25" s="68">
        <f>'2E.Analysis_MIA'!I151</f>
        <v/>
      </c>
      <c r="H25" s="68">
        <f>'2E.Analysis_MIA'!J151</f>
        <v/>
      </c>
      <c r="I25" s="68">
        <f>'2E.Analysis_MIA'!K151</f>
        <v/>
      </c>
      <c r="J25" s="68">
        <f>'2E.Analysis_MIA'!L151</f>
        <v/>
      </c>
      <c r="K25" s="68">
        <f>'2E.Analysis_MIA'!M151</f>
        <v/>
      </c>
      <c r="L25" s="68">
        <f>'2E.Analysis_MIA'!N151</f>
        <v/>
      </c>
      <c r="M25" s="68">
        <f>'2E.Analysis_MIA'!O151</f>
        <v/>
      </c>
      <c r="N25" s="68">
        <f>'2E.Analysis_MIA'!P151</f>
        <v/>
      </c>
      <c r="O25" s="68">
        <f>'2E.Analysis_MIA'!Q151</f>
        <v/>
      </c>
      <c r="P25" s="68">
        <f>'2E.Analysis_MIA'!R151</f>
        <v/>
      </c>
      <c r="Q25" s="68">
        <f>'2E.Analysis_MIA'!S151</f>
        <v/>
      </c>
      <c r="R25" s="68">
        <f>'2E.Analysis_MIA'!T151</f>
        <v/>
      </c>
      <c r="S25" s="68">
        <f>'2E.Analysis_MIA'!U151</f>
        <v/>
      </c>
      <c r="T25" s="68">
        <f>'2E.Analysis_MIA'!V151</f>
        <v/>
      </c>
      <c r="U25" s="68">
        <f>'2E.Analysis_MIA'!W151</f>
        <v/>
      </c>
      <c r="V25" s="68">
        <f>'2E.Analysis_MIA'!X151</f>
        <v/>
      </c>
      <c r="W25" s="68">
        <f>'2E.Analysis_MIA'!Y151</f>
        <v/>
      </c>
      <c r="X25" s="68">
        <f>'2E.Analysis_MIA'!Z151</f>
        <v/>
      </c>
      <c r="Y25" s="68">
        <f>'2E.Analysis_MIA'!AA151</f>
        <v/>
      </c>
      <c r="Z25" s="68">
        <f>'2E.Analysis_MIA'!AB151</f>
        <v/>
      </c>
      <c r="AA25" s="68">
        <f>'2E.Analysis_MIA'!AC151</f>
        <v/>
      </c>
      <c r="AB25" s="68">
        <f>'2E.Analysis_MIA'!AD151</f>
        <v/>
      </c>
      <c r="AC25" s="68">
        <f>'2E.Analysis_MIA'!AE151</f>
        <v/>
      </c>
      <c r="AD25" s="68">
        <f>'2E.Analysis_MIA'!AF151</f>
        <v/>
      </c>
      <c r="AE25" s="68">
        <f>'2E.Analysis_MIA'!AG151</f>
        <v/>
      </c>
      <c r="AF25" s="68">
        <f>'2E.Analysis_MIA'!AH151</f>
        <v/>
      </c>
      <c r="AG25" s="68">
        <f>'2E.Analysis_MIA'!AI151</f>
        <v/>
      </c>
      <c r="AH25" s="68">
        <f>'2E.Analysis_MIA'!AJ151</f>
        <v/>
      </c>
      <c r="AI25" s="68">
        <f>'2E.Analysis_MIA'!AK151</f>
        <v/>
      </c>
      <c r="AJ25" s="68">
        <f>'2E.Analysis_MIA'!AL151</f>
        <v/>
      </c>
      <c r="AK25" s="68">
        <f>'2E.Analysis_MIA'!AM151</f>
        <v/>
      </c>
      <c r="AL25" s="68">
        <f>'2E.Analysis_MIA'!AN151</f>
        <v/>
      </c>
      <c r="AM25" s="68">
        <f>'2E.Analysis_MIA'!AO151</f>
        <v/>
      </c>
      <c r="AN25" s="68">
        <f>'2E.Analysis_MIA'!AP151</f>
        <v/>
      </c>
      <c r="AO25" s="68">
        <f>'2E.Analysis_MIA'!AQ151</f>
        <v/>
      </c>
      <c r="AP25" s="68">
        <f>'2E.Analysis_MIA'!AR151</f>
        <v/>
      </c>
      <c r="AQ25" s="68">
        <f>'2E.Analysis_MIA'!AS151</f>
        <v/>
      </c>
      <c r="AR25" s="68">
        <f>'2E.Analysis_MIA'!AT151</f>
        <v/>
      </c>
      <c r="AS25" s="68">
        <f>'2E.Analysis_MIA'!AU151</f>
        <v/>
      </c>
      <c r="AT25" s="68">
        <f>'2E.Analysis_MIA'!AV151</f>
        <v/>
      </c>
      <c r="AU25" s="68">
        <f>'2E.Analysis_MIA'!AW151</f>
        <v/>
      </c>
      <c r="AV25" s="68">
        <f>'2E.Analysis_MIA'!AX151</f>
        <v/>
      </c>
      <c r="AW25" s="68">
        <f>'2E.Analysis_MIA'!AY151</f>
        <v/>
      </c>
      <c r="AX25" s="68">
        <f>'2E.Analysis_MIA'!AZ151</f>
        <v/>
      </c>
      <c r="AY25" s="68">
        <f>'2E.Analysis_MIA'!BA151</f>
        <v/>
      </c>
      <c r="AZ25" s="68">
        <f>'2E.Analysis_MIA'!BB151</f>
        <v/>
      </c>
    </row>
    <row r="26" ht="16.5" customHeight="1" s="179">
      <c r="B26" s="65">
        <f>'2D Mapping'!H18</f>
        <v/>
      </c>
      <c r="C26" s="68">
        <f>'2E.Analysis_MIA'!E152</f>
        <v/>
      </c>
      <c r="D26" s="68">
        <f>'2E.Analysis_MIA'!F152</f>
        <v/>
      </c>
      <c r="E26" s="68">
        <f>'2E.Analysis_MIA'!G152</f>
        <v/>
      </c>
      <c r="F26" s="68">
        <f>'2E.Analysis_MIA'!H152</f>
        <v/>
      </c>
      <c r="G26" s="68">
        <f>'2E.Analysis_MIA'!I152</f>
        <v/>
      </c>
      <c r="H26" s="68">
        <f>'2E.Analysis_MIA'!J152</f>
        <v/>
      </c>
      <c r="I26" s="68">
        <f>'2E.Analysis_MIA'!K152</f>
        <v/>
      </c>
      <c r="J26" s="68">
        <f>'2E.Analysis_MIA'!L152</f>
        <v/>
      </c>
      <c r="K26" s="68">
        <f>'2E.Analysis_MIA'!M152</f>
        <v/>
      </c>
      <c r="L26" s="68">
        <f>'2E.Analysis_MIA'!N152</f>
        <v/>
      </c>
      <c r="M26" s="68">
        <f>'2E.Analysis_MIA'!O152</f>
        <v/>
      </c>
      <c r="N26" s="68">
        <f>'2E.Analysis_MIA'!P152</f>
        <v/>
      </c>
      <c r="O26" s="68">
        <f>'2E.Analysis_MIA'!Q152</f>
        <v/>
      </c>
      <c r="P26" s="68">
        <f>'2E.Analysis_MIA'!R152</f>
        <v/>
      </c>
      <c r="Q26" s="68">
        <f>'2E.Analysis_MIA'!S152</f>
        <v/>
      </c>
      <c r="R26" s="68">
        <f>'2E.Analysis_MIA'!T152</f>
        <v/>
      </c>
      <c r="S26" s="68">
        <f>'2E.Analysis_MIA'!U152</f>
        <v/>
      </c>
      <c r="T26" s="68">
        <f>'2E.Analysis_MIA'!V152</f>
        <v/>
      </c>
      <c r="U26" s="68">
        <f>'2E.Analysis_MIA'!W152</f>
        <v/>
      </c>
      <c r="V26" s="68">
        <f>'2E.Analysis_MIA'!X152</f>
        <v/>
      </c>
      <c r="W26" s="68">
        <f>'2E.Analysis_MIA'!Y152</f>
        <v/>
      </c>
      <c r="X26" s="68">
        <f>'2E.Analysis_MIA'!Z152</f>
        <v/>
      </c>
      <c r="Y26" s="68">
        <f>'2E.Analysis_MIA'!AA152</f>
        <v/>
      </c>
      <c r="Z26" s="68">
        <f>'2E.Analysis_MIA'!AB152</f>
        <v/>
      </c>
      <c r="AA26" s="68">
        <f>'2E.Analysis_MIA'!AC152</f>
        <v/>
      </c>
      <c r="AB26" s="68">
        <f>'2E.Analysis_MIA'!AD152</f>
        <v/>
      </c>
      <c r="AC26" s="68">
        <f>'2E.Analysis_MIA'!AE152</f>
        <v/>
      </c>
      <c r="AD26" s="68">
        <f>'2E.Analysis_MIA'!AF152</f>
        <v/>
      </c>
      <c r="AE26" s="68">
        <f>'2E.Analysis_MIA'!AG152</f>
        <v/>
      </c>
      <c r="AF26" s="68">
        <f>'2E.Analysis_MIA'!AH152</f>
        <v/>
      </c>
      <c r="AG26" s="68">
        <f>'2E.Analysis_MIA'!AI152</f>
        <v/>
      </c>
      <c r="AH26" s="68">
        <f>'2E.Analysis_MIA'!AJ152</f>
        <v/>
      </c>
      <c r="AI26" s="68">
        <f>'2E.Analysis_MIA'!AK152</f>
        <v/>
      </c>
      <c r="AJ26" s="68">
        <f>'2E.Analysis_MIA'!AL152</f>
        <v/>
      </c>
      <c r="AK26" s="68">
        <f>'2E.Analysis_MIA'!AM152</f>
        <v/>
      </c>
      <c r="AL26" s="68">
        <f>'2E.Analysis_MIA'!AN152</f>
        <v/>
      </c>
      <c r="AM26" s="68">
        <f>'2E.Analysis_MIA'!AO152</f>
        <v/>
      </c>
      <c r="AN26" s="68">
        <f>'2E.Analysis_MIA'!AP152</f>
        <v/>
      </c>
      <c r="AO26" s="68">
        <f>'2E.Analysis_MIA'!AQ152</f>
        <v/>
      </c>
      <c r="AP26" s="68">
        <f>'2E.Analysis_MIA'!AR152</f>
        <v/>
      </c>
      <c r="AQ26" s="68">
        <f>'2E.Analysis_MIA'!AS152</f>
        <v/>
      </c>
      <c r="AR26" s="68">
        <f>'2E.Analysis_MIA'!AT152</f>
        <v/>
      </c>
      <c r="AS26" s="68">
        <f>'2E.Analysis_MIA'!AU152</f>
        <v/>
      </c>
      <c r="AT26" s="68">
        <f>'2E.Analysis_MIA'!AV152</f>
        <v/>
      </c>
      <c r="AU26" s="68">
        <f>'2E.Analysis_MIA'!AW152</f>
        <v/>
      </c>
      <c r="AV26" s="68">
        <f>'2E.Analysis_MIA'!AX152</f>
        <v/>
      </c>
      <c r="AW26" s="68">
        <f>'2E.Analysis_MIA'!AY152</f>
        <v/>
      </c>
      <c r="AX26" s="68">
        <f>'2E.Analysis_MIA'!AZ152</f>
        <v/>
      </c>
      <c r="AY26" s="68">
        <f>'2E.Analysis_MIA'!BA152</f>
        <v/>
      </c>
      <c r="AZ26" s="68">
        <f>'2E.Analysis_MIA'!BB152</f>
        <v/>
      </c>
    </row>
    <row r="27" ht="16.5" customHeight="1" s="179">
      <c r="B27" s="65">
        <f>'2D Mapping'!H19</f>
        <v/>
      </c>
      <c r="C27" s="68">
        <f>'2E.Analysis_MIA'!E153</f>
        <v/>
      </c>
      <c r="D27" s="68">
        <f>'2E.Analysis_MIA'!F153</f>
        <v/>
      </c>
      <c r="E27" s="68">
        <f>'2E.Analysis_MIA'!G153</f>
        <v/>
      </c>
      <c r="F27" s="68">
        <f>'2E.Analysis_MIA'!H153</f>
        <v/>
      </c>
      <c r="G27" s="68">
        <f>'2E.Analysis_MIA'!I153</f>
        <v/>
      </c>
      <c r="H27" s="68">
        <f>'2E.Analysis_MIA'!J153</f>
        <v/>
      </c>
      <c r="I27" s="68">
        <f>'2E.Analysis_MIA'!K153</f>
        <v/>
      </c>
      <c r="J27" s="68">
        <f>'2E.Analysis_MIA'!L153</f>
        <v/>
      </c>
      <c r="K27" s="68">
        <f>'2E.Analysis_MIA'!M153</f>
        <v/>
      </c>
      <c r="L27" s="68">
        <f>'2E.Analysis_MIA'!N153</f>
        <v/>
      </c>
      <c r="M27" s="68">
        <f>'2E.Analysis_MIA'!O153</f>
        <v/>
      </c>
      <c r="N27" s="68">
        <f>'2E.Analysis_MIA'!P153</f>
        <v/>
      </c>
      <c r="O27" s="68">
        <f>'2E.Analysis_MIA'!Q153</f>
        <v/>
      </c>
      <c r="P27" s="68">
        <f>'2E.Analysis_MIA'!R153</f>
        <v/>
      </c>
      <c r="Q27" s="68">
        <f>'2E.Analysis_MIA'!S153</f>
        <v/>
      </c>
      <c r="R27" s="68">
        <f>'2E.Analysis_MIA'!T153</f>
        <v/>
      </c>
      <c r="S27" s="68">
        <f>'2E.Analysis_MIA'!U153</f>
        <v/>
      </c>
      <c r="T27" s="68">
        <f>'2E.Analysis_MIA'!V153</f>
        <v/>
      </c>
      <c r="U27" s="68">
        <f>'2E.Analysis_MIA'!W153</f>
        <v/>
      </c>
      <c r="V27" s="68">
        <f>'2E.Analysis_MIA'!X153</f>
        <v/>
      </c>
      <c r="W27" s="68">
        <f>'2E.Analysis_MIA'!Y153</f>
        <v/>
      </c>
      <c r="X27" s="68">
        <f>'2E.Analysis_MIA'!Z153</f>
        <v/>
      </c>
      <c r="Y27" s="68">
        <f>'2E.Analysis_MIA'!AA153</f>
        <v/>
      </c>
      <c r="Z27" s="68">
        <f>'2E.Analysis_MIA'!AB153</f>
        <v/>
      </c>
      <c r="AA27" s="68">
        <f>'2E.Analysis_MIA'!AC153</f>
        <v/>
      </c>
      <c r="AB27" s="68">
        <f>'2E.Analysis_MIA'!AD153</f>
        <v/>
      </c>
      <c r="AC27" s="68">
        <f>'2E.Analysis_MIA'!AE153</f>
        <v/>
      </c>
      <c r="AD27" s="68">
        <f>'2E.Analysis_MIA'!AF153</f>
        <v/>
      </c>
      <c r="AE27" s="68">
        <f>'2E.Analysis_MIA'!AG153</f>
        <v/>
      </c>
      <c r="AF27" s="68">
        <f>'2E.Analysis_MIA'!AH153</f>
        <v/>
      </c>
      <c r="AG27" s="68">
        <f>'2E.Analysis_MIA'!AI153</f>
        <v/>
      </c>
      <c r="AH27" s="68">
        <f>'2E.Analysis_MIA'!AJ153</f>
        <v/>
      </c>
      <c r="AI27" s="68">
        <f>'2E.Analysis_MIA'!AK153</f>
        <v/>
      </c>
      <c r="AJ27" s="68">
        <f>'2E.Analysis_MIA'!AL153</f>
        <v/>
      </c>
      <c r="AK27" s="68">
        <f>'2E.Analysis_MIA'!AM153</f>
        <v/>
      </c>
      <c r="AL27" s="68">
        <f>'2E.Analysis_MIA'!AN153</f>
        <v/>
      </c>
      <c r="AM27" s="68">
        <f>'2E.Analysis_MIA'!AO153</f>
        <v/>
      </c>
      <c r="AN27" s="68">
        <f>'2E.Analysis_MIA'!AP153</f>
        <v/>
      </c>
      <c r="AO27" s="68">
        <f>'2E.Analysis_MIA'!AQ153</f>
        <v/>
      </c>
      <c r="AP27" s="68">
        <f>'2E.Analysis_MIA'!AR153</f>
        <v/>
      </c>
      <c r="AQ27" s="68">
        <f>'2E.Analysis_MIA'!AS153</f>
        <v/>
      </c>
      <c r="AR27" s="68">
        <f>'2E.Analysis_MIA'!AT153</f>
        <v/>
      </c>
      <c r="AS27" s="68">
        <f>'2E.Analysis_MIA'!AU153</f>
        <v/>
      </c>
      <c r="AT27" s="68">
        <f>'2E.Analysis_MIA'!AV153</f>
        <v/>
      </c>
      <c r="AU27" s="68">
        <f>'2E.Analysis_MIA'!AW153</f>
        <v/>
      </c>
      <c r="AV27" s="68">
        <f>'2E.Analysis_MIA'!AX153</f>
        <v/>
      </c>
      <c r="AW27" s="68">
        <f>'2E.Analysis_MIA'!AY153</f>
        <v/>
      </c>
      <c r="AX27" s="68">
        <f>'2E.Analysis_MIA'!AZ153</f>
        <v/>
      </c>
      <c r="AY27" s="68">
        <f>'2E.Analysis_MIA'!BA153</f>
        <v/>
      </c>
      <c r="AZ27" s="68">
        <f>'2E.Analysis_MIA'!BB153</f>
        <v/>
      </c>
    </row>
    <row r="28" ht="16.5" customHeight="1" s="179">
      <c r="B28" s="65">
        <f>'2D Mapping'!H20</f>
        <v/>
      </c>
      <c r="C28" s="68">
        <f>'2E.Analysis_MIA'!E154</f>
        <v/>
      </c>
      <c r="D28" s="68">
        <f>'2E.Analysis_MIA'!F154</f>
        <v/>
      </c>
      <c r="E28" s="68">
        <f>'2E.Analysis_MIA'!G154</f>
        <v/>
      </c>
      <c r="F28" s="68">
        <f>'2E.Analysis_MIA'!H154</f>
        <v/>
      </c>
      <c r="G28" s="68">
        <f>'2E.Analysis_MIA'!I154</f>
        <v/>
      </c>
      <c r="H28" s="68">
        <f>'2E.Analysis_MIA'!J154</f>
        <v/>
      </c>
      <c r="I28" s="68">
        <f>'2E.Analysis_MIA'!K154</f>
        <v/>
      </c>
      <c r="J28" s="68">
        <f>'2E.Analysis_MIA'!L154</f>
        <v/>
      </c>
      <c r="K28" s="68">
        <f>'2E.Analysis_MIA'!M154</f>
        <v/>
      </c>
      <c r="L28" s="68">
        <f>'2E.Analysis_MIA'!N154</f>
        <v/>
      </c>
      <c r="M28" s="68">
        <f>'2E.Analysis_MIA'!O154</f>
        <v/>
      </c>
      <c r="N28" s="68">
        <f>'2E.Analysis_MIA'!P154</f>
        <v/>
      </c>
      <c r="O28" s="68">
        <f>'2E.Analysis_MIA'!Q154</f>
        <v/>
      </c>
      <c r="P28" s="68">
        <f>'2E.Analysis_MIA'!R154</f>
        <v/>
      </c>
      <c r="Q28" s="68">
        <f>'2E.Analysis_MIA'!S154</f>
        <v/>
      </c>
      <c r="R28" s="68">
        <f>'2E.Analysis_MIA'!T154</f>
        <v/>
      </c>
      <c r="S28" s="68">
        <f>'2E.Analysis_MIA'!U154</f>
        <v/>
      </c>
      <c r="T28" s="68">
        <f>'2E.Analysis_MIA'!V154</f>
        <v/>
      </c>
      <c r="U28" s="68">
        <f>'2E.Analysis_MIA'!W154</f>
        <v/>
      </c>
      <c r="V28" s="68">
        <f>'2E.Analysis_MIA'!X154</f>
        <v/>
      </c>
      <c r="W28" s="68">
        <f>'2E.Analysis_MIA'!Y154</f>
        <v/>
      </c>
      <c r="X28" s="68">
        <f>'2E.Analysis_MIA'!Z154</f>
        <v/>
      </c>
      <c r="Y28" s="68">
        <f>'2E.Analysis_MIA'!AA154</f>
        <v/>
      </c>
      <c r="Z28" s="68">
        <f>'2E.Analysis_MIA'!AB154</f>
        <v/>
      </c>
      <c r="AA28" s="68">
        <f>'2E.Analysis_MIA'!AC154</f>
        <v/>
      </c>
      <c r="AB28" s="68">
        <f>'2E.Analysis_MIA'!AD154</f>
        <v/>
      </c>
      <c r="AC28" s="68">
        <f>'2E.Analysis_MIA'!AE154</f>
        <v/>
      </c>
      <c r="AD28" s="68">
        <f>'2E.Analysis_MIA'!AF154</f>
        <v/>
      </c>
      <c r="AE28" s="68">
        <f>'2E.Analysis_MIA'!AG154</f>
        <v/>
      </c>
      <c r="AF28" s="68">
        <f>'2E.Analysis_MIA'!AH154</f>
        <v/>
      </c>
      <c r="AG28" s="68">
        <f>'2E.Analysis_MIA'!AI154</f>
        <v/>
      </c>
      <c r="AH28" s="68">
        <f>'2E.Analysis_MIA'!AJ154</f>
        <v/>
      </c>
      <c r="AI28" s="68">
        <f>'2E.Analysis_MIA'!AK154</f>
        <v/>
      </c>
      <c r="AJ28" s="68">
        <f>'2E.Analysis_MIA'!AL154</f>
        <v/>
      </c>
      <c r="AK28" s="68">
        <f>'2E.Analysis_MIA'!AM154</f>
        <v/>
      </c>
      <c r="AL28" s="68">
        <f>'2E.Analysis_MIA'!AN154</f>
        <v/>
      </c>
      <c r="AM28" s="68">
        <f>'2E.Analysis_MIA'!AO154</f>
        <v/>
      </c>
      <c r="AN28" s="68">
        <f>'2E.Analysis_MIA'!AP154</f>
        <v/>
      </c>
      <c r="AO28" s="68">
        <f>'2E.Analysis_MIA'!AQ154</f>
        <v/>
      </c>
      <c r="AP28" s="68">
        <f>'2E.Analysis_MIA'!AR154</f>
        <v/>
      </c>
      <c r="AQ28" s="68">
        <f>'2E.Analysis_MIA'!AS154</f>
        <v/>
      </c>
      <c r="AR28" s="68">
        <f>'2E.Analysis_MIA'!AT154</f>
        <v/>
      </c>
      <c r="AS28" s="68">
        <f>'2E.Analysis_MIA'!AU154</f>
        <v/>
      </c>
      <c r="AT28" s="68">
        <f>'2E.Analysis_MIA'!AV154</f>
        <v/>
      </c>
      <c r="AU28" s="68">
        <f>'2E.Analysis_MIA'!AW154</f>
        <v/>
      </c>
      <c r="AV28" s="68">
        <f>'2E.Analysis_MIA'!AX154</f>
        <v/>
      </c>
      <c r="AW28" s="68">
        <f>'2E.Analysis_MIA'!AY154</f>
        <v/>
      </c>
      <c r="AX28" s="68">
        <f>'2E.Analysis_MIA'!AZ154</f>
        <v/>
      </c>
      <c r="AY28" s="68">
        <f>'2E.Analysis_MIA'!BA154</f>
        <v/>
      </c>
      <c r="AZ28" s="68">
        <f>'2E.Analysis_MIA'!BB154</f>
        <v/>
      </c>
    </row>
    <row r="29" ht="16.5" customHeight="1" s="179">
      <c r="B29" s="65">
        <f>'2D Mapping'!H21</f>
        <v/>
      </c>
      <c r="C29" s="68">
        <f>'2E.Analysis_MIA'!E155</f>
        <v/>
      </c>
      <c r="D29" s="68">
        <f>'2E.Analysis_MIA'!F155</f>
        <v/>
      </c>
      <c r="E29" s="68">
        <f>'2E.Analysis_MIA'!G155</f>
        <v/>
      </c>
      <c r="F29" s="68">
        <f>'2E.Analysis_MIA'!H155</f>
        <v/>
      </c>
      <c r="G29" s="68">
        <f>'2E.Analysis_MIA'!I155</f>
        <v/>
      </c>
      <c r="H29" s="68">
        <f>'2E.Analysis_MIA'!J155</f>
        <v/>
      </c>
      <c r="I29" s="68">
        <f>'2E.Analysis_MIA'!K155</f>
        <v/>
      </c>
      <c r="J29" s="68">
        <f>'2E.Analysis_MIA'!L155</f>
        <v/>
      </c>
      <c r="K29" s="68">
        <f>'2E.Analysis_MIA'!M155</f>
        <v/>
      </c>
      <c r="L29" s="68">
        <f>'2E.Analysis_MIA'!N155</f>
        <v/>
      </c>
      <c r="M29" s="68">
        <f>'2E.Analysis_MIA'!O155</f>
        <v/>
      </c>
      <c r="N29" s="68">
        <f>'2E.Analysis_MIA'!P155</f>
        <v/>
      </c>
      <c r="O29" s="68">
        <f>'2E.Analysis_MIA'!Q155</f>
        <v/>
      </c>
      <c r="P29" s="68">
        <f>'2E.Analysis_MIA'!R155</f>
        <v/>
      </c>
      <c r="Q29" s="68">
        <f>'2E.Analysis_MIA'!S155</f>
        <v/>
      </c>
      <c r="R29" s="68">
        <f>'2E.Analysis_MIA'!T155</f>
        <v/>
      </c>
      <c r="S29" s="68">
        <f>'2E.Analysis_MIA'!U155</f>
        <v/>
      </c>
      <c r="T29" s="68">
        <f>'2E.Analysis_MIA'!V155</f>
        <v/>
      </c>
      <c r="U29" s="68">
        <f>'2E.Analysis_MIA'!W155</f>
        <v/>
      </c>
      <c r="V29" s="68">
        <f>'2E.Analysis_MIA'!X155</f>
        <v/>
      </c>
      <c r="W29" s="68">
        <f>'2E.Analysis_MIA'!Y155</f>
        <v/>
      </c>
      <c r="X29" s="68">
        <f>'2E.Analysis_MIA'!Z155</f>
        <v/>
      </c>
      <c r="Y29" s="68">
        <f>'2E.Analysis_MIA'!AA155</f>
        <v/>
      </c>
      <c r="Z29" s="68">
        <f>'2E.Analysis_MIA'!AB155</f>
        <v/>
      </c>
      <c r="AA29" s="68">
        <f>'2E.Analysis_MIA'!AC155</f>
        <v/>
      </c>
      <c r="AB29" s="68">
        <f>'2E.Analysis_MIA'!AD155</f>
        <v/>
      </c>
      <c r="AC29" s="68">
        <f>'2E.Analysis_MIA'!AE155</f>
        <v/>
      </c>
      <c r="AD29" s="68">
        <f>'2E.Analysis_MIA'!AF155</f>
        <v/>
      </c>
      <c r="AE29" s="68">
        <f>'2E.Analysis_MIA'!AG155</f>
        <v/>
      </c>
      <c r="AF29" s="68">
        <f>'2E.Analysis_MIA'!AH155</f>
        <v/>
      </c>
      <c r="AG29" s="68">
        <f>'2E.Analysis_MIA'!AI155</f>
        <v/>
      </c>
      <c r="AH29" s="68">
        <f>'2E.Analysis_MIA'!AJ155</f>
        <v/>
      </c>
      <c r="AI29" s="68">
        <f>'2E.Analysis_MIA'!AK155</f>
        <v/>
      </c>
      <c r="AJ29" s="68">
        <f>'2E.Analysis_MIA'!AL155</f>
        <v/>
      </c>
      <c r="AK29" s="68">
        <f>'2E.Analysis_MIA'!AM155</f>
        <v/>
      </c>
      <c r="AL29" s="68">
        <f>'2E.Analysis_MIA'!AN155</f>
        <v/>
      </c>
      <c r="AM29" s="68">
        <f>'2E.Analysis_MIA'!AO155</f>
        <v/>
      </c>
      <c r="AN29" s="68">
        <f>'2E.Analysis_MIA'!AP155</f>
        <v/>
      </c>
      <c r="AO29" s="68">
        <f>'2E.Analysis_MIA'!AQ155</f>
        <v/>
      </c>
      <c r="AP29" s="68">
        <f>'2E.Analysis_MIA'!AR155</f>
        <v/>
      </c>
      <c r="AQ29" s="68">
        <f>'2E.Analysis_MIA'!AS155</f>
        <v/>
      </c>
      <c r="AR29" s="68">
        <f>'2E.Analysis_MIA'!AT155</f>
        <v/>
      </c>
      <c r="AS29" s="68">
        <f>'2E.Analysis_MIA'!AU155</f>
        <v/>
      </c>
      <c r="AT29" s="68">
        <f>'2E.Analysis_MIA'!AV155</f>
        <v/>
      </c>
      <c r="AU29" s="68">
        <f>'2E.Analysis_MIA'!AW155</f>
        <v/>
      </c>
      <c r="AV29" s="68">
        <f>'2E.Analysis_MIA'!AX155</f>
        <v/>
      </c>
      <c r="AW29" s="68">
        <f>'2E.Analysis_MIA'!AY155</f>
        <v/>
      </c>
      <c r="AX29" s="68">
        <f>'2E.Analysis_MIA'!AZ155</f>
        <v/>
      </c>
      <c r="AY29" s="68">
        <f>'2E.Analysis_MIA'!BA155</f>
        <v/>
      </c>
      <c r="AZ29" s="68">
        <f>'2E.Analysis_MIA'!BB155</f>
        <v/>
      </c>
    </row>
    <row r="30" ht="16.5" customHeight="1" s="179">
      <c r="B30" s="65">
        <f>'2D Mapping'!H22</f>
        <v/>
      </c>
      <c r="C30" s="68">
        <f>'2E.Analysis_MIA'!E156</f>
        <v/>
      </c>
      <c r="D30" s="68">
        <f>'2E.Analysis_MIA'!F156</f>
        <v/>
      </c>
      <c r="E30" s="68">
        <f>'2E.Analysis_MIA'!G156</f>
        <v/>
      </c>
      <c r="F30" s="68">
        <f>'2E.Analysis_MIA'!H156</f>
        <v/>
      </c>
      <c r="G30" s="68">
        <f>'2E.Analysis_MIA'!I156</f>
        <v/>
      </c>
      <c r="H30" s="68">
        <f>'2E.Analysis_MIA'!J156</f>
        <v/>
      </c>
      <c r="I30" s="68">
        <f>'2E.Analysis_MIA'!K156</f>
        <v/>
      </c>
      <c r="J30" s="68">
        <f>'2E.Analysis_MIA'!L156</f>
        <v/>
      </c>
      <c r="K30" s="68">
        <f>'2E.Analysis_MIA'!M156</f>
        <v/>
      </c>
      <c r="L30" s="68">
        <f>'2E.Analysis_MIA'!N156</f>
        <v/>
      </c>
      <c r="M30" s="68">
        <f>'2E.Analysis_MIA'!O156</f>
        <v/>
      </c>
      <c r="N30" s="68">
        <f>'2E.Analysis_MIA'!P156</f>
        <v/>
      </c>
      <c r="O30" s="68">
        <f>'2E.Analysis_MIA'!Q156</f>
        <v/>
      </c>
      <c r="P30" s="68">
        <f>'2E.Analysis_MIA'!R156</f>
        <v/>
      </c>
      <c r="Q30" s="68">
        <f>'2E.Analysis_MIA'!S156</f>
        <v/>
      </c>
      <c r="R30" s="68">
        <f>'2E.Analysis_MIA'!T156</f>
        <v/>
      </c>
      <c r="S30" s="68">
        <f>'2E.Analysis_MIA'!U156</f>
        <v/>
      </c>
      <c r="T30" s="68">
        <f>'2E.Analysis_MIA'!V156</f>
        <v/>
      </c>
      <c r="U30" s="68">
        <f>'2E.Analysis_MIA'!W156</f>
        <v/>
      </c>
      <c r="V30" s="68">
        <f>'2E.Analysis_MIA'!X156</f>
        <v/>
      </c>
      <c r="W30" s="68">
        <f>'2E.Analysis_MIA'!Y156</f>
        <v/>
      </c>
      <c r="X30" s="68">
        <f>'2E.Analysis_MIA'!Z156</f>
        <v/>
      </c>
      <c r="Y30" s="68">
        <f>'2E.Analysis_MIA'!AA156</f>
        <v/>
      </c>
      <c r="Z30" s="68">
        <f>'2E.Analysis_MIA'!AB156</f>
        <v/>
      </c>
      <c r="AA30" s="68">
        <f>'2E.Analysis_MIA'!AC156</f>
        <v/>
      </c>
      <c r="AB30" s="68">
        <f>'2E.Analysis_MIA'!AD156</f>
        <v/>
      </c>
      <c r="AC30" s="68">
        <f>'2E.Analysis_MIA'!AE156</f>
        <v/>
      </c>
      <c r="AD30" s="68">
        <f>'2E.Analysis_MIA'!AF156</f>
        <v/>
      </c>
      <c r="AE30" s="68">
        <f>'2E.Analysis_MIA'!AG156</f>
        <v/>
      </c>
      <c r="AF30" s="68">
        <f>'2E.Analysis_MIA'!AH156</f>
        <v/>
      </c>
      <c r="AG30" s="68">
        <f>'2E.Analysis_MIA'!AI156</f>
        <v/>
      </c>
      <c r="AH30" s="68">
        <f>'2E.Analysis_MIA'!AJ156</f>
        <v/>
      </c>
      <c r="AI30" s="68">
        <f>'2E.Analysis_MIA'!AK156</f>
        <v/>
      </c>
      <c r="AJ30" s="68">
        <f>'2E.Analysis_MIA'!AL156</f>
        <v/>
      </c>
      <c r="AK30" s="68">
        <f>'2E.Analysis_MIA'!AM156</f>
        <v/>
      </c>
      <c r="AL30" s="68">
        <f>'2E.Analysis_MIA'!AN156</f>
        <v/>
      </c>
      <c r="AM30" s="68">
        <f>'2E.Analysis_MIA'!AO156</f>
        <v/>
      </c>
      <c r="AN30" s="68">
        <f>'2E.Analysis_MIA'!AP156</f>
        <v/>
      </c>
      <c r="AO30" s="68">
        <f>'2E.Analysis_MIA'!AQ156</f>
        <v/>
      </c>
      <c r="AP30" s="68">
        <f>'2E.Analysis_MIA'!AR156</f>
        <v/>
      </c>
      <c r="AQ30" s="68">
        <f>'2E.Analysis_MIA'!AS156</f>
        <v/>
      </c>
      <c r="AR30" s="68">
        <f>'2E.Analysis_MIA'!AT156</f>
        <v/>
      </c>
      <c r="AS30" s="68">
        <f>'2E.Analysis_MIA'!AU156</f>
        <v/>
      </c>
      <c r="AT30" s="68">
        <f>'2E.Analysis_MIA'!AV156</f>
        <v/>
      </c>
      <c r="AU30" s="68">
        <f>'2E.Analysis_MIA'!AW156</f>
        <v/>
      </c>
      <c r="AV30" s="68">
        <f>'2E.Analysis_MIA'!AX156</f>
        <v/>
      </c>
      <c r="AW30" s="68">
        <f>'2E.Analysis_MIA'!AY156</f>
        <v/>
      </c>
      <c r="AX30" s="68">
        <f>'2E.Analysis_MIA'!AZ156</f>
        <v/>
      </c>
      <c r="AY30" s="68">
        <f>'2E.Analysis_MIA'!BA156</f>
        <v/>
      </c>
      <c r="AZ30" s="68">
        <f>'2E.Analysis_MIA'!BB156</f>
        <v/>
      </c>
    </row>
    <row r="31" ht="16.5" customHeight="1" s="179">
      <c r="B31" s="65">
        <f>'2D Mapping'!H23</f>
        <v/>
      </c>
      <c r="C31" s="68">
        <f>'2E.Analysis_MIA'!E157</f>
        <v/>
      </c>
      <c r="D31" s="68">
        <f>'2E.Analysis_MIA'!F157</f>
        <v/>
      </c>
      <c r="E31" s="68">
        <f>'2E.Analysis_MIA'!G157</f>
        <v/>
      </c>
      <c r="F31" s="68">
        <f>'2E.Analysis_MIA'!H157</f>
        <v/>
      </c>
      <c r="G31" s="68">
        <f>'2E.Analysis_MIA'!I157</f>
        <v/>
      </c>
      <c r="H31" s="68">
        <f>'2E.Analysis_MIA'!J157</f>
        <v/>
      </c>
      <c r="I31" s="68">
        <f>'2E.Analysis_MIA'!K157</f>
        <v/>
      </c>
      <c r="J31" s="68">
        <f>'2E.Analysis_MIA'!L157</f>
        <v/>
      </c>
      <c r="K31" s="68">
        <f>'2E.Analysis_MIA'!M157</f>
        <v/>
      </c>
      <c r="L31" s="68">
        <f>'2E.Analysis_MIA'!N157</f>
        <v/>
      </c>
      <c r="M31" s="68">
        <f>'2E.Analysis_MIA'!O157</f>
        <v/>
      </c>
      <c r="N31" s="68">
        <f>'2E.Analysis_MIA'!P157</f>
        <v/>
      </c>
      <c r="O31" s="68">
        <f>'2E.Analysis_MIA'!Q157</f>
        <v/>
      </c>
      <c r="P31" s="68">
        <f>'2E.Analysis_MIA'!R157</f>
        <v/>
      </c>
      <c r="Q31" s="68">
        <f>'2E.Analysis_MIA'!S157</f>
        <v/>
      </c>
      <c r="R31" s="68">
        <f>'2E.Analysis_MIA'!T157</f>
        <v/>
      </c>
      <c r="S31" s="68">
        <f>'2E.Analysis_MIA'!U157</f>
        <v/>
      </c>
      <c r="T31" s="68">
        <f>'2E.Analysis_MIA'!V157</f>
        <v/>
      </c>
      <c r="U31" s="68">
        <f>'2E.Analysis_MIA'!W157</f>
        <v/>
      </c>
      <c r="V31" s="68">
        <f>'2E.Analysis_MIA'!X157</f>
        <v/>
      </c>
      <c r="W31" s="68">
        <f>'2E.Analysis_MIA'!Y157</f>
        <v/>
      </c>
      <c r="X31" s="68">
        <f>'2E.Analysis_MIA'!Z157</f>
        <v/>
      </c>
      <c r="Y31" s="68">
        <f>'2E.Analysis_MIA'!AA157</f>
        <v/>
      </c>
      <c r="Z31" s="68">
        <f>'2E.Analysis_MIA'!AB157</f>
        <v/>
      </c>
      <c r="AA31" s="68">
        <f>'2E.Analysis_MIA'!AC157</f>
        <v/>
      </c>
      <c r="AB31" s="68">
        <f>'2E.Analysis_MIA'!AD157</f>
        <v/>
      </c>
      <c r="AC31" s="68">
        <f>'2E.Analysis_MIA'!AE157</f>
        <v/>
      </c>
      <c r="AD31" s="68">
        <f>'2E.Analysis_MIA'!AF157</f>
        <v/>
      </c>
      <c r="AE31" s="68">
        <f>'2E.Analysis_MIA'!AG157</f>
        <v/>
      </c>
      <c r="AF31" s="68">
        <f>'2E.Analysis_MIA'!AH157</f>
        <v/>
      </c>
      <c r="AG31" s="68">
        <f>'2E.Analysis_MIA'!AI157</f>
        <v/>
      </c>
      <c r="AH31" s="68">
        <f>'2E.Analysis_MIA'!AJ157</f>
        <v/>
      </c>
      <c r="AI31" s="68">
        <f>'2E.Analysis_MIA'!AK157</f>
        <v/>
      </c>
      <c r="AJ31" s="68">
        <f>'2E.Analysis_MIA'!AL157</f>
        <v/>
      </c>
      <c r="AK31" s="68">
        <f>'2E.Analysis_MIA'!AM157</f>
        <v/>
      </c>
      <c r="AL31" s="68">
        <f>'2E.Analysis_MIA'!AN157</f>
        <v/>
      </c>
      <c r="AM31" s="68">
        <f>'2E.Analysis_MIA'!AO157</f>
        <v/>
      </c>
      <c r="AN31" s="68">
        <f>'2E.Analysis_MIA'!AP157</f>
        <v/>
      </c>
      <c r="AO31" s="68">
        <f>'2E.Analysis_MIA'!AQ157</f>
        <v/>
      </c>
      <c r="AP31" s="68">
        <f>'2E.Analysis_MIA'!AR157</f>
        <v/>
      </c>
      <c r="AQ31" s="68">
        <f>'2E.Analysis_MIA'!AS157</f>
        <v/>
      </c>
      <c r="AR31" s="68">
        <f>'2E.Analysis_MIA'!AT157</f>
        <v/>
      </c>
      <c r="AS31" s="68">
        <f>'2E.Analysis_MIA'!AU157</f>
        <v/>
      </c>
      <c r="AT31" s="68">
        <f>'2E.Analysis_MIA'!AV157</f>
        <v/>
      </c>
      <c r="AU31" s="68">
        <f>'2E.Analysis_MIA'!AW157</f>
        <v/>
      </c>
      <c r="AV31" s="68">
        <f>'2E.Analysis_MIA'!AX157</f>
        <v/>
      </c>
      <c r="AW31" s="68">
        <f>'2E.Analysis_MIA'!AY157</f>
        <v/>
      </c>
      <c r="AX31" s="68">
        <f>'2E.Analysis_MIA'!AZ157</f>
        <v/>
      </c>
      <c r="AY31" s="68">
        <f>'2E.Analysis_MIA'!BA157</f>
        <v/>
      </c>
      <c r="AZ31" s="68">
        <f>'2E.Analysis_MIA'!BB157</f>
        <v/>
      </c>
    </row>
    <row r="32" ht="16.5" customHeight="1" s="179">
      <c r="B32" s="65">
        <f>'2D Mapping'!H24</f>
        <v/>
      </c>
      <c r="C32" s="68">
        <f>'2E.Analysis_MIA'!E158</f>
        <v/>
      </c>
      <c r="D32" s="68">
        <f>'2E.Analysis_MIA'!F158</f>
        <v/>
      </c>
      <c r="E32" s="68">
        <f>'2E.Analysis_MIA'!G158</f>
        <v/>
      </c>
      <c r="F32" s="68">
        <f>'2E.Analysis_MIA'!H158</f>
        <v/>
      </c>
      <c r="G32" s="68">
        <f>'2E.Analysis_MIA'!I158</f>
        <v/>
      </c>
      <c r="H32" s="68">
        <f>'2E.Analysis_MIA'!J158</f>
        <v/>
      </c>
      <c r="I32" s="68">
        <f>'2E.Analysis_MIA'!K158</f>
        <v/>
      </c>
      <c r="J32" s="68">
        <f>'2E.Analysis_MIA'!L158</f>
        <v/>
      </c>
      <c r="K32" s="68">
        <f>'2E.Analysis_MIA'!M158</f>
        <v/>
      </c>
      <c r="L32" s="68">
        <f>'2E.Analysis_MIA'!N158</f>
        <v/>
      </c>
      <c r="M32" s="68">
        <f>'2E.Analysis_MIA'!O158</f>
        <v/>
      </c>
      <c r="N32" s="68">
        <f>'2E.Analysis_MIA'!P158</f>
        <v/>
      </c>
      <c r="O32" s="68">
        <f>'2E.Analysis_MIA'!Q158</f>
        <v/>
      </c>
      <c r="P32" s="68">
        <f>'2E.Analysis_MIA'!R158</f>
        <v/>
      </c>
      <c r="Q32" s="68">
        <f>'2E.Analysis_MIA'!S158</f>
        <v/>
      </c>
      <c r="R32" s="68">
        <f>'2E.Analysis_MIA'!T158</f>
        <v/>
      </c>
      <c r="S32" s="68">
        <f>'2E.Analysis_MIA'!U158</f>
        <v/>
      </c>
      <c r="T32" s="68">
        <f>'2E.Analysis_MIA'!V158</f>
        <v/>
      </c>
      <c r="U32" s="68">
        <f>'2E.Analysis_MIA'!W158</f>
        <v/>
      </c>
      <c r="V32" s="68">
        <f>'2E.Analysis_MIA'!X158</f>
        <v/>
      </c>
      <c r="W32" s="68">
        <f>'2E.Analysis_MIA'!Y158</f>
        <v/>
      </c>
      <c r="X32" s="68">
        <f>'2E.Analysis_MIA'!Z158</f>
        <v/>
      </c>
      <c r="Y32" s="68">
        <f>'2E.Analysis_MIA'!AA158</f>
        <v/>
      </c>
      <c r="Z32" s="68">
        <f>'2E.Analysis_MIA'!AB158</f>
        <v/>
      </c>
      <c r="AA32" s="68">
        <f>'2E.Analysis_MIA'!AC158</f>
        <v/>
      </c>
      <c r="AB32" s="68">
        <f>'2E.Analysis_MIA'!AD158</f>
        <v/>
      </c>
      <c r="AC32" s="68">
        <f>'2E.Analysis_MIA'!AE158</f>
        <v/>
      </c>
      <c r="AD32" s="68">
        <f>'2E.Analysis_MIA'!AF158</f>
        <v/>
      </c>
      <c r="AE32" s="68">
        <f>'2E.Analysis_MIA'!AG158</f>
        <v/>
      </c>
      <c r="AF32" s="68">
        <f>'2E.Analysis_MIA'!AH158</f>
        <v/>
      </c>
      <c r="AG32" s="68">
        <f>'2E.Analysis_MIA'!AI158</f>
        <v/>
      </c>
      <c r="AH32" s="68">
        <f>'2E.Analysis_MIA'!AJ158</f>
        <v/>
      </c>
      <c r="AI32" s="68">
        <f>'2E.Analysis_MIA'!AK158</f>
        <v/>
      </c>
      <c r="AJ32" s="68">
        <f>'2E.Analysis_MIA'!AL158</f>
        <v/>
      </c>
      <c r="AK32" s="68">
        <f>'2E.Analysis_MIA'!AM158</f>
        <v/>
      </c>
      <c r="AL32" s="68">
        <f>'2E.Analysis_MIA'!AN158</f>
        <v/>
      </c>
      <c r="AM32" s="68">
        <f>'2E.Analysis_MIA'!AO158</f>
        <v/>
      </c>
      <c r="AN32" s="68">
        <f>'2E.Analysis_MIA'!AP158</f>
        <v/>
      </c>
      <c r="AO32" s="68">
        <f>'2E.Analysis_MIA'!AQ158</f>
        <v/>
      </c>
      <c r="AP32" s="68">
        <f>'2E.Analysis_MIA'!AR158</f>
        <v/>
      </c>
      <c r="AQ32" s="68">
        <f>'2E.Analysis_MIA'!AS158</f>
        <v/>
      </c>
      <c r="AR32" s="68">
        <f>'2E.Analysis_MIA'!AT158</f>
        <v/>
      </c>
      <c r="AS32" s="68">
        <f>'2E.Analysis_MIA'!AU158</f>
        <v/>
      </c>
      <c r="AT32" s="68">
        <f>'2E.Analysis_MIA'!AV158</f>
        <v/>
      </c>
      <c r="AU32" s="68">
        <f>'2E.Analysis_MIA'!AW158</f>
        <v/>
      </c>
      <c r="AV32" s="68">
        <f>'2E.Analysis_MIA'!AX158</f>
        <v/>
      </c>
      <c r="AW32" s="68">
        <f>'2E.Analysis_MIA'!AY158</f>
        <v/>
      </c>
      <c r="AX32" s="68">
        <f>'2E.Analysis_MIA'!AZ158</f>
        <v/>
      </c>
      <c r="AY32" s="68">
        <f>'2E.Analysis_MIA'!BA158</f>
        <v/>
      </c>
      <c r="AZ32" s="68">
        <f>'2E.Analysis_MIA'!BB158</f>
        <v/>
      </c>
    </row>
    <row r="33" ht="16.5" customHeight="1" s="179">
      <c r="B33" s="65">
        <f>'2D Mapping'!H25</f>
        <v/>
      </c>
      <c r="C33" s="68">
        <f>'2E.Analysis_MIA'!E159</f>
        <v/>
      </c>
      <c r="D33" s="68">
        <f>'2E.Analysis_MIA'!F159</f>
        <v/>
      </c>
      <c r="E33" s="68">
        <f>'2E.Analysis_MIA'!G159</f>
        <v/>
      </c>
      <c r="F33" s="68">
        <f>'2E.Analysis_MIA'!H159</f>
        <v/>
      </c>
      <c r="G33" s="68">
        <f>'2E.Analysis_MIA'!I159</f>
        <v/>
      </c>
      <c r="H33" s="68">
        <f>'2E.Analysis_MIA'!J159</f>
        <v/>
      </c>
      <c r="I33" s="68">
        <f>'2E.Analysis_MIA'!K159</f>
        <v/>
      </c>
      <c r="J33" s="68">
        <f>'2E.Analysis_MIA'!L159</f>
        <v/>
      </c>
      <c r="K33" s="68">
        <f>'2E.Analysis_MIA'!M159</f>
        <v/>
      </c>
      <c r="L33" s="68">
        <f>'2E.Analysis_MIA'!N159</f>
        <v/>
      </c>
      <c r="M33" s="68">
        <f>'2E.Analysis_MIA'!O159</f>
        <v/>
      </c>
      <c r="N33" s="68">
        <f>'2E.Analysis_MIA'!P159</f>
        <v/>
      </c>
      <c r="O33" s="68">
        <f>'2E.Analysis_MIA'!Q159</f>
        <v/>
      </c>
      <c r="P33" s="68">
        <f>'2E.Analysis_MIA'!R159</f>
        <v/>
      </c>
      <c r="Q33" s="68">
        <f>'2E.Analysis_MIA'!S159</f>
        <v/>
      </c>
      <c r="R33" s="68">
        <f>'2E.Analysis_MIA'!T159</f>
        <v/>
      </c>
      <c r="S33" s="68">
        <f>'2E.Analysis_MIA'!U159</f>
        <v/>
      </c>
      <c r="T33" s="68">
        <f>'2E.Analysis_MIA'!V159</f>
        <v/>
      </c>
      <c r="U33" s="68">
        <f>'2E.Analysis_MIA'!W159</f>
        <v/>
      </c>
      <c r="V33" s="68">
        <f>'2E.Analysis_MIA'!X159</f>
        <v/>
      </c>
      <c r="W33" s="68">
        <f>'2E.Analysis_MIA'!Y159</f>
        <v/>
      </c>
      <c r="X33" s="68">
        <f>'2E.Analysis_MIA'!Z159</f>
        <v/>
      </c>
      <c r="Y33" s="68">
        <f>'2E.Analysis_MIA'!AA159</f>
        <v/>
      </c>
      <c r="Z33" s="68">
        <f>'2E.Analysis_MIA'!AB159</f>
        <v/>
      </c>
      <c r="AA33" s="68">
        <f>'2E.Analysis_MIA'!AC159</f>
        <v/>
      </c>
      <c r="AB33" s="68">
        <f>'2E.Analysis_MIA'!AD159</f>
        <v/>
      </c>
      <c r="AC33" s="68">
        <f>'2E.Analysis_MIA'!AE159</f>
        <v/>
      </c>
      <c r="AD33" s="68">
        <f>'2E.Analysis_MIA'!AF159</f>
        <v/>
      </c>
      <c r="AE33" s="68">
        <f>'2E.Analysis_MIA'!AG159</f>
        <v/>
      </c>
      <c r="AF33" s="68">
        <f>'2E.Analysis_MIA'!AH159</f>
        <v/>
      </c>
      <c r="AG33" s="68">
        <f>'2E.Analysis_MIA'!AI159</f>
        <v/>
      </c>
      <c r="AH33" s="68">
        <f>'2E.Analysis_MIA'!AJ159</f>
        <v/>
      </c>
      <c r="AI33" s="68">
        <f>'2E.Analysis_MIA'!AK159</f>
        <v/>
      </c>
      <c r="AJ33" s="68">
        <f>'2E.Analysis_MIA'!AL159</f>
        <v/>
      </c>
      <c r="AK33" s="68">
        <f>'2E.Analysis_MIA'!AM159</f>
        <v/>
      </c>
      <c r="AL33" s="68">
        <f>'2E.Analysis_MIA'!AN159</f>
        <v/>
      </c>
      <c r="AM33" s="68">
        <f>'2E.Analysis_MIA'!AO159</f>
        <v/>
      </c>
      <c r="AN33" s="68">
        <f>'2E.Analysis_MIA'!AP159</f>
        <v/>
      </c>
      <c r="AO33" s="68">
        <f>'2E.Analysis_MIA'!AQ159</f>
        <v/>
      </c>
      <c r="AP33" s="68">
        <f>'2E.Analysis_MIA'!AR159</f>
        <v/>
      </c>
      <c r="AQ33" s="68">
        <f>'2E.Analysis_MIA'!AS159</f>
        <v/>
      </c>
      <c r="AR33" s="68">
        <f>'2E.Analysis_MIA'!AT159</f>
        <v/>
      </c>
      <c r="AS33" s="68">
        <f>'2E.Analysis_MIA'!AU159</f>
        <v/>
      </c>
      <c r="AT33" s="68">
        <f>'2E.Analysis_MIA'!AV159</f>
        <v/>
      </c>
      <c r="AU33" s="68">
        <f>'2E.Analysis_MIA'!AW159</f>
        <v/>
      </c>
      <c r="AV33" s="68">
        <f>'2E.Analysis_MIA'!AX159</f>
        <v/>
      </c>
      <c r="AW33" s="68">
        <f>'2E.Analysis_MIA'!AY159</f>
        <v/>
      </c>
      <c r="AX33" s="68">
        <f>'2E.Analysis_MIA'!AZ159</f>
        <v/>
      </c>
      <c r="AY33" s="68">
        <f>'2E.Analysis_MIA'!BA159</f>
        <v/>
      </c>
      <c r="AZ33" s="68">
        <f>'2E.Analysis_MIA'!BB159</f>
        <v/>
      </c>
    </row>
    <row r="34" ht="16.5" customHeight="1" s="179">
      <c r="B34" s="65">
        <f>'2D Mapping'!H26</f>
        <v/>
      </c>
      <c r="C34" s="68">
        <f>'2E.Analysis_MIA'!E160</f>
        <v/>
      </c>
      <c r="D34" s="68">
        <f>'2E.Analysis_MIA'!F160</f>
        <v/>
      </c>
      <c r="E34" s="68">
        <f>'2E.Analysis_MIA'!G160</f>
        <v/>
      </c>
      <c r="F34" s="68">
        <f>'2E.Analysis_MIA'!H160</f>
        <v/>
      </c>
      <c r="G34" s="68">
        <f>'2E.Analysis_MIA'!I160</f>
        <v/>
      </c>
      <c r="H34" s="68">
        <f>'2E.Analysis_MIA'!J160</f>
        <v/>
      </c>
      <c r="I34" s="68">
        <f>'2E.Analysis_MIA'!K160</f>
        <v/>
      </c>
      <c r="J34" s="68">
        <f>'2E.Analysis_MIA'!L160</f>
        <v/>
      </c>
      <c r="K34" s="68">
        <f>'2E.Analysis_MIA'!M160</f>
        <v/>
      </c>
      <c r="L34" s="68">
        <f>'2E.Analysis_MIA'!N160</f>
        <v/>
      </c>
      <c r="M34" s="68">
        <f>'2E.Analysis_MIA'!O160</f>
        <v/>
      </c>
      <c r="N34" s="68">
        <f>'2E.Analysis_MIA'!P160</f>
        <v/>
      </c>
      <c r="O34" s="68">
        <f>'2E.Analysis_MIA'!Q160</f>
        <v/>
      </c>
      <c r="P34" s="68">
        <f>'2E.Analysis_MIA'!R160</f>
        <v/>
      </c>
      <c r="Q34" s="68">
        <f>'2E.Analysis_MIA'!S160</f>
        <v/>
      </c>
      <c r="R34" s="68">
        <f>'2E.Analysis_MIA'!T160</f>
        <v/>
      </c>
      <c r="S34" s="68">
        <f>'2E.Analysis_MIA'!U160</f>
        <v/>
      </c>
      <c r="T34" s="68">
        <f>'2E.Analysis_MIA'!V160</f>
        <v/>
      </c>
      <c r="U34" s="68">
        <f>'2E.Analysis_MIA'!W160</f>
        <v/>
      </c>
      <c r="V34" s="68">
        <f>'2E.Analysis_MIA'!X160</f>
        <v/>
      </c>
      <c r="W34" s="68">
        <f>'2E.Analysis_MIA'!Y160</f>
        <v/>
      </c>
      <c r="X34" s="68">
        <f>'2E.Analysis_MIA'!Z160</f>
        <v/>
      </c>
      <c r="Y34" s="68">
        <f>'2E.Analysis_MIA'!AA160</f>
        <v/>
      </c>
      <c r="Z34" s="68">
        <f>'2E.Analysis_MIA'!AB160</f>
        <v/>
      </c>
      <c r="AA34" s="68">
        <f>'2E.Analysis_MIA'!AC160</f>
        <v/>
      </c>
      <c r="AB34" s="68">
        <f>'2E.Analysis_MIA'!AD160</f>
        <v/>
      </c>
      <c r="AC34" s="68">
        <f>'2E.Analysis_MIA'!AE160</f>
        <v/>
      </c>
      <c r="AD34" s="68">
        <f>'2E.Analysis_MIA'!AF160</f>
        <v/>
      </c>
      <c r="AE34" s="68">
        <f>'2E.Analysis_MIA'!AG160</f>
        <v/>
      </c>
      <c r="AF34" s="68">
        <f>'2E.Analysis_MIA'!AH160</f>
        <v/>
      </c>
      <c r="AG34" s="68">
        <f>'2E.Analysis_MIA'!AI160</f>
        <v/>
      </c>
      <c r="AH34" s="68">
        <f>'2E.Analysis_MIA'!AJ160</f>
        <v/>
      </c>
      <c r="AI34" s="68">
        <f>'2E.Analysis_MIA'!AK160</f>
        <v/>
      </c>
      <c r="AJ34" s="68">
        <f>'2E.Analysis_MIA'!AL160</f>
        <v/>
      </c>
      <c r="AK34" s="68">
        <f>'2E.Analysis_MIA'!AM160</f>
        <v/>
      </c>
      <c r="AL34" s="68">
        <f>'2E.Analysis_MIA'!AN160</f>
        <v/>
      </c>
      <c r="AM34" s="68">
        <f>'2E.Analysis_MIA'!AO160</f>
        <v/>
      </c>
      <c r="AN34" s="68">
        <f>'2E.Analysis_MIA'!AP160</f>
        <v/>
      </c>
      <c r="AO34" s="68">
        <f>'2E.Analysis_MIA'!AQ160</f>
        <v/>
      </c>
      <c r="AP34" s="68">
        <f>'2E.Analysis_MIA'!AR160</f>
        <v/>
      </c>
      <c r="AQ34" s="68">
        <f>'2E.Analysis_MIA'!AS160</f>
        <v/>
      </c>
      <c r="AR34" s="68">
        <f>'2E.Analysis_MIA'!AT160</f>
        <v/>
      </c>
      <c r="AS34" s="68">
        <f>'2E.Analysis_MIA'!AU160</f>
        <v/>
      </c>
      <c r="AT34" s="68">
        <f>'2E.Analysis_MIA'!AV160</f>
        <v/>
      </c>
      <c r="AU34" s="68">
        <f>'2E.Analysis_MIA'!AW160</f>
        <v/>
      </c>
      <c r="AV34" s="68">
        <f>'2E.Analysis_MIA'!AX160</f>
        <v/>
      </c>
      <c r="AW34" s="68">
        <f>'2E.Analysis_MIA'!AY160</f>
        <v/>
      </c>
      <c r="AX34" s="68">
        <f>'2E.Analysis_MIA'!AZ160</f>
        <v/>
      </c>
      <c r="AY34" s="68">
        <f>'2E.Analysis_MIA'!BA160</f>
        <v/>
      </c>
      <c r="AZ34" s="68">
        <f>'2E.Analysis_MIA'!BB160</f>
        <v/>
      </c>
    </row>
    <row r="35" ht="16.5" customHeight="1" s="179">
      <c r="B35" s="65">
        <f>'2D Mapping'!H27</f>
        <v/>
      </c>
      <c r="C35" s="68">
        <f>'2E.Analysis_MIA'!E161</f>
        <v/>
      </c>
      <c r="D35" s="68">
        <f>'2E.Analysis_MIA'!F161</f>
        <v/>
      </c>
      <c r="E35" s="68">
        <f>'2E.Analysis_MIA'!G161</f>
        <v/>
      </c>
      <c r="F35" s="68">
        <f>'2E.Analysis_MIA'!H161</f>
        <v/>
      </c>
      <c r="G35" s="68">
        <f>'2E.Analysis_MIA'!I161</f>
        <v/>
      </c>
      <c r="H35" s="68">
        <f>'2E.Analysis_MIA'!J161</f>
        <v/>
      </c>
      <c r="I35" s="68">
        <f>'2E.Analysis_MIA'!K161</f>
        <v/>
      </c>
      <c r="J35" s="68">
        <f>'2E.Analysis_MIA'!L161</f>
        <v/>
      </c>
      <c r="K35" s="68">
        <f>'2E.Analysis_MIA'!M161</f>
        <v/>
      </c>
      <c r="L35" s="68">
        <f>'2E.Analysis_MIA'!N161</f>
        <v/>
      </c>
      <c r="M35" s="68">
        <f>'2E.Analysis_MIA'!O161</f>
        <v/>
      </c>
      <c r="N35" s="68">
        <f>'2E.Analysis_MIA'!P161</f>
        <v/>
      </c>
      <c r="O35" s="68">
        <f>'2E.Analysis_MIA'!Q161</f>
        <v/>
      </c>
      <c r="P35" s="68">
        <f>'2E.Analysis_MIA'!R161</f>
        <v/>
      </c>
      <c r="Q35" s="68">
        <f>'2E.Analysis_MIA'!S161</f>
        <v/>
      </c>
      <c r="R35" s="68">
        <f>'2E.Analysis_MIA'!T161</f>
        <v/>
      </c>
      <c r="S35" s="68">
        <f>'2E.Analysis_MIA'!U161</f>
        <v/>
      </c>
      <c r="T35" s="68">
        <f>'2E.Analysis_MIA'!V161</f>
        <v/>
      </c>
      <c r="U35" s="68">
        <f>'2E.Analysis_MIA'!W161</f>
        <v/>
      </c>
      <c r="V35" s="68">
        <f>'2E.Analysis_MIA'!X161</f>
        <v/>
      </c>
      <c r="W35" s="68">
        <f>'2E.Analysis_MIA'!Y161</f>
        <v/>
      </c>
      <c r="X35" s="68">
        <f>'2E.Analysis_MIA'!Z161</f>
        <v/>
      </c>
      <c r="Y35" s="68">
        <f>'2E.Analysis_MIA'!AA161</f>
        <v/>
      </c>
      <c r="Z35" s="68">
        <f>'2E.Analysis_MIA'!AB161</f>
        <v/>
      </c>
      <c r="AA35" s="68">
        <f>'2E.Analysis_MIA'!AC161</f>
        <v/>
      </c>
      <c r="AB35" s="68">
        <f>'2E.Analysis_MIA'!AD161</f>
        <v/>
      </c>
      <c r="AC35" s="68">
        <f>'2E.Analysis_MIA'!AE161</f>
        <v/>
      </c>
      <c r="AD35" s="68">
        <f>'2E.Analysis_MIA'!AF161</f>
        <v/>
      </c>
      <c r="AE35" s="68">
        <f>'2E.Analysis_MIA'!AG161</f>
        <v/>
      </c>
      <c r="AF35" s="68">
        <f>'2E.Analysis_MIA'!AH161</f>
        <v/>
      </c>
      <c r="AG35" s="68">
        <f>'2E.Analysis_MIA'!AI161</f>
        <v/>
      </c>
      <c r="AH35" s="68">
        <f>'2E.Analysis_MIA'!AJ161</f>
        <v/>
      </c>
      <c r="AI35" s="68">
        <f>'2E.Analysis_MIA'!AK161</f>
        <v/>
      </c>
      <c r="AJ35" s="68">
        <f>'2E.Analysis_MIA'!AL161</f>
        <v/>
      </c>
      <c r="AK35" s="68">
        <f>'2E.Analysis_MIA'!AM161</f>
        <v/>
      </c>
      <c r="AL35" s="68">
        <f>'2E.Analysis_MIA'!AN161</f>
        <v/>
      </c>
      <c r="AM35" s="68">
        <f>'2E.Analysis_MIA'!AO161</f>
        <v/>
      </c>
      <c r="AN35" s="68">
        <f>'2E.Analysis_MIA'!AP161</f>
        <v/>
      </c>
      <c r="AO35" s="68">
        <f>'2E.Analysis_MIA'!AQ161</f>
        <v/>
      </c>
      <c r="AP35" s="68">
        <f>'2E.Analysis_MIA'!AR161</f>
        <v/>
      </c>
      <c r="AQ35" s="68">
        <f>'2E.Analysis_MIA'!AS161</f>
        <v/>
      </c>
      <c r="AR35" s="68">
        <f>'2E.Analysis_MIA'!AT161</f>
        <v/>
      </c>
      <c r="AS35" s="68">
        <f>'2E.Analysis_MIA'!AU161</f>
        <v/>
      </c>
      <c r="AT35" s="68">
        <f>'2E.Analysis_MIA'!AV161</f>
        <v/>
      </c>
      <c r="AU35" s="68">
        <f>'2E.Analysis_MIA'!AW161</f>
        <v/>
      </c>
      <c r="AV35" s="68">
        <f>'2E.Analysis_MIA'!AX161</f>
        <v/>
      </c>
      <c r="AW35" s="68">
        <f>'2E.Analysis_MIA'!AY161</f>
        <v/>
      </c>
      <c r="AX35" s="68">
        <f>'2E.Analysis_MIA'!AZ161</f>
        <v/>
      </c>
      <c r="AY35" s="68">
        <f>'2E.Analysis_MIA'!BA161</f>
        <v/>
      </c>
      <c r="AZ35" s="68">
        <f>'2E.Analysis_MIA'!BB161</f>
        <v/>
      </c>
    </row>
    <row r="36" ht="16.5" customHeight="1" s="179">
      <c r="B36" s="65">
        <f>'2D Mapping'!H28</f>
        <v/>
      </c>
      <c r="C36" s="68">
        <f>'2E.Analysis_MIA'!E162</f>
        <v/>
      </c>
      <c r="D36" s="68">
        <f>'2E.Analysis_MIA'!F162</f>
        <v/>
      </c>
      <c r="E36" s="68">
        <f>'2E.Analysis_MIA'!G162</f>
        <v/>
      </c>
      <c r="F36" s="68">
        <f>'2E.Analysis_MIA'!H162</f>
        <v/>
      </c>
      <c r="G36" s="68">
        <f>'2E.Analysis_MIA'!I162</f>
        <v/>
      </c>
      <c r="H36" s="68">
        <f>'2E.Analysis_MIA'!J162</f>
        <v/>
      </c>
      <c r="I36" s="68">
        <f>'2E.Analysis_MIA'!K162</f>
        <v/>
      </c>
      <c r="J36" s="68">
        <f>'2E.Analysis_MIA'!L162</f>
        <v/>
      </c>
      <c r="K36" s="68">
        <f>'2E.Analysis_MIA'!M162</f>
        <v/>
      </c>
      <c r="L36" s="68">
        <f>'2E.Analysis_MIA'!N162</f>
        <v/>
      </c>
      <c r="M36" s="68">
        <f>'2E.Analysis_MIA'!O162</f>
        <v/>
      </c>
      <c r="N36" s="68">
        <f>'2E.Analysis_MIA'!P162</f>
        <v/>
      </c>
      <c r="O36" s="68">
        <f>'2E.Analysis_MIA'!Q162</f>
        <v/>
      </c>
      <c r="P36" s="68">
        <f>'2E.Analysis_MIA'!R162</f>
        <v/>
      </c>
      <c r="Q36" s="68">
        <f>'2E.Analysis_MIA'!S162</f>
        <v/>
      </c>
      <c r="R36" s="68">
        <f>'2E.Analysis_MIA'!T162</f>
        <v/>
      </c>
      <c r="S36" s="68">
        <f>'2E.Analysis_MIA'!U162</f>
        <v/>
      </c>
      <c r="T36" s="68">
        <f>'2E.Analysis_MIA'!V162</f>
        <v/>
      </c>
      <c r="U36" s="68">
        <f>'2E.Analysis_MIA'!W162</f>
        <v/>
      </c>
      <c r="V36" s="68">
        <f>'2E.Analysis_MIA'!X162</f>
        <v/>
      </c>
      <c r="W36" s="68">
        <f>'2E.Analysis_MIA'!Y162</f>
        <v/>
      </c>
      <c r="X36" s="68">
        <f>'2E.Analysis_MIA'!Z162</f>
        <v/>
      </c>
      <c r="Y36" s="68">
        <f>'2E.Analysis_MIA'!AA162</f>
        <v/>
      </c>
      <c r="Z36" s="68">
        <f>'2E.Analysis_MIA'!AB162</f>
        <v/>
      </c>
      <c r="AA36" s="68">
        <f>'2E.Analysis_MIA'!AC162</f>
        <v/>
      </c>
      <c r="AB36" s="68">
        <f>'2E.Analysis_MIA'!AD162</f>
        <v/>
      </c>
      <c r="AC36" s="68">
        <f>'2E.Analysis_MIA'!AE162</f>
        <v/>
      </c>
      <c r="AD36" s="68">
        <f>'2E.Analysis_MIA'!AF162</f>
        <v/>
      </c>
      <c r="AE36" s="68">
        <f>'2E.Analysis_MIA'!AG162</f>
        <v/>
      </c>
      <c r="AF36" s="68">
        <f>'2E.Analysis_MIA'!AH162</f>
        <v/>
      </c>
      <c r="AG36" s="68">
        <f>'2E.Analysis_MIA'!AI162</f>
        <v/>
      </c>
      <c r="AH36" s="68">
        <f>'2E.Analysis_MIA'!AJ162</f>
        <v/>
      </c>
      <c r="AI36" s="68">
        <f>'2E.Analysis_MIA'!AK162</f>
        <v/>
      </c>
      <c r="AJ36" s="68">
        <f>'2E.Analysis_MIA'!AL162</f>
        <v/>
      </c>
      <c r="AK36" s="68">
        <f>'2E.Analysis_MIA'!AM162</f>
        <v/>
      </c>
      <c r="AL36" s="68">
        <f>'2E.Analysis_MIA'!AN162</f>
        <v/>
      </c>
      <c r="AM36" s="68">
        <f>'2E.Analysis_MIA'!AO162</f>
        <v/>
      </c>
      <c r="AN36" s="68">
        <f>'2E.Analysis_MIA'!AP162</f>
        <v/>
      </c>
      <c r="AO36" s="68">
        <f>'2E.Analysis_MIA'!AQ162</f>
        <v/>
      </c>
      <c r="AP36" s="68">
        <f>'2E.Analysis_MIA'!AR162</f>
        <v/>
      </c>
      <c r="AQ36" s="68">
        <f>'2E.Analysis_MIA'!AS162</f>
        <v/>
      </c>
      <c r="AR36" s="68">
        <f>'2E.Analysis_MIA'!AT162</f>
        <v/>
      </c>
      <c r="AS36" s="68">
        <f>'2E.Analysis_MIA'!AU162</f>
        <v/>
      </c>
      <c r="AT36" s="68">
        <f>'2E.Analysis_MIA'!AV162</f>
        <v/>
      </c>
      <c r="AU36" s="68">
        <f>'2E.Analysis_MIA'!AW162</f>
        <v/>
      </c>
      <c r="AV36" s="68">
        <f>'2E.Analysis_MIA'!AX162</f>
        <v/>
      </c>
      <c r="AW36" s="68">
        <f>'2E.Analysis_MIA'!AY162</f>
        <v/>
      </c>
      <c r="AX36" s="68">
        <f>'2E.Analysis_MIA'!AZ162</f>
        <v/>
      </c>
      <c r="AY36" s="68">
        <f>'2E.Analysis_MIA'!BA162</f>
        <v/>
      </c>
      <c r="AZ36" s="68">
        <f>'2E.Analysis_MIA'!BB162</f>
        <v/>
      </c>
    </row>
    <row r="37" ht="16.5" customHeight="1" s="179">
      <c r="B37" s="65">
        <f>'2D Mapping'!H29</f>
        <v/>
      </c>
      <c r="C37" s="68">
        <f>'2E.Analysis_MIA'!E163</f>
        <v/>
      </c>
      <c r="D37" s="68">
        <f>'2E.Analysis_MIA'!F163</f>
        <v/>
      </c>
      <c r="E37" s="68">
        <f>'2E.Analysis_MIA'!G163</f>
        <v/>
      </c>
      <c r="F37" s="68">
        <f>'2E.Analysis_MIA'!H163</f>
        <v/>
      </c>
      <c r="G37" s="68">
        <f>'2E.Analysis_MIA'!I163</f>
        <v/>
      </c>
      <c r="H37" s="68">
        <f>'2E.Analysis_MIA'!J163</f>
        <v/>
      </c>
      <c r="I37" s="68">
        <f>'2E.Analysis_MIA'!K163</f>
        <v/>
      </c>
      <c r="J37" s="68">
        <f>'2E.Analysis_MIA'!L163</f>
        <v/>
      </c>
      <c r="K37" s="68">
        <f>'2E.Analysis_MIA'!M163</f>
        <v/>
      </c>
      <c r="L37" s="68">
        <f>'2E.Analysis_MIA'!N163</f>
        <v/>
      </c>
      <c r="M37" s="68">
        <f>'2E.Analysis_MIA'!O163</f>
        <v/>
      </c>
      <c r="N37" s="68">
        <f>'2E.Analysis_MIA'!P163</f>
        <v/>
      </c>
      <c r="O37" s="68">
        <f>'2E.Analysis_MIA'!Q163</f>
        <v/>
      </c>
      <c r="P37" s="68">
        <f>'2E.Analysis_MIA'!R163</f>
        <v/>
      </c>
      <c r="Q37" s="68">
        <f>'2E.Analysis_MIA'!S163</f>
        <v/>
      </c>
      <c r="R37" s="68">
        <f>'2E.Analysis_MIA'!T163</f>
        <v/>
      </c>
      <c r="S37" s="68">
        <f>'2E.Analysis_MIA'!U163</f>
        <v/>
      </c>
      <c r="T37" s="68">
        <f>'2E.Analysis_MIA'!V163</f>
        <v/>
      </c>
      <c r="U37" s="68">
        <f>'2E.Analysis_MIA'!W163</f>
        <v/>
      </c>
      <c r="V37" s="68">
        <f>'2E.Analysis_MIA'!X163</f>
        <v/>
      </c>
      <c r="W37" s="68">
        <f>'2E.Analysis_MIA'!Y163</f>
        <v/>
      </c>
      <c r="X37" s="68">
        <f>'2E.Analysis_MIA'!Z163</f>
        <v/>
      </c>
      <c r="Y37" s="68">
        <f>'2E.Analysis_MIA'!AA163</f>
        <v/>
      </c>
      <c r="Z37" s="68">
        <f>'2E.Analysis_MIA'!AB163</f>
        <v/>
      </c>
      <c r="AA37" s="68">
        <f>'2E.Analysis_MIA'!AC163</f>
        <v/>
      </c>
      <c r="AB37" s="68">
        <f>'2E.Analysis_MIA'!AD163</f>
        <v/>
      </c>
      <c r="AC37" s="68">
        <f>'2E.Analysis_MIA'!AE163</f>
        <v/>
      </c>
      <c r="AD37" s="68">
        <f>'2E.Analysis_MIA'!AF163</f>
        <v/>
      </c>
      <c r="AE37" s="68">
        <f>'2E.Analysis_MIA'!AG163</f>
        <v/>
      </c>
      <c r="AF37" s="68">
        <f>'2E.Analysis_MIA'!AH163</f>
        <v/>
      </c>
      <c r="AG37" s="68">
        <f>'2E.Analysis_MIA'!AI163</f>
        <v/>
      </c>
      <c r="AH37" s="68">
        <f>'2E.Analysis_MIA'!AJ163</f>
        <v/>
      </c>
      <c r="AI37" s="68">
        <f>'2E.Analysis_MIA'!AK163</f>
        <v/>
      </c>
      <c r="AJ37" s="68">
        <f>'2E.Analysis_MIA'!AL163</f>
        <v/>
      </c>
      <c r="AK37" s="68">
        <f>'2E.Analysis_MIA'!AM163</f>
        <v/>
      </c>
      <c r="AL37" s="68">
        <f>'2E.Analysis_MIA'!AN163</f>
        <v/>
      </c>
      <c r="AM37" s="68">
        <f>'2E.Analysis_MIA'!AO163</f>
        <v/>
      </c>
      <c r="AN37" s="68">
        <f>'2E.Analysis_MIA'!AP163</f>
        <v/>
      </c>
      <c r="AO37" s="68">
        <f>'2E.Analysis_MIA'!AQ163</f>
        <v/>
      </c>
      <c r="AP37" s="68">
        <f>'2E.Analysis_MIA'!AR163</f>
        <v/>
      </c>
      <c r="AQ37" s="68">
        <f>'2E.Analysis_MIA'!AS163</f>
        <v/>
      </c>
      <c r="AR37" s="68">
        <f>'2E.Analysis_MIA'!AT163</f>
        <v/>
      </c>
      <c r="AS37" s="68">
        <f>'2E.Analysis_MIA'!AU163</f>
        <v/>
      </c>
      <c r="AT37" s="68">
        <f>'2E.Analysis_MIA'!AV163</f>
        <v/>
      </c>
      <c r="AU37" s="68">
        <f>'2E.Analysis_MIA'!AW163</f>
        <v/>
      </c>
      <c r="AV37" s="68">
        <f>'2E.Analysis_MIA'!AX163</f>
        <v/>
      </c>
      <c r="AW37" s="68">
        <f>'2E.Analysis_MIA'!AY163</f>
        <v/>
      </c>
      <c r="AX37" s="68">
        <f>'2E.Analysis_MIA'!AZ163</f>
        <v/>
      </c>
      <c r="AY37" s="68">
        <f>'2E.Analysis_MIA'!BA163</f>
        <v/>
      </c>
      <c r="AZ37" s="68">
        <f>'2E.Analysis_MIA'!BB163</f>
        <v/>
      </c>
    </row>
    <row r="38" ht="16.5" customHeight="1" s="179">
      <c r="B38" s="65">
        <f>'2D Mapping'!H30</f>
        <v/>
      </c>
      <c r="C38" s="68">
        <f>'2E.Analysis_MIA'!E164</f>
        <v/>
      </c>
      <c r="D38" s="68">
        <f>'2E.Analysis_MIA'!F164</f>
        <v/>
      </c>
      <c r="E38" s="68">
        <f>'2E.Analysis_MIA'!G164</f>
        <v/>
      </c>
      <c r="F38" s="68">
        <f>'2E.Analysis_MIA'!H164</f>
        <v/>
      </c>
      <c r="G38" s="68">
        <f>'2E.Analysis_MIA'!I164</f>
        <v/>
      </c>
      <c r="H38" s="68">
        <f>'2E.Analysis_MIA'!J164</f>
        <v/>
      </c>
      <c r="I38" s="68">
        <f>'2E.Analysis_MIA'!K164</f>
        <v/>
      </c>
      <c r="J38" s="68">
        <f>'2E.Analysis_MIA'!L164</f>
        <v/>
      </c>
      <c r="K38" s="68">
        <f>'2E.Analysis_MIA'!M164</f>
        <v/>
      </c>
      <c r="L38" s="68">
        <f>'2E.Analysis_MIA'!N164</f>
        <v/>
      </c>
      <c r="M38" s="68">
        <f>'2E.Analysis_MIA'!O164</f>
        <v/>
      </c>
      <c r="N38" s="68">
        <f>'2E.Analysis_MIA'!P164</f>
        <v/>
      </c>
      <c r="O38" s="68">
        <f>'2E.Analysis_MIA'!Q164</f>
        <v/>
      </c>
      <c r="P38" s="68">
        <f>'2E.Analysis_MIA'!R164</f>
        <v/>
      </c>
      <c r="Q38" s="68">
        <f>'2E.Analysis_MIA'!S164</f>
        <v/>
      </c>
      <c r="R38" s="68">
        <f>'2E.Analysis_MIA'!T164</f>
        <v/>
      </c>
      <c r="S38" s="68">
        <f>'2E.Analysis_MIA'!U164</f>
        <v/>
      </c>
      <c r="T38" s="68">
        <f>'2E.Analysis_MIA'!V164</f>
        <v/>
      </c>
      <c r="U38" s="68">
        <f>'2E.Analysis_MIA'!W164</f>
        <v/>
      </c>
      <c r="V38" s="68">
        <f>'2E.Analysis_MIA'!X164</f>
        <v/>
      </c>
      <c r="W38" s="68">
        <f>'2E.Analysis_MIA'!Y164</f>
        <v/>
      </c>
      <c r="X38" s="68">
        <f>'2E.Analysis_MIA'!Z164</f>
        <v/>
      </c>
      <c r="Y38" s="68">
        <f>'2E.Analysis_MIA'!AA164</f>
        <v/>
      </c>
      <c r="Z38" s="68">
        <f>'2E.Analysis_MIA'!AB164</f>
        <v/>
      </c>
      <c r="AA38" s="68">
        <f>'2E.Analysis_MIA'!AC164</f>
        <v/>
      </c>
      <c r="AB38" s="68">
        <f>'2E.Analysis_MIA'!AD164</f>
        <v/>
      </c>
      <c r="AC38" s="68">
        <f>'2E.Analysis_MIA'!AE164</f>
        <v/>
      </c>
      <c r="AD38" s="68">
        <f>'2E.Analysis_MIA'!AF164</f>
        <v/>
      </c>
      <c r="AE38" s="68">
        <f>'2E.Analysis_MIA'!AG164</f>
        <v/>
      </c>
      <c r="AF38" s="68">
        <f>'2E.Analysis_MIA'!AH164</f>
        <v/>
      </c>
      <c r="AG38" s="68">
        <f>'2E.Analysis_MIA'!AI164</f>
        <v/>
      </c>
      <c r="AH38" s="68">
        <f>'2E.Analysis_MIA'!AJ164</f>
        <v/>
      </c>
      <c r="AI38" s="68">
        <f>'2E.Analysis_MIA'!AK164</f>
        <v/>
      </c>
      <c r="AJ38" s="68">
        <f>'2E.Analysis_MIA'!AL164</f>
        <v/>
      </c>
      <c r="AK38" s="68">
        <f>'2E.Analysis_MIA'!AM164</f>
        <v/>
      </c>
      <c r="AL38" s="68">
        <f>'2E.Analysis_MIA'!AN164</f>
        <v/>
      </c>
      <c r="AM38" s="68">
        <f>'2E.Analysis_MIA'!AO164</f>
        <v/>
      </c>
      <c r="AN38" s="68">
        <f>'2E.Analysis_MIA'!AP164</f>
        <v/>
      </c>
      <c r="AO38" s="68">
        <f>'2E.Analysis_MIA'!AQ164</f>
        <v/>
      </c>
      <c r="AP38" s="68">
        <f>'2E.Analysis_MIA'!AR164</f>
        <v/>
      </c>
      <c r="AQ38" s="68">
        <f>'2E.Analysis_MIA'!AS164</f>
        <v/>
      </c>
      <c r="AR38" s="68">
        <f>'2E.Analysis_MIA'!AT164</f>
        <v/>
      </c>
      <c r="AS38" s="68">
        <f>'2E.Analysis_MIA'!AU164</f>
        <v/>
      </c>
      <c r="AT38" s="68">
        <f>'2E.Analysis_MIA'!AV164</f>
        <v/>
      </c>
      <c r="AU38" s="68">
        <f>'2E.Analysis_MIA'!AW164</f>
        <v/>
      </c>
      <c r="AV38" s="68">
        <f>'2E.Analysis_MIA'!AX164</f>
        <v/>
      </c>
      <c r="AW38" s="68">
        <f>'2E.Analysis_MIA'!AY164</f>
        <v/>
      </c>
      <c r="AX38" s="68">
        <f>'2E.Analysis_MIA'!AZ164</f>
        <v/>
      </c>
      <c r="AY38" s="68">
        <f>'2E.Analysis_MIA'!BA164</f>
        <v/>
      </c>
      <c r="AZ38" s="68">
        <f>'2E.Analysis_MIA'!BB164</f>
        <v/>
      </c>
    </row>
    <row r="39" ht="16.5" customHeight="1" s="179">
      <c r="B39" s="65">
        <f>'2D Mapping'!H31</f>
        <v/>
      </c>
      <c r="C39" s="68">
        <f>'2E.Analysis_MIA'!E165</f>
        <v/>
      </c>
      <c r="D39" s="68">
        <f>'2E.Analysis_MIA'!F165</f>
        <v/>
      </c>
      <c r="E39" s="68">
        <f>'2E.Analysis_MIA'!G165</f>
        <v/>
      </c>
      <c r="F39" s="68">
        <f>'2E.Analysis_MIA'!H165</f>
        <v/>
      </c>
      <c r="G39" s="68">
        <f>'2E.Analysis_MIA'!I165</f>
        <v/>
      </c>
      <c r="H39" s="68">
        <f>'2E.Analysis_MIA'!J165</f>
        <v/>
      </c>
      <c r="I39" s="68">
        <f>'2E.Analysis_MIA'!K165</f>
        <v/>
      </c>
      <c r="J39" s="68">
        <f>'2E.Analysis_MIA'!L165</f>
        <v/>
      </c>
      <c r="K39" s="68">
        <f>'2E.Analysis_MIA'!M165</f>
        <v/>
      </c>
      <c r="L39" s="68">
        <f>'2E.Analysis_MIA'!N165</f>
        <v/>
      </c>
      <c r="M39" s="68">
        <f>'2E.Analysis_MIA'!O165</f>
        <v/>
      </c>
      <c r="N39" s="68">
        <f>'2E.Analysis_MIA'!P165</f>
        <v/>
      </c>
      <c r="O39" s="68">
        <f>'2E.Analysis_MIA'!Q165</f>
        <v/>
      </c>
      <c r="P39" s="68">
        <f>'2E.Analysis_MIA'!R165</f>
        <v/>
      </c>
      <c r="Q39" s="68">
        <f>'2E.Analysis_MIA'!S165</f>
        <v/>
      </c>
      <c r="R39" s="68">
        <f>'2E.Analysis_MIA'!T165</f>
        <v/>
      </c>
      <c r="S39" s="68">
        <f>'2E.Analysis_MIA'!U165</f>
        <v/>
      </c>
      <c r="T39" s="68">
        <f>'2E.Analysis_MIA'!V165</f>
        <v/>
      </c>
      <c r="U39" s="68">
        <f>'2E.Analysis_MIA'!W165</f>
        <v/>
      </c>
      <c r="V39" s="68">
        <f>'2E.Analysis_MIA'!X165</f>
        <v/>
      </c>
      <c r="W39" s="68">
        <f>'2E.Analysis_MIA'!Y165</f>
        <v/>
      </c>
      <c r="X39" s="68">
        <f>'2E.Analysis_MIA'!Z165</f>
        <v/>
      </c>
      <c r="Y39" s="68">
        <f>'2E.Analysis_MIA'!AA165</f>
        <v/>
      </c>
      <c r="Z39" s="68">
        <f>'2E.Analysis_MIA'!AB165</f>
        <v/>
      </c>
      <c r="AA39" s="68">
        <f>'2E.Analysis_MIA'!AC165</f>
        <v/>
      </c>
      <c r="AB39" s="68">
        <f>'2E.Analysis_MIA'!AD165</f>
        <v/>
      </c>
      <c r="AC39" s="68">
        <f>'2E.Analysis_MIA'!AE165</f>
        <v/>
      </c>
      <c r="AD39" s="68">
        <f>'2E.Analysis_MIA'!AF165</f>
        <v/>
      </c>
      <c r="AE39" s="68">
        <f>'2E.Analysis_MIA'!AG165</f>
        <v/>
      </c>
      <c r="AF39" s="68">
        <f>'2E.Analysis_MIA'!AH165</f>
        <v/>
      </c>
      <c r="AG39" s="68">
        <f>'2E.Analysis_MIA'!AI165</f>
        <v/>
      </c>
      <c r="AH39" s="68">
        <f>'2E.Analysis_MIA'!AJ165</f>
        <v/>
      </c>
      <c r="AI39" s="68">
        <f>'2E.Analysis_MIA'!AK165</f>
        <v/>
      </c>
      <c r="AJ39" s="68">
        <f>'2E.Analysis_MIA'!AL165</f>
        <v/>
      </c>
      <c r="AK39" s="68">
        <f>'2E.Analysis_MIA'!AM165</f>
        <v/>
      </c>
      <c r="AL39" s="68">
        <f>'2E.Analysis_MIA'!AN165</f>
        <v/>
      </c>
      <c r="AM39" s="68">
        <f>'2E.Analysis_MIA'!AO165</f>
        <v/>
      </c>
      <c r="AN39" s="68">
        <f>'2E.Analysis_MIA'!AP165</f>
        <v/>
      </c>
      <c r="AO39" s="68">
        <f>'2E.Analysis_MIA'!AQ165</f>
        <v/>
      </c>
      <c r="AP39" s="68">
        <f>'2E.Analysis_MIA'!AR165</f>
        <v/>
      </c>
      <c r="AQ39" s="68">
        <f>'2E.Analysis_MIA'!AS165</f>
        <v/>
      </c>
      <c r="AR39" s="68">
        <f>'2E.Analysis_MIA'!AT165</f>
        <v/>
      </c>
      <c r="AS39" s="68">
        <f>'2E.Analysis_MIA'!AU165</f>
        <v/>
      </c>
      <c r="AT39" s="68">
        <f>'2E.Analysis_MIA'!AV165</f>
        <v/>
      </c>
      <c r="AU39" s="68">
        <f>'2E.Analysis_MIA'!AW165</f>
        <v/>
      </c>
      <c r="AV39" s="68">
        <f>'2E.Analysis_MIA'!AX165</f>
        <v/>
      </c>
      <c r="AW39" s="68">
        <f>'2E.Analysis_MIA'!AY165</f>
        <v/>
      </c>
      <c r="AX39" s="68">
        <f>'2E.Analysis_MIA'!AZ165</f>
        <v/>
      </c>
      <c r="AY39" s="68">
        <f>'2E.Analysis_MIA'!BA165</f>
        <v/>
      </c>
      <c r="AZ39" s="68">
        <f>'2E.Analysis_MIA'!BB165</f>
        <v/>
      </c>
    </row>
    <row r="40" ht="16.5" customHeight="1" s="179">
      <c r="B40" s="65">
        <f>'2D Mapping'!H32</f>
        <v/>
      </c>
      <c r="C40" s="68">
        <f>'2E.Analysis_MIA'!E166</f>
        <v/>
      </c>
      <c r="D40" s="68">
        <f>'2E.Analysis_MIA'!F166</f>
        <v/>
      </c>
      <c r="E40" s="68">
        <f>'2E.Analysis_MIA'!G166</f>
        <v/>
      </c>
      <c r="F40" s="68">
        <f>'2E.Analysis_MIA'!H166</f>
        <v/>
      </c>
      <c r="G40" s="68">
        <f>'2E.Analysis_MIA'!I166</f>
        <v/>
      </c>
      <c r="H40" s="68">
        <f>'2E.Analysis_MIA'!J166</f>
        <v/>
      </c>
      <c r="I40" s="68">
        <f>'2E.Analysis_MIA'!K166</f>
        <v/>
      </c>
      <c r="J40" s="68">
        <f>'2E.Analysis_MIA'!L166</f>
        <v/>
      </c>
      <c r="K40" s="68">
        <f>'2E.Analysis_MIA'!M166</f>
        <v/>
      </c>
      <c r="L40" s="68">
        <f>'2E.Analysis_MIA'!N166</f>
        <v/>
      </c>
      <c r="M40" s="68">
        <f>'2E.Analysis_MIA'!O166</f>
        <v/>
      </c>
      <c r="N40" s="68">
        <f>'2E.Analysis_MIA'!P166</f>
        <v/>
      </c>
      <c r="O40" s="68">
        <f>'2E.Analysis_MIA'!Q166</f>
        <v/>
      </c>
      <c r="P40" s="68">
        <f>'2E.Analysis_MIA'!R166</f>
        <v/>
      </c>
      <c r="Q40" s="68">
        <f>'2E.Analysis_MIA'!S166</f>
        <v/>
      </c>
      <c r="R40" s="68">
        <f>'2E.Analysis_MIA'!T166</f>
        <v/>
      </c>
      <c r="S40" s="68">
        <f>'2E.Analysis_MIA'!U166</f>
        <v/>
      </c>
      <c r="T40" s="68">
        <f>'2E.Analysis_MIA'!V166</f>
        <v/>
      </c>
      <c r="U40" s="68">
        <f>'2E.Analysis_MIA'!W166</f>
        <v/>
      </c>
      <c r="V40" s="68">
        <f>'2E.Analysis_MIA'!X166</f>
        <v/>
      </c>
      <c r="W40" s="68">
        <f>'2E.Analysis_MIA'!Y166</f>
        <v/>
      </c>
      <c r="X40" s="68">
        <f>'2E.Analysis_MIA'!Z166</f>
        <v/>
      </c>
      <c r="Y40" s="68">
        <f>'2E.Analysis_MIA'!AA166</f>
        <v/>
      </c>
      <c r="Z40" s="68">
        <f>'2E.Analysis_MIA'!AB166</f>
        <v/>
      </c>
      <c r="AA40" s="68">
        <f>'2E.Analysis_MIA'!AC166</f>
        <v/>
      </c>
      <c r="AB40" s="68">
        <f>'2E.Analysis_MIA'!AD166</f>
        <v/>
      </c>
      <c r="AC40" s="68">
        <f>'2E.Analysis_MIA'!AE166</f>
        <v/>
      </c>
      <c r="AD40" s="68">
        <f>'2E.Analysis_MIA'!AF166</f>
        <v/>
      </c>
      <c r="AE40" s="68">
        <f>'2E.Analysis_MIA'!AG166</f>
        <v/>
      </c>
      <c r="AF40" s="68">
        <f>'2E.Analysis_MIA'!AH166</f>
        <v/>
      </c>
      <c r="AG40" s="68">
        <f>'2E.Analysis_MIA'!AI166</f>
        <v/>
      </c>
      <c r="AH40" s="68">
        <f>'2E.Analysis_MIA'!AJ166</f>
        <v/>
      </c>
      <c r="AI40" s="68">
        <f>'2E.Analysis_MIA'!AK166</f>
        <v/>
      </c>
      <c r="AJ40" s="68">
        <f>'2E.Analysis_MIA'!AL166</f>
        <v/>
      </c>
      <c r="AK40" s="68">
        <f>'2E.Analysis_MIA'!AM166</f>
        <v/>
      </c>
      <c r="AL40" s="68">
        <f>'2E.Analysis_MIA'!AN166</f>
        <v/>
      </c>
      <c r="AM40" s="68">
        <f>'2E.Analysis_MIA'!AO166</f>
        <v/>
      </c>
      <c r="AN40" s="68">
        <f>'2E.Analysis_MIA'!AP166</f>
        <v/>
      </c>
      <c r="AO40" s="68">
        <f>'2E.Analysis_MIA'!AQ166</f>
        <v/>
      </c>
      <c r="AP40" s="68">
        <f>'2E.Analysis_MIA'!AR166</f>
        <v/>
      </c>
      <c r="AQ40" s="68">
        <f>'2E.Analysis_MIA'!AS166</f>
        <v/>
      </c>
      <c r="AR40" s="68">
        <f>'2E.Analysis_MIA'!AT166</f>
        <v/>
      </c>
      <c r="AS40" s="68">
        <f>'2E.Analysis_MIA'!AU166</f>
        <v/>
      </c>
      <c r="AT40" s="68">
        <f>'2E.Analysis_MIA'!AV166</f>
        <v/>
      </c>
      <c r="AU40" s="68">
        <f>'2E.Analysis_MIA'!AW166</f>
        <v/>
      </c>
      <c r="AV40" s="68">
        <f>'2E.Analysis_MIA'!AX166</f>
        <v/>
      </c>
      <c r="AW40" s="68">
        <f>'2E.Analysis_MIA'!AY166</f>
        <v/>
      </c>
      <c r="AX40" s="68">
        <f>'2E.Analysis_MIA'!AZ166</f>
        <v/>
      </c>
      <c r="AY40" s="68">
        <f>'2E.Analysis_MIA'!BA166</f>
        <v/>
      </c>
      <c r="AZ40" s="68">
        <f>'2E.Analysis_MIA'!BB166</f>
        <v/>
      </c>
    </row>
    <row r="41" ht="16.5" customHeight="1" s="179">
      <c r="B41" s="65">
        <f>'2D Mapping'!H33</f>
        <v/>
      </c>
      <c r="C41" s="68">
        <f>'2E.Analysis_MIA'!E167</f>
        <v/>
      </c>
      <c r="D41" s="68">
        <f>'2E.Analysis_MIA'!F167</f>
        <v/>
      </c>
      <c r="E41" s="68">
        <f>'2E.Analysis_MIA'!G167</f>
        <v/>
      </c>
      <c r="F41" s="68">
        <f>'2E.Analysis_MIA'!H167</f>
        <v/>
      </c>
      <c r="G41" s="68">
        <f>'2E.Analysis_MIA'!I167</f>
        <v/>
      </c>
      <c r="H41" s="68">
        <f>'2E.Analysis_MIA'!J167</f>
        <v/>
      </c>
      <c r="I41" s="68">
        <f>'2E.Analysis_MIA'!K167</f>
        <v/>
      </c>
      <c r="J41" s="68">
        <f>'2E.Analysis_MIA'!L167</f>
        <v/>
      </c>
      <c r="K41" s="68">
        <f>'2E.Analysis_MIA'!M167</f>
        <v/>
      </c>
      <c r="L41" s="68">
        <f>'2E.Analysis_MIA'!N167</f>
        <v/>
      </c>
      <c r="M41" s="68">
        <f>'2E.Analysis_MIA'!O167</f>
        <v/>
      </c>
      <c r="N41" s="68">
        <f>'2E.Analysis_MIA'!P167</f>
        <v/>
      </c>
      <c r="O41" s="68">
        <f>'2E.Analysis_MIA'!Q167</f>
        <v/>
      </c>
      <c r="P41" s="68">
        <f>'2E.Analysis_MIA'!R167</f>
        <v/>
      </c>
      <c r="Q41" s="68">
        <f>'2E.Analysis_MIA'!S167</f>
        <v/>
      </c>
      <c r="R41" s="68">
        <f>'2E.Analysis_MIA'!T167</f>
        <v/>
      </c>
      <c r="S41" s="68">
        <f>'2E.Analysis_MIA'!U167</f>
        <v/>
      </c>
      <c r="T41" s="68">
        <f>'2E.Analysis_MIA'!V167</f>
        <v/>
      </c>
      <c r="U41" s="68">
        <f>'2E.Analysis_MIA'!W167</f>
        <v/>
      </c>
      <c r="V41" s="68">
        <f>'2E.Analysis_MIA'!X167</f>
        <v/>
      </c>
      <c r="W41" s="68">
        <f>'2E.Analysis_MIA'!Y167</f>
        <v/>
      </c>
      <c r="X41" s="68">
        <f>'2E.Analysis_MIA'!Z167</f>
        <v/>
      </c>
      <c r="Y41" s="68">
        <f>'2E.Analysis_MIA'!AA167</f>
        <v/>
      </c>
      <c r="Z41" s="68">
        <f>'2E.Analysis_MIA'!AB167</f>
        <v/>
      </c>
      <c r="AA41" s="68">
        <f>'2E.Analysis_MIA'!AC167</f>
        <v/>
      </c>
      <c r="AB41" s="68">
        <f>'2E.Analysis_MIA'!AD167</f>
        <v/>
      </c>
      <c r="AC41" s="68">
        <f>'2E.Analysis_MIA'!AE167</f>
        <v/>
      </c>
      <c r="AD41" s="68">
        <f>'2E.Analysis_MIA'!AF167</f>
        <v/>
      </c>
      <c r="AE41" s="68">
        <f>'2E.Analysis_MIA'!AG167</f>
        <v/>
      </c>
      <c r="AF41" s="68">
        <f>'2E.Analysis_MIA'!AH167</f>
        <v/>
      </c>
      <c r="AG41" s="68">
        <f>'2E.Analysis_MIA'!AI167</f>
        <v/>
      </c>
      <c r="AH41" s="68">
        <f>'2E.Analysis_MIA'!AJ167</f>
        <v/>
      </c>
      <c r="AI41" s="68">
        <f>'2E.Analysis_MIA'!AK167</f>
        <v/>
      </c>
      <c r="AJ41" s="68">
        <f>'2E.Analysis_MIA'!AL167</f>
        <v/>
      </c>
      <c r="AK41" s="68">
        <f>'2E.Analysis_MIA'!AM167</f>
        <v/>
      </c>
      <c r="AL41" s="68">
        <f>'2E.Analysis_MIA'!AN167</f>
        <v/>
      </c>
      <c r="AM41" s="68">
        <f>'2E.Analysis_MIA'!AO167</f>
        <v/>
      </c>
      <c r="AN41" s="68">
        <f>'2E.Analysis_MIA'!AP167</f>
        <v/>
      </c>
      <c r="AO41" s="68">
        <f>'2E.Analysis_MIA'!AQ167</f>
        <v/>
      </c>
      <c r="AP41" s="68">
        <f>'2E.Analysis_MIA'!AR167</f>
        <v/>
      </c>
      <c r="AQ41" s="68">
        <f>'2E.Analysis_MIA'!AS167</f>
        <v/>
      </c>
      <c r="AR41" s="68">
        <f>'2E.Analysis_MIA'!AT167</f>
        <v/>
      </c>
      <c r="AS41" s="68">
        <f>'2E.Analysis_MIA'!AU167</f>
        <v/>
      </c>
      <c r="AT41" s="68">
        <f>'2E.Analysis_MIA'!AV167</f>
        <v/>
      </c>
      <c r="AU41" s="68">
        <f>'2E.Analysis_MIA'!AW167</f>
        <v/>
      </c>
      <c r="AV41" s="68">
        <f>'2E.Analysis_MIA'!AX167</f>
        <v/>
      </c>
      <c r="AW41" s="68">
        <f>'2E.Analysis_MIA'!AY167</f>
        <v/>
      </c>
      <c r="AX41" s="68">
        <f>'2E.Analysis_MIA'!AZ167</f>
        <v/>
      </c>
      <c r="AY41" s="68">
        <f>'2E.Analysis_MIA'!BA167</f>
        <v/>
      </c>
      <c r="AZ41" s="68">
        <f>'2E.Analysis_MIA'!BB167</f>
        <v/>
      </c>
    </row>
    <row r="42" ht="16.5" customHeight="1" s="179">
      <c r="B42" s="65">
        <f>'2D Mapping'!H34</f>
        <v/>
      </c>
      <c r="C42" s="68">
        <f>'2E.Analysis_MIA'!E168</f>
        <v/>
      </c>
      <c r="D42" s="68">
        <f>'2E.Analysis_MIA'!F168</f>
        <v/>
      </c>
      <c r="E42" s="68">
        <f>'2E.Analysis_MIA'!G168</f>
        <v/>
      </c>
      <c r="F42" s="68">
        <f>'2E.Analysis_MIA'!H168</f>
        <v/>
      </c>
      <c r="G42" s="68">
        <f>'2E.Analysis_MIA'!I168</f>
        <v/>
      </c>
      <c r="H42" s="68">
        <f>'2E.Analysis_MIA'!J168</f>
        <v/>
      </c>
      <c r="I42" s="68">
        <f>'2E.Analysis_MIA'!K168</f>
        <v/>
      </c>
      <c r="J42" s="68">
        <f>'2E.Analysis_MIA'!L168</f>
        <v/>
      </c>
      <c r="K42" s="68">
        <f>'2E.Analysis_MIA'!M168</f>
        <v/>
      </c>
      <c r="L42" s="68">
        <f>'2E.Analysis_MIA'!N168</f>
        <v/>
      </c>
      <c r="M42" s="68">
        <f>'2E.Analysis_MIA'!O168</f>
        <v/>
      </c>
      <c r="N42" s="68">
        <f>'2E.Analysis_MIA'!P168</f>
        <v/>
      </c>
      <c r="O42" s="68">
        <f>'2E.Analysis_MIA'!Q168</f>
        <v/>
      </c>
      <c r="P42" s="68">
        <f>'2E.Analysis_MIA'!R168</f>
        <v/>
      </c>
      <c r="Q42" s="68">
        <f>'2E.Analysis_MIA'!S168</f>
        <v/>
      </c>
      <c r="R42" s="68">
        <f>'2E.Analysis_MIA'!T168</f>
        <v/>
      </c>
      <c r="S42" s="68">
        <f>'2E.Analysis_MIA'!U168</f>
        <v/>
      </c>
      <c r="T42" s="68">
        <f>'2E.Analysis_MIA'!V168</f>
        <v/>
      </c>
      <c r="U42" s="68">
        <f>'2E.Analysis_MIA'!W168</f>
        <v/>
      </c>
      <c r="V42" s="68">
        <f>'2E.Analysis_MIA'!X168</f>
        <v/>
      </c>
      <c r="W42" s="68">
        <f>'2E.Analysis_MIA'!Y168</f>
        <v/>
      </c>
      <c r="X42" s="68">
        <f>'2E.Analysis_MIA'!Z168</f>
        <v/>
      </c>
      <c r="Y42" s="68">
        <f>'2E.Analysis_MIA'!AA168</f>
        <v/>
      </c>
      <c r="Z42" s="68">
        <f>'2E.Analysis_MIA'!AB168</f>
        <v/>
      </c>
      <c r="AA42" s="68">
        <f>'2E.Analysis_MIA'!AC168</f>
        <v/>
      </c>
      <c r="AB42" s="68">
        <f>'2E.Analysis_MIA'!AD168</f>
        <v/>
      </c>
      <c r="AC42" s="68">
        <f>'2E.Analysis_MIA'!AE168</f>
        <v/>
      </c>
      <c r="AD42" s="68">
        <f>'2E.Analysis_MIA'!AF168</f>
        <v/>
      </c>
      <c r="AE42" s="68">
        <f>'2E.Analysis_MIA'!AG168</f>
        <v/>
      </c>
      <c r="AF42" s="68">
        <f>'2E.Analysis_MIA'!AH168</f>
        <v/>
      </c>
      <c r="AG42" s="68">
        <f>'2E.Analysis_MIA'!AI168</f>
        <v/>
      </c>
      <c r="AH42" s="68">
        <f>'2E.Analysis_MIA'!AJ168</f>
        <v/>
      </c>
      <c r="AI42" s="68">
        <f>'2E.Analysis_MIA'!AK168</f>
        <v/>
      </c>
      <c r="AJ42" s="68">
        <f>'2E.Analysis_MIA'!AL168</f>
        <v/>
      </c>
      <c r="AK42" s="68">
        <f>'2E.Analysis_MIA'!AM168</f>
        <v/>
      </c>
      <c r="AL42" s="68">
        <f>'2E.Analysis_MIA'!AN168</f>
        <v/>
      </c>
      <c r="AM42" s="68">
        <f>'2E.Analysis_MIA'!AO168</f>
        <v/>
      </c>
      <c r="AN42" s="68">
        <f>'2E.Analysis_MIA'!AP168</f>
        <v/>
      </c>
      <c r="AO42" s="68">
        <f>'2E.Analysis_MIA'!AQ168</f>
        <v/>
      </c>
      <c r="AP42" s="68">
        <f>'2E.Analysis_MIA'!AR168</f>
        <v/>
      </c>
      <c r="AQ42" s="68">
        <f>'2E.Analysis_MIA'!AS168</f>
        <v/>
      </c>
      <c r="AR42" s="68">
        <f>'2E.Analysis_MIA'!AT168</f>
        <v/>
      </c>
      <c r="AS42" s="68">
        <f>'2E.Analysis_MIA'!AU168</f>
        <v/>
      </c>
      <c r="AT42" s="68">
        <f>'2E.Analysis_MIA'!AV168</f>
        <v/>
      </c>
      <c r="AU42" s="68">
        <f>'2E.Analysis_MIA'!AW168</f>
        <v/>
      </c>
      <c r="AV42" s="68">
        <f>'2E.Analysis_MIA'!AX168</f>
        <v/>
      </c>
      <c r="AW42" s="68">
        <f>'2E.Analysis_MIA'!AY168</f>
        <v/>
      </c>
      <c r="AX42" s="68">
        <f>'2E.Analysis_MIA'!AZ168</f>
        <v/>
      </c>
      <c r="AY42" s="68">
        <f>'2E.Analysis_MIA'!BA168</f>
        <v/>
      </c>
      <c r="AZ42" s="68">
        <f>'2E.Analysis_MIA'!BB168</f>
        <v/>
      </c>
    </row>
    <row r="43" ht="16.5" customHeight="1" s="179">
      <c r="B43" s="65">
        <f>'2D Mapping'!H35</f>
        <v/>
      </c>
      <c r="C43" s="68">
        <f>'2E.Analysis_MIA'!E169</f>
        <v/>
      </c>
      <c r="D43" s="68">
        <f>'2E.Analysis_MIA'!F169</f>
        <v/>
      </c>
      <c r="E43" s="68">
        <f>'2E.Analysis_MIA'!G169</f>
        <v/>
      </c>
      <c r="F43" s="68">
        <f>'2E.Analysis_MIA'!H169</f>
        <v/>
      </c>
      <c r="G43" s="68">
        <f>'2E.Analysis_MIA'!I169</f>
        <v/>
      </c>
      <c r="H43" s="68">
        <f>'2E.Analysis_MIA'!J169</f>
        <v/>
      </c>
      <c r="I43" s="68">
        <f>'2E.Analysis_MIA'!K169</f>
        <v/>
      </c>
      <c r="J43" s="68">
        <f>'2E.Analysis_MIA'!L169</f>
        <v/>
      </c>
      <c r="K43" s="68">
        <f>'2E.Analysis_MIA'!M169</f>
        <v/>
      </c>
      <c r="L43" s="68">
        <f>'2E.Analysis_MIA'!N169</f>
        <v/>
      </c>
      <c r="M43" s="68">
        <f>'2E.Analysis_MIA'!O169</f>
        <v/>
      </c>
      <c r="N43" s="68">
        <f>'2E.Analysis_MIA'!P169</f>
        <v/>
      </c>
      <c r="O43" s="68">
        <f>'2E.Analysis_MIA'!Q169</f>
        <v/>
      </c>
      <c r="P43" s="68">
        <f>'2E.Analysis_MIA'!R169</f>
        <v/>
      </c>
      <c r="Q43" s="68">
        <f>'2E.Analysis_MIA'!S169</f>
        <v/>
      </c>
      <c r="R43" s="68">
        <f>'2E.Analysis_MIA'!T169</f>
        <v/>
      </c>
      <c r="S43" s="68">
        <f>'2E.Analysis_MIA'!U169</f>
        <v/>
      </c>
      <c r="T43" s="68">
        <f>'2E.Analysis_MIA'!V169</f>
        <v/>
      </c>
      <c r="U43" s="68">
        <f>'2E.Analysis_MIA'!W169</f>
        <v/>
      </c>
      <c r="V43" s="68">
        <f>'2E.Analysis_MIA'!X169</f>
        <v/>
      </c>
      <c r="W43" s="68">
        <f>'2E.Analysis_MIA'!Y169</f>
        <v/>
      </c>
      <c r="X43" s="68">
        <f>'2E.Analysis_MIA'!Z169</f>
        <v/>
      </c>
      <c r="Y43" s="68">
        <f>'2E.Analysis_MIA'!AA169</f>
        <v/>
      </c>
      <c r="Z43" s="68">
        <f>'2E.Analysis_MIA'!AB169</f>
        <v/>
      </c>
      <c r="AA43" s="68">
        <f>'2E.Analysis_MIA'!AC169</f>
        <v/>
      </c>
      <c r="AB43" s="68">
        <f>'2E.Analysis_MIA'!AD169</f>
        <v/>
      </c>
      <c r="AC43" s="68">
        <f>'2E.Analysis_MIA'!AE169</f>
        <v/>
      </c>
      <c r="AD43" s="68">
        <f>'2E.Analysis_MIA'!AF169</f>
        <v/>
      </c>
      <c r="AE43" s="68">
        <f>'2E.Analysis_MIA'!AG169</f>
        <v/>
      </c>
      <c r="AF43" s="68">
        <f>'2E.Analysis_MIA'!AH169</f>
        <v/>
      </c>
      <c r="AG43" s="68">
        <f>'2E.Analysis_MIA'!AI169</f>
        <v/>
      </c>
      <c r="AH43" s="68">
        <f>'2E.Analysis_MIA'!AJ169</f>
        <v/>
      </c>
      <c r="AI43" s="68">
        <f>'2E.Analysis_MIA'!AK169</f>
        <v/>
      </c>
      <c r="AJ43" s="68">
        <f>'2E.Analysis_MIA'!AL169</f>
        <v/>
      </c>
      <c r="AK43" s="68">
        <f>'2E.Analysis_MIA'!AM169</f>
        <v/>
      </c>
      <c r="AL43" s="68">
        <f>'2E.Analysis_MIA'!AN169</f>
        <v/>
      </c>
      <c r="AM43" s="68">
        <f>'2E.Analysis_MIA'!AO169</f>
        <v/>
      </c>
      <c r="AN43" s="68">
        <f>'2E.Analysis_MIA'!AP169</f>
        <v/>
      </c>
      <c r="AO43" s="68">
        <f>'2E.Analysis_MIA'!AQ169</f>
        <v/>
      </c>
      <c r="AP43" s="68">
        <f>'2E.Analysis_MIA'!AR169</f>
        <v/>
      </c>
      <c r="AQ43" s="68">
        <f>'2E.Analysis_MIA'!AS169</f>
        <v/>
      </c>
      <c r="AR43" s="68">
        <f>'2E.Analysis_MIA'!AT169</f>
        <v/>
      </c>
      <c r="AS43" s="68">
        <f>'2E.Analysis_MIA'!AU169</f>
        <v/>
      </c>
      <c r="AT43" s="68">
        <f>'2E.Analysis_MIA'!AV169</f>
        <v/>
      </c>
      <c r="AU43" s="68">
        <f>'2E.Analysis_MIA'!AW169</f>
        <v/>
      </c>
      <c r="AV43" s="68">
        <f>'2E.Analysis_MIA'!AX169</f>
        <v/>
      </c>
      <c r="AW43" s="68">
        <f>'2E.Analysis_MIA'!AY169</f>
        <v/>
      </c>
      <c r="AX43" s="68">
        <f>'2E.Analysis_MIA'!AZ169</f>
        <v/>
      </c>
      <c r="AY43" s="68">
        <f>'2E.Analysis_MIA'!BA169</f>
        <v/>
      </c>
      <c r="AZ43" s="68">
        <f>'2E.Analysis_MIA'!BB169</f>
        <v/>
      </c>
    </row>
    <row r="44" ht="16.5" customHeight="1" s="179">
      <c r="B44" s="65">
        <f>'2D Mapping'!H36</f>
        <v/>
      </c>
      <c r="C44" s="68">
        <f>'2E.Analysis_MIA'!E170</f>
        <v/>
      </c>
      <c r="D44" s="68">
        <f>'2E.Analysis_MIA'!F170</f>
        <v/>
      </c>
      <c r="E44" s="68">
        <f>'2E.Analysis_MIA'!G170</f>
        <v/>
      </c>
      <c r="F44" s="68">
        <f>'2E.Analysis_MIA'!H170</f>
        <v/>
      </c>
      <c r="G44" s="68">
        <f>'2E.Analysis_MIA'!I170</f>
        <v/>
      </c>
      <c r="H44" s="68">
        <f>'2E.Analysis_MIA'!J170</f>
        <v/>
      </c>
      <c r="I44" s="68">
        <f>'2E.Analysis_MIA'!K170</f>
        <v/>
      </c>
      <c r="J44" s="68">
        <f>'2E.Analysis_MIA'!L170</f>
        <v/>
      </c>
      <c r="K44" s="68">
        <f>'2E.Analysis_MIA'!M170</f>
        <v/>
      </c>
      <c r="L44" s="68">
        <f>'2E.Analysis_MIA'!N170</f>
        <v/>
      </c>
      <c r="M44" s="68">
        <f>'2E.Analysis_MIA'!O170</f>
        <v/>
      </c>
      <c r="N44" s="68">
        <f>'2E.Analysis_MIA'!P170</f>
        <v/>
      </c>
      <c r="O44" s="68">
        <f>'2E.Analysis_MIA'!Q170</f>
        <v/>
      </c>
      <c r="P44" s="68">
        <f>'2E.Analysis_MIA'!R170</f>
        <v/>
      </c>
      <c r="Q44" s="68">
        <f>'2E.Analysis_MIA'!S170</f>
        <v/>
      </c>
      <c r="R44" s="68">
        <f>'2E.Analysis_MIA'!T170</f>
        <v/>
      </c>
      <c r="S44" s="68">
        <f>'2E.Analysis_MIA'!U170</f>
        <v/>
      </c>
      <c r="T44" s="68">
        <f>'2E.Analysis_MIA'!V170</f>
        <v/>
      </c>
      <c r="U44" s="68">
        <f>'2E.Analysis_MIA'!W170</f>
        <v/>
      </c>
      <c r="V44" s="68">
        <f>'2E.Analysis_MIA'!X170</f>
        <v/>
      </c>
      <c r="W44" s="68">
        <f>'2E.Analysis_MIA'!Y170</f>
        <v/>
      </c>
      <c r="X44" s="68">
        <f>'2E.Analysis_MIA'!Z170</f>
        <v/>
      </c>
      <c r="Y44" s="68">
        <f>'2E.Analysis_MIA'!AA170</f>
        <v/>
      </c>
      <c r="Z44" s="68">
        <f>'2E.Analysis_MIA'!AB170</f>
        <v/>
      </c>
      <c r="AA44" s="68">
        <f>'2E.Analysis_MIA'!AC170</f>
        <v/>
      </c>
      <c r="AB44" s="68">
        <f>'2E.Analysis_MIA'!AD170</f>
        <v/>
      </c>
      <c r="AC44" s="68">
        <f>'2E.Analysis_MIA'!AE170</f>
        <v/>
      </c>
      <c r="AD44" s="68">
        <f>'2E.Analysis_MIA'!AF170</f>
        <v/>
      </c>
      <c r="AE44" s="68">
        <f>'2E.Analysis_MIA'!AG170</f>
        <v/>
      </c>
      <c r="AF44" s="68">
        <f>'2E.Analysis_MIA'!AH170</f>
        <v/>
      </c>
      <c r="AG44" s="68">
        <f>'2E.Analysis_MIA'!AI170</f>
        <v/>
      </c>
      <c r="AH44" s="68">
        <f>'2E.Analysis_MIA'!AJ170</f>
        <v/>
      </c>
      <c r="AI44" s="68">
        <f>'2E.Analysis_MIA'!AK170</f>
        <v/>
      </c>
      <c r="AJ44" s="68">
        <f>'2E.Analysis_MIA'!AL170</f>
        <v/>
      </c>
      <c r="AK44" s="68">
        <f>'2E.Analysis_MIA'!AM170</f>
        <v/>
      </c>
      <c r="AL44" s="68">
        <f>'2E.Analysis_MIA'!AN170</f>
        <v/>
      </c>
      <c r="AM44" s="68">
        <f>'2E.Analysis_MIA'!AO170</f>
        <v/>
      </c>
      <c r="AN44" s="68">
        <f>'2E.Analysis_MIA'!AP170</f>
        <v/>
      </c>
      <c r="AO44" s="68">
        <f>'2E.Analysis_MIA'!AQ170</f>
        <v/>
      </c>
      <c r="AP44" s="68">
        <f>'2E.Analysis_MIA'!AR170</f>
        <v/>
      </c>
      <c r="AQ44" s="68">
        <f>'2E.Analysis_MIA'!AS170</f>
        <v/>
      </c>
      <c r="AR44" s="68">
        <f>'2E.Analysis_MIA'!AT170</f>
        <v/>
      </c>
      <c r="AS44" s="68">
        <f>'2E.Analysis_MIA'!AU170</f>
        <v/>
      </c>
      <c r="AT44" s="68">
        <f>'2E.Analysis_MIA'!AV170</f>
        <v/>
      </c>
      <c r="AU44" s="68">
        <f>'2E.Analysis_MIA'!AW170</f>
        <v/>
      </c>
      <c r="AV44" s="68">
        <f>'2E.Analysis_MIA'!AX170</f>
        <v/>
      </c>
      <c r="AW44" s="68">
        <f>'2E.Analysis_MIA'!AY170</f>
        <v/>
      </c>
      <c r="AX44" s="68">
        <f>'2E.Analysis_MIA'!AZ170</f>
        <v/>
      </c>
      <c r="AY44" s="68">
        <f>'2E.Analysis_MIA'!BA170</f>
        <v/>
      </c>
      <c r="AZ44" s="68">
        <f>'2E.Analysis_MIA'!BB170</f>
        <v/>
      </c>
    </row>
  </sheetData>
  <conditionalFormatting sqref="B10:AZ44">
    <cfRule type="cellIs" priority="1" operator="equal" dxfId="0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1">
    <outlinePr summaryBelow="1" summaryRight="1"/>
    <pageSetUpPr/>
  </sheetPr>
  <dimension ref="A1:BT26"/>
  <sheetViews>
    <sheetView zoomScale="80" zoomScaleNormal="80" workbookViewId="0">
      <selection activeCell="C2" sqref="C2"/>
    </sheetView>
  </sheetViews>
  <sheetFormatPr baseColWidth="8" defaultRowHeight="14"/>
  <cols>
    <col width="36.1640625" customWidth="1" style="179" min="1" max="1"/>
    <col width="8.83203125" customWidth="1" style="179" min="2" max="7"/>
    <col width="7.4140625" customWidth="1" style="179" min="8" max="8"/>
    <col width="8.83203125" customWidth="1" style="179" min="9" max="13"/>
    <col width="6.4140625" customWidth="1" style="179" min="16" max="16"/>
  </cols>
  <sheetData>
    <row r="1" ht="58.5" customFormat="1" customHeight="1" s="175">
      <c r="A1" s="180" t="inlineStr">
        <is>
          <t>KPI</t>
        </is>
      </c>
      <c r="B1" s="182" t="inlineStr">
        <is>
          <t>channel</t>
        </is>
      </c>
      <c r="C1" s="177" t="n"/>
      <c r="D1" s="176" t="n"/>
      <c r="E1" s="177" t="n"/>
      <c r="F1" s="176" t="n"/>
      <c r="G1" s="177" t="n"/>
      <c r="H1" s="176" t="n"/>
      <c r="I1" s="177" t="n"/>
      <c r="J1" s="176" t="n"/>
      <c r="K1" s="177" t="n"/>
      <c r="L1" s="176" t="n"/>
      <c r="M1" s="177" t="n"/>
      <c r="N1" s="176" t="n"/>
      <c r="O1" s="177" t="n"/>
      <c r="P1" s="176" t="n"/>
      <c r="Q1" s="177" t="n"/>
      <c r="R1" s="176" t="n"/>
      <c r="S1" s="177" t="n"/>
      <c r="T1" s="176" t="n"/>
      <c r="U1" s="177" t="n"/>
      <c r="V1" s="176" t="n"/>
      <c r="W1" s="177" t="n"/>
      <c r="X1" s="176" t="n"/>
      <c r="Y1" s="177" t="n"/>
      <c r="Z1" s="176" t="n"/>
      <c r="AA1" s="177" t="n"/>
      <c r="AB1" s="176" t="n"/>
      <c r="AC1" s="177" t="n"/>
      <c r="AD1" s="176" t="n"/>
      <c r="AE1" s="177" t="n"/>
      <c r="AF1" s="176" t="n"/>
      <c r="AG1" s="177" t="n"/>
      <c r="AH1" s="176" t="n"/>
      <c r="AI1" s="177" t="n"/>
      <c r="AJ1" s="176" t="n"/>
      <c r="AK1" s="177" t="n"/>
      <c r="AL1" s="176" t="n"/>
      <c r="AM1" s="177" t="n"/>
      <c r="AN1" s="176" t="n"/>
      <c r="AO1" s="177" t="n"/>
      <c r="AP1" s="176" t="n"/>
      <c r="AQ1" s="177" t="n"/>
      <c r="AR1" s="176" t="n"/>
      <c r="AS1" s="177" t="n"/>
      <c r="AT1" s="176" t="n"/>
      <c r="AU1" s="177" t="n"/>
      <c r="AV1" s="176" t="n"/>
      <c r="AW1" s="177" t="n"/>
      <c r="AX1" s="176" t="n"/>
      <c r="AY1" s="177" t="n"/>
      <c r="AZ1" s="176" t="n"/>
      <c r="BA1" s="177" t="n"/>
      <c r="BB1" s="176" t="n"/>
      <c r="BC1" s="177" t="n"/>
      <c r="BD1" s="176" t="n"/>
      <c r="BE1" s="177" t="n"/>
      <c r="BF1" s="176" t="n"/>
      <c r="BG1" s="177" t="n"/>
      <c r="BH1" s="176" t="n"/>
      <c r="BI1" s="177" t="n"/>
      <c r="BJ1" s="176" t="n"/>
      <c r="BK1" s="177" t="n"/>
      <c r="BL1" s="176" t="n"/>
      <c r="BM1" s="177" t="n"/>
      <c r="BN1" s="176" t="n"/>
      <c r="BO1" s="177" t="n"/>
      <c r="BP1" s="176" t="n"/>
      <c r="BQ1" s="177" t="n"/>
      <c r="BR1" s="176" t="n"/>
      <c r="BS1" s="177" t="n"/>
      <c r="BT1" s="22" t="n"/>
    </row>
    <row r="2" ht="15.75" customHeight="1" s="179">
      <c r="B2" s="69" t="n">
        <v>0</v>
      </c>
      <c r="C2" s="70" t="n">
        <v>1</v>
      </c>
      <c r="D2" s="176" t="n"/>
      <c r="E2" s="176" t="n"/>
      <c r="F2" s="176" t="n"/>
      <c r="G2" s="176" t="n"/>
      <c r="H2" s="176" t="n"/>
      <c r="I2" s="176" t="n"/>
      <c r="J2" s="176" t="n"/>
      <c r="K2" s="176" t="n"/>
      <c r="L2" s="176" t="n"/>
      <c r="M2" s="176" t="n"/>
      <c r="N2" s="176" t="n"/>
      <c r="O2" s="176" t="n"/>
      <c r="P2" s="176" t="n"/>
      <c r="Q2" s="176" t="n"/>
      <c r="R2" s="176" t="n"/>
      <c r="S2" s="176" t="n"/>
      <c r="T2" s="176" t="n"/>
      <c r="U2" s="176" t="n"/>
      <c r="V2" s="176" t="n"/>
      <c r="W2" s="176" t="n"/>
      <c r="X2" s="176" t="n"/>
      <c r="Y2" s="176" t="n"/>
      <c r="Z2" s="176" t="n"/>
      <c r="AA2" s="176" t="n"/>
      <c r="AB2" s="176" t="n"/>
      <c r="AC2" s="176" t="n"/>
      <c r="AD2" s="176" t="n"/>
      <c r="AE2" s="176" t="n"/>
      <c r="AF2" s="176" t="n"/>
      <c r="AG2" s="176" t="n"/>
      <c r="AH2" s="176" t="n"/>
      <c r="AI2" s="176" t="n"/>
      <c r="AJ2" s="176" t="n"/>
      <c r="AK2" s="176" t="n"/>
      <c r="AL2" s="176" t="n"/>
      <c r="AM2" s="176" t="n"/>
      <c r="AN2" s="176" t="n"/>
      <c r="AO2" s="176" t="n"/>
      <c r="AP2" s="176" t="n"/>
      <c r="AQ2" s="176" t="n"/>
      <c r="AR2" s="176" t="n"/>
      <c r="AS2" s="176" t="n"/>
      <c r="AT2" s="176" t="n"/>
      <c r="AU2" s="176" t="n"/>
      <c r="AV2" s="176" t="n"/>
      <c r="AW2" s="176" t="n"/>
      <c r="AX2" s="176" t="n"/>
      <c r="AY2" s="176" t="n"/>
      <c r="AZ2" s="176" t="n"/>
      <c r="BA2" s="176" t="n"/>
      <c r="BB2" s="176" t="n"/>
      <c r="BC2" s="176" t="n"/>
      <c r="BD2" s="176" t="n"/>
      <c r="BE2" s="176" t="n"/>
      <c r="BF2" s="176" t="n"/>
      <c r="BG2" s="176" t="n"/>
      <c r="BH2" s="176" t="n"/>
      <c r="BI2" s="176" t="n"/>
      <c r="BJ2" s="176" t="n"/>
      <c r="BK2" s="176" t="n"/>
      <c r="BL2" s="176" t="n"/>
      <c r="BM2" s="176" t="n"/>
      <c r="BN2" s="176" t="n"/>
      <c r="BO2" s="176" t="n"/>
      <c r="BP2" s="176" t="n"/>
      <c r="BQ2" s="176" t="n"/>
      <c r="BR2" s="176" t="n"/>
      <c r="BS2" s="41" t="n"/>
      <c r="BT2" s="22" t="n"/>
    </row>
    <row r="3" ht="15.75" customHeight="1" s="179">
      <c r="A3" s="181" t="n"/>
      <c r="B3" s="42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43" t="n"/>
      <c r="BD3" s="43" t="n"/>
      <c r="BE3" s="43" t="n"/>
      <c r="BF3" s="43" t="n"/>
      <c r="BG3" s="43" t="n"/>
      <c r="BH3" s="43" t="n"/>
      <c r="BI3" s="43" t="n"/>
      <c r="BJ3" s="43" t="n"/>
      <c r="BK3" s="43" t="n"/>
      <c r="BL3" s="43" t="n"/>
      <c r="BM3" s="43" t="n"/>
      <c r="BN3" s="43" t="n"/>
      <c r="BO3" s="43" t="n"/>
      <c r="BP3" s="43" t="n"/>
      <c r="BQ3" s="43" t="n"/>
      <c r="BR3" s="43" t="n"/>
      <c r="BS3" s="44" t="n"/>
      <c r="BT3" s="22" t="n"/>
    </row>
    <row r="4" ht="15.5" customHeight="1" s="179">
      <c r="A4" s="45" t="n"/>
      <c r="B4" s="30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  <c r="AL4" s="31" t="n"/>
      <c r="AM4" s="31" t="n"/>
      <c r="AN4" s="31" t="n"/>
      <c r="AO4" s="31" t="n"/>
      <c r="AP4" s="31" t="n"/>
      <c r="AQ4" s="31" t="n"/>
      <c r="AR4" s="31" t="n"/>
      <c r="AS4" s="31" t="n"/>
      <c r="AT4" s="31" t="n"/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  <c r="BD4" s="31" t="n"/>
      <c r="BE4" s="31" t="n"/>
      <c r="BF4" s="31" t="n"/>
      <c r="BG4" s="31" t="n"/>
      <c r="BH4" s="31" t="n"/>
      <c r="BI4" s="31" t="n"/>
      <c r="BJ4" s="31" t="n"/>
      <c r="BK4" s="31" t="n"/>
      <c r="BL4" s="31" t="n"/>
      <c r="BM4" s="31" t="n"/>
      <c r="BN4" s="31" t="n"/>
      <c r="BO4" s="31" t="n"/>
      <c r="BP4" s="31" t="n"/>
      <c r="BQ4" s="31" t="n"/>
      <c r="BR4" s="31" t="n"/>
      <c r="BS4" s="32" t="n"/>
      <c r="BT4" s="22" t="n"/>
    </row>
    <row r="5" ht="15.5" customHeight="1" s="179">
      <c r="A5" s="46" t="n"/>
      <c r="B5" s="33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34" t="n"/>
      <c r="AM5" s="34" t="n"/>
      <c r="AN5" s="34" t="n"/>
      <c r="AO5" s="34" t="n"/>
      <c r="AP5" s="34" t="n"/>
      <c r="AQ5" s="34" t="n"/>
      <c r="AR5" s="34" t="n"/>
      <c r="AS5" s="34" t="n"/>
      <c r="AT5" s="34" t="n"/>
      <c r="AU5" s="34" t="n"/>
      <c r="AV5" s="34" t="n"/>
      <c r="AW5" s="34" t="n"/>
      <c r="AX5" s="34" t="n"/>
      <c r="AY5" s="34" t="n"/>
      <c r="AZ5" s="34" t="n"/>
      <c r="BA5" s="34" t="n"/>
      <c r="BB5" s="34" t="n"/>
      <c r="BC5" s="34" t="n"/>
      <c r="BD5" s="34" t="n"/>
      <c r="BE5" s="34" t="n"/>
      <c r="BF5" s="34" t="n"/>
      <c r="BG5" s="34" t="n"/>
      <c r="BH5" s="34" t="n"/>
      <c r="BI5" s="34" t="n"/>
      <c r="BJ5" s="34" t="n"/>
      <c r="BK5" s="34" t="n"/>
      <c r="BL5" s="34" t="n"/>
      <c r="BM5" s="34" t="n"/>
      <c r="BN5" s="34" t="n"/>
      <c r="BO5" s="34" t="n"/>
      <c r="BP5" s="34" t="n"/>
      <c r="BQ5" s="34" t="n"/>
      <c r="BR5" s="34" t="n"/>
      <c r="BS5" s="35" t="n"/>
      <c r="BT5" s="22" t="n"/>
    </row>
    <row r="6" ht="15.5" customHeight="1" s="179">
      <c r="A6" s="46" t="n"/>
      <c r="B6" s="33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  <c r="AE6" s="34" t="n"/>
      <c r="AF6" s="34" t="n"/>
      <c r="AG6" s="34" t="n"/>
      <c r="AH6" s="34" t="n"/>
      <c r="AI6" s="34" t="n"/>
      <c r="AJ6" s="34" t="n"/>
      <c r="AK6" s="34" t="n"/>
      <c r="AL6" s="34" t="n"/>
      <c r="AM6" s="34" t="n"/>
      <c r="AN6" s="34" t="n"/>
      <c r="AO6" s="34" t="n"/>
      <c r="AP6" s="34" t="n"/>
      <c r="AQ6" s="34" t="n"/>
      <c r="AR6" s="34" t="n"/>
      <c r="AS6" s="34" t="n"/>
      <c r="AT6" s="34" t="n"/>
      <c r="AU6" s="34" t="n"/>
      <c r="AV6" s="34" t="n"/>
      <c r="AW6" s="34" t="n"/>
      <c r="AX6" s="34" t="n"/>
      <c r="AY6" s="34" t="n"/>
      <c r="AZ6" s="34" t="n"/>
      <c r="BA6" s="34" t="n"/>
      <c r="BB6" s="34" t="n"/>
      <c r="BC6" s="34" t="n"/>
      <c r="BD6" s="34" t="n"/>
      <c r="BE6" s="34" t="n"/>
      <c r="BF6" s="34" t="n"/>
      <c r="BG6" s="34" t="n"/>
      <c r="BH6" s="34" t="n"/>
      <c r="BI6" s="34" t="n"/>
      <c r="BJ6" s="34" t="n"/>
      <c r="BK6" s="34" t="n"/>
      <c r="BL6" s="34" t="n"/>
      <c r="BM6" s="34" t="n"/>
      <c r="BN6" s="34" t="n"/>
      <c r="BO6" s="34" t="n"/>
      <c r="BP6" s="34" t="n"/>
      <c r="BQ6" s="34" t="n"/>
      <c r="BR6" s="34" t="n"/>
      <c r="BS6" s="35" t="n"/>
      <c r="BT6" s="22" t="n"/>
    </row>
    <row r="7" ht="15.5" customHeight="1" s="179">
      <c r="A7" s="46" t="n"/>
      <c r="B7" s="33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  <c r="AG7" s="34" t="n"/>
      <c r="AH7" s="34" t="n"/>
      <c r="AI7" s="34" t="n"/>
      <c r="AJ7" s="34" t="n"/>
      <c r="AK7" s="34" t="n"/>
      <c r="AL7" s="34" t="n"/>
      <c r="AM7" s="34" t="n"/>
      <c r="AN7" s="34" t="n"/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n"/>
      <c r="AZ7" s="34" t="n"/>
      <c r="BA7" s="34" t="n"/>
      <c r="BB7" s="34" t="n"/>
      <c r="BC7" s="34" t="n"/>
      <c r="BD7" s="34" t="n"/>
      <c r="BE7" s="34" t="n"/>
      <c r="BF7" s="34" t="n"/>
      <c r="BG7" s="34" t="n"/>
      <c r="BH7" s="34" t="n"/>
      <c r="BI7" s="34" t="n"/>
      <c r="BJ7" s="34" t="n"/>
      <c r="BK7" s="34" t="n"/>
      <c r="BL7" s="34" t="n"/>
      <c r="BM7" s="34" t="n"/>
      <c r="BN7" s="34" t="n"/>
      <c r="BO7" s="34" t="n"/>
      <c r="BP7" s="34" t="n"/>
      <c r="BQ7" s="34" t="n"/>
      <c r="BR7" s="34" t="n"/>
      <c r="BS7" s="35" t="n"/>
      <c r="BT7" s="22" t="n"/>
    </row>
    <row r="8" ht="45" customHeight="1" s="179">
      <c r="A8" s="46" t="n"/>
      <c r="B8" s="33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  <c r="AE8" s="34" t="n"/>
      <c r="AF8" s="34" t="n"/>
      <c r="AG8" s="34" t="n"/>
      <c r="AH8" s="34" t="n"/>
      <c r="AI8" s="34" t="n"/>
      <c r="AJ8" s="34" t="n"/>
      <c r="AK8" s="34" t="n"/>
      <c r="AL8" s="34" t="n"/>
      <c r="AM8" s="34" t="n"/>
      <c r="AN8" s="34" t="n"/>
      <c r="AO8" s="34" t="n"/>
      <c r="AP8" s="34" t="n"/>
      <c r="AQ8" s="34" t="n"/>
      <c r="AR8" s="34" t="n"/>
      <c r="AS8" s="34" t="n"/>
      <c r="AT8" s="34" t="n"/>
      <c r="AU8" s="34" t="n"/>
      <c r="AV8" s="34" t="n"/>
      <c r="AW8" s="34" t="n"/>
      <c r="AX8" s="34" t="n"/>
      <c r="AY8" s="34" t="n"/>
      <c r="AZ8" s="34" t="n"/>
      <c r="BA8" s="34" t="n"/>
      <c r="BB8" s="34" t="n"/>
      <c r="BC8" s="34" t="n"/>
      <c r="BD8" s="34" t="n"/>
      <c r="BE8" s="34" t="n"/>
      <c r="BF8" s="34" t="n"/>
      <c r="BG8" s="34" t="n"/>
      <c r="BH8" s="34" t="n"/>
      <c r="BI8" s="34" t="n"/>
      <c r="BJ8" s="34" t="n"/>
      <c r="BK8" s="34" t="n"/>
      <c r="BL8" s="34" t="n"/>
      <c r="BM8" s="34" t="n"/>
      <c r="BN8" s="34" t="n"/>
      <c r="BO8" s="34" t="n"/>
      <c r="BP8" s="34" t="n"/>
      <c r="BQ8" s="34" t="n"/>
      <c r="BR8" s="34" t="n"/>
      <c r="BS8" s="35" t="n"/>
      <c r="BT8" s="22" t="n"/>
    </row>
    <row r="9" ht="30" customHeight="1" s="179">
      <c r="A9" s="46" t="n"/>
      <c r="B9" s="33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4" t="n"/>
      <c r="BA9" s="34" t="n"/>
      <c r="BB9" s="34" t="n"/>
      <c r="BC9" s="34" t="n"/>
      <c r="BD9" s="34" t="n"/>
      <c r="BE9" s="34" t="n"/>
      <c r="BF9" s="34" t="n"/>
      <c r="BG9" s="34" t="n"/>
      <c r="BH9" s="34" t="n"/>
      <c r="BI9" s="34" t="n"/>
      <c r="BJ9" s="34" t="n"/>
      <c r="BK9" s="34" t="n"/>
      <c r="BL9" s="34" t="n"/>
      <c r="BM9" s="34" t="n"/>
      <c r="BN9" s="34" t="n"/>
      <c r="BO9" s="34" t="n"/>
      <c r="BP9" s="34" t="n"/>
      <c r="BQ9" s="34" t="n"/>
      <c r="BR9" s="34" t="n"/>
      <c r="BS9" s="35" t="n"/>
      <c r="BT9" s="22" t="n"/>
    </row>
    <row r="10" ht="30" customHeight="1" s="179">
      <c r="A10" s="46" t="n"/>
      <c r="B10" s="33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n"/>
      <c r="AF10" s="34" t="n"/>
      <c r="AG10" s="34" t="n"/>
      <c r="AH10" s="34" t="n"/>
      <c r="AI10" s="34" t="n"/>
      <c r="AJ10" s="34" t="n"/>
      <c r="AK10" s="34" t="n"/>
      <c r="AL10" s="34" t="n"/>
      <c r="AM10" s="34" t="n"/>
      <c r="AN10" s="34" t="n"/>
      <c r="AO10" s="34" t="n"/>
      <c r="AP10" s="34" t="n"/>
      <c r="AQ10" s="34" t="n"/>
      <c r="AR10" s="34" t="n"/>
      <c r="AS10" s="34" t="n"/>
      <c r="AT10" s="34" t="n"/>
      <c r="AU10" s="34" t="n"/>
      <c r="AV10" s="34" t="n"/>
      <c r="AW10" s="34" t="n"/>
      <c r="AX10" s="34" t="n"/>
      <c r="AY10" s="34" t="n"/>
      <c r="AZ10" s="34" t="n"/>
      <c r="BA10" s="34" t="n"/>
      <c r="BB10" s="34" t="n"/>
      <c r="BC10" s="34" t="n"/>
      <c r="BD10" s="34" t="n"/>
      <c r="BE10" s="34" t="n"/>
      <c r="BF10" s="34" t="n"/>
      <c r="BG10" s="34" t="n"/>
      <c r="BH10" s="34" t="n"/>
      <c r="BI10" s="34" t="n"/>
      <c r="BJ10" s="34" t="n"/>
      <c r="BK10" s="34" t="n"/>
      <c r="BL10" s="34" t="n"/>
      <c r="BM10" s="34" t="n"/>
      <c r="BN10" s="34" t="n"/>
      <c r="BO10" s="34" t="n"/>
      <c r="BP10" s="34" t="n"/>
      <c r="BQ10" s="34" t="n"/>
      <c r="BR10" s="34" t="n"/>
      <c r="BS10" s="35" t="n"/>
      <c r="BT10" s="22" t="n"/>
    </row>
    <row r="11" ht="15.5" customHeight="1" s="179">
      <c r="A11" s="46" t="n"/>
      <c r="B11" s="33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4" t="n"/>
      <c r="BB11" s="34" t="n"/>
      <c r="BC11" s="34" t="n"/>
      <c r="BD11" s="34" t="n"/>
      <c r="BE11" s="34" t="n"/>
      <c r="BF11" s="34" t="n"/>
      <c r="BG11" s="34" t="n"/>
      <c r="BH11" s="34" t="n"/>
      <c r="BI11" s="34" t="n"/>
      <c r="BJ11" s="34" t="n"/>
      <c r="BK11" s="34" t="n"/>
      <c r="BL11" s="34" t="n"/>
      <c r="BM11" s="34" t="n"/>
      <c r="BN11" s="34" t="n"/>
      <c r="BO11" s="34" t="n"/>
      <c r="BP11" s="34" t="n"/>
      <c r="BQ11" s="34" t="n"/>
      <c r="BR11" s="34" t="n"/>
      <c r="BS11" s="35" t="n"/>
      <c r="BT11" s="22" t="n"/>
    </row>
    <row r="12" ht="15.5" customHeight="1" s="179">
      <c r="A12" s="46" t="n"/>
      <c r="B12" s="33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  <c r="BB12" s="34" t="n"/>
      <c r="BC12" s="34" t="n"/>
      <c r="BD12" s="34" t="n"/>
      <c r="BE12" s="34" t="n"/>
      <c r="BF12" s="34" t="n"/>
      <c r="BG12" s="34" t="n"/>
      <c r="BH12" s="34" t="n"/>
      <c r="BI12" s="34" t="n"/>
      <c r="BJ12" s="34" t="n"/>
      <c r="BK12" s="34" t="n"/>
      <c r="BL12" s="34" t="n"/>
      <c r="BM12" s="34" t="n"/>
      <c r="BN12" s="34" t="n"/>
      <c r="BO12" s="34" t="n"/>
      <c r="BP12" s="34" t="n"/>
      <c r="BQ12" s="34" t="n"/>
      <c r="BR12" s="34" t="n"/>
      <c r="BS12" s="35" t="n"/>
      <c r="BT12" s="22" t="n"/>
    </row>
    <row r="13" ht="15.5" customHeight="1" s="179">
      <c r="A13" s="47" t="n"/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  <c r="BA13" s="37" t="n"/>
      <c r="BB13" s="37" t="n"/>
      <c r="BC13" s="37" t="n"/>
      <c r="BD13" s="37" t="n"/>
      <c r="BE13" s="37" t="n"/>
      <c r="BF13" s="37" t="n"/>
      <c r="BG13" s="37" t="n"/>
      <c r="BH13" s="37" t="n"/>
      <c r="BI13" s="37" t="n"/>
      <c r="BJ13" s="37" t="n"/>
      <c r="BK13" s="37" t="n"/>
      <c r="BL13" s="37" t="n"/>
      <c r="BM13" s="37" t="n"/>
      <c r="BN13" s="37" t="n"/>
      <c r="BO13" s="37" t="n"/>
      <c r="BP13" s="37" t="n"/>
      <c r="BQ13" s="37" t="n"/>
      <c r="BR13" s="37" t="n"/>
      <c r="BS13" s="38" t="n"/>
      <c r="BT13" s="22" t="n"/>
    </row>
    <row r="14" ht="15" customHeight="1" s="179">
      <c r="A14" s="48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  <c r="AH14" s="49" t="n"/>
      <c r="AI14" s="49" t="n"/>
      <c r="AJ14" s="49" t="n"/>
      <c r="AK14" s="49" t="n"/>
      <c r="AL14" s="49" t="n"/>
      <c r="AM14" s="49" t="n"/>
      <c r="AN14" s="49" t="n"/>
      <c r="AO14" s="49" t="n"/>
      <c r="AP14" s="49" t="n"/>
      <c r="AQ14" s="49" t="n"/>
      <c r="AR14" s="49" t="n"/>
      <c r="AS14" s="49" t="n"/>
      <c r="AT14" s="49" t="n"/>
      <c r="AU14" s="49" t="n"/>
      <c r="AV14" s="49" t="n"/>
      <c r="AW14" s="49" t="n"/>
      <c r="AX14" s="49" t="n"/>
      <c r="AY14" s="49" t="n"/>
      <c r="AZ14" s="49" t="n"/>
      <c r="BA14" s="49" t="n"/>
      <c r="BB14" s="49" t="n"/>
      <c r="BC14" s="49" t="n"/>
      <c r="BD14" s="49" t="n"/>
      <c r="BE14" s="49" t="n"/>
      <c r="BF14" s="22" t="n"/>
    </row>
    <row r="16" ht="15.5" customHeight="1" s="179">
      <c r="A16" s="45">
        <f>A4</f>
        <v/>
      </c>
      <c r="C16" s="10">
        <f>C4-B4</f>
        <v/>
      </c>
      <c r="E16" s="10">
        <f>E4-D4</f>
        <v/>
      </c>
      <c r="G16" s="10">
        <f>G4-F4</f>
        <v/>
      </c>
      <c r="I16" s="10">
        <f>I4-H4</f>
        <v/>
      </c>
      <c r="K16" s="10">
        <f>K4-J4</f>
        <v/>
      </c>
      <c r="M16" s="10">
        <f>M4-L4</f>
        <v/>
      </c>
      <c r="O16" s="10">
        <f>O4-N4</f>
        <v/>
      </c>
      <c r="Q16" s="10">
        <f>Q4-P4</f>
        <v/>
      </c>
      <c r="S16" s="10">
        <f>S4-R4</f>
        <v/>
      </c>
      <c r="U16" s="10">
        <f>U4-T4</f>
        <v/>
      </c>
      <c r="W16" s="10">
        <f>W4-V4</f>
        <v/>
      </c>
      <c r="Y16" s="10">
        <f>Y4-X4</f>
        <v/>
      </c>
      <c r="AA16" s="10">
        <f>AA4-Z4</f>
        <v/>
      </c>
      <c r="AC16" s="10">
        <f>AC4-AB4</f>
        <v/>
      </c>
      <c r="AE16" s="10">
        <f>AE4-AD4</f>
        <v/>
      </c>
      <c r="AG16" s="10">
        <f>AG4-AF4</f>
        <v/>
      </c>
      <c r="AI16" s="10">
        <f>AI4-AH4</f>
        <v/>
      </c>
      <c r="AK16" s="10">
        <f>AK4-AJ4</f>
        <v/>
      </c>
      <c r="AM16" s="10">
        <f>AM4-AL4</f>
        <v/>
      </c>
      <c r="AO16" s="10">
        <f>AO4-AN4</f>
        <v/>
      </c>
      <c r="AQ16" s="10">
        <f>AQ4-AP4</f>
        <v/>
      </c>
      <c r="AS16" s="10">
        <f>AS4-AR4</f>
        <v/>
      </c>
      <c r="AU16" s="10">
        <f>AU4-AT4</f>
        <v/>
      </c>
      <c r="AW16" s="10">
        <f>AW4-AV4</f>
        <v/>
      </c>
      <c r="AY16" s="10">
        <f>AY4-AX4</f>
        <v/>
      </c>
      <c r="BA16" s="10">
        <f>BA4-AZ4</f>
        <v/>
      </c>
      <c r="BC16" s="10">
        <f>BC4-BB4</f>
        <v/>
      </c>
      <c r="BE16" s="10">
        <f>BE4-BD4</f>
        <v/>
      </c>
      <c r="BG16" s="10">
        <f>BG4-BF4</f>
        <v/>
      </c>
      <c r="BI16" s="10">
        <f>BI4-BH4</f>
        <v/>
      </c>
      <c r="BK16" s="10">
        <f>BK4-BJ4</f>
        <v/>
      </c>
      <c r="BM16" s="10">
        <f>BM4-BL4</f>
        <v/>
      </c>
      <c r="BO16" s="10">
        <f>BO4-BN4</f>
        <v/>
      </c>
      <c r="BQ16" s="10">
        <f>BQ4-BP4</f>
        <v/>
      </c>
      <c r="BS16" s="10">
        <f>BS4-BR4</f>
        <v/>
      </c>
    </row>
    <row r="17" ht="15.5" customHeight="1" s="179">
      <c r="A17" s="45">
        <f>A5</f>
        <v/>
      </c>
      <c r="C17" s="10">
        <f>C5-B5</f>
        <v/>
      </c>
      <c r="E17" s="10">
        <f>E5-D5</f>
        <v/>
      </c>
      <c r="G17" s="10">
        <f>G5-F5</f>
        <v/>
      </c>
      <c r="I17" s="10">
        <f>I5-H5</f>
        <v/>
      </c>
      <c r="K17" s="10">
        <f>K5-J5</f>
        <v/>
      </c>
      <c r="M17" s="10">
        <f>M5-L5</f>
        <v/>
      </c>
      <c r="O17" s="10">
        <f>O5-N5</f>
        <v/>
      </c>
      <c r="Q17" s="10">
        <f>Q5-P5</f>
        <v/>
      </c>
      <c r="S17" s="10">
        <f>S5-R5</f>
        <v/>
      </c>
      <c r="U17" s="10">
        <f>U5-T5</f>
        <v/>
      </c>
      <c r="W17" s="10">
        <f>W5-V5</f>
        <v/>
      </c>
      <c r="Y17" s="10">
        <f>Y5-X5</f>
        <v/>
      </c>
      <c r="AA17" s="10">
        <f>AA5-Z5</f>
        <v/>
      </c>
      <c r="AC17" s="10">
        <f>AC5-AB5</f>
        <v/>
      </c>
      <c r="AE17" s="10">
        <f>AE5-AD5</f>
        <v/>
      </c>
      <c r="AG17" s="10">
        <f>AG5-AF5</f>
        <v/>
      </c>
      <c r="AI17" s="10">
        <f>AI5-AH5</f>
        <v/>
      </c>
      <c r="AK17" s="10">
        <f>AK5-AJ5</f>
        <v/>
      </c>
      <c r="AM17" s="10">
        <f>AM5-AL5</f>
        <v/>
      </c>
      <c r="AO17" s="10">
        <f>AO5-AN5</f>
        <v/>
      </c>
      <c r="AQ17" s="10">
        <f>AQ5-AP5</f>
        <v/>
      </c>
      <c r="AS17" s="10">
        <f>AS5-AR5</f>
        <v/>
      </c>
      <c r="AU17" s="10">
        <f>AU5-AT5</f>
        <v/>
      </c>
      <c r="AW17" s="10">
        <f>AW5-AV5</f>
        <v/>
      </c>
      <c r="AY17" s="10">
        <f>AY5-AX5</f>
        <v/>
      </c>
      <c r="BA17" s="10">
        <f>BA5-AZ5</f>
        <v/>
      </c>
      <c r="BC17" s="10">
        <f>BC5-BB5</f>
        <v/>
      </c>
      <c r="BE17" s="10">
        <f>BE5-BD5</f>
        <v/>
      </c>
      <c r="BG17" s="10">
        <f>BG5-BF5</f>
        <v/>
      </c>
      <c r="BI17" s="10">
        <f>BI5-BH5</f>
        <v/>
      </c>
      <c r="BK17" s="10">
        <f>BK5-BJ5</f>
        <v/>
      </c>
      <c r="BM17" s="10">
        <f>BM5-BL5</f>
        <v/>
      </c>
      <c r="BO17" s="10">
        <f>BO5-BN5</f>
        <v/>
      </c>
      <c r="BQ17" s="10">
        <f>BQ5-BP5</f>
        <v/>
      </c>
      <c r="BS17" s="10">
        <f>BS5-BR5</f>
        <v/>
      </c>
    </row>
    <row r="18" ht="15.5" customHeight="1" s="179">
      <c r="A18" s="45">
        <f>A6</f>
        <v/>
      </c>
      <c r="C18" s="10">
        <f>C6-B6</f>
        <v/>
      </c>
      <c r="E18" s="10">
        <f>E6-D6</f>
        <v/>
      </c>
      <c r="G18" s="10">
        <f>G6-F6</f>
        <v/>
      </c>
      <c r="I18" s="10">
        <f>I6-H6</f>
        <v/>
      </c>
      <c r="K18" s="10">
        <f>K6-J6</f>
        <v/>
      </c>
      <c r="M18" s="10">
        <f>M6-L6</f>
        <v/>
      </c>
      <c r="O18" s="10">
        <f>O6-N6</f>
        <v/>
      </c>
      <c r="Q18" s="10">
        <f>Q6-P6</f>
        <v/>
      </c>
      <c r="S18" s="10">
        <f>S6-R6</f>
        <v/>
      </c>
      <c r="U18" s="10">
        <f>U6-T6</f>
        <v/>
      </c>
      <c r="W18" s="10">
        <f>W6-V6</f>
        <v/>
      </c>
      <c r="Y18" s="10">
        <f>Y6-X6</f>
        <v/>
      </c>
      <c r="AA18" s="10">
        <f>AA6-Z6</f>
        <v/>
      </c>
      <c r="AC18" s="10">
        <f>AC6-AB6</f>
        <v/>
      </c>
      <c r="AE18" s="10">
        <f>AE6-AD6</f>
        <v/>
      </c>
      <c r="AG18" s="10">
        <f>AG6-AF6</f>
        <v/>
      </c>
      <c r="AI18" s="10">
        <f>AI6-AH6</f>
        <v/>
      </c>
      <c r="AK18" s="10">
        <f>AK6-AJ6</f>
        <v/>
      </c>
      <c r="AM18" s="10">
        <f>AM6-AL6</f>
        <v/>
      </c>
      <c r="AO18" s="10">
        <f>AO6-AN6</f>
        <v/>
      </c>
      <c r="AQ18" s="10">
        <f>AQ6-AP6</f>
        <v/>
      </c>
      <c r="AS18" s="10">
        <f>AS6-AR6</f>
        <v/>
      </c>
      <c r="AU18" s="10">
        <f>AU6-AT6</f>
        <v/>
      </c>
      <c r="AW18" s="10">
        <f>AW6-AV6</f>
        <v/>
      </c>
      <c r="AY18" s="10">
        <f>AY6-AX6</f>
        <v/>
      </c>
      <c r="BA18" s="10">
        <f>BA6-AZ6</f>
        <v/>
      </c>
      <c r="BC18" s="10">
        <f>BC6-BB6</f>
        <v/>
      </c>
      <c r="BE18" s="10">
        <f>BE6-BD6</f>
        <v/>
      </c>
      <c r="BG18" s="10">
        <f>BG6-BF6</f>
        <v/>
      </c>
      <c r="BI18" s="10">
        <f>BI6-BH6</f>
        <v/>
      </c>
      <c r="BK18" s="10">
        <f>BK6-BJ6</f>
        <v/>
      </c>
      <c r="BM18" s="10">
        <f>BM6-BL6</f>
        <v/>
      </c>
      <c r="BO18" s="10">
        <f>BO6-BN6</f>
        <v/>
      </c>
      <c r="BQ18" s="10">
        <f>BQ6-BP6</f>
        <v/>
      </c>
      <c r="BS18" s="10">
        <f>BS6-BR6</f>
        <v/>
      </c>
    </row>
    <row r="19" ht="15.5" customHeight="1" s="179">
      <c r="A19" s="45">
        <f>A7</f>
        <v/>
      </c>
      <c r="C19" s="10">
        <f>C7-B7</f>
        <v/>
      </c>
      <c r="E19" s="10">
        <f>E7-D7</f>
        <v/>
      </c>
      <c r="G19" s="10">
        <f>G7-F7</f>
        <v/>
      </c>
      <c r="I19" s="10">
        <f>I7-H7</f>
        <v/>
      </c>
      <c r="K19" s="10">
        <f>K7-J7</f>
        <v/>
      </c>
      <c r="M19" s="10">
        <f>M7-L7</f>
        <v/>
      </c>
      <c r="O19" s="10">
        <f>O7-N7</f>
        <v/>
      </c>
      <c r="Q19" s="10">
        <f>Q7-P7</f>
        <v/>
      </c>
      <c r="S19" s="10">
        <f>S7-R7</f>
        <v/>
      </c>
      <c r="U19" s="10">
        <f>U7-T7</f>
        <v/>
      </c>
      <c r="W19" s="10">
        <f>W7-V7</f>
        <v/>
      </c>
      <c r="Y19" s="10">
        <f>Y7-X7</f>
        <v/>
      </c>
      <c r="AA19" s="10">
        <f>AA7-Z7</f>
        <v/>
      </c>
      <c r="AC19" s="10">
        <f>AC7-AB7</f>
        <v/>
      </c>
      <c r="AE19" s="10">
        <f>AE7-AD7</f>
        <v/>
      </c>
      <c r="AG19" s="10">
        <f>AG7-AF7</f>
        <v/>
      </c>
      <c r="AI19" s="10">
        <f>AI7-AH7</f>
        <v/>
      </c>
      <c r="AK19" s="10">
        <f>AK7-AJ7</f>
        <v/>
      </c>
      <c r="AM19" s="10">
        <f>AM7-AL7</f>
        <v/>
      </c>
      <c r="AO19" s="10">
        <f>AO7-AN7</f>
        <v/>
      </c>
      <c r="AQ19" s="10">
        <f>AQ7-AP7</f>
        <v/>
      </c>
      <c r="AS19" s="10">
        <f>AS7-AR7</f>
        <v/>
      </c>
      <c r="AU19" s="10">
        <f>AU7-AT7</f>
        <v/>
      </c>
      <c r="AW19" s="10">
        <f>AW7-AV7</f>
        <v/>
      </c>
      <c r="AY19" s="10">
        <f>AY7-AX7</f>
        <v/>
      </c>
      <c r="BA19" s="10">
        <f>BA7-AZ7</f>
        <v/>
      </c>
      <c r="BC19" s="10">
        <f>BC7-BB7</f>
        <v/>
      </c>
      <c r="BE19" s="10">
        <f>BE7-BD7</f>
        <v/>
      </c>
      <c r="BG19" s="10">
        <f>BG7-BF7</f>
        <v/>
      </c>
      <c r="BI19" s="10">
        <f>BI7-BH7</f>
        <v/>
      </c>
      <c r="BK19" s="10">
        <f>BK7-BJ7</f>
        <v/>
      </c>
      <c r="BM19" s="10">
        <f>BM7-BL7</f>
        <v/>
      </c>
      <c r="BO19" s="10">
        <f>BO7-BN7</f>
        <v/>
      </c>
      <c r="BQ19" s="10">
        <f>BQ7-BP7</f>
        <v/>
      </c>
      <c r="BS19" s="10">
        <f>BS7-BR7</f>
        <v/>
      </c>
    </row>
    <row r="20" ht="15.5" customHeight="1" s="179">
      <c r="A20" s="45">
        <f>A8</f>
        <v/>
      </c>
      <c r="C20" s="10">
        <f>C8-B8</f>
        <v/>
      </c>
      <c r="E20" s="10">
        <f>E8-D8</f>
        <v/>
      </c>
      <c r="G20" s="10">
        <f>G8-F8</f>
        <v/>
      </c>
      <c r="I20" s="10">
        <f>I8-H8</f>
        <v/>
      </c>
      <c r="K20" s="10">
        <f>K8-J8</f>
        <v/>
      </c>
      <c r="M20" s="10">
        <f>M8-L8</f>
        <v/>
      </c>
      <c r="O20" s="10">
        <f>O8-N8</f>
        <v/>
      </c>
      <c r="Q20" s="10">
        <f>Q8-P8</f>
        <v/>
      </c>
      <c r="S20" s="10">
        <f>S8-R8</f>
        <v/>
      </c>
      <c r="U20" s="10">
        <f>U8-T8</f>
        <v/>
      </c>
      <c r="W20" s="10">
        <f>W8-V8</f>
        <v/>
      </c>
      <c r="Y20" s="10">
        <f>Y8-X8</f>
        <v/>
      </c>
      <c r="AA20" s="10">
        <f>AA8-Z8</f>
        <v/>
      </c>
      <c r="AC20" s="10">
        <f>AC8-AB8</f>
        <v/>
      </c>
      <c r="AE20" s="10">
        <f>AE8-AD8</f>
        <v/>
      </c>
      <c r="AG20" s="10">
        <f>AG8-AF8</f>
        <v/>
      </c>
      <c r="AI20" s="10">
        <f>AI8-AH8</f>
        <v/>
      </c>
      <c r="AK20" s="10">
        <f>AK8-AJ8</f>
        <v/>
      </c>
      <c r="AM20" s="10">
        <f>AM8-AL8</f>
        <v/>
      </c>
      <c r="AO20" s="10">
        <f>AO8-AN8</f>
        <v/>
      </c>
      <c r="AQ20" s="10">
        <f>AQ8-AP8</f>
        <v/>
      </c>
      <c r="AS20" s="10">
        <f>AS8-AR8</f>
        <v/>
      </c>
      <c r="AU20" s="10">
        <f>AU8-AT8</f>
        <v/>
      </c>
      <c r="AW20" s="10">
        <f>AW8-AV8</f>
        <v/>
      </c>
      <c r="AY20" s="10">
        <f>AY8-AX8</f>
        <v/>
      </c>
      <c r="BA20" s="10">
        <f>BA8-AZ8</f>
        <v/>
      </c>
      <c r="BC20" s="10">
        <f>BC8-BB8</f>
        <v/>
      </c>
      <c r="BE20" s="10">
        <f>BE8-BD8</f>
        <v/>
      </c>
      <c r="BG20" s="10">
        <f>BG8-BF8</f>
        <v/>
      </c>
      <c r="BI20" s="10">
        <f>BI8-BH8</f>
        <v/>
      </c>
      <c r="BK20" s="10">
        <f>BK8-BJ8</f>
        <v/>
      </c>
      <c r="BM20" s="10">
        <f>BM8-BL8</f>
        <v/>
      </c>
      <c r="BO20" s="10">
        <f>BO8-BN8</f>
        <v/>
      </c>
      <c r="BQ20" s="10">
        <f>BQ8-BP8</f>
        <v/>
      </c>
      <c r="BS20" s="10">
        <f>BS8-BR8</f>
        <v/>
      </c>
    </row>
    <row r="21" ht="15.5" customHeight="1" s="179">
      <c r="A21" s="45">
        <f>A9</f>
        <v/>
      </c>
      <c r="C21" s="10">
        <f>C9-B9</f>
        <v/>
      </c>
      <c r="E21" s="10">
        <f>E9-D9</f>
        <v/>
      </c>
      <c r="G21" s="10">
        <f>G9-F9</f>
        <v/>
      </c>
      <c r="I21" s="10">
        <f>I9-H9</f>
        <v/>
      </c>
      <c r="K21" s="10">
        <f>K9-J9</f>
        <v/>
      </c>
      <c r="M21" s="10">
        <f>M9-L9</f>
        <v/>
      </c>
      <c r="O21" s="10">
        <f>O9-N9</f>
        <v/>
      </c>
      <c r="Q21" s="10">
        <f>Q9-P9</f>
        <v/>
      </c>
      <c r="S21" s="10">
        <f>S9-R9</f>
        <v/>
      </c>
      <c r="U21" s="10">
        <f>U9-T9</f>
        <v/>
      </c>
      <c r="W21" s="10">
        <f>W9-V9</f>
        <v/>
      </c>
      <c r="Y21" s="10">
        <f>Y9-X9</f>
        <v/>
      </c>
      <c r="AA21" s="10">
        <f>AA9-Z9</f>
        <v/>
      </c>
      <c r="AC21" s="10">
        <f>AC9-AB9</f>
        <v/>
      </c>
      <c r="AE21" s="10">
        <f>AE9-AD9</f>
        <v/>
      </c>
      <c r="AG21" s="10">
        <f>AG9-AF9</f>
        <v/>
      </c>
      <c r="AI21" s="10">
        <f>AI9-AH9</f>
        <v/>
      </c>
      <c r="AK21" s="10">
        <f>AK9-AJ9</f>
        <v/>
      </c>
      <c r="AM21" s="10">
        <f>AM9-AL9</f>
        <v/>
      </c>
      <c r="AO21" s="10">
        <f>AO9-AN9</f>
        <v/>
      </c>
      <c r="AQ21" s="10">
        <f>AQ9-AP9</f>
        <v/>
      </c>
      <c r="AS21" s="10">
        <f>AS9-AR9</f>
        <v/>
      </c>
      <c r="AU21" s="10">
        <f>AU9-AT9</f>
        <v/>
      </c>
      <c r="AW21" s="10">
        <f>AW9-AV9</f>
        <v/>
      </c>
      <c r="AY21" s="10">
        <f>AY9-AX9</f>
        <v/>
      </c>
      <c r="BA21" s="10">
        <f>BA9-AZ9</f>
        <v/>
      </c>
      <c r="BC21" s="10">
        <f>BC9-BB9</f>
        <v/>
      </c>
      <c r="BE21" s="10">
        <f>BE9-BD9</f>
        <v/>
      </c>
      <c r="BG21" s="10">
        <f>BG9-BF9</f>
        <v/>
      </c>
      <c r="BI21" s="10">
        <f>BI9-BH9</f>
        <v/>
      </c>
      <c r="BK21" s="10">
        <f>BK9-BJ9</f>
        <v/>
      </c>
      <c r="BM21" s="10">
        <f>BM9-BL9</f>
        <v/>
      </c>
      <c r="BO21" s="10">
        <f>BO9-BN9</f>
        <v/>
      </c>
      <c r="BQ21" s="10">
        <f>BQ9-BP9</f>
        <v/>
      </c>
      <c r="BS21" s="10">
        <f>BS9-BR9</f>
        <v/>
      </c>
    </row>
    <row r="22" ht="15.5" customHeight="1" s="179">
      <c r="A22" s="45">
        <f>A10</f>
        <v/>
      </c>
      <c r="C22" s="10">
        <f>C10-B10</f>
        <v/>
      </c>
      <c r="E22" s="10">
        <f>E10-D10</f>
        <v/>
      </c>
      <c r="G22" s="10">
        <f>G10-F10</f>
        <v/>
      </c>
      <c r="I22" s="10">
        <f>I10-H10</f>
        <v/>
      </c>
      <c r="K22" s="10">
        <f>K10-J10</f>
        <v/>
      </c>
      <c r="M22" s="10">
        <f>M10-L10</f>
        <v/>
      </c>
      <c r="O22" s="10">
        <f>O10-N10</f>
        <v/>
      </c>
      <c r="Q22" s="10">
        <f>Q10-P10</f>
        <v/>
      </c>
      <c r="S22" s="10">
        <f>S10-R10</f>
        <v/>
      </c>
      <c r="U22" s="10">
        <f>U10-T10</f>
        <v/>
      </c>
      <c r="W22" s="10">
        <f>W10-V10</f>
        <v/>
      </c>
      <c r="Y22" s="10">
        <f>Y10-X10</f>
        <v/>
      </c>
      <c r="AA22" s="10">
        <f>AA10-Z10</f>
        <v/>
      </c>
      <c r="AC22" s="10">
        <f>AC10-AB10</f>
        <v/>
      </c>
      <c r="AE22" s="10">
        <f>AE10-AD10</f>
        <v/>
      </c>
      <c r="AG22" s="10">
        <f>AG10-AF10</f>
        <v/>
      </c>
      <c r="AI22" s="10">
        <f>AI10-AH10</f>
        <v/>
      </c>
      <c r="AK22" s="10">
        <f>AK10-AJ10</f>
        <v/>
      </c>
      <c r="AM22" s="10">
        <f>AM10-AL10</f>
        <v/>
      </c>
      <c r="AO22" s="10">
        <f>AO10-AN10</f>
        <v/>
      </c>
      <c r="AQ22" s="10">
        <f>AQ10-AP10</f>
        <v/>
      </c>
      <c r="AS22" s="10">
        <f>AS10-AR10</f>
        <v/>
      </c>
      <c r="AU22" s="10">
        <f>AU10-AT10</f>
        <v/>
      </c>
      <c r="AW22" s="10">
        <f>AW10-AV10</f>
        <v/>
      </c>
      <c r="AY22" s="10">
        <f>AY10-AX10</f>
        <v/>
      </c>
      <c r="BA22" s="10">
        <f>BA10-AZ10</f>
        <v/>
      </c>
      <c r="BC22" s="10">
        <f>BC10-BB10</f>
        <v/>
      </c>
      <c r="BE22" s="10">
        <f>BE10-BD10</f>
        <v/>
      </c>
      <c r="BG22" s="10">
        <f>BG10-BF10</f>
        <v/>
      </c>
      <c r="BI22" s="10">
        <f>BI10-BH10</f>
        <v/>
      </c>
      <c r="BK22" s="10">
        <f>BK10-BJ10</f>
        <v/>
      </c>
      <c r="BM22" s="10">
        <f>BM10-BL10</f>
        <v/>
      </c>
      <c r="BO22" s="10">
        <f>BO10-BN10</f>
        <v/>
      </c>
      <c r="BQ22" s="10">
        <f>BQ10-BP10</f>
        <v/>
      </c>
      <c r="BS22" s="10">
        <f>BS10-BR10</f>
        <v/>
      </c>
    </row>
    <row r="23" ht="15.5" customHeight="1" s="179">
      <c r="A23" s="45">
        <f>A11</f>
        <v/>
      </c>
      <c r="C23" s="10">
        <f>C11-B11</f>
        <v/>
      </c>
      <c r="E23" s="10">
        <f>E11-D11</f>
        <v/>
      </c>
      <c r="G23" s="10">
        <f>G11-F11</f>
        <v/>
      </c>
      <c r="I23" s="10">
        <f>I11-H11</f>
        <v/>
      </c>
      <c r="K23" s="10">
        <f>K11-J11</f>
        <v/>
      </c>
      <c r="M23" s="10">
        <f>M11-L11</f>
        <v/>
      </c>
      <c r="O23" s="10">
        <f>O11-N11</f>
        <v/>
      </c>
      <c r="Q23" s="10">
        <f>Q11-P11</f>
        <v/>
      </c>
      <c r="S23" s="10">
        <f>S11-R11</f>
        <v/>
      </c>
      <c r="U23" s="10">
        <f>U11-T11</f>
        <v/>
      </c>
      <c r="W23" s="10">
        <f>W11-V11</f>
        <v/>
      </c>
      <c r="Y23" s="10">
        <f>Y11-X11</f>
        <v/>
      </c>
      <c r="AA23" s="10">
        <f>AA11-Z11</f>
        <v/>
      </c>
      <c r="AC23" s="10">
        <f>AC11-AB11</f>
        <v/>
      </c>
      <c r="AE23" s="10">
        <f>AE11-AD11</f>
        <v/>
      </c>
      <c r="AG23" s="10">
        <f>AG11-AF11</f>
        <v/>
      </c>
      <c r="AI23" s="10">
        <f>AI11-AH11</f>
        <v/>
      </c>
      <c r="AK23" s="10">
        <f>AK11-AJ11</f>
        <v/>
      </c>
      <c r="AM23" s="10">
        <f>AM11-AL11</f>
        <v/>
      </c>
      <c r="AO23" s="10">
        <f>AO11-AN11</f>
        <v/>
      </c>
      <c r="AQ23" s="10">
        <f>AQ11-AP11</f>
        <v/>
      </c>
      <c r="AS23" s="10">
        <f>AS11-AR11</f>
        <v/>
      </c>
      <c r="AU23" s="10">
        <f>AU11-AT11</f>
        <v/>
      </c>
      <c r="AW23" s="10">
        <f>AW11-AV11</f>
        <v/>
      </c>
      <c r="AY23" s="10">
        <f>AY11-AX11</f>
        <v/>
      </c>
      <c r="BA23" s="10">
        <f>BA11-AZ11</f>
        <v/>
      </c>
      <c r="BC23" s="10">
        <f>BC11-BB11</f>
        <v/>
      </c>
      <c r="BE23" s="10">
        <f>BE11-BD11</f>
        <v/>
      </c>
      <c r="BG23" s="10">
        <f>BG11-BF11</f>
        <v/>
      </c>
      <c r="BI23" s="10">
        <f>BI11-BH11</f>
        <v/>
      </c>
      <c r="BK23" s="10">
        <f>BK11-BJ11</f>
        <v/>
      </c>
      <c r="BM23" s="10">
        <f>BM11-BL11</f>
        <v/>
      </c>
      <c r="BO23" s="10">
        <f>BO11-BN11</f>
        <v/>
      </c>
      <c r="BQ23" s="10">
        <f>BQ11-BP11</f>
        <v/>
      </c>
      <c r="BS23" s="10">
        <f>BS11-BR11</f>
        <v/>
      </c>
    </row>
    <row r="24" ht="15.5" customHeight="1" s="179">
      <c r="A24" s="45">
        <f>A12</f>
        <v/>
      </c>
      <c r="C24" s="10">
        <f>C12-B12</f>
        <v/>
      </c>
      <c r="E24" s="10">
        <f>E12-D12</f>
        <v/>
      </c>
      <c r="G24" s="10">
        <f>G12-F12</f>
        <v/>
      </c>
      <c r="I24" s="10">
        <f>I12-H12</f>
        <v/>
      </c>
      <c r="K24" s="10">
        <f>K12-J12</f>
        <v/>
      </c>
      <c r="M24" s="10">
        <f>M12-L12</f>
        <v/>
      </c>
      <c r="O24" s="10">
        <f>O12-N12</f>
        <v/>
      </c>
      <c r="Q24" s="10">
        <f>Q12-P12</f>
        <v/>
      </c>
      <c r="S24" s="10">
        <f>S12-R12</f>
        <v/>
      </c>
      <c r="U24" s="10">
        <f>U12-T12</f>
        <v/>
      </c>
      <c r="W24" s="10">
        <f>W12-V12</f>
        <v/>
      </c>
      <c r="Y24" s="10">
        <f>Y12-X12</f>
        <v/>
      </c>
      <c r="AA24" s="10">
        <f>AA12-Z12</f>
        <v/>
      </c>
      <c r="AC24" s="10">
        <f>AC12-AB12</f>
        <v/>
      </c>
      <c r="AE24" s="10">
        <f>AE12-AD12</f>
        <v/>
      </c>
      <c r="AG24" s="10">
        <f>AG12-AF12</f>
        <v/>
      </c>
      <c r="AI24" s="10">
        <f>AI12-AH12</f>
        <v/>
      </c>
      <c r="AK24" s="10">
        <f>AK12-AJ12</f>
        <v/>
      </c>
      <c r="AM24" s="10">
        <f>AM12-AL12</f>
        <v/>
      </c>
      <c r="AO24" s="10">
        <f>AO12-AN12</f>
        <v/>
      </c>
      <c r="AQ24" s="10">
        <f>AQ12-AP12</f>
        <v/>
      </c>
      <c r="AS24" s="10">
        <f>AS12-AR12</f>
        <v/>
      </c>
      <c r="AU24" s="10">
        <f>AU12-AT12</f>
        <v/>
      </c>
      <c r="AW24" s="10">
        <f>AW12-AV12</f>
        <v/>
      </c>
      <c r="AY24" s="10">
        <f>AY12-AX12</f>
        <v/>
      </c>
      <c r="BA24" s="10">
        <f>BA12-AZ12</f>
        <v/>
      </c>
      <c r="BC24" s="10">
        <f>BC12-BB12</f>
        <v/>
      </c>
      <c r="BE24" s="10">
        <f>BE12-BD12</f>
        <v/>
      </c>
      <c r="BG24" s="10">
        <f>BG12-BF12</f>
        <v/>
      </c>
      <c r="BI24" s="10">
        <f>BI12-BH12</f>
        <v/>
      </c>
      <c r="BK24" s="10">
        <f>BK12-BJ12</f>
        <v/>
      </c>
      <c r="BM24" s="10">
        <f>BM12-BL12</f>
        <v/>
      </c>
      <c r="BO24" s="10">
        <f>BO12-BN12</f>
        <v/>
      </c>
      <c r="BQ24" s="10">
        <f>BQ12-BP12</f>
        <v/>
      </c>
      <c r="BS24" s="10">
        <f>BS12-BR12</f>
        <v/>
      </c>
    </row>
    <row r="25" ht="15.5" customHeight="1" s="179">
      <c r="A25" s="45">
        <f>A13</f>
        <v/>
      </c>
      <c r="C25" s="10">
        <f>C13-B13</f>
        <v/>
      </c>
      <c r="E25" s="10">
        <f>E13-D13</f>
        <v/>
      </c>
      <c r="G25" s="10">
        <f>G13-F13</f>
        <v/>
      </c>
      <c r="I25" s="10">
        <f>I13-H13</f>
        <v/>
      </c>
      <c r="K25" s="10">
        <f>K13-J13</f>
        <v/>
      </c>
      <c r="M25" s="10">
        <f>M13-L13</f>
        <v/>
      </c>
      <c r="O25" s="10">
        <f>O13-N13</f>
        <v/>
      </c>
      <c r="Q25" s="10">
        <f>Q13-P13</f>
        <v/>
      </c>
      <c r="S25" s="10">
        <f>S13-R13</f>
        <v/>
      </c>
      <c r="U25" s="10">
        <f>U13-T13</f>
        <v/>
      </c>
      <c r="W25" s="10">
        <f>W13-V13</f>
        <v/>
      </c>
      <c r="Y25" s="10">
        <f>Y13-X13</f>
        <v/>
      </c>
      <c r="AA25" s="10">
        <f>AA13-Z13</f>
        <v/>
      </c>
      <c r="AC25" s="10">
        <f>AC13-AB13</f>
        <v/>
      </c>
      <c r="AE25" s="10">
        <f>AE13-AD13</f>
        <v/>
      </c>
      <c r="AG25" s="10">
        <f>AG13-AF13</f>
        <v/>
      </c>
      <c r="AI25" s="10">
        <f>AI13-AH13</f>
        <v/>
      </c>
      <c r="AK25" s="10">
        <f>AK13-AJ13</f>
        <v/>
      </c>
      <c r="AM25" s="10">
        <f>AM13-AL13</f>
        <v/>
      </c>
      <c r="AO25" s="10">
        <f>AO13-AN13</f>
        <v/>
      </c>
      <c r="AQ25" s="10">
        <f>AQ13-AP13</f>
        <v/>
      </c>
      <c r="AS25" s="10">
        <f>AS13-AR13</f>
        <v/>
      </c>
      <c r="AU25" s="10">
        <f>AU13-AT13</f>
        <v/>
      </c>
      <c r="AW25" s="10">
        <f>AW13-AV13</f>
        <v/>
      </c>
      <c r="AY25" s="10">
        <f>AY13-AX13</f>
        <v/>
      </c>
      <c r="BA25" s="10">
        <f>BA13-AZ13</f>
        <v/>
      </c>
      <c r="BC25" s="10">
        <f>BC13-BB13</f>
        <v/>
      </c>
      <c r="BE25" s="10">
        <f>BE13-BD13</f>
        <v/>
      </c>
      <c r="BG25" s="10">
        <f>BG13-BF13</f>
        <v/>
      </c>
      <c r="BI25" s="10">
        <f>BI13-BH13</f>
        <v/>
      </c>
      <c r="BK25" s="10">
        <f>BK13-BJ13</f>
        <v/>
      </c>
      <c r="BM25" s="10">
        <f>BM13-BL13</f>
        <v/>
      </c>
      <c r="BO25" s="10">
        <f>BO13-BN13</f>
        <v/>
      </c>
      <c r="BQ25" s="10">
        <f>BQ13-BP13</f>
        <v/>
      </c>
      <c r="BS25" s="10">
        <f>BS13-BR13</f>
        <v/>
      </c>
    </row>
    <row r="26" ht="18" customHeight="1" s="179">
      <c r="A26" s="178" t="n"/>
      <c r="G26" s="20" t="n"/>
    </row>
  </sheetData>
  <mergeCells count="37"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A26:F26"/>
    <mergeCell ref="BR1:BS1"/>
    <mergeCell ref="AB1:AC1"/>
    <mergeCell ref="AD1:AE1"/>
    <mergeCell ref="V1:W1"/>
    <mergeCell ref="AH1:AI1"/>
    <mergeCell ref="AN1:AO1"/>
    <mergeCell ref="AP1:AQ1"/>
    <mergeCell ref="BF1:BG1"/>
    <mergeCell ref="B1:C1"/>
    <mergeCell ref="N1:O1"/>
    <mergeCell ref="A1:A3"/>
    <mergeCell ref="BB1:BC1"/>
    <mergeCell ref="T1:U1"/>
    <mergeCell ref="BD1:BE1"/>
    <mergeCell ref="L1:M1"/>
    <mergeCell ref="BH1:BI1"/>
    <mergeCell ref="BN1:BO1"/>
    <mergeCell ref="BP1:BQ1"/>
    <mergeCell ref="AF1:AG1"/>
    <mergeCell ref="X1:Y1"/>
    <mergeCell ref="AJ1:AK1"/>
    <mergeCell ref="Z1:AA1"/>
    <mergeCell ref="AL1:AM1"/>
    <mergeCell ref="AR1:AS1"/>
    <mergeCell ref="AT1:AU1"/>
    <mergeCell ref="F1:G1"/>
    <mergeCell ref="R1:S1"/>
  </mergeCells>
  <conditionalFormatting sqref="C16:C25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C25 C16:D16 E16:E25 F16 G16:G25 H16 I16:I25 J16:L16 K16:K25 M16:M25 N16 O16:O25 P16 Q16:Q25 R16:T16 S16:S25 U16:U25 V16 W16:W25 X16 Y16:Y25 Z16:AB16 AA16:AA25 AC16:AC25 AD16 AE16:AE25 AF16 AG16:AG25 AH16:AJ16 AI16:AI25 AK16:AK25 AL16 AM16:AM25 AN16 AO16:AO25 AP16:AR16 AQ16:AQ25 AS16:AS25 AT16 AU16:AU25 AV16 AW16:AW25 AX16:AZ16 AY16:AY25 BA16:BA25 BB16 BC16:BC25 BD16 BE16:BE25 BF16:BH16 BG16:BG25 BI16:BI25 BJ16 BK16:BK25 BL16 BM16:BM25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C25 C16:D23 E16:E25 F16:F23 G16:G25 H16:H23 I16:I25 J16:L23 K16:K25 M16:M25 N16:N23 O16:O25 P16:P23 Q16:Q25 R16:T23 S16:S25 U16:U25 V16:V23 W16:W25 X16:X23 Y16:Y25 Z16:AB23 AA16:AA25 AC16:AC25 AD16:AD23 AE16:AE25 AF16:AF23 AG16:AG25 AH16:AJ23 AI16:AI25 AK16:AK25 AL16:AL23 AM16:AM25 AN16:AN23 AO16:AO25 AP16:AR23 AQ16:AQ25 AS16:AS25 AT16:AT23 AU16:AU25 AV16:AV23 AW16:AW25 AX16:AZ23 AY16:AY25 BA16:BA25 BB16:BB23 BC16:BC25 BD16:BD23 BE16:BE25 BF16:BH23 BG16:BG25 BI16:BI25 BJ16:BJ23 BK16:BK25 BL16:BL23 BM16:BM25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C25 C16:D23 E16:E25 F16:F23 G16:G25 H16:H23 I16:I25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BM17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BM18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BM19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BM20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BM21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BM22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BM23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:E2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5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:I2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6:K25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6:L23 K24:K25 M16:M25 N16:N23 O16:O25 P16:P23 Q16:Q2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6:M25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6:O2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6:Q25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:R23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:S2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:T23 S24:S25 U16:U25 V16:V23 W16:W25 X16:X23 Y16:Y25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:U25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6:W25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6:Y2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:AA25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:AB23 AA24:AA25 AC16:AC25 AD16:AD23 AE16:AE25 AF16:AF23 AG16:AG2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6:AC2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6:AE25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6:AG25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6:AI2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6:AJ23 AI24:AI25 AK16:AK25 AL16:AL23 AM16:AM25 AN16:AN23 AO16:AO25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6:AK2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:AM2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6:AO2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6:AQ2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6:AR23 AQ24:AQ25 AS16:AS25 AT16:AT23 AU16:AU25 AV16:AV23 AW16:AW2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:AS2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:AU2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:AW2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6:AX2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:AY2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:AZ23 AY24:AY25 BA16:BA25 BB16:BB23 BC16:BC25 BD16:BD23 BE16:BE2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:BA2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6:BC2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6:BE2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6:BG2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6:BH23 BG24:BG25 BI16:BI25 BJ16:BJ23 BK16:BK25 BL16:BL23 BM16:BM2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6:BI2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6:BK2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6:BM2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6:BO25 BP16 BQ16:BQ25 BR16 BS16:BS2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6:BO2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7:BS1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8:BS1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9:BS1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0:BS2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1:BS2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2:BS2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3:BS2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6:BO25 BP16:BP23 BQ16:BQ25 BR16:BR23 BS16:BS2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6:BQ2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6:BS2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Sheet11">
    <tabColor rgb="FF92D050"/>
    <outlinePr summaryBelow="1" summaryRight="1"/>
    <pageSetUpPr/>
  </sheetPr>
  <dimension ref="A1:K20"/>
  <sheetViews>
    <sheetView workbookViewId="0">
      <selection activeCell="E14" sqref="E14"/>
    </sheetView>
  </sheetViews>
  <sheetFormatPr baseColWidth="8" defaultRowHeight="14"/>
  <cols>
    <col width="20" customWidth="1" style="179" min="1" max="1"/>
    <col width="10" customWidth="1" style="179" min="2" max="2"/>
    <col width="10" customWidth="1" style="179" min="3" max="3"/>
    <col width="10" customWidth="1" style="179" min="4" max="4"/>
    <col width="10" customWidth="1" style="179" min="5" max="5"/>
    <col width="10" customWidth="1" style="179" min="6" max="6"/>
    <col width="10" customWidth="1" style="179" min="7" max="7"/>
    <col width="10" customWidth="1" style="179" min="8" max="8"/>
    <col width="10" customWidth="1" style="179" min="9" max="9"/>
    <col width="10" customWidth="1" style="179" min="10" max="10"/>
    <col width="10" customWidth="1" style="179" min="11" max="11"/>
  </cols>
  <sheetData>
    <row r="1">
      <c r="A1" t="inlineStr">
        <is>
          <t>Descriptive Statistics</t>
        </is>
      </c>
    </row>
    <row r="2">
      <c r="A2" t="inlineStr"/>
      <c r="B2" t="inlineStr">
        <is>
          <t>N</t>
        </is>
      </c>
      <c r="C2" t="inlineStr">
        <is>
          <t>Minimum</t>
        </is>
      </c>
      <c r="D2" t="inlineStr">
        <is>
          <t>Maximum</t>
        </is>
      </c>
      <c r="E2" t="inlineStr">
        <is>
          <t>Mean</t>
        </is>
      </c>
      <c r="F2" t="inlineStr">
        <is>
          <t>Std. Deviation</t>
        </is>
      </c>
    </row>
    <row r="3">
      <c r="A3" t="inlineStr">
        <is>
          <t>qd</t>
        </is>
      </c>
      <c r="B3" s="205" t="n">
        <v>1090.003122422138</v>
      </c>
      <c r="C3" s="243" t="n">
        <v>0</v>
      </c>
      <c r="D3" s="243" t="n">
        <v>1</v>
      </c>
      <c r="E3" s="205" t="n">
        <v>0.3218116320341248</v>
      </c>
      <c r="F3" s="205" t="n">
        <v>0.4671711736843979</v>
      </c>
    </row>
    <row r="4">
      <c r="A4" t="inlineStr">
        <is>
          <t>Valid N (listwise)</t>
        </is>
      </c>
      <c r="B4" s="205" t="n">
        <v>1090.003122422138</v>
      </c>
    </row>
    <row r="5"/>
    <row r="6">
      <c r="A6" t="inlineStr"/>
      <c r="B6" t="inlineStr">
        <is>
          <t>qd=0</t>
        </is>
      </c>
      <c r="C6" t="inlineStr">
        <is>
          <t>qd=1</t>
        </is>
      </c>
      <c r="D6" t="inlineStr">
        <is>
          <t>instagram (No)</t>
        </is>
      </c>
      <c r="E6" t="inlineStr">
        <is>
          <t>instagram (Yes)</t>
        </is>
      </c>
      <c r="F6" t="inlineStr">
        <is>
          <t>youtube (No)</t>
        </is>
      </c>
      <c r="G6" t="inlineStr">
        <is>
          <t>youtube (Yes)</t>
        </is>
      </c>
      <c r="H6" t="inlineStr">
        <is>
          <t>tiktok (No)</t>
        </is>
      </c>
      <c r="I6" t="inlineStr">
        <is>
          <t>tiktok (Yes)</t>
        </is>
      </c>
      <c r="J6" t="inlineStr">
        <is>
          <t>metro (No)</t>
        </is>
      </c>
      <c r="K6" t="inlineStr">
        <is>
          <t>metro (Yes)</t>
        </is>
      </c>
    </row>
    <row r="7">
      <c r="A7" t="inlineStr">
        <is>
          <t>K301</t>
        </is>
      </c>
      <c r="B7" s="205" t="n">
        <v>0.4859764446502426</v>
      </c>
      <c r="C7" s="205" t="n">
        <v>0.5935683475007184</v>
      </c>
      <c r="D7" s="205" t="n">
        <v>0.5069847028273211</v>
      </c>
      <c r="E7" s="205" t="n">
        <v>0.6254012002974798</v>
      </c>
      <c r="F7" s="205" t="n">
        <v>0.5056700343603941</v>
      </c>
      <c r="G7" s="205" t="n">
        <v>0.5843455093163639</v>
      </c>
      <c r="H7" s="205" t="n">
        <v>0.5126051725658319</v>
      </c>
      <c r="I7" s="205" t="n">
        <v>0.5841455442571264</v>
      </c>
      <c r="J7" s="205" t="n">
        <v>0.5041794742487281</v>
      </c>
      <c r="K7" s="205" t="n">
        <v>0.6145241346860955</v>
      </c>
    </row>
    <row r="8">
      <c r="A8" t="inlineStr">
        <is>
          <t>OEK1K2001</t>
        </is>
      </c>
      <c r="B8" s="205" t="n">
        <v>0.1884550467416203</v>
      </c>
      <c r="C8" s="205" t="n">
        <v>0.2757335369606645</v>
      </c>
      <c r="D8" s="205" t="n">
        <v>0.2027943047431847</v>
      </c>
      <c r="E8" s="205" t="n">
        <v>0.3223579798508869</v>
      </c>
      <c r="F8" s="205" t="n">
        <v>0.2028740075472798</v>
      </c>
      <c r="G8" s="205" t="n">
        <v>0.2748971031572036</v>
      </c>
      <c r="H8" s="205" t="n">
        <v>0.2046869759285808</v>
      </c>
      <c r="I8" s="205" t="n">
        <v>0.3107619531051367</v>
      </c>
      <c r="J8" s="205" t="n">
        <v>0.207965288981066</v>
      </c>
      <c r="K8" s="205" t="n">
        <v>0.2655993003501776</v>
      </c>
    </row>
    <row r="9">
      <c r="A9" t="inlineStr">
        <is>
          <t>K801</t>
        </is>
      </c>
      <c r="B9" s="205" t="n">
        <v>0.1031778018246809</v>
      </c>
      <c r="C9" s="205" t="n">
        <v>0.1703499372052543</v>
      </c>
      <c r="D9" s="205" t="n">
        <v>0.1115526257366652</v>
      </c>
      <c r="E9" s="205" t="n">
        <v>0.2267154941682228</v>
      </c>
      <c r="F9" s="205" t="n">
        <v>0.1207624612044084</v>
      </c>
      <c r="G9" s="205" t="n">
        <v>0.1420091412273158</v>
      </c>
      <c r="H9" s="205" t="n">
        <v>0.1214935340475579</v>
      </c>
      <c r="I9" s="205" t="n">
        <v>0.15102951052069</v>
      </c>
      <c r="J9" s="205" t="n">
        <v>0.125652721298232</v>
      </c>
      <c r="K9" s="205" t="n">
        <v>0.1198863242542232</v>
      </c>
    </row>
    <row r="10">
      <c r="A10" t="inlineStr">
        <is>
          <t>IM1_Flip_V1_Slice06</t>
        </is>
      </c>
      <c r="B10" s="205" t="n">
        <v>0.2389055786495785</v>
      </c>
      <c r="C10" s="205" t="n">
        <v>0.3175678243455767</v>
      </c>
      <c r="D10" s="205" t="n">
        <v>0.2511612330187982</v>
      </c>
      <c r="E10" s="205" t="n">
        <v>0.3713859764806676</v>
      </c>
      <c r="F10" s="205" t="n">
        <v>0.2358324559773329</v>
      </c>
      <c r="G10" s="205" t="n">
        <v>0.3857556033866901</v>
      </c>
      <c r="H10" s="205" t="n">
        <v>0.2595043536510624</v>
      </c>
      <c r="I10" s="205" t="n">
        <v>0.3254005047417021</v>
      </c>
      <c r="J10" s="205" t="n">
        <v>0.2713600935660471</v>
      </c>
      <c r="K10" s="205" t="n">
        <v>0.2509122554044357</v>
      </c>
    </row>
    <row r="11">
      <c r="A11" t="inlineStr">
        <is>
          <t>IM1_Flip_V1_Slice04</t>
        </is>
      </c>
      <c r="B11" s="205" t="n">
        <v>0.2387560782674494</v>
      </c>
      <c r="C11" s="205" t="n">
        <v>0.308595633710483</v>
      </c>
      <c r="D11" s="205" t="n">
        <v>0.2521449541296081</v>
      </c>
      <c r="E11" s="205" t="n">
        <v>0.3407302194611063</v>
      </c>
      <c r="F11" s="205" t="n">
        <v>0.247481349454846</v>
      </c>
      <c r="G11" s="205" t="n">
        <v>0.3268192959949167</v>
      </c>
      <c r="H11" s="205" t="n">
        <v>0.2583518668561862</v>
      </c>
      <c r="I11" s="205" t="n">
        <v>0.3064321303907894</v>
      </c>
      <c r="J11" s="205" t="n">
        <v>0.250598835819246</v>
      </c>
      <c r="K11" s="205" t="n">
        <v>0.3290572289210016</v>
      </c>
    </row>
    <row r="12">
      <c r="A12" t="inlineStr">
        <is>
          <t>bumo</t>
        </is>
      </c>
      <c r="B12" s="205" t="n">
        <v>0.03304654611247973</v>
      </c>
      <c r="C12" s="205" t="n">
        <v>0.03846880282074198</v>
      </c>
      <c r="D12" s="205" t="n">
        <v>0.03633866153284222</v>
      </c>
      <c r="E12" s="205" t="n">
        <v>0.02288320043032481</v>
      </c>
      <c r="F12" s="205" t="n">
        <v>0.03172278609416102</v>
      </c>
      <c r="G12" s="205" t="n">
        <v>0.04789290956503253</v>
      </c>
      <c r="H12" s="205" t="n">
        <v>0.03494358828102268</v>
      </c>
      <c r="I12" s="205" t="n">
        <v>0.03358270595724042</v>
      </c>
      <c r="J12" s="205" t="n">
        <v>0.0333705253339442</v>
      </c>
      <c r="K12" s="205" t="n">
        <v>0.04291885908826004</v>
      </c>
    </row>
    <row r="13"/>
    <row r="14">
      <c r="A14" t="inlineStr"/>
      <c r="C14" t="inlineStr">
        <is>
          <t>qd (Diff)</t>
        </is>
      </c>
      <c r="E14" t="inlineStr">
        <is>
          <t>instagram (Diff)</t>
        </is>
      </c>
      <c r="G14" t="inlineStr">
        <is>
          <t>youtube (Diff)</t>
        </is>
      </c>
      <c r="I14" t="inlineStr">
        <is>
          <t>tiktok (Diff)</t>
        </is>
      </c>
      <c r="K14" t="inlineStr">
        <is>
          <t>metro (Diff)</t>
        </is>
      </c>
    </row>
    <row r="15">
      <c r="A15" t="inlineStr">
        <is>
          <t>K301</t>
        </is>
      </c>
      <c r="C15" s="203" t="n">
        <v>0.1075919028504758</v>
      </c>
      <c r="E15" s="203" t="n">
        <v>0.1184164974701587</v>
      </c>
      <c r="G15" s="203" t="n">
        <v>0.07867547495596972</v>
      </c>
      <c r="I15" s="203" t="n">
        <v>0.07154037169129446</v>
      </c>
      <c r="K15" s="203" t="n">
        <v>0.1103446604373673</v>
      </c>
    </row>
    <row r="16">
      <c r="A16" t="inlineStr">
        <is>
          <t>OEK1K2001</t>
        </is>
      </c>
      <c r="C16" s="203" t="n">
        <v>0.08727849021904421</v>
      </c>
      <c r="E16" s="203" t="n">
        <v>0.1195636751077022</v>
      </c>
      <c r="G16" s="203" t="n">
        <v>0.07202309560992373</v>
      </c>
      <c r="I16" s="203" t="n">
        <v>0.1060749771765558</v>
      </c>
      <c r="K16" s="203" t="n">
        <v>0.05763401136911167</v>
      </c>
    </row>
    <row r="17">
      <c r="A17" t="inlineStr">
        <is>
          <t>K801</t>
        </is>
      </c>
      <c r="C17" s="203" t="n">
        <v>0.06717213538057341</v>
      </c>
      <c r="E17" s="203" t="n">
        <v>0.1151628684315575</v>
      </c>
      <c r="G17" s="203" t="n">
        <v>0.02124668002290746</v>
      </c>
      <c r="I17" s="203" t="n">
        <v>0.02953597647313209</v>
      </c>
      <c r="K17" s="203" t="n">
        <v>-0.005766397044008803</v>
      </c>
    </row>
    <row r="18">
      <c r="A18" t="inlineStr">
        <is>
          <t>IM1_Flip_V1_Slice06</t>
        </is>
      </c>
      <c r="C18" s="203" t="n">
        <v>0.07866224569599822</v>
      </c>
      <c r="E18" s="203" t="n">
        <v>0.1202247434618694</v>
      </c>
      <c r="G18" s="203" t="n">
        <v>0.1499231474093572</v>
      </c>
      <c r="I18" s="203" t="n">
        <v>0.06589615109063968</v>
      </c>
      <c r="K18" s="203" t="n">
        <v>-0.02044783816161144</v>
      </c>
    </row>
    <row r="19">
      <c r="A19" t="inlineStr">
        <is>
          <t>IM1_Flip_V1_Slice04</t>
        </is>
      </c>
      <c r="C19" s="203" t="n">
        <v>0.06983955544303369</v>
      </c>
      <c r="E19" s="203" t="n">
        <v>0.08858526533149819</v>
      </c>
      <c r="G19" s="203" t="n">
        <v>0.0793379465400707</v>
      </c>
      <c r="I19" s="203" t="n">
        <v>0.04808026353460326</v>
      </c>
      <c r="K19" s="203" t="n">
        <v>0.07845839310175567</v>
      </c>
    </row>
    <row r="20">
      <c r="A20" t="inlineStr">
        <is>
          <t>bumo</t>
        </is>
      </c>
      <c r="C20" s="203" t="n">
        <v>0.005422256708262248</v>
      </c>
      <c r="E20" s="203" t="n">
        <v>-0.01345546110251741</v>
      </c>
      <c r="G20" s="203" t="n">
        <v>0.0161701234708715</v>
      </c>
      <c r="I20" s="203" t="n">
        <v>-0.001360882323782259</v>
      </c>
      <c r="K20" s="203" t="n">
        <v>0.009548333754315845</v>
      </c>
    </row>
  </sheetData>
  <conditionalFormatting sqref="C15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5:E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5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5:I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5:K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tabColor theme="1" tint="0.0499893185216834"/>
    <outlinePr summaryBelow="1" summaryRight="1"/>
    <pageSetUpPr/>
  </sheetPr>
  <dimension ref="A1:BD249"/>
  <sheetViews>
    <sheetView topLeftCell="A67" zoomScale="36" zoomScaleNormal="80" workbookViewId="0">
      <selection activeCell="L50" sqref="L50"/>
    </sheetView>
  </sheetViews>
  <sheetFormatPr baseColWidth="8" defaultRowHeight="14"/>
  <cols>
    <col width="22.58203125" customWidth="1" style="179" min="1" max="1"/>
    <col width="6.83203125" bestFit="1" customWidth="1" style="179" min="2" max="2"/>
    <col width="27.83203125" bestFit="1" customWidth="1" style="179" min="3" max="3"/>
    <col width="29.4140625" bestFit="1" customWidth="1" style="5" min="4" max="4"/>
    <col width="9.1640625" bestFit="1" customWidth="1" style="179" min="5" max="5"/>
    <col width="12.83203125" bestFit="1" customWidth="1" style="179" min="6" max="6"/>
    <col width="9.1640625" bestFit="1" customWidth="1" style="179" min="7" max="7"/>
    <col width="12.4140625" bestFit="1" customWidth="1" style="179" min="8" max="24"/>
    <col width="13.1640625" bestFit="1" customWidth="1" style="179" min="25" max="25"/>
    <col width="15.4140625" bestFit="1" customWidth="1" style="179" min="26" max="26"/>
    <col width="9.83203125" customWidth="1" style="179" min="27" max="32"/>
  </cols>
  <sheetData>
    <row r="1" ht="30" customHeight="1" s="179">
      <c r="A1" s="80" t="n"/>
      <c r="B1" s="81" t="n"/>
      <c r="C1" s="82" t="n"/>
      <c r="D1" s="88" t="inlineStr">
        <is>
          <t>模型Base的样本</t>
        </is>
      </c>
      <c r="E1" s="89">
        <f t="array" ref="E1:X1">TRANSPOSE('2D Mapping'!C3:C22)</f>
        <v/>
      </c>
      <c r="F1" s="89" t="inlineStr">
        <is>
          <t>Total</t>
        </is>
      </c>
      <c r="G1" s="89" t="inlineStr">
        <is>
          <t>Total</t>
        </is>
      </c>
      <c r="H1" s="89" t="inlineStr">
        <is>
          <t>Total</t>
        </is>
      </c>
      <c r="I1" s="89" t="inlineStr">
        <is>
          <t>Total</t>
        </is>
      </c>
      <c r="J1" s="89" t="inlineStr">
        <is>
          <t>Total</t>
        </is>
      </c>
      <c r="K1" s="89" t="inlineStr">
        <is>
          <t>Total</t>
        </is>
      </c>
      <c r="L1" s="89" t="inlineStr">
        <is>
          <t>Total</t>
        </is>
      </c>
      <c r="M1" s="89" t="n">
        <v>0</v>
      </c>
      <c r="N1" s="89" t="n">
        <v>0</v>
      </c>
      <c r="O1" s="89" t="n">
        <v>0</v>
      </c>
      <c r="P1" s="89" t="n">
        <v>0</v>
      </c>
      <c r="Q1" s="89" t="n">
        <v>0</v>
      </c>
      <c r="R1" s="89" t="n">
        <v>0</v>
      </c>
      <c r="S1" s="89" t="n">
        <v>0</v>
      </c>
      <c r="T1" s="89" t="n">
        <v>0</v>
      </c>
      <c r="U1" s="89" t="n">
        <v>0</v>
      </c>
      <c r="V1" s="89" t="n">
        <v>0</v>
      </c>
      <c r="W1" s="89" t="n">
        <v>0</v>
      </c>
      <c r="X1" s="89" t="n">
        <v>0</v>
      </c>
      <c r="Y1" s="89">
        <f t="array" ref="Y1">TRANSPOSE('2D Mapping'!D3:D22)</f>
        <v/>
      </c>
      <c r="Z1" s="89">
        <f t="array" ref="Z1">TRANSPOSE('2D Mapping'!E3:E22)</f>
        <v/>
      </c>
      <c r="AA1" s="89">
        <f t="array" ref="AA1">TRANSPOSE('2D Mapping'!F3:F22)</f>
        <v/>
      </c>
      <c r="AB1" s="89">
        <f t="array" ref="AB1">TRANSPOSE('2D Mapping'!G3:G22)</f>
        <v/>
      </c>
      <c r="AC1" s="89">
        <f t="array" ref="AC1">TRANSPOSE('2D Mapping'!H3:H22)</f>
        <v/>
      </c>
      <c r="AD1" s="89">
        <f t="array" ref="AD1">TRANSPOSE('2D Mapping'!I3:I22)</f>
        <v/>
      </c>
      <c r="AE1" s="89">
        <f t="array" ref="AE1">TRANSPOSE('2D Mapping'!J3:J22)</f>
        <v/>
      </c>
      <c r="AF1" s="89">
        <f t="array" ref="AF1">TRANSPOSE('2D Mapping'!K3:K22)</f>
        <v/>
      </c>
      <c r="AG1" s="89">
        <f t="array" ref="AG1">TRANSPOSE('2D Mapping'!L3:L22)</f>
        <v/>
      </c>
      <c r="AH1" s="89">
        <f t="array" ref="AH1">TRANSPOSE('2D Mapping'!M3:M22)</f>
        <v/>
      </c>
      <c r="AI1" s="89">
        <f t="array" ref="AI1">TRANSPOSE('2D Mapping'!N3:N22)</f>
        <v/>
      </c>
      <c r="AJ1" s="89">
        <f t="array" ref="AJ1">TRANSPOSE('2D Mapping'!O3:O22)</f>
        <v/>
      </c>
      <c r="AK1" s="89">
        <f t="array" ref="AK1">TRANSPOSE('2D Mapping'!P3:P22)</f>
        <v/>
      </c>
      <c r="AL1" s="89">
        <f t="array" ref="AL1">TRANSPOSE('2D Mapping'!Q3:Q22)</f>
        <v/>
      </c>
      <c r="AM1" s="89">
        <f t="array" ref="AM1">TRANSPOSE('2D Mapping'!R3:R22)</f>
        <v/>
      </c>
      <c r="AN1" s="89">
        <f t="array" ref="AN1">TRANSPOSE('2D Mapping'!S3:S22)</f>
        <v/>
      </c>
      <c r="AO1" s="89">
        <f t="array" ref="AO1">TRANSPOSE('2D Mapping'!T3:T22)</f>
        <v/>
      </c>
      <c r="AP1" s="89">
        <f t="array" ref="AP1">TRANSPOSE('2D Mapping'!U3:U22)</f>
        <v/>
      </c>
      <c r="AQ1" s="89">
        <f t="array" ref="AQ1">TRANSPOSE('2D Mapping'!V3:V22)</f>
        <v/>
      </c>
      <c r="AR1" s="89">
        <f t="array" ref="AR1">TRANSPOSE('2D Mapping'!W3:W22)</f>
        <v/>
      </c>
      <c r="AS1" s="89">
        <f t="array" ref="AS1">TRANSPOSE('2D Mapping'!X3:X22)</f>
        <v/>
      </c>
      <c r="AT1" s="89">
        <f t="array" ref="AT1">TRANSPOSE('2D Mapping'!Y3:Y22)</f>
        <v/>
      </c>
      <c r="AU1" s="89">
        <f t="array" ref="AU1">TRANSPOSE('2D Mapping'!Z3:Z22)</f>
        <v/>
      </c>
      <c r="AV1" s="89">
        <f t="array" ref="AV1">TRANSPOSE('2D Mapping'!AA3:AA22)</f>
        <v/>
      </c>
      <c r="AW1" s="89">
        <f t="array" ref="AW1">TRANSPOSE('2D Mapping'!AB3:AB22)</f>
        <v/>
      </c>
      <c r="AX1" s="89">
        <f t="array" ref="AX1">TRANSPOSE('2D Mapping'!AC3:AC22)</f>
        <v/>
      </c>
      <c r="AY1" s="89">
        <f t="array" ref="AY1">TRANSPOSE('2D Mapping'!AD3:AD22)</f>
        <v/>
      </c>
      <c r="AZ1" s="89">
        <f t="array" ref="AZ1">TRANSPOSE('2D Mapping'!AE3:AE22)</f>
        <v/>
      </c>
      <c r="BA1" s="89">
        <f t="array" ref="BA1">TRANSPOSE('2D Mapping'!AF3:AF22)</f>
        <v/>
      </c>
      <c r="BB1" s="89">
        <f t="array" ref="BB1">TRANSPOSE('2D Mapping'!AG3:AG22)</f>
        <v/>
      </c>
    </row>
    <row r="2" ht="65.25" customFormat="1" customHeight="1" s="175">
      <c r="A2" s="83" t="inlineStr">
        <is>
          <t>&gt;&gt;请输入：</t>
        </is>
      </c>
      <c r="B2" s="82" t="n"/>
      <c r="C2" s="1" t="n"/>
      <c r="D2" s="19" t="inlineStr">
        <is>
          <t>标准化系数（回归模型结果）</t>
        </is>
      </c>
      <c r="E2" s="79">
        <f t="array" ref="E2:BB2">TRANSPOSE('2D Mapping'!B3:B52)</f>
        <v/>
      </c>
      <c r="F2" s="79" t="str"/>
      <c r="G2" s="79" t="str"/>
      <c r="H2" s="79" t="str"/>
      <c r="I2" s="79" t="str"/>
      <c r="J2" s="79" t="str"/>
      <c r="K2" s="79" t="str"/>
      <c r="L2" s="79" t="str"/>
      <c r="M2" s="79" t="str"/>
      <c r="N2" s="79" t="str"/>
      <c r="O2" s="79" t="str"/>
      <c r="P2" s="79" t="str"/>
      <c r="Q2" s="79" t="str"/>
      <c r="R2" s="79" t="str"/>
      <c r="S2" s="79" t="str"/>
      <c r="T2" s="79" t="str"/>
      <c r="U2" s="79" t="str"/>
      <c r="V2" s="79" t="str"/>
      <c r="W2" s="79" t="str"/>
      <c r="X2" s="79" t="str"/>
      <c r="Y2" s="79" t="n">
        <v>0</v>
      </c>
      <c r="Z2" s="79" t="n">
        <v>0</v>
      </c>
      <c r="AA2" s="79" t="n">
        <v>0</v>
      </c>
      <c r="AB2" s="79" t="n">
        <v>0</v>
      </c>
      <c r="AC2" s="79" t="n">
        <v>0</v>
      </c>
      <c r="AD2" s="79" t="n">
        <v>0</v>
      </c>
      <c r="AE2" s="79" t="n">
        <v>0</v>
      </c>
      <c r="AF2" s="79" t="n">
        <v>0</v>
      </c>
      <c r="AG2" s="79" t="n">
        <v>0</v>
      </c>
      <c r="AH2" s="79" t="n">
        <v>0</v>
      </c>
      <c r="AI2" s="79" t="n">
        <v>0</v>
      </c>
      <c r="AJ2" s="79" t="n">
        <v>0</v>
      </c>
      <c r="AK2" s="79" t="n">
        <v>0</v>
      </c>
      <c r="AL2" s="79" t="n">
        <v>0</v>
      </c>
      <c r="AM2" s="79" t="n">
        <v>0</v>
      </c>
      <c r="AN2" s="79" t="n">
        <v>0</v>
      </c>
      <c r="AO2" s="79" t="n">
        <v>0</v>
      </c>
      <c r="AP2" s="79" t="n">
        <v>0</v>
      </c>
      <c r="AQ2" s="79" t="n">
        <v>0</v>
      </c>
      <c r="AR2" s="79" t="n">
        <v>0</v>
      </c>
      <c r="AS2" s="79" t="n">
        <v>0</v>
      </c>
      <c r="AT2" s="79" t="n">
        <v>0</v>
      </c>
      <c r="AU2" s="79" t="n">
        <v>0</v>
      </c>
      <c r="AV2" s="79" t="n">
        <v>0</v>
      </c>
      <c r="AW2" s="79" t="n">
        <v>0</v>
      </c>
      <c r="AX2" s="79" t="n">
        <v>0</v>
      </c>
      <c r="AY2" s="79" t="n">
        <v>0</v>
      </c>
      <c r="AZ2" s="79" t="n">
        <v>0</v>
      </c>
      <c r="BA2" s="79" t="n">
        <v>0</v>
      </c>
      <c r="BB2" s="79" t="n">
        <v>0</v>
      </c>
    </row>
    <row r="3" ht="13" customHeight="1" s="179">
      <c r="A3" s="94" t="n"/>
      <c r="B3" s="95" t="n"/>
      <c r="C3" s="1" t="n"/>
      <c r="D3" s="78" t="inlineStr">
        <is>
          <t>Factor1</t>
        </is>
      </c>
      <c r="E3" s="244">
        <f t="array" ref="E3">_xlfn.LET(
    _xlpm.kpiName, E$2,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" s="244">
        <f t="array" ref="F3">_xlfn.LET(
    _xlpm.kpiName, F$2,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" s="244">
        <f t="array" ref="G3">_xlfn.LET(
    _xlpm.kpiName, G$2,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" s="244">
        <f t="array" ref="H3">_xlfn.LET(
    _xlpm.kpiName, H$2,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" s="244">
        <f t="array" ref="I3">_xlfn.LET(
    _xlpm.kpiName, I$2,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" s="244">
        <f t="array" ref="J3">_xlfn.LET(
    _xlpm.kpiName, J$2,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" s="244">
        <f t="array" ref="K3">_xlfn.LET(
    _xlpm.kpiName, K$2,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" s="244">
        <f t="array" ref="L3">_xlfn.LET(
    _xlpm.kpiName, L$2,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" s="244">
        <f t="array" ref="M3">_xlfn.LET(
    _xlpm.kpiName, M$2,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" s="244">
        <f t="array" ref="N3">_xlfn.LET(
    _xlpm.kpiName, N$2,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" s="244">
        <f t="array" ref="O3">_xlfn.LET(
    _xlpm.kpiName, O$2,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" s="244">
        <f t="array" ref="P3">_xlfn.LET(
    _xlpm.kpiName, P$2,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" s="244">
        <f t="array" ref="Q3">_xlfn.LET(
    _xlpm.kpiName, Q$2,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" s="244">
        <f t="array" ref="R3">_xlfn.LET(
    _xlpm.kpiName, R$2,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" s="244">
        <f t="array" ref="S3">_xlfn.LET(
    _xlpm.kpiName, S$2,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" s="244">
        <f t="array" ref="T3">_xlfn.LET(
    _xlpm.kpiName, T$2,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" s="244">
        <f t="array" ref="U3">_xlfn.LET(
    _xlpm.kpiName, U$2,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" s="244">
        <f t="array" ref="V3">_xlfn.LET(
    _xlpm.kpiName, V$2,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" s="244">
        <f t="array" ref="W3">_xlfn.LET(
    _xlpm.kpiName, W$2,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" s="244">
        <f t="array" ref="X3">_xlfn.LET(
    _xlpm.kpiName, X$2,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" s="244">
        <f t="array" ref="Y3">_xlfn.LET(
    _xlpm.kpiName, Y$2,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" s="244">
        <f t="array" ref="Z3">_xlfn.LET(
    _xlpm.kpiName, Z$2,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" s="244">
        <f t="array" ref="AA3">_xlfn.LET(
    _xlpm.kpiName, AA$2,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" s="244">
        <f t="array" ref="AB3">_xlfn.LET(
    _xlpm.kpiName, AB$2,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" s="244">
        <f t="array" ref="AC3">_xlfn.LET(
    _xlpm.kpiName, AC$2,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" s="244">
        <f t="array" ref="AD3">_xlfn.LET(
    _xlpm.kpiName, AD$2,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" s="244">
        <f t="array" ref="AE3">_xlfn.LET(
    _xlpm.kpiName, AE$2,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" s="244">
        <f t="array" ref="AF3">_xlfn.LET(
    _xlpm.kpiName, AF$2,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" s="244">
        <f t="array" ref="AG3">_xlfn.LET(
    _xlpm.kpiName, AG$2,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" s="244">
        <f t="array" ref="AH3">_xlfn.LET(
    _xlpm.kpiName, AH$2,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" s="244">
        <f t="array" ref="AI3">_xlfn.LET(
    _xlpm.kpiName, AI$2,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" s="244">
        <f t="array" ref="AJ3">_xlfn.LET(
    _xlpm.kpiName, AJ$2,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" s="244">
        <f t="array" ref="AK3">_xlfn.LET(
    _xlpm.kpiName, AK$2,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" s="244">
        <f t="array" ref="AL3">_xlfn.LET(
    _xlpm.kpiName, AL$2,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" s="244">
        <f t="array" ref="AM3">_xlfn.LET(
    _xlpm.kpiName, AM$2,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" s="244">
        <f t="array" ref="AN3">_xlfn.LET(
    _xlpm.kpiName, AN$2,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" s="244">
        <f t="array" ref="AO3">_xlfn.LET(
    _xlpm.kpiName, AO$2,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" s="244">
        <f t="array" ref="AP3">_xlfn.LET(
    _xlpm.kpiName, AP$2,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" s="244">
        <f t="array" ref="AQ3">_xlfn.LET(
    _xlpm.kpiName, AQ$2,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" s="244">
        <f t="array" ref="AR3">_xlfn.LET(
    _xlpm.kpiName, AR$2,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" s="244">
        <f t="array" ref="AS3">_xlfn.LET(
    _xlpm.kpiName, AS$2,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" s="244">
        <f t="array" ref="AT3">_xlfn.LET(
    _xlpm.kpiName, AT$2,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" s="244">
        <f t="array" ref="AU3">_xlfn.LET(
    _xlpm.kpiName, AU$2,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" s="244">
        <f t="array" ref="AV3">_xlfn.LET(
    _xlpm.kpiName, AV$2,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" s="244">
        <f t="array" ref="AW3">_xlfn.LET(
    _xlpm.kpiName, AW$2,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" s="244">
        <f t="array" ref="AX3">_xlfn.LET(
    _xlpm.kpiName, AX$2,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" s="244">
        <f t="array" ref="AY3">_xlfn.LET(
    _xlpm.kpiName, AY$2,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" s="244">
        <f t="array" ref="AZ3">_xlfn.LET(
    _xlpm.kpiName, AZ$2,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" s="244">
        <f t="array" ref="BA3">_xlfn.LET(
    _xlpm.kpiName, BA$2,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" s="244">
        <f t="array" ref="BB3">_xlfn.LET(
    _xlpm.kpiName, BB$2,
    _xlpm.factorName, $D3,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4" ht="13" customHeight="1" s="179">
      <c r="A4" s="169" t="inlineStr">
        <is>
          <t>是否有brand dispo信息（Yes：1，No：0）</t>
        </is>
      </c>
      <c r="B4" s="173" t="n">
        <v>1</v>
      </c>
      <c r="C4" s="1" t="n"/>
      <c r="D4" s="78" t="inlineStr">
        <is>
          <t>Factor2</t>
        </is>
      </c>
      <c r="E4" s="244">
        <f t="array" ref="E4">_xlfn.LET(
    _xlpm.kpiName, E$2,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4" s="244">
        <f t="array" ref="F4">_xlfn.LET(
    _xlpm.kpiName, F$2,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4" s="244">
        <f t="array" ref="G4">_xlfn.LET(
    _xlpm.kpiName, G$2,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4" s="244">
        <f t="array" ref="H4">_xlfn.LET(
    _xlpm.kpiName, H$2,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4" s="244">
        <f t="array" ref="I4">_xlfn.LET(
    _xlpm.kpiName, I$2,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4" s="244">
        <f t="array" ref="J4">_xlfn.LET(
    _xlpm.kpiName, J$2,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4" s="244">
        <f t="array" ref="K4">_xlfn.LET(
    _xlpm.kpiName, K$2,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4" s="244">
        <f t="array" ref="L4">_xlfn.LET(
    _xlpm.kpiName, L$2,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4" s="244">
        <f t="array" ref="M4">_xlfn.LET(
    _xlpm.kpiName, M$2,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4" s="244">
        <f t="array" ref="N4">_xlfn.LET(
    _xlpm.kpiName, N$2,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4" s="244">
        <f t="array" ref="O4">_xlfn.LET(
    _xlpm.kpiName, O$2,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4" s="244">
        <f t="array" ref="P4">_xlfn.LET(
    _xlpm.kpiName, P$2,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4" s="244">
        <f t="array" ref="Q4">_xlfn.LET(
    _xlpm.kpiName, Q$2,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4" s="244">
        <f t="array" ref="R4">_xlfn.LET(
    _xlpm.kpiName, R$2,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4" s="244">
        <f t="array" ref="S4">_xlfn.LET(
    _xlpm.kpiName, S$2,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4" s="244">
        <f t="array" ref="T4">_xlfn.LET(
    _xlpm.kpiName, T$2,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4" s="244">
        <f t="array" ref="U4">_xlfn.LET(
    _xlpm.kpiName, U$2,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4" s="244">
        <f t="array" ref="V4">_xlfn.LET(
    _xlpm.kpiName, V$2,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4" s="244">
        <f t="array" ref="W4">_xlfn.LET(
    _xlpm.kpiName, W$2,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4" s="244">
        <f t="array" ref="X4">_xlfn.LET(
    _xlpm.kpiName, X$2,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4" s="244">
        <f t="array" ref="Y4">_xlfn.LET(
    _xlpm.kpiName, Y$2,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4" s="244">
        <f t="array" ref="Z4">_xlfn.LET(
    _xlpm.kpiName, Z$2,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4" s="244">
        <f t="array" ref="AA4">_xlfn.LET(
    _xlpm.kpiName, AA$2,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4" s="244">
        <f t="array" ref="AB4">_xlfn.LET(
    _xlpm.kpiName, AB$2,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4" s="244">
        <f t="array" ref="AC4">_xlfn.LET(
    _xlpm.kpiName, AC$2,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4" s="244">
        <f t="array" ref="AD4">_xlfn.LET(
    _xlpm.kpiName, AD$2,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4" s="244">
        <f t="array" ref="AE4">_xlfn.LET(
    _xlpm.kpiName, AE$2,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4" s="244">
        <f t="array" ref="AF4">_xlfn.LET(
    _xlpm.kpiName, AF$2,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4" s="244">
        <f t="array" ref="AG4">_xlfn.LET(
    _xlpm.kpiName, AG$2,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4" s="244">
        <f t="array" ref="AH4">_xlfn.LET(
    _xlpm.kpiName, AH$2,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4" s="244">
        <f t="array" ref="AI4">_xlfn.LET(
    _xlpm.kpiName, AI$2,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4" s="244">
        <f t="array" ref="AJ4">_xlfn.LET(
    _xlpm.kpiName, AJ$2,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4" s="244">
        <f t="array" ref="AK4">_xlfn.LET(
    _xlpm.kpiName, AK$2,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4" s="244">
        <f t="array" ref="AL4">_xlfn.LET(
    _xlpm.kpiName, AL$2,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4" s="244">
        <f t="array" ref="AM4">_xlfn.LET(
    _xlpm.kpiName, AM$2,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4" s="244">
        <f t="array" ref="AN4">_xlfn.LET(
    _xlpm.kpiName, AN$2,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4" s="244">
        <f t="array" ref="AO4">_xlfn.LET(
    _xlpm.kpiName, AO$2,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4" s="244">
        <f t="array" ref="AP4">_xlfn.LET(
    _xlpm.kpiName, AP$2,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4" s="244">
        <f t="array" ref="AQ4">_xlfn.LET(
    _xlpm.kpiName, AQ$2,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4" s="244">
        <f t="array" ref="AR4">_xlfn.LET(
    _xlpm.kpiName, AR$2,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4" s="244">
        <f t="array" ref="AS4">_xlfn.LET(
    _xlpm.kpiName, AS$2,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4" s="244">
        <f t="array" ref="AT4">_xlfn.LET(
    _xlpm.kpiName, AT$2,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4" s="244">
        <f t="array" ref="AU4">_xlfn.LET(
    _xlpm.kpiName, AU$2,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4" s="244">
        <f t="array" ref="AV4">_xlfn.LET(
    _xlpm.kpiName, AV$2,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4" s="244">
        <f t="array" ref="AW4">_xlfn.LET(
    _xlpm.kpiName, AW$2,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4" s="244">
        <f t="array" ref="AX4">_xlfn.LET(
    _xlpm.kpiName, AX$2,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4" s="244">
        <f t="array" ref="AY4">_xlfn.LET(
    _xlpm.kpiName, AY$2,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4" s="244">
        <f t="array" ref="AZ4">_xlfn.LET(
    _xlpm.kpiName, AZ$2,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4" s="244">
        <f t="array" ref="BA4">_xlfn.LET(
    _xlpm.kpiName, BA$2,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4" s="244">
        <f t="array" ref="BB4">_xlfn.LET(
    _xlpm.kpiName, BB$2,
    _xlpm.factorName, $D4,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5" ht="13" customHeight="1" s="179">
      <c r="A5" s="170" t="n"/>
      <c r="B5" s="170" t="n"/>
      <c r="C5" s="1" t="n"/>
      <c r="D5" s="78" t="inlineStr">
        <is>
          <t>Factor3</t>
        </is>
      </c>
      <c r="E5" s="244">
        <f t="array" ref="E5">_xlfn.LET(
    _xlpm.kpiName, E$2,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5" s="244">
        <f t="array" ref="F5">_xlfn.LET(
    _xlpm.kpiName, F$2,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5" s="244">
        <f t="array" ref="G5">_xlfn.LET(
    _xlpm.kpiName, G$2,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5" s="244">
        <f t="array" ref="H5">_xlfn.LET(
    _xlpm.kpiName, H$2,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5" s="244">
        <f t="array" ref="I5">_xlfn.LET(
    _xlpm.kpiName, I$2,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5" s="244">
        <f t="array" ref="J5">_xlfn.LET(
    _xlpm.kpiName, J$2,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5" s="244">
        <f t="array" ref="K5">_xlfn.LET(
    _xlpm.kpiName, K$2,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5" s="244">
        <f t="array" ref="L5">_xlfn.LET(
    _xlpm.kpiName, L$2,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5" s="244">
        <f t="array" ref="M5">_xlfn.LET(
    _xlpm.kpiName, M$2,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5" s="244">
        <f t="array" ref="N5">_xlfn.LET(
    _xlpm.kpiName, N$2,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5" s="244">
        <f t="array" ref="O5">_xlfn.LET(
    _xlpm.kpiName, O$2,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5" s="244">
        <f t="array" ref="P5">_xlfn.LET(
    _xlpm.kpiName, P$2,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5" s="244">
        <f t="array" ref="Q5">_xlfn.LET(
    _xlpm.kpiName, Q$2,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5" s="244">
        <f t="array" ref="R5">_xlfn.LET(
    _xlpm.kpiName, R$2,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5" s="244">
        <f t="array" ref="S5">_xlfn.LET(
    _xlpm.kpiName, S$2,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5" s="244">
        <f t="array" ref="T5">_xlfn.LET(
    _xlpm.kpiName, T$2,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5" s="244">
        <f t="array" ref="U5">_xlfn.LET(
    _xlpm.kpiName, U$2,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5" s="244">
        <f t="array" ref="V5">_xlfn.LET(
    _xlpm.kpiName, V$2,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5" s="244">
        <f t="array" ref="W5">_xlfn.LET(
    _xlpm.kpiName, W$2,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5" s="244">
        <f t="array" ref="X5">_xlfn.LET(
    _xlpm.kpiName, X$2,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5" s="244">
        <f t="array" ref="Y5">_xlfn.LET(
    _xlpm.kpiName, Y$2,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5" s="244">
        <f t="array" ref="Z5">_xlfn.LET(
    _xlpm.kpiName, Z$2,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5" s="244">
        <f t="array" ref="AA5">_xlfn.LET(
    _xlpm.kpiName, AA$2,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5" s="244">
        <f t="array" ref="AB5">_xlfn.LET(
    _xlpm.kpiName, AB$2,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5" s="244">
        <f t="array" ref="AC5">_xlfn.LET(
    _xlpm.kpiName, AC$2,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5" s="244">
        <f t="array" ref="AD5">_xlfn.LET(
    _xlpm.kpiName, AD$2,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5" s="244">
        <f t="array" ref="AE5">_xlfn.LET(
    _xlpm.kpiName, AE$2,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5" s="244">
        <f t="array" ref="AF5">_xlfn.LET(
    _xlpm.kpiName, AF$2,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5" s="244">
        <f t="array" ref="AG5">_xlfn.LET(
    _xlpm.kpiName, AG$2,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5" s="244">
        <f t="array" ref="AH5">_xlfn.LET(
    _xlpm.kpiName, AH$2,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5" s="244">
        <f t="array" ref="AI5">_xlfn.LET(
    _xlpm.kpiName, AI$2,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5" s="244">
        <f t="array" ref="AJ5">_xlfn.LET(
    _xlpm.kpiName, AJ$2,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5" s="244">
        <f t="array" ref="AK5">_xlfn.LET(
    _xlpm.kpiName, AK$2,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5" s="244">
        <f t="array" ref="AL5">_xlfn.LET(
    _xlpm.kpiName, AL$2,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5" s="244">
        <f t="array" ref="AM5">_xlfn.LET(
    _xlpm.kpiName, AM$2,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5" s="244">
        <f t="array" ref="AN5">_xlfn.LET(
    _xlpm.kpiName, AN$2,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5" s="244">
        <f t="array" ref="AO5">_xlfn.LET(
    _xlpm.kpiName, AO$2,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5" s="244">
        <f t="array" ref="AP5">_xlfn.LET(
    _xlpm.kpiName, AP$2,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5" s="244">
        <f t="array" ref="AQ5">_xlfn.LET(
    _xlpm.kpiName, AQ$2,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5" s="244">
        <f t="array" ref="AR5">_xlfn.LET(
    _xlpm.kpiName, AR$2,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5" s="244">
        <f t="array" ref="AS5">_xlfn.LET(
    _xlpm.kpiName, AS$2,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5" s="244">
        <f t="array" ref="AT5">_xlfn.LET(
    _xlpm.kpiName, AT$2,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5" s="244">
        <f t="array" ref="AU5">_xlfn.LET(
    _xlpm.kpiName, AU$2,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5" s="244">
        <f t="array" ref="AV5">_xlfn.LET(
    _xlpm.kpiName, AV$2,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5" s="244">
        <f t="array" ref="AW5">_xlfn.LET(
    _xlpm.kpiName, AW$2,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5" s="244">
        <f t="array" ref="AX5">_xlfn.LET(
    _xlpm.kpiName, AX$2,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5" s="244">
        <f t="array" ref="AY5">_xlfn.LET(
    _xlpm.kpiName, AY$2,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5" s="244">
        <f t="array" ref="AZ5">_xlfn.LET(
    _xlpm.kpiName, AZ$2,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5" s="244">
        <f t="array" ref="BA5">_xlfn.LET(
    _xlpm.kpiName, BA$2,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5" s="244">
        <f t="array" ref="BB5">_xlfn.LET(
    _xlpm.kpiName, BB$2,
    _xlpm.factorName, $D5,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6" ht="13" customHeight="1" s="179">
      <c r="A6" s="170" t="n"/>
      <c r="B6" s="170" t="n"/>
      <c r="C6" s="66" t="n"/>
      <c r="D6" s="78" t="inlineStr">
        <is>
          <t>Factor4</t>
        </is>
      </c>
      <c r="E6" s="244">
        <f t="array" ref="E6">_xlfn.LET(
    _xlpm.kpiName, E$2,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6" s="244">
        <f t="array" ref="F6">_xlfn.LET(
    _xlpm.kpiName, F$2,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6" s="244">
        <f t="array" ref="G6">_xlfn.LET(
    _xlpm.kpiName, G$2,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6" s="244">
        <f t="array" ref="H6">_xlfn.LET(
    _xlpm.kpiName, H$2,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6" s="244">
        <f t="array" ref="I6">_xlfn.LET(
    _xlpm.kpiName, I$2,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6" s="244">
        <f t="array" ref="J6">_xlfn.LET(
    _xlpm.kpiName, J$2,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6" s="244">
        <f t="array" ref="K6">_xlfn.LET(
    _xlpm.kpiName, K$2,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6" s="244">
        <f t="array" ref="L6">_xlfn.LET(
    _xlpm.kpiName, L$2,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6" s="244">
        <f t="array" ref="M6">_xlfn.LET(
    _xlpm.kpiName, M$2,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6" s="244">
        <f t="array" ref="N6">_xlfn.LET(
    _xlpm.kpiName, N$2,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6" s="244">
        <f t="array" ref="O6">_xlfn.LET(
    _xlpm.kpiName, O$2,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6" s="244">
        <f t="array" ref="P6">_xlfn.LET(
    _xlpm.kpiName, P$2,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6" s="244">
        <f t="array" ref="Q6">_xlfn.LET(
    _xlpm.kpiName, Q$2,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6" s="244">
        <f t="array" ref="R6">_xlfn.LET(
    _xlpm.kpiName, R$2,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6" s="244">
        <f t="array" ref="S6">_xlfn.LET(
    _xlpm.kpiName, S$2,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6" s="244">
        <f t="array" ref="T6">_xlfn.LET(
    _xlpm.kpiName, T$2,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6" s="244">
        <f t="array" ref="U6">_xlfn.LET(
    _xlpm.kpiName, U$2,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6" s="244">
        <f t="array" ref="V6">_xlfn.LET(
    _xlpm.kpiName, V$2,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6" s="244">
        <f t="array" ref="W6">_xlfn.LET(
    _xlpm.kpiName, W$2,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6" s="244">
        <f t="array" ref="X6">_xlfn.LET(
    _xlpm.kpiName, X$2,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6" s="244">
        <f t="array" ref="Y6">_xlfn.LET(
    _xlpm.kpiName, Y$2,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6" s="244">
        <f t="array" ref="Z6">_xlfn.LET(
    _xlpm.kpiName, Z$2,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6" s="244">
        <f t="array" ref="AA6">_xlfn.LET(
    _xlpm.kpiName, AA$2,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6" s="244">
        <f t="array" ref="AB6">_xlfn.LET(
    _xlpm.kpiName, AB$2,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6" s="244">
        <f t="array" ref="AC6">_xlfn.LET(
    _xlpm.kpiName, AC$2,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6" s="244">
        <f t="array" ref="AD6">_xlfn.LET(
    _xlpm.kpiName, AD$2,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6" s="244">
        <f t="array" ref="AE6">_xlfn.LET(
    _xlpm.kpiName, AE$2,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6" s="244">
        <f t="array" ref="AF6">_xlfn.LET(
    _xlpm.kpiName, AF$2,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6" s="244">
        <f t="array" ref="AG6">_xlfn.LET(
    _xlpm.kpiName, AG$2,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6" s="244">
        <f t="array" ref="AH6">_xlfn.LET(
    _xlpm.kpiName, AH$2,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6" s="244">
        <f t="array" ref="AI6">_xlfn.LET(
    _xlpm.kpiName, AI$2,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6" s="244">
        <f t="array" ref="AJ6">_xlfn.LET(
    _xlpm.kpiName, AJ$2,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6" s="244">
        <f t="array" ref="AK6">_xlfn.LET(
    _xlpm.kpiName, AK$2,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6" s="244">
        <f t="array" ref="AL6">_xlfn.LET(
    _xlpm.kpiName, AL$2,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6" s="244">
        <f t="array" ref="AM6">_xlfn.LET(
    _xlpm.kpiName, AM$2,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6" s="244">
        <f t="array" ref="AN6">_xlfn.LET(
    _xlpm.kpiName, AN$2,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6" s="244">
        <f t="array" ref="AO6">_xlfn.LET(
    _xlpm.kpiName, AO$2,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6" s="244">
        <f t="array" ref="AP6">_xlfn.LET(
    _xlpm.kpiName, AP$2,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6" s="244">
        <f t="array" ref="AQ6">_xlfn.LET(
    _xlpm.kpiName, AQ$2,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6" s="244">
        <f t="array" ref="AR6">_xlfn.LET(
    _xlpm.kpiName, AR$2,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6" s="244">
        <f t="array" ref="AS6">_xlfn.LET(
    _xlpm.kpiName, AS$2,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6" s="244">
        <f t="array" ref="AT6">_xlfn.LET(
    _xlpm.kpiName, AT$2,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6" s="244">
        <f t="array" ref="AU6">_xlfn.LET(
    _xlpm.kpiName, AU$2,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6" s="244">
        <f t="array" ref="AV6">_xlfn.LET(
    _xlpm.kpiName, AV$2,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6" s="244">
        <f t="array" ref="AW6">_xlfn.LET(
    _xlpm.kpiName, AW$2,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6" s="244">
        <f t="array" ref="AX6">_xlfn.LET(
    _xlpm.kpiName, AX$2,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6" s="244">
        <f t="array" ref="AY6">_xlfn.LET(
    _xlpm.kpiName, AY$2,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6" s="244">
        <f t="array" ref="AZ6">_xlfn.LET(
    _xlpm.kpiName, AZ$2,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6" s="244">
        <f t="array" ref="BA6">_xlfn.LET(
    _xlpm.kpiName, BA$2,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6" s="244">
        <f t="array" ref="BB6">_xlfn.LET(
    _xlpm.kpiName, BB$2,
    _xlpm.factorName, $D6,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7" ht="13" customHeight="1" s="179">
      <c r="A7" s="171" t="n"/>
      <c r="B7" s="171" t="n"/>
      <c r="C7" s="66" t="n"/>
      <c r="D7" s="78" t="inlineStr">
        <is>
          <t>Factor5</t>
        </is>
      </c>
      <c r="E7" s="244">
        <f t="array" ref="E7">_xlfn.LET(
    _xlpm.kpiName, E$2,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7" s="244">
        <f t="array" ref="F7">_xlfn.LET(
    _xlpm.kpiName, F$2,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7" s="244">
        <f t="array" ref="G7">_xlfn.LET(
    _xlpm.kpiName, G$2,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7" s="244">
        <f t="array" ref="H7">_xlfn.LET(
    _xlpm.kpiName, H$2,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7" s="244">
        <f t="array" ref="I7">_xlfn.LET(
    _xlpm.kpiName, I$2,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7" s="244">
        <f t="array" ref="J7">_xlfn.LET(
    _xlpm.kpiName, J$2,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7" s="244">
        <f t="array" ref="K7">_xlfn.LET(
    _xlpm.kpiName, K$2,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7" s="244">
        <f t="array" ref="L7">_xlfn.LET(
    _xlpm.kpiName, L$2,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7" s="244">
        <f t="array" ref="M7">_xlfn.LET(
    _xlpm.kpiName, M$2,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7" s="244">
        <f t="array" ref="N7">_xlfn.LET(
    _xlpm.kpiName, N$2,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7" s="244">
        <f t="array" ref="O7">_xlfn.LET(
    _xlpm.kpiName, O$2,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7" s="244">
        <f t="array" ref="P7">_xlfn.LET(
    _xlpm.kpiName, P$2,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7" s="244">
        <f t="array" ref="Q7">_xlfn.LET(
    _xlpm.kpiName, Q$2,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7" s="244">
        <f t="array" ref="R7">_xlfn.LET(
    _xlpm.kpiName, R$2,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7" s="244">
        <f t="array" ref="S7">_xlfn.LET(
    _xlpm.kpiName, S$2,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7" s="244">
        <f t="array" ref="T7">_xlfn.LET(
    _xlpm.kpiName, T$2,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7" s="244">
        <f t="array" ref="U7">_xlfn.LET(
    _xlpm.kpiName, U$2,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7" s="244">
        <f t="array" ref="V7">_xlfn.LET(
    _xlpm.kpiName, V$2,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7" s="244">
        <f t="array" ref="W7">_xlfn.LET(
    _xlpm.kpiName, W$2,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7" s="244">
        <f t="array" ref="X7">_xlfn.LET(
    _xlpm.kpiName, X$2,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7" s="244">
        <f t="array" ref="Y7">_xlfn.LET(
    _xlpm.kpiName, Y$2,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7" s="244">
        <f t="array" ref="Z7">_xlfn.LET(
    _xlpm.kpiName, Z$2,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7" s="244">
        <f t="array" ref="AA7">_xlfn.LET(
    _xlpm.kpiName, AA$2,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7" s="244">
        <f t="array" ref="AB7">_xlfn.LET(
    _xlpm.kpiName, AB$2,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7" s="244">
        <f t="array" ref="AC7">_xlfn.LET(
    _xlpm.kpiName, AC$2,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7" s="244">
        <f t="array" ref="AD7">_xlfn.LET(
    _xlpm.kpiName, AD$2,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7" s="244">
        <f t="array" ref="AE7">_xlfn.LET(
    _xlpm.kpiName, AE$2,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7" s="244">
        <f t="array" ref="AF7">_xlfn.LET(
    _xlpm.kpiName, AF$2,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7" s="244">
        <f t="array" ref="AG7">_xlfn.LET(
    _xlpm.kpiName, AG$2,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7" s="244">
        <f t="array" ref="AH7">_xlfn.LET(
    _xlpm.kpiName, AH$2,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7" s="244">
        <f t="array" ref="AI7">_xlfn.LET(
    _xlpm.kpiName, AI$2,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7" s="244">
        <f t="array" ref="AJ7">_xlfn.LET(
    _xlpm.kpiName, AJ$2,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7" s="244">
        <f t="array" ref="AK7">_xlfn.LET(
    _xlpm.kpiName, AK$2,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7" s="244">
        <f t="array" ref="AL7">_xlfn.LET(
    _xlpm.kpiName, AL$2,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7" s="244">
        <f t="array" ref="AM7">_xlfn.LET(
    _xlpm.kpiName, AM$2,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7" s="244">
        <f t="array" ref="AN7">_xlfn.LET(
    _xlpm.kpiName, AN$2,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7" s="244">
        <f t="array" ref="AO7">_xlfn.LET(
    _xlpm.kpiName, AO$2,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7" s="244">
        <f t="array" ref="AP7">_xlfn.LET(
    _xlpm.kpiName, AP$2,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7" s="244">
        <f t="array" ref="AQ7">_xlfn.LET(
    _xlpm.kpiName, AQ$2,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7" s="244">
        <f t="array" ref="AR7">_xlfn.LET(
    _xlpm.kpiName, AR$2,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7" s="244">
        <f t="array" ref="AS7">_xlfn.LET(
    _xlpm.kpiName, AS$2,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7" s="244">
        <f t="array" ref="AT7">_xlfn.LET(
    _xlpm.kpiName, AT$2,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7" s="244">
        <f t="array" ref="AU7">_xlfn.LET(
    _xlpm.kpiName, AU$2,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7" s="244">
        <f t="array" ref="AV7">_xlfn.LET(
    _xlpm.kpiName, AV$2,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7" s="244">
        <f t="array" ref="AW7">_xlfn.LET(
    _xlpm.kpiName, AW$2,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7" s="244">
        <f t="array" ref="AX7">_xlfn.LET(
    _xlpm.kpiName, AX$2,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7" s="244">
        <f t="array" ref="AY7">_xlfn.LET(
    _xlpm.kpiName, AY$2,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7" s="244">
        <f t="array" ref="AZ7">_xlfn.LET(
    _xlpm.kpiName, AZ$2,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7" s="244">
        <f t="array" ref="BA7">_xlfn.LET(
    _xlpm.kpiName, BA$2,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7" s="244">
        <f t="array" ref="BB7">_xlfn.LET(
    _xlpm.kpiName, BB$2,
    _xlpm.factorName, $D7,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8" ht="13" customHeight="1" s="179">
      <c r="A8" s="169" t="inlineStr">
        <is>
          <t>如果是，请输入Brand dispo对应的在sav数据中的变量信息</t>
        </is>
      </c>
      <c r="B8" s="172" t="inlineStr">
        <is>
          <t>bumo</t>
        </is>
      </c>
      <c r="C8" s="66" t="n"/>
      <c r="D8" s="78" t="inlineStr">
        <is>
          <t>Factor6</t>
        </is>
      </c>
      <c r="E8" s="244">
        <f t="array" ref="E8">_xlfn.LET(
    _xlpm.kpiName, E$2,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8" s="244">
        <f t="array" ref="F8">_xlfn.LET(
    _xlpm.kpiName, F$2,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8" s="244">
        <f t="array" ref="G8">_xlfn.LET(
    _xlpm.kpiName, G$2,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8" s="244">
        <f t="array" ref="H8">_xlfn.LET(
    _xlpm.kpiName, H$2,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8" s="244">
        <f t="array" ref="I8">_xlfn.LET(
    _xlpm.kpiName, I$2,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8" s="244">
        <f t="array" ref="J8">_xlfn.LET(
    _xlpm.kpiName, J$2,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8" s="244">
        <f t="array" ref="K8">_xlfn.LET(
    _xlpm.kpiName, K$2,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8" s="244">
        <f t="array" ref="L8">_xlfn.LET(
    _xlpm.kpiName, L$2,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8" s="244">
        <f t="array" ref="M8">_xlfn.LET(
    _xlpm.kpiName, M$2,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8" s="244">
        <f t="array" ref="N8">_xlfn.LET(
    _xlpm.kpiName, N$2,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8" s="244">
        <f t="array" ref="O8">_xlfn.LET(
    _xlpm.kpiName, O$2,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8" s="244">
        <f t="array" ref="P8">_xlfn.LET(
    _xlpm.kpiName, P$2,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8" s="244">
        <f t="array" ref="Q8">_xlfn.LET(
    _xlpm.kpiName, Q$2,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8" s="244">
        <f t="array" ref="R8">_xlfn.LET(
    _xlpm.kpiName, R$2,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8" s="244">
        <f t="array" ref="S8">_xlfn.LET(
    _xlpm.kpiName, S$2,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8" s="244">
        <f t="array" ref="T8">_xlfn.LET(
    _xlpm.kpiName, T$2,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8" s="244">
        <f t="array" ref="U8">_xlfn.LET(
    _xlpm.kpiName, U$2,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8" s="244">
        <f t="array" ref="V8">_xlfn.LET(
    _xlpm.kpiName, V$2,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8" s="244">
        <f t="array" ref="W8">_xlfn.LET(
    _xlpm.kpiName, W$2,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8" s="244">
        <f t="array" ref="X8">_xlfn.LET(
    _xlpm.kpiName, X$2,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8" s="244">
        <f t="array" ref="Y8">_xlfn.LET(
    _xlpm.kpiName, Y$2,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8" s="244">
        <f t="array" ref="Z8">_xlfn.LET(
    _xlpm.kpiName, Z$2,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8" s="244">
        <f t="array" ref="AA8">_xlfn.LET(
    _xlpm.kpiName, AA$2,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8" s="244">
        <f t="array" ref="AB8">_xlfn.LET(
    _xlpm.kpiName, AB$2,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8" s="244">
        <f t="array" ref="AC8">_xlfn.LET(
    _xlpm.kpiName, AC$2,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8" s="244">
        <f t="array" ref="AD8">_xlfn.LET(
    _xlpm.kpiName, AD$2,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8" s="244">
        <f t="array" ref="AE8">_xlfn.LET(
    _xlpm.kpiName, AE$2,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8" s="244">
        <f t="array" ref="AF8">_xlfn.LET(
    _xlpm.kpiName, AF$2,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8" s="244">
        <f t="array" ref="AG8">_xlfn.LET(
    _xlpm.kpiName, AG$2,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8" s="244">
        <f t="array" ref="AH8">_xlfn.LET(
    _xlpm.kpiName, AH$2,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8" s="244">
        <f t="array" ref="AI8">_xlfn.LET(
    _xlpm.kpiName, AI$2,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8" s="244">
        <f t="array" ref="AJ8">_xlfn.LET(
    _xlpm.kpiName, AJ$2,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8" s="244">
        <f t="array" ref="AK8">_xlfn.LET(
    _xlpm.kpiName, AK$2,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8" s="244">
        <f t="array" ref="AL8">_xlfn.LET(
    _xlpm.kpiName, AL$2,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8" s="244">
        <f t="array" ref="AM8">_xlfn.LET(
    _xlpm.kpiName, AM$2,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8" s="244">
        <f t="array" ref="AN8">_xlfn.LET(
    _xlpm.kpiName, AN$2,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8" s="244">
        <f t="array" ref="AO8">_xlfn.LET(
    _xlpm.kpiName, AO$2,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8" s="244">
        <f t="array" ref="AP8">_xlfn.LET(
    _xlpm.kpiName, AP$2,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8" s="244">
        <f t="array" ref="AQ8">_xlfn.LET(
    _xlpm.kpiName, AQ$2,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8" s="244">
        <f t="array" ref="AR8">_xlfn.LET(
    _xlpm.kpiName, AR$2,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8" s="244">
        <f t="array" ref="AS8">_xlfn.LET(
    _xlpm.kpiName, AS$2,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8" s="244">
        <f t="array" ref="AT8">_xlfn.LET(
    _xlpm.kpiName, AT$2,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8" s="244">
        <f t="array" ref="AU8">_xlfn.LET(
    _xlpm.kpiName, AU$2,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8" s="244">
        <f t="array" ref="AV8">_xlfn.LET(
    _xlpm.kpiName, AV$2,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8" s="244">
        <f t="array" ref="AW8">_xlfn.LET(
    _xlpm.kpiName, AW$2,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8" s="244">
        <f t="array" ref="AX8">_xlfn.LET(
    _xlpm.kpiName, AX$2,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8" s="244">
        <f t="array" ref="AY8">_xlfn.LET(
    _xlpm.kpiName, AY$2,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8" s="244">
        <f t="array" ref="AZ8">_xlfn.LET(
    _xlpm.kpiName, AZ$2,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8" s="244">
        <f t="array" ref="BA8">_xlfn.LET(
    _xlpm.kpiName, BA$2,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8" s="244">
        <f t="array" ref="BB8">_xlfn.LET(
    _xlpm.kpiName, BB$2,
    _xlpm.factorName, $D8,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9" ht="13" customHeight="1" s="179">
      <c r="A9" s="170" t="n"/>
      <c r="B9" s="170" t="n"/>
      <c r="C9" s="1" t="n"/>
      <c r="D9" s="78" t="inlineStr">
        <is>
          <t>Factor7</t>
        </is>
      </c>
      <c r="E9" s="244">
        <f t="array" ref="E9">_xlfn.LET(
    _xlpm.kpiName, E$2,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9" s="244">
        <f t="array" ref="F9">_xlfn.LET(
    _xlpm.kpiName, F$2,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9" s="244">
        <f t="array" ref="G9">_xlfn.LET(
    _xlpm.kpiName, G$2,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9" s="244">
        <f t="array" ref="H9">_xlfn.LET(
    _xlpm.kpiName, H$2,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9" s="244">
        <f t="array" ref="I9">_xlfn.LET(
    _xlpm.kpiName, I$2,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9" s="244">
        <f t="array" ref="J9">_xlfn.LET(
    _xlpm.kpiName, J$2,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9" s="244">
        <f t="array" ref="K9">_xlfn.LET(
    _xlpm.kpiName, K$2,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9" s="244">
        <f t="array" ref="L9">_xlfn.LET(
    _xlpm.kpiName, L$2,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9" s="244">
        <f t="array" ref="M9">_xlfn.LET(
    _xlpm.kpiName, M$2,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9" s="244">
        <f t="array" ref="N9">_xlfn.LET(
    _xlpm.kpiName, N$2,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9" s="244">
        <f t="array" ref="O9">_xlfn.LET(
    _xlpm.kpiName, O$2,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9" s="244">
        <f t="array" ref="P9">_xlfn.LET(
    _xlpm.kpiName, P$2,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9" s="244">
        <f t="array" ref="Q9">_xlfn.LET(
    _xlpm.kpiName, Q$2,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9" s="244">
        <f t="array" ref="R9">_xlfn.LET(
    _xlpm.kpiName, R$2,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9" s="244">
        <f t="array" ref="S9">_xlfn.LET(
    _xlpm.kpiName, S$2,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9" s="244">
        <f t="array" ref="T9">_xlfn.LET(
    _xlpm.kpiName, T$2,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9" s="244">
        <f t="array" ref="U9">_xlfn.LET(
    _xlpm.kpiName, U$2,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9" s="244">
        <f t="array" ref="V9">_xlfn.LET(
    _xlpm.kpiName, V$2,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9" s="244">
        <f t="array" ref="W9">_xlfn.LET(
    _xlpm.kpiName, W$2,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9" s="244">
        <f t="array" ref="X9">_xlfn.LET(
    _xlpm.kpiName, X$2,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9" s="244">
        <f t="array" ref="Y9">_xlfn.LET(
    _xlpm.kpiName, Y$2,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9" s="244">
        <f t="array" ref="Z9">_xlfn.LET(
    _xlpm.kpiName, Z$2,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9" s="244">
        <f t="array" ref="AA9">_xlfn.LET(
    _xlpm.kpiName, AA$2,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9" s="244">
        <f t="array" ref="AB9">_xlfn.LET(
    _xlpm.kpiName, AB$2,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9" s="244">
        <f t="array" ref="AC9">_xlfn.LET(
    _xlpm.kpiName, AC$2,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9" s="244">
        <f t="array" ref="AD9">_xlfn.LET(
    _xlpm.kpiName, AD$2,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9" s="244">
        <f t="array" ref="AE9">_xlfn.LET(
    _xlpm.kpiName, AE$2,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9" s="244">
        <f t="array" ref="AF9">_xlfn.LET(
    _xlpm.kpiName, AF$2,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9" s="244">
        <f t="array" ref="AG9">_xlfn.LET(
    _xlpm.kpiName, AG$2,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9" s="244">
        <f t="array" ref="AH9">_xlfn.LET(
    _xlpm.kpiName, AH$2,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9" s="244">
        <f t="array" ref="AI9">_xlfn.LET(
    _xlpm.kpiName, AI$2,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9" s="244">
        <f t="array" ref="AJ9">_xlfn.LET(
    _xlpm.kpiName, AJ$2,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9" s="244">
        <f t="array" ref="AK9">_xlfn.LET(
    _xlpm.kpiName, AK$2,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9" s="244">
        <f t="array" ref="AL9">_xlfn.LET(
    _xlpm.kpiName, AL$2,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9" s="244">
        <f t="array" ref="AM9">_xlfn.LET(
    _xlpm.kpiName, AM$2,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9" s="244">
        <f t="array" ref="AN9">_xlfn.LET(
    _xlpm.kpiName, AN$2,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9" s="244">
        <f t="array" ref="AO9">_xlfn.LET(
    _xlpm.kpiName, AO$2,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9" s="244">
        <f t="array" ref="AP9">_xlfn.LET(
    _xlpm.kpiName, AP$2,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9" s="244">
        <f t="array" ref="AQ9">_xlfn.LET(
    _xlpm.kpiName, AQ$2,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9" s="244">
        <f t="array" ref="AR9">_xlfn.LET(
    _xlpm.kpiName, AR$2,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9" s="244">
        <f t="array" ref="AS9">_xlfn.LET(
    _xlpm.kpiName, AS$2,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9" s="244">
        <f t="array" ref="AT9">_xlfn.LET(
    _xlpm.kpiName, AT$2,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9" s="244">
        <f t="array" ref="AU9">_xlfn.LET(
    _xlpm.kpiName, AU$2,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9" s="244">
        <f t="array" ref="AV9">_xlfn.LET(
    _xlpm.kpiName, AV$2,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9" s="244">
        <f t="array" ref="AW9">_xlfn.LET(
    _xlpm.kpiName, AW$2,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9" s="244">
        <f t="array" ref="AX9">_xlfn.LET(
    _xlpm.kpiName, AX$2,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9" s="244">
        <f t="array" ref="AY9">_xlfn.LET(
    _xlpm.kpiName, AY$2,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9" s="244">
        <f t="array" ref="AZ9">_xlfn.LET(
    _xlpm.kpiName, AZ$2,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9" s="244">
        <f t="array" ref="BA9">_xlfn.LET(
    _xlpm.kpiName, BA$2,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9" s="244">
        <f t="array" ref="BB9">_xlfn.LET(
    _xlpm.kpiName, BB$2,
    _xlpm.factorName, $D9,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0" ht="13" customHeight="1" s="179">
      <c r="A10" s="170" t="n"/>
      <c r="B10" s="170" t="n"/>
      <c r="C10" s="1" t="n"/>
      <c r="D10" s="78" t="inlineStr">
        <is>
          <t>Factor8</t>
        </is>
      </c>
      <c r="E10" s="244">
        <f t="array" ref="E10">_xlfn.LET(
    _xlpm.kpiName, E$2,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0" s="244">
        <f t="array" ref="F10">_xlfn.LET(
    _xlpm.kpiName, F$2,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0" s="244">
        <f t="array" ref="G10">_xlfn.LET(
    _xlpm.kpiName, G$2,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0" s="244">
        <f t="array" ref="H10">_xlfn.LET(
    _xlpm.kpiName, H$2,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0" s="244">
        <f t="array" ref="I10">_xlfn.LET(
    _xlpm.kpiName, I$2,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0" s="244">
        <f t="array" ref="J10">_xlfn.LET(
    _xlpm.kpiName, J$2,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0" s="244">
        <f t="array" ref="K10">_xlfn.LET(
    _xlpm.kpiName, K$2,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0" s="244">
        <f t="array" ref="L10">_xlfn.LET(
    _xlpm.kpiName, L$2,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0" s="244">
        <f t="array" ref="M10">_xlfn.LET(
    _xlpm.kpiName, M$2,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0" s="244">
        <f t="array" ref="N10">_xlfn.LET(
    _xlpm.kpiName, N$2,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0" s="244">
        <f t="array" ref="O10">_xlfn.LET(
    _xlpm.kpiName, O$2,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0" s="244">
        <f t="array" ref="P10">_xlfn.LET(
    _xlpm.kpiName, P$2,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0" s="244">
        <f t="array" ref="Q10">_xlfn.LET(
    _xlpm.kpiName, Q$2,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0" s="244">
        <f t="array" ref="R10">_xlfn.LET(
    _xlpm.kpiName, R$2,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0" s="244">
        <f t="array" ref="S10">_xlfn.LET(
    _xlpm.kpiName, S$2,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0" s="244">
        <f t="array" ref="T10">_xlfn.LET(
    _xlpm.kpiName, T$2,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0" s="244">
        <f t="array" ref="U10">_xlfn.LET(
    _xlpm.kpiName, U$2,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0" s="244">
        <f t="array" ref="V10">_xlfn.LET(
    _xlpm.kpiName, V$2,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0" s="244">
        <f t="array" ref="W10">_xlfn.LET(
    _xlpm.kpiName, W$2,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0" s="244">
        <f t="array" ref="X10">_xlfn.LET(
    _xlpm.kpiName, X$2,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0" s="244">
        <f t="array" ref="Y10">_xlfn.LET(
    _xlpm.kpiName, Y$2,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0" s="244">
        <f t="array" ref="Z10">_xlfn.LET(
    _xlpm.kpiName, Z$2,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0" s="244">
        <f t="array" ref="AA10">_xlfn.LET(
    _xlpm.kpiName, AA$2,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0" s="244">
        <f t="array" ref="AB10">_xlfn.LET(
    _xlpm.kpiName, AB$2,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0" s="244">
        <f t="array" ref="AC10">_xlfn.LET(
    _xlpm.kpiName, AC$2,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0" s="244">
        <f t="array" ref="AD10">_xlfn.LET(
    _xlpm.kpiName, AD$2,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0" s="244">
        <f t="array" ref="AE10">_xlfn.LET(
    _xlpm.kpiName, AE$2,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0" s="244">
        <f t="array" ref="AF10">_xlfn.LET(
    _xlpm.kpiName, AF$2,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0" s="244">
        <f t="array" ref="AG10">_xlfn.LET(
    _xlpm.kpiName, AG$2,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0" s="244">
        <f t="array" ref="AH10">_xlfn.LET(
    _xlpm.kpiName, AH$2,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0" s="244">
        <f t="array" ref="AI10">_xlfn.LET(
    _xlpm.kpiName, AI$2,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0" s="244">
        <f t="array" ref="AJ10">_xlfn.LET(
    _xlpm.kpiName, AJ$2,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0" s="244">
        <f t="array" ref="AK10">_xlfn.LET(
    _xlpm.kpiName, AK$2,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0" s="244">
        <f t="array" ref="AL10">_xlfn.LET(
    _xlpm.kpiName, AL$2,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0" s="244">
        <f t="array" ref="AM10">_xlfn.LET(
    _xlpm.kpiName, AM$2,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0" s="244">
        <f t="array" ref="AN10">_xlfn.LET(
    _xlpm.kpiName, AN$2,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0" s="244">
        <f t="array" ref="AO10">_xlfn.LET(
    _xlpm.kpiName, AO$2,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0" s="244">
        <f t="array" ref="AP10">_xlfn.LET(
    _xlpm.kpiName, AP$2,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0" s="244">
        <f t="array" ref="AQ10">_xlfn.LET(
    _xlpm.kpiName, AQ$2,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0" s="244">
        <f t="array" ref="AR10">_xlfn.LET(
    _xlpm.kpiName, AR$2,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0" s="244">
        <f t="array" ref="AS10">_xlfn.LET(
    _xlpm.kpiName, AS$2,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0" s="244">
        <f t="array" ref="AT10">_xlfn.LET(
    _xlpm.kpiName, AT$2,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0" s="244">
        <f t="array" ref="AU10">_xlfn.LET(
    _xlpm.kpiName, AU$2,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0" s="244">
        <f t="array" ref="AV10">_xlfn.LET(
    _xlpm.kpiName, AV$2,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0" s="244">
        <f t="array" ref="AW10">_xlfn.LET(
    _xlpm.kpiName, AW$2,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0" s="244">
        <f t="array" ref="AX10">_xlfn.LET(
    _xlpm.kpiName, AX$2,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0" s="244">
        <f t="array" ref="AY10">_xlfn.LET(
    _xlpm.kpiName, AY$2,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0" s="244">
        <f t="array" ref="AZ10">_xlfn.LET(
    _xlpm.kpiName, AZ$2,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0" s="244">
        <f t="array" ref="BA10">_xlfn.LET(
    _xlpm.kpiName, BA$2,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0" s="244">
        <f t="array" ref="BB10">_xlfn.LET(
    _xlpm.kpiName, BB$2,
    _xlpm.factorName, $D10,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1" ht="13" customHeight="1" s="179">
      <c r="A11" s="171" t="n"/>
      <c r="B11" s="171" t="n"/>
      <c r="C11" s="1" t="n"/>
      <c r="D11" s="78" t="inlineStr">
        <is>
          <t>Factor9</t>
        </is>
      </c>
      <c r="E11" s="244">
        <f t="array" ref="E11">_xlfn.LET(
    _xlpm.kpiName, E$2,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1" s="244">
        <f t="array" ref="F11">_xlfn.LET(
    _xlpm.kpiName, F$2,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1" s="244">
        <f t="array" ref="G11">_xlfn.LET(
    _xlpm.kpiName, G$2,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1" s="244">
        <f t="array" ref="H11">_xlfn.LET(
    _xlpm.kpiName, H$2,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1" s="244">
        <f t="array" ref="I11">_xlfn.LET(
    _xlpm.kpiName, I$2,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1" s="244">
        <f t="array" ref="J11">_xlfn.LET(
    _xlpm.kpiName, J$2,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1" s="244">
        <f t="array" ref="K11">_xlfn.LET(
    _xlpm.kpiName, K$2,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1" s="244">
        <f t="array" ref="L11">_xlfn.LET(
    _xlpm.kpiName, L$2,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1" s="244">
        <f t="array" ref="M11">_xlfn.LET(
    _xlpm.kpiName, M$2,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1" s="244">
        <f t="array" ref="N11">_xlfn.LET(
    _xlpm.kpiName, N$2,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1" s="244">
        <f t="array" ref="O11">_xlfn.LET(
    _xlpm.kpiName, O$2,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1" s="244">
        <f t="array" ref="P11">_xlfn.LET(
    _xlpm.kpiName, P$2,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1" s="244">
        <f t="array" ref="Q11">_xlfn.LET(
    _xlpm.kpiName, Q$2,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1" s="244">
        <f t="array" ref="R11">_xlfn.LET(
    _xlpm.kpiName, R$2,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1" s="244">
        <f t="array" ref="S11">_xlfn.LET(
    _xlpm.kpiName, S$2,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1" s="244">
        <f t="array" ref="T11">_xlfn.LET(
    _xlpm.kpiName, T$2,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1" s="244">
        <f t="array" ref="U11">_xlfn.LET(
    _xlpm.kpiName, U$2,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1" s="244">
        <f t="array" ref="V11">_xlfn.LET(
    _xlpm.kpiName, V$2,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1" s="244">
        <f t="array" ref="W11">_xlfn.LET(
    _xlpm.kpiName, W$2,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1" s="244">
        <f t="array" ref="X11">_xlfn.LET(
    _xlpm.kpiName, X$2,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1" s="244">
        <f t="array" ref="Y11">_xlfn.LET(
    _xlpm.kpiName, Y$2,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1" s="244">
        <f t="array" ref="Z11">_xlfn.LET(
    _xlpm.kpiName, Z$2,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1" s="244">
        <f t="array" ref="AA11">_xlfn.LET(
    _xlpm.kpiName, AA$2,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1" s="244">
        <f t="array" ref="AB11">_xlfn.LET(
    _xlpm.kpiName, AB$2,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1" s="244">
        <f t="array" ref="AC11">_xlfn.LET(
    _xlpm.kpiName, AC$2,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1" s="244">
        <f t="array" ref="AD11">_xlfn.LET(
    _xlpm.kpiName, AD$2,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1" s="244">
        <f t="array" ref="AE11">_xlfn.LET(
    _xlpm.kpiName, AE$2,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1" s="244">
        <f t="array" ref="AF11">_xlfn.LET(
    _xlpm.kpiName, AF$2,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1" s="244">
        <f t="array" ref="AG11">_xlfn.LET(
    _xlpm.kpiName, AG$2,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1" s="244">
        <f t="array" ref="AH11">_xlfn.LET(
    _xlpm.kpiName, AH$2,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1" s="244">
        <f t="array" ref="AI11">_xlfn.LET(
    _xlpm.kpiName, AI$2,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1" s="244">
        <f t="array" ref="AJ11">_xlfn.LET(
    _xlpm.kpiName, AJ$2,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1" s="244">
        <f t="array" ref="AK11">_xlfn.LET(
    _xlpm.kpiName, AK$2,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1" s="244">
        <f t="array" ref="AL11">_xlfn.LET(
    _xlpm.kpiName, AL$2,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1" s="244">
        <f t="array" ref="AM11">_xlfn.LET(
    _xlpm.kpiName, AM$2,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1" s="244">
        <f t="array" ref="AN11">_xlfn.LET(
    _xlpm.kpiName, AN$2,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1" s="244">
        <f t="array" ref="AO11">_xlfn.LET(
    _xlpm.kpiName, AO$2,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1" s="244">
        <f t="array" ref="AP11">_xlfn.LET(
    _xlpm.kpiName, AP$2,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1" s="244">
        <f t="array" ref="AQ11">_xlfn.LET(
    _xlpm.kpiName, AQ$2,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1" s="244">
        <f t="array" ref="AR11">_xlfn.LET(
    _xlpm.kpiName, AR$2,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1" s="244">
        <f t="array" ref="AS11">_xlfn.LET(
    _xlpm.kpiName, AS$2,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1" s="244">
        <f t="array" ref="AT11">_xlfn.LET(
    _xlpm.kpiName, AT$2,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1" s="244">
        <f t="array" ref="AU11">_xlfn.LET(
    _xlpm.kpiName, AU$2,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1" s="244">
        <f t="array" ref="AV11">_xlfn.LET(
    _xlpm.kpiName, AV$2,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1" s="244">
        <f t="array" ref="AW11">_xlfn.LET(
    _xlpm.kpiName, AW$2,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1" s="244">
        <f t="array" ref="AX11">_xlfn.LET(
    _xlpm.kpiName, AX$2,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1" s="244">
        <f t="array" ref="AY11">_xlfn.LET(
    _xlpm.kpiName, AY$2,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1" s="244">
        <f t="array" ref="AZ11">_xlfn.LET(
    _xlpm.kpiName, AZ$2,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1" s="244">
        <f t="array" ref="BA11">_xlfn.LET(
    _xlpm.kpiName, BA$2,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1" s="244">
        <f t="array" ref="BB11">_xlfn.LET(
    _xlpm.kpiName, BB$2,
    _xlpm.factorName, $D11,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2" ht="13" customHeight="1" s="179">
      <c r="A12" s="71" t="n"/>
      <c r="C12" s="1" t="n"/>
      <c r="D12" s="78" t="inlineStr">
        <is>
          <t>Factor10</t>
        </is>
      </c>
      <c r="E12" s="244">
        <f t="array" ref="E12">_xlfn.LET(
    _xlpm.kpiName, E$2,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2" s="244">
        <f t="array" ref="F12">_xlfn.LET(
    _xlpm.kpiName, F$2,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2" s="244">
        <f t="array" ref="G12">_xlfn.LET(
    _xlpm.kpiName, G$2,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2" s="244">
        <f t="array" ref="H12">_xlfn.LET(
    _xlpm.kpiName, H$2,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2" s="244">
        <f t="array" ref="I12">_xlfn.LET(
    _xlpm.kpiName, I$2,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2" s="244">
        <f t="array" ref="J12">_xlfn.LET(
    _xlpm.kpiName, J$2,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2" s="244">
        <f t="array" ref="K12">_xlfn.LET(
    _xlpm.kpiName, K$2,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2" s="244">
        <f t="array" ref="L12">_xlfn.LET(
    _xlpm.kpiName, L$2,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2" s="244">
        <f t="array" ref="M12">_xlfn.LET(
    _xlpm.kpiName, M$2,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2" s="244">
        <f t="array" ref="N12">_xlfn.LET(
    _xlpm.kpiName, N$2,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2" s="244">
        <f t="array" ref="O12">_xlfn.LET(
    _xlpm.kpiName, O$2,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2" s="244">
        <f t="array" ref="P12">_xlfn.LET(
    _xlpm.kpiName, P$2,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2" s="244">
        <f t="array" ref="Q12">_xlfn.LET(
    _xlpm.kpiName, Q$2,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2" s="244">
        <f t="array" ref="R12">_xlfn.LET(
    _xlpm.kpiName, R$2,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2" s="244">
        <f t="array" ref="S12">_xlfn.LET(
    _xlpm.kpiName, S$2,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2" s="244">
        <f t="array" ref="T12">_xlfn.LET(
    _xlpm.kpiName, T$2,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2" s="244">
        <f t="array" ref="U12">_xlfn.LET(
    _xlpm.kpiName, U$2,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2" s="244">
        <f t="array" ref="V12">_xlfn.LET(
    _xlpm.kpiName, V$2,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2" s="244">
        <f t="array" ref="W12">_xlfn.LET(
    _xlpm.kpiName, W$2,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2" s="244">
        <f t="array" ref="X12">_xlfn.LET(
    _xlpm.kpiName, X$2,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2" s="244">
        <f t="array" ref="Y12">_xlfn.LET(
    _xlpm.kpiName, Y$2,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2" s="244">
        <f t="array" ref="Z12">_xlfn.LET(
    _xlpm.kpiName, Z$2,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2" s="244">
        <f t="array" ref="AA12">_xlfn.LET(
    _xlpm.kpiName, AA$2,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2" s="244">
        <f t="array" ref="AB12">_xlfn.LET(
    _xlpm.kpiName, AB$2,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2" s="244">
        <f t="array" ref="AC12">_xlfn.LET(
    _xlpm.kpiName, AC$2,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2" s="244">
        <f t="array" ref="AD12">_xlfn.LET(
    _xlpm.kpiName, AD$2,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2" s="244">
        <f t="array" ref="AE12">_xlfn.LET(
    _xlpm.kpiName, AE$2,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2" s="244">
        <f t="array" ref="AF12">_xlfn.LET(
    _xlpm.kpiName, AF$2,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2" s="244">
        <f t="array" ref="AG12">_xlfn.LET(
    _xlpm.kpiName, AG$2,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2" s="244">
        <f t="array" ref="AH12">_xlfn.LET(
    _xlpm.kpiName, AH$2,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2" s="244">
        <f t="array" ref="AI12">_xlfn.LET(
    _xlpm.kpiName, AI$2,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2" s="244">
        <f t="array" ref="AJ12">_xlfn.LET(
    _xlpm.kpiName, AJ$2,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2" s="244">
        <f t="array" ref="AK12">_xlfn.LET(
    _xlpm.kpiName, AK$2,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2" s="244">
        <f t="array" ref="AL12">_xlfn.LET(
    _xlpm.kpiName, AL$2,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2" s="244">
        <f t="array" ref="AM12">_xlfn.LET(
    _xlpm.kpiName, AM$2,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2" s="244">
        <f t="array" ref="AN12">_xlfn.LET(
    _xlpm.kpiName, AN$2,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2" s="244">
        <f t="array" ref="AO12">_xlfn.LET(
    _xlpm.kpiName, AO$2,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2" s="244">
        <f t="array" ref="AP12">_xlfn.LET(
    _xlpm.kpiName, AP$2,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2" s="244">
        <f t="array" ref="AQ12">_xlfn.LET(
    _xlpm.kpiName, AQ$2,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2" s="244">
        <f t="array" ref="AR12">_xlfn.LET(
    _xlpm.kpiName, AR$2,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2" s="244">
        <f t="array" ref="AS12">_xlfn.LET(
    _xlpm.kpiName, AS$2,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2" s="244">
        <f t="array" ref="AT12">_xlfn.LET(
    _xlpm.kpiName, AT$2,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2" s="244">
        <f t="array" ref="AU12">_xlfn.LET(
    _xlpm.kpiName, AU$2,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2" s="244">
        <f t="array" ref="AV12">_xlfn.LET(
    _xlpm.kpiName, AV$2,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2" s="244">
        <f t="array" ref="AW12">_xlfn.LET(
    _xlpm.kpiName, AW$2,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2" s="244">
        <f t="array" ref="AX12">_xlfn.LET(
    _xlpm.kpiName, AX$2,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2" s="244">
        <f t="array" ref="AY12">_xlfn.LET(
    _xlpm.kpiName, AY$2,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2" s="244">
        <f t="array" ref="AZ12">_xlfn.LET(
    _xlpm.kpiName, AZ$2,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2" s="244">
        <f t="array" ref="BA12">_xlfn.LET(
    _xlpm.kpiName, BA$2,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2" s="244">
        <f t="array" ref="BB12">_xlfn.LET(
    _xlpm.kpiName, BB$2,
    _xlpm.factorName, $D12,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3" ht="13" customHeight="1" s="179">
      <c r="C13" s="1" t="n"/>
      <c r="D13" s="78" t="inlineStr">
        <is>
          <t>Factor11</t>
        </is>
      </c>
      <c r="E13" s="244">
        <f t="array" ref="E13">_xlfn.LET(
    _xlpm.kpiName, E$2,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3" s="244">
        <f t="array" ref="F13">_xlfn.LET(
    _xlpm.kpiName, F$2,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3" s="244">
        <f t="array" ref="G13">_xlfn.LET(
    _xlpm.kpiName, G$2,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3" s="244">
        <f t="array" ref="H13">_xlfn.LET(
    _xlpm.kpiName, H$2,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3" s="244">
        <f t="array" ref="I13">_xlfn.LET(
    _xlpm.kpiName, I$2,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3" s="244">
        <f t="array" ref="J13">_xlfn.LET(
    _xlpm.kpiName, J$2,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3" s="244">
        <f t="array" ref="K13">_xlfn.LET(
    _xlpm.kpiName, K$2,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3" s="244">
        <f t="array" ref="L13">_xlfn.LET(
    _xlpm.kpiName, L$2,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3" s="244">
        <f t="array" ref="M13">_xlfn.LET(
    _xlpm.kpiName, M$2,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3" s="244">
        <f t="array" ref="N13">_xlfn.LET(
    _xlpm.kpiName, N$2,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3" s="244">
        <f t="array" ref="O13">_xlfn.LET(
    _xlpm.kpiName, O$2,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3" s="244">
        <f t="array" ref="P13">_xlfn.LET(
    _xlpm.kpiName, P$2,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3" s="244">
        <f t="array" ref="Q13">_xlfn.LET(
    _xlpm.kpiName, Q$2,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3" s="244">
        <f t="array" ref="R13">_xlfn.LET(
    _xlpm.kpiName, R$2,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3" s="244">
        <f t="array" ref="S13">_xlfn.LET(
    _xlpm.kpiName, S$2,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3" s="244">
        <f t="array" ref="T13">_xlfn.LET(
    _xlpm.kpiName, T$2,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3" s="244">
        <f t="array" ref="U13">_xlfn.LET(
    _xlpm.kpiName, U$2,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3" s="244">
        <f t="array" ref="V13">_xlfn.LET(
    _xlpm.kpiName, V$2,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3" s="244">
        <f t="array" ref="W13">_xlfn.LET(
    _xlpm.kpiName, W$2,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3" s="244">
        <f t="array" ref="X13">_xlfn.LET(
    _xlpm.kpiName, X$2,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3" s="244">
        <f t="array" ref="Y13">_xlfn.LET(
    _xlpm.kpiName, Y$2,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3" s="244">
        <f t="array" ref="Z13">_xlfn.LET(
    _xlpm.kpiName, Z$2,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3" s="244">
        <f t="array" ref="AA13">_xlfn.LET(
    _xlpm.kpiName, AA$2,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3" s="244">
        <f t="array" ref="AB13">_xlfn.LET(
    _xlpm.kpiName, AB$2,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3" s="244">
        <f t="array" ref="AC13">_xlfn.LET(
    _xlpm.kpiName, AC$2,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3" s="244">
        <f t="array" ref="AD13">_xlfn.LET(
    _xlpm.kpiName, AD$2,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3" s="244">
        <f t="array" ref="AE13">_xlfn.LET(
    _xlpm.kpiName, AE$2,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3" s="244">
        <f t="array" ref="AF13">_xlfn.LET(
    _xlpm.kpiName, AF$2,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3" s="244">
        <f t="array" ref="AG13">_xlfn.LET(
    _xlpm.kpiName, AG$2,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3" s="244">
        <f t="array" ref="AH13">_xlfn.LET(
    _xlpm.kpiName, AH$2,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3" s="244">
        <f t="array" ref="AI13">_xlfn.LET(
    _xlpm.kpiName, AI$2,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3" s="244">
        <f t="array" ref="AJ13">_xlfn.LET(
    _xlpm.kpiName, AJ$2,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3" s="244">
        <f t="array" ref="AK13">_xlfn.LET(
    _xlpm.kpiName, AK$2,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3" s="244">
        <f t="array" ref="AL13">_xlfn.LET(
    _xlpm.kpiName, AL$2,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3" s="244">
        <f t="array" ref="AM13">_xlfn.LET(
    _xlpm.kpiName, AM$2,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3" s="244">
        <f t="array" ref="AN13">_xlfn.LET(
    _xlpm.kpiName, AN$2,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3" s="244">
        <f t="array" ref="AO13">_xlfn.LET(
    _xlpm.kpiName, AO$2,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3" s="244">
        <f t="array" ref="AP13">_xlfn.LET(
    _xlpm.kpiName, AP$2,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3" s="244">
        <f t="array" ref="AQ13">_xlfn.LET(
    _xlpm.kpiName, AQ$2,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3" s="244">
        <f t="array" ref="AR13">_xlfn.LET(
    _xlpm.kpiName, AR$2,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3" s="244">
        <f t="array" ref="AS13">_xlfn.LET(
    _xlpm.kpiName, AS$2,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3" s="244">
        <f t="array" ref="AT13">_xlfn.LET(
    _xlpm.kpiName, AT$2,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3" s="244">
        <f t="array" ref="AU13">_xlfn.LET(
    _xlpm.kpiName, AU$2,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3" s="244">
        <f t="array" ref="AV13">_xlfn.LET(
    _xlpm.kpiName, AV$2,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3" s="244">
        <f t="array" ref="AW13">_xlfn.LET(
    _xlpm.kpiName, AW$2,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3" s="244">
        <f t="array" ref="AX13">_xlfn.LET(
    _xlpm.kpiName, AX$2,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3" s="244">
        <f t="array" ref="AY13">_xlfn.LET(
    _xlpm.kpiName, AY$2,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3" s="244">
        <f t="array" ref="AZ13">_xlfn.LET(
    _xlpm.kpiName, AZ$2,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3" s="244">
        <f t="array" ref="BA13">_xlfn.LET(
    _xlpm.kpiName, BA$2,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3" s="244">
        <f t="array" ref="BB13">_xlfn.LET(
    _xlpm.kpiName, BB$2,
    _xlpm.factorName, $D13,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4" ht="13" customHeight="1" s="179">
      <c r="C14" s="1" t="n"/>
      <c r="D14" s="78" t="inlineStr">
        <is>
          <t>Factor12</t>
        </is>
      </c>
      <c r="E14" s="244">
        <f t="array" ref="E14">_xlfn.LET(
    _xlpm.kpiName, E$2,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4" s="244">
        <f t="array" ref="F14">_xlfn.LET(
    _xlpm.kpiName, F$2,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4" s="244">
        <f t="array" ref="G14">_xlfn.LET(
    _xlpm.kpiName, G$2,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4" s="244">
        <f t="array" ref="H14">_xlfn.LET(
    _xlpm.kpiName, H$2,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4" s="244">
        <f t="array" ref="I14">_xlfn.LET(
    _xlpm.kpiName, I$2,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4" s="244">
        <f t="array" ref="J14">_xlfn.LET(
    _xlpm.kpiName, J$2,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4" s="244">
        <f t="array" ref="K14">_xlfn.LET(
    _xlpm.kpiName, K$2,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4" s="244">
        <f t="array" ref="L14">_xlfn.LET(
    _xlpm.kpiName, L$2,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4" s="244">
        <f t="array" ref="M14">_xlfn.LET(
    _xlpm.kpiName, M$2,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4" s="244">
        <f t="array" ref="N14">_xlfn.LET(
    _xlpm.kpiName, N$2,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4" s="244">
        <f t="array" ref="O14">_xlfn.LET(
    _xlpm.kpiName, O$2,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4" s="244">
        <f t="array" ref="P14">_xlfn.LET(
    _xlpm.kpiName, P$2,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4" s="244">
        <f t="array" ref="Q14">_xlfn.LET(
    _xlpm.kpiName, Q$2,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4" s="244">
        <f t="array" ref="R14">_xlfn.LET(
    _xlpm.kpiName, R$2,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4" s="244">
        <f t="array" ref="S14">_xlfn.LET(
    _xlpm.kpiName, S$2,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4" s="244">
        <f t="array" ref="T14">_xlfn.LET(
    _xlpm.kpiName, T$2,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4" s="244">
        <f t="array" ref="U14">_xlfn.LET(
    _xlpm.kpiName, U$2,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4" s="244">
        <f t="array" ref="V14">_xlfn.LET(
    _xlpm.kpiName, V$2,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4" s="244">
        <f t="array" ref="W14">_xlfn.LET(
    _xlpm.kpiName, W$2,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4" s="244">
        <f t="array" ref="X14">_xlfn.LET(
    _xlpm.kpiName, X$2,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4" s="244">
        <f t="array" ref="Y14">_xlfn.LET(
    _xlpm.kpiName, Y$2,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4" s="244">
        <f t="array" ref="Z14">_xlfn.LET(
    _xlpm.kpiName, Z$2,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4" s="244">
        <f t="array" ref="AA14">_xlfn.LET(
    _xlpm.kpiName, AA$2,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4" s="244">
        <f t="array" ref="AB14">_xlfn.LET(
    _xlpm.kpiName, AB$2,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4" s="244">
        <f t="array" ref="AC14">_xlfn.LET(
    _xlpm.kpiName, AC$2,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4" s="244">
        <f t="array" ref="AD14">_xlfn.LET(
    _xlpm.kpiName, AD$2,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4" s="244">
        <f t="array" ref="AE14">_xlfn.LET(
    _xlpm.kpiName, AE$2,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4" s="244">
        <f t="array" ref="AF14">_xlfn.LET(
    _xlpm.kpiName, AF$2,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4" s="244">
        <f t="array" ref="AG14">_xlfn.LET(
    _xlpm.kpiName, AG$2,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4" s="244">
        <f t="array" ref="AH14">_xlfn.LET(
    _xlpm.kpiName, AH$2,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4" s="244">
        <f t="array" ref="AI14">_xlfn.LET(
    _xlpm.kpiName, AI$2,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4" s="244">
        <f t="array" ref="AJ14">_xlfn.LET(
    _xlpm.kpiName, AJ$2,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4" s="244">
        <f t="array" ref="AK14">_xlfn.LET(
    _xlpm.kpiName, AK$2,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4" s="244">
        <f t="array" ref="AL14">_xlfn.LET(
    _xlpm.kpiName, AL$2,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4" s="244">
        <f t="array" ref="AM14">_xlfn.LET(
    _xlpm.kpiName, AM$2,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4" s="244">
        <f t="array" ref="AN14">_xlfn.LET(
    _xlpm.kpiName, AN$2,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4" s="244">
        <f t="array" ref="AO14">_xlfn.LET(
    _xlpm.kpiName, AO$2,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4" s="244">
        <f t="array" ref="AP14">_xlfn.LET(
    _xlpm.kpiName, AP$2,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4" s="244">
        <f t="array" ref="AQ14">_xlfn.LET(
    _xlpm.kpiName, AQ$2,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4" s="244">
        <f t="array" ref="AR14">_xlfn.LET(
    _xlpm.kpiName, AR$2,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4" s="244">
        <f t="array" ref="AS14">_xlfn.LET(
    _xlpm.kpiName, AS$2,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4" s="244">
        <f t="array" ref="AT14">_xlfn.LET(
    _xlpm.kpiName, AT$2,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4" s="244">
        <f t="array" ref="AU14">_xlfn.LET(
    _xlpm.kpiName, AU$2,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4" s="244">
        <f t="array" ref="AV14">_xlfn.LET(
    _xlpm.kpiName, AV$2,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4" s="244">
        <f t="array" ref="AW14">_xlfn.LET(
    _xlpm.kpiName, AW$2,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4" s="244">
        <f t="array" ref="AX14">_xlfn.LET(
    _xlpm.kpiName, AX$2,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4" s="244">
        <f t="array" ref="AY14">_xlfn.LET(
    _xlpm.kpiName, AY$2,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4" s="244">
        <f t="array" ref="AZ14">_xlfn.LET(
    _xlpm.kpiName, AZ$2,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4" s="244">
        <f t="array" ref="BA14">_xlfn.LET(
    _xlpm.kpiName, BA$2,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4" s="244">
        <f t="array" ref="BB14">_xlfn.LET(
    _xlpm.kpiName, BB$2,
    _xlpm.factorName, $D14,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5" ht="13" customHeight="1" s="179">
      <c r="C15" s="1" t="n"/>
      <c r="D15" s="78" t="inlineStr">
        <is>
          <t>Factor13</t>
        </is>
      </c>
      <c r="E15" s="244">
        <f t="array" ref="E15">_xlfn.LET(
    _xlpm.kpiName, E$2,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5" s="244">
        <f t="array" ref="F15">_xlfn.LET(
    _xlpm.kpiName, F$2,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5" s="244">
        <f t="array" ref="G15">_xlfn.LET(
    _xlpm.kpiName, G$2,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5" s="244">
        <f t="array" ref="H15">_xlfn.LET(
    _xlpm.kpiName, H$2,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5" s="244">
        <f t="array" ref="I15">_xlfn.LET(
    _xlpm.kpiName, I$2,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5" s="244">
        <f t="array" ref="J15">_xlfn.LET(
    _xlpm.kpiName, J$2,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5" s="244">
        <f t="array" ref="K15">_xlfn.LET(
    _xlpm.kpiName, K$2,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5" s="244">
        <f t="array" ref="L15">_xlfn.LET(
    _xlpm.kpiName, L$2,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5" s="244">
        <f t="array" ref="M15">_xlfn.LET(
    _xlpm.kpiName, M$2,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5" s="244">
        <f t="array" ref="N15">_xlfn.LET(
    _xlpm.kpiName, N$2,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5" s="244">
        <f t="array" ref="O15">_xlfn.LET(
    _xlpm.kpiName, O$2,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5" s="244">
        <f t="array" ref="P15">_xlfn.LET(
    _xlpm.kpiName, P$2,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5" s="244">
        <f t="array" ref="Q15">_xlfn.LET(
    _xlpm.kpiName, Q$2,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5" s="244">
        <f t="array" ref="R15">_xlfn.LET(
    _xlpm.kpiName, R$2,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5" s="244">
        <f t="array" ref="S15">_xlfn.LET(
    _xlpm.kpiName, S$2,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5" s="244">
        <f t="array" ref="T15">_xlfn.LET(
    _xlpm.kpiName, T$2,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5" s="244">
        <f t="array" ref="U15">_xlfn.LET(
    _xlpm.kpiName, U$2,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5" s="244">
        <f t="array" ref="V15">_xlfn.LET(
    _xlpm.kpiName, V$2,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5" s="244">
        <f t="array" ref="W15">_xlfn.LET(
    _xlpm.kpiName, W$2,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5" s="244">
        <f t="array" ref="X15">_xlfn.LET(
    _xlpm.kpiName, X$2,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5" s="244">
        <f t="array" ref="Y15">_xlfn.LET(
    _xlpm.kpiName, Y$2,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5" s="244">
        <f t="array" ref="Z15">_xlfn.LET(
    _xlpm.kpiName, Z$2,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5" s="244">
        <f t="array" ref="AA15">_xlfn.LET(
    _xlpm.kpiName, AA$2,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5" s="244">
        <f t="array" ref="AB15">_xlfn.LET(
    _xlpm.kpiName, AB$2,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5" s="244">
        <f t="array" ref="AC15">_xlfn.LET(
    _xlpm.kpiName, AC$2,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5" s="244">
        <f t="array" ref="AD15">_xlfn.LET(
    _xlpm.kpiName, AD$2,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5" s="244">
        <f t="array" ref="AE15">_xlfn.LET(
    _xlpm.kpiName, AE$2,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5" s="244">
        <f t="array" ref="AF15">_xlfn.LET(
    _xlpm.kpiName, AF$2,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5" s="244">
        <f t="array" ref="AG15">_xlfn.LET(
    _xlpm.kpiName, AG$2,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5" s="244">
        <f t="array" ref="AH15">_xlfn.LET(
    _xlpm.kpiName, AH$2,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5" s="244">
        <f t="array" ref="AI15">_xlfn.LET(
    _xlpm.kpiName, AI$2,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5" s="244">
        <f t="array" ref="AJ15">_xlfn.LET(
    _xlpm.kpiName, AJ$2,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5" s="244">
        <f t="array" ref="AK15">_xlfn.LET(
    _xlpm.kpiName, AK$2,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5" s="244">
        <f t="array" ref="AL15">_xlfn.LET(
    _xlpm.kpiName, AL$2,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5" s="244">
        <f t="array" ref="AM15">_xlfn.LET(
    _xlpm.kpiName, AM$2,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5" s="244">
        <f t="array" ref="AN15">_xlfn.LET(
    _xlpm.kpiName, AN$2,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5" s="244">
        <f t="array" ref="AO15">_xlfn.LET(
    _xlpm.kpiName, AO$2,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5" s="244">
        <f t="array" ref="AP15">_xlfn.LET(
    _xlpm.kpiName, AP$2,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5" s="244">
        <f t="array" ref="AQ15">_xlfn.LET(
    _xlpm.kpiName, AQ$2,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5" s="244">
        <f t="array" ref="AR15">_xlfn.LET(
    _xlpm.kpiName, AR$2,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5" s="244">
        <f t="array" ref="AS15">_xlfn.LET(
    _xlpm.kpiName, AS$2,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5" s="244">
        <f t="array" ref="AT15">_xlfn.LET(
    _xlpm.kpiName, AT$2,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5" s="244">
        <f t="array" ref="AU15">_xlfn.LET(
    _xlpm.kpiName, AU$2,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5" s="244">
        <f t="array" ref="AV15">_xlfn.LET(
    _xlpm.kpiName, AV$2,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5" s="244">
        <f t="array" ref="AW15">_xlfn.LET(
    _xlpm.kpiName, AW$2,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5" s="244">
        <f t="array" ref="AX15">_xlfn.LET(
    _xlpm.kpiName, AX$2,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5" s="244">
        <f t="array" ref="AY15">_xlfn.LET(
    _xlpm.kpiName, AY$2,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5" s="244">
        <f t="array" ref="AZ15">_xlfn.LET(
    _xlpm.kpiName, AZ$2,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5" s="244">
        <f t="array" ref="BA15">_xlfn.LET(
    _xlpm.kpiName, BA$2,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5" s="244">
        <f t="array" ref="BB15">_xlfn.LET(
    _xlpm.kpiName, BB$2,
    _xlpm.factorName, $D15,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6" ht="13" customHeight="1" s="179">
      <c r="C16" s="1" t="n"/>
      <c r="D16" s="78" t="inlineStr">
        <is>
          <t>Factor14</t>
        </is>
      </c>
      <c r="E16" s="244">
        <f t="array" ref="E16">_xlfn.LET(
    _xlpm.kpiName, E$2,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6" s="244">
        <f t="array" ref="F16">_xlfn.LET(
    _xlpm.kpiName, F$2,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6" s="244">
        <f t="array" ref="G16">_xlfn.LET(
    _xlpm.kpiName, G$2,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6" s="244">
        <f t="array" ref="H16">_xlfn.LET(
    _xlpm.kpiName, H$2,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6" s="244">
        <f t="array" ref="I16">_xlfn.LET(
    _xlpm.kpiName, I$2,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6" s="244">
        <f t="array" ref="J16">_xlfn.LET(
    _xlpm.kpiName, J$2,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6" s="244">
        <f t="array" ref="K16">_xlfn.LET(
    _xlpm.kpiName, K$2,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6" s="244">
        <f t="array" ref="L16">_xlfn.LET(
    _xlpm.kpiName, L$2,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6" s="244">
        <f t="array" ref="M16">_xlfn.LET(
    _xlpm.kpiName, M$2,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6" s="244">
        <f t="array" ref="N16">_xlfn.LET(
    _xlpm.kpiName, N$2,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6" s="244">
        <f t="array" ref="O16">_xlfn.LET(
    _xlpm.kpiName, O$2,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6" s="244">
        <f t="array" ref="P16">_xlfn.LET(
    _xlpm.kpiName, P$2,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6" s="244">
        <f t="array" ref="Q16">_xlfn.LET(
    _xlpm.kpiName, Q$2,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6" s="244">
        <f t="array" ref="R16">_xlfn.LET(
    _xlpm.kpiName, R$2,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6" s="244">
        <f t="array" ref="S16">_xlfn.LET(
    _xlpm.kpiName, S$2,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6" s="244">
        <f t="array" ref="T16">_xlfn.LET(
    _xlpm.kpiName, T$2,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6" s="244">
        <f t="array" ref="U16">_xlfn.LET(
    _xlpm.kpiName, U$2,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6" s="244">
        <f t="array" ref="V16">_xlfn.LET(
    _xlpm.kpiName, V$2,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6" s="244">
        <f t="array" ref="W16">_xlfn.LET(
    _xlpm.kpiName, W$2,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6" s="244">
        <f t="array" ref="X16">_xlfn.LET(
    _xlpm.kpiName, X$2,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6" s="244">
        <f t="array" ref="Y16">_xlfn.LET(
    _xlpm.kpiName, Y$2,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6" s="244">
        <f t="array" ref="Z16">_xlfn.LET(
    _xlpm.kpiName, Z$2,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6" s="244">
        <f t="array" ref="AA16">_xlfn.LET(
    _xlpm.kpiName, AA$2,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6" s="244">
        <f t="array" ref="AB16">_xlfn.LET(
    _xlpm.kpiName, AB$2,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6" s="244">
        <f t="array" ref="AC16">_xlfn.LET(
    _xlpm.kpiName, AC$2,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6" s="244">
        <f t="array" ref="AD16">_xlfn.LET(
    _xlpm.kpiName, AD$2,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6" s="244">
        <f t="array" ref="AE16">_xlfn.LET(
    _xlpm.kpiName, AE$2,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6" s="244">
        <f t="array" ref="AF16">_xlfn.LET(
    _xlpm.kpiName, AF$2,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6" s="244">
        <f t="array" ref="AG16">_xlfn.LET(
    _xlpm.kpiName, AG$2,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6" s="244">
        <f t="array" ref="AH16">_xlfn.LET(
    _xlpm.kpiName, AH$2,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6" s="244">
        <f t="array" ref="AI16">_xlfn.LET(
    _xlpm.kpiName, AI$2,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6" s="244">
        <f t="array" ref="AJ16">_xlfn.LET(
    _xlpm.kpiName, AJ$2,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6" s="244">
        <f t="array" ref="AK16">_xlfn.LET(
    _xlpm.kpiName, AK$2,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6" s="244">
        <f t="array" ref="AL16">_xlfn.LET(
    _xlpm.kpiName, AL$2,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6" s="244">
        <f t="array" ref="AM16">_xlfn.LET(
    _xlpm.kpiName, AM$2,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6" s="244">
        <f t="array" ref="AN16">_xlfn.LET(
    _xlpm.kpiName, AN$2,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6" s="244">
        <f t="array" ref="AO16">_xlfn.LET(
    _xlpm.kpiName, AO$2,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6" s="244">
        <f t="array" ref="AP16">_xlfn.LET(
    _xlpm.kpiName, AP$2,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6" s="244">
        <f t="array" ref="AQ16">_xlfn.LET(
    _xlpm.kpiName, AQ$2,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6" s="244">
        <f t="array" ref="AR16">_xlfn.LET(
    _xlpm.kpiName, AR$2,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6" s="244">
        <f t="array" ref="AS16">_xlfn.LET(
    _xlpm.kpiName, AS$2,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6" s="244">
        <f t="array" ref="AT16">_xlfn.LET(
    _xlpm.kpiName, AT$2,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6" s="244">
        <f t="array" ref="AU16">_xlfn.LET(
    _xlpm.kpiName, AU$2,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6" s="244">
        <f t="array" ref="AV16">_xlfn.LET(
    _xlpm.kpiName, AV$2,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6" s="244">
        <f t="array" ref="AW16">_xlfn.LET(
    _xlpm.kpiName, AW$2,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6" s="244">
        <f t="array" ref="AX16">_xlfn.LET(
    _xlpm.kpiName, AX$2,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6" s="244">
        <f t="array" ref="AY16">_xlfn.LET(
    _xlpm.kpiName, AY$2,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6" s="244">
        <f t="array" ref="AZ16">_xlfn.LET(
    _xlpm.kpiName, AZ$2,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6" s="244">
        <f t="array" ref="BA16">_xlfn.LET(
    _xlpm.kpiName, BA$2,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6" s="244">
        <f t="array" ref="BB16">_xlfn.LET(
    _xlpm.kpiName, BB$2,
    _xlpm.factorName, $D16,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7" ht="13" customHeight="1" s="179">
      <c r="C17" s="1" t="n"/>
      <c r="D17" s="78" t="inlineStr">
        <is>
          <t>Factor15</t>
        </is>
      </c>
      <c r="E17" s="244">
        <f t="array" ref="E17">_xlfn.LET(
    _xlpm.kpiName, E$2,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7" s="244">
        <f t="array" ref="F17">_xlfn.LET(
    _xlpm.kpiName, F$2,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7" s="244">
        <f t="array" ref="G17">_xlfn.LET(
    _xlpm.kpiName, G$2,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7" s="244">
        <f t="array" ref="H17">_xlfn.LET(
    _xlpm.kpiName, H$2,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7" s="244">
        <f t="array" ref="I17">_xlfn.LET(
    _xlpm.kpiName, I$2,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7" s="244">
        <f t="array" ref="J17">_xlfn.LET(
    _xlpm.kpiName, J$2,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7" s="244">
        <f t="array" ref="K17">_xlfn.LET(
    _xlpm.kpiName, K$2,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7" s="244">
        <f t="array" ref="L17">_xlfn.LET(
    _xlpm.kpiName, L$2,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7" s="244">
        <f t="array" ref="M17">_xlfn.LET(
    _xlpm.kpiName, M$2,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7" s="244">
        <f t="array" ref="N17">_xlfn.LET(
    _xlpm.kpiName, N$2,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7" s="244">
        <f t="array" ref="O17">_xlfn.LET(
    _xlpm.kpiName, O$2,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7" s="244">
        <f t="array" ref="P17">_xlfn.LET(
    _xlpm.kpiName, P$2,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7" s="244">
        <f t="array" ref="Q17">_xlfn.LET(
    _xlpm.kpiName, Q$2,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7" s="244">
        <f t="array" ref="R17">_xlfn.LET(
    _xlpm.kpiName, R$2,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7" s="244">
        <f t="array" ref="S17">_xlfn.LET(
    _xlpm.kpiName, S$2,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7" s="244">
        <f t="array" ref="T17">_xlfn.LET(
    _xlpm.kpiName, T$2,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7" s="244">
        <f t="array" ref="U17">_xlfn.LET(
    _xlpm.kpiName, U$2,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7" s="244">
        <f t="array" ref="V17">_xlfn.LET(
    _xlpm.kpiName, V$2,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7" s="244">
        <f t="array" ref="W17">_xlfn.LET(
    _xlpm.kpiName, W$2,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7" s="244">
        <f t="array" ref="X17">_xlfn.LET(
    _xlpm.kpiName, X$2,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7" s="244">
        <f t="array" ref="Y17">_xlfn.LET(
    _xlpm.kpiName, Y$2,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7" s="244">
        <f t="array" ref="Z17">_xlfn.LET(
    _xlpm.kpiName, Z$2,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7" s="244">
        <f t="array" ref="AA17">_xlfn.LET(
    _xlpm.kpiName, AA$2,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7" s="244">
        <f t="array" ref="AB17">_xlfn.LET(
    _xlpm.kpiName, AB$2,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7" s="244">
        <f t="array" ref="AC17">_xlfn.LET(
    _xlpm.kpiName, AC$2,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7" s="244">
        <f t="array" ref="AD17">_xlfn.LET(
    _xlpm.kpiName, AD$2,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7" s="244">
        <f t="array" ref="AE17">_xlfn.LET(
    _xlpm.kpiName, AE$2,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7" s="244">
        <f t="array" ref="AF17">_xlfn.LET(
    _xlpm.kpiName, AF$2,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7" s="244">
        <f t="array" ref="AG17">_xlfn.LET(
    _xlpm.kpiName, AG$2,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7" s="244">
        <f t="array" ref="AH17">_xlfn.LET(
    _xlpm.kpiName, AH$2,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7" s="244">
        <f t="array" ref="AI17">_xlfn.LET(
    _xlpm.kpiName, AI$2,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7" s="244">
        <f t="array" ref="AJ17">_xlfn.LET(
    _xlpm.kpiName, AJ$2,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7" s="244">
        <f t="array" ref="AK17">_xlfn.LET(
    _xlpm.kpiName, AK$2,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7" s="244">
        <f t="array" ref="AL17">_xlfn.LET(
    _xlpm.kpiName, AL$2,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7" s="244">
        <f t="array" ref="AM17">_xlfn.LET(
    _xlpm.kpiName, AM$2,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7" s="244">
        <f t="array" ref="AN17">_xlfn.LET(
    _xlpm.kpiName, AN$2,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7" s="244">
        <f t="array" ref="AO17">_xlfn.LET(
    _xlpm.kpiName, AO$2,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7" s="244">
        <f t="array" ref="AP17">_xlfn.LET(
    _xlpm.kpiName, AP$2,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7" s="244">
        <f t="array" ref="AQ17">_xlfn.LET(
    _xlpm.kpiName, AQ$2,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7" s="244">
        <f t="array" ref="AR17">_xlfn.LET(
    _xlpm.kpiName, AR$2,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7" s="244">
        <f t="array" ref="AS17">_xlfn.LET(
    _xlpm.kpiName, AS$2,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7" s="244">
        <f t="array" ref="AT17">_xlfn.LET(
    _xlpm.kpiName, AT$2,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7" s="244">
        <f t="array" ref="AU17">_xlfn.LET(
    _xlpm.kpiName, AU$2,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7" s="244">
        <f t="array" ref="AV17">_xlfn.LET(
    _xlpm.kpiName, AV$2,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7" s="244">
        <f t="array" ref="AW17">_xlfn.LET(
    _xlpm.kpiName, AW$2,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7" s="244">
        <f t="array" ref="AX17">_xlfn.LET(
    _xlpm.kpiName, AX$2,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7" s="244">
        <f t="array" ref="AY17">_xlfn.LET(
    _xlpm.kpiName, AY$2,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7" s="244">
        <f t="array" ref="AZ17">_xlfn.LET(
    _xlpm.kpiName, AZ$2,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7" s="244">
        <f t="array" ref="BA17">_xlfn.LET(
    _xlpm.kpiName, BA$2,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7" s="244">
        <f t="array" ref="BB17">_xlfn.LET(
    _xlpm.kpiName, BB$2,
    _xlpm.factorName, $D17,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8" ht="13" customHeight="1" s="179">
      <c r="C18" s="1" t="n"/>
      <c r="D18" s="78" t="inlineStr">
        <is>
          <t>Factor16</t>
        </is>
      </c>
      <c r="E18" s="244">
        <f t="array" ref="E18">_xlfn.LET(
    _xlpm.kpiName, E$2,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8" s="244">
        <f t="array" ref="F18">_xlfn.LET(
    _xlpm.kpiName, F$2,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8" s="244">
        <f t="array" ref="G18">_xlfn.LET(
    _xlpm.kpiName, G$2,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8" s="244">
        <f t="array" ref="H18">_xlfn.LET(
    _xlpm.kpiName, H$2,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8" s="244">
        <f t="array" ref="I18">_xlfn.LET(
    _xlpm.kpiName, I$2,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8" s="244">
        <f t="array" ref="J18">_xlfn.LET(
    _xlpm.kpiName, J$2,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8" s="244">
        <f t="array" ref="K18">_xlfn.LET(
    _xlpm.kpiName, K$2,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8" s="244">
        <f t="array" ref="L18">_xlfn.LET(
    _xlpm.kpiName, L$2,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8" s="244">
        <f t="array" ref="M18">_xlfn.LET(
    _xlpm.kpiName, M$2,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8" s="244">
        <f t="array" ref="N18">_xlfn.LET(
    _xlpm.kpiName, N$2,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8" s="244">
        <f t="array" ref="O18">_xlfn.LET(
    _xlpm.kpiName, O$2,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8" s="244">
        <f t="array" ref="P18">_xlfn.LET(
    _xlpm.kpiName, P$2,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8" s="244">
        <f t="array" ref="Q18">_xlfn.LET(
    _xlpm.kpiName, Q$2,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8" s="244">
        <f t="array" ref="R18">_xlfn.LET(
    _xlpm.kpiName, R$2,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8" s="244">
        <f t="array" ref="S18">_xlfn.LET(
    _xlpm.kpiName, S$2,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8" s="244">
        <f t="array" ref="T18">_xlfn.LET(
    _xlpm.kpiName, T$2,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8" s="244">
        <f t="array" ref="U18">_xlfn.LET(
    _xlpm.kpiName, U$2,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8" s="244">
        <f t="array" ref="V18">_xlfn.LET(
    _xlpm.kpiName, V$2,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8" s="244">
        <f t="array" ref="W18">_xlfn.LET(
    _xlpm.kpiName, W$2,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8" s="244">
        <f t="array" ref="X18">_xlfn.LET(
    _xlpm.kpiName, X$2,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8" s="244">
        <f t="array" ref="Y18">_xlfn.LET(
    _xlpm.kpiName, Y$2,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8" s="244">
        <f t="array" ref="Z18">_xlfn.LET(
    _xlpm.kpiName, Z$2,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8" s="244">
        <f t="array" ref="AA18">_xlfn.LET(
    _xlpm.kpiName, AA$2,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8" s="244">
        <f t="array" ref="AB18">_xlfn.LET(
    _xlpm.kpiName, AB$2,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8" s="244">
        <f t="array" ref="AC18">_xlfn.LET(
    _xlpm.kpiName, AC$2,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8" s="244">
        <f t="array" ref="AD18">_xlfn.LET(
    _xlpm.kpiName, AD$2,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8" s="244">
        <f t="array" ref="AE18">_xlfn.LET(
    _xlpm.kpiName, AE$2,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8" s="244">
        <f t="array" ref="AF18">_xlfn.LET(
    _xlpm.kpiName, AF$2,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8" s="244">
        <f t="array" ref="AG18">_xlfn.LET(
    _xlpm.kpiName, AG$2,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8" s="244">
        <f t="array" ref="AH18">_xlfn.LET(
    _xlpm.kpiName, AH$2,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8" s="244">
        <f t="array" ref="AI18">_xlfn.LET(
    _xlpm.kpiName, AI$2,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8" s="244">
        <f t="array" ref="AJ18">_xlfn.LET(
    _xlpm.kpiName, AJ$2,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8" s="244">
        <f t="array" ref="AK18">_xlfn.LET(
    _xlpm.kpiName, AK$2,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8" s="244">
        <f t="array" ref="AL18">_xlfn.LET(
    _xlpm.kpiName, AL$2,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8" s="244">
        <f t="array" ref="AM18">_xlfn.LET(
    _xlpm.kpiName, AM$2,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8" s="244">
        <f t="array" ref="AN18">_xlfn.LET(
    _xlpm.kpiName, AN$2,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8" s="244">
        <f t="array" ref="AO18">_xlfn.LET(
    _xlpm.kpiName, AO$2,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8" s="244">
        <f t="array" ref="AP18">_xlfn.LET(
    _xlpm.kpiName, AP$2,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8" s="244">
        <f t="array" ref="AQ18">_xlfn.LET(
    _xlpm.kpiName, AQ$2,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8" s="244">
        <f t="array" ref="AR18">_xlfn.LET(
    _xlpm.kpiName, AR$2,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8" s="244">
        <f t="array" ref="AS18">_xlfn.LET(
    _xlpm.kpiName, AS$2,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8" s="244">
        <f t="array" ref="AT18">_xlfn.LET(
    _xlpm.kpiName, AT$2,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8" s="244">
        <f t="array" ref="AU18">_xlfn.LET(
    _xlpm.kpiName, AU$2,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8" s="244">
        <f t="array" ref="AV18">_xlfn.LET(
    _xlpm.kpiName, AV$2,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8" s="244">
        <f t="array" ref="AW18">_xlfn.LET(
    _xlpm.kpiName, AW$2,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8" s="244">
        <f t="array" ref="AX18">_xlfn.LET(
    _xlpm.kpiName, AX$2,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8" s="244">
        <f t="array" ref="AY18">_xlfn.LET(
    _xlpm.kpiName, AY$2,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8" s="244">
        <f t="array" ref="AZ18">_xlfn.LET(
    _xlpm.kpiName, AZ$2,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8" s="244">
        <f t="array" ref="BA18">_xlfn.LET(
    _xlpm.kpiName, BA$2,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8" s="244">
        <f t="array" ref="BB18">_xlfn.LET(
    _xlpm.kpiName, BB$2,
    _xlpm.factorName, $D18,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19" ht="13" customHeight="1" s="179">
      <c r="C19" s="1" t="n"/>
      <c r="D19" s="78" t="inlineStr">
        <is>
          <t>Factor17</t>
        </is>
      </c>
      <c r="E19" s="244">
        <f t="array" ref="E19">_xlfn.LET(
    _xlpm.kpiName, E$2,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19" s="244">
        <f t="array" ref="F19">_xlfn.LET(
    _xlpm.kpiName, F$2,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19" s="244">
        <f t="array" ref="G19">_xlfn.LET(
    _xlpm.kpiName, G$2,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19" s="244">
        <f t="array" ref="H19">_xlfn.LET(
    _xlpm.kpiName, H$2,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19" s="244">
        <f t="array" ref="I19">_xlfn.LET(
    _xlpm.kpiName, I$2,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19" s="244">
        <f t="array" ref="J19">_xlfn.LET(
    _xlpm.kpiName, J$2,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19" s="244">
        <f t="array" ref="K19">_xlfn.LET(
    _xlpm.kpiName, K$2,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19" s="244">
        <f t="array" ref="L19">_xlfn.LET(
    _xlpm.kpiName, L$2,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19" s="244">
        <f t="array" ref="M19">_xlfn.LET(
    _xlpm.kpiName, M$2,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19" s="244">
        <f t="array" ref="N19">_xlfn.LET(
    _xlpm.kpiName, N$2,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19" s="244">
        <f t="array" ref="O19">_xlfn.LET(
    _xlpm.kpiName, O$2,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19" s="244">
        <f t="array" ref="P19">_xlfn.LET(
    _xlpm.kpiName, P$2,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19" s="244">
        <f t="array" ref="Q19">_xlfn.LET(
    _xlpm.kpiName, Q$2,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19" s="244">
        <f t="array" ref="R19">_xlfn.LET(
    _xlpm.kpiName, R$2,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19" s="244">
        <f t="array" ref="S19">_xlfn.LET(
    _xlpm.kpiName, S$2,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19" s="244">
        <f t="array" ref="T19">_xlfn.LET(
    _xlpm.kpiName, T$2,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19" s="244">
        <f t="array" ref="U19">_xlfn.LET(
    _xlpm.kpiName, U$2,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19" s="244">
        <f t="array" ref="V19">_xlfn.LET(
    _xlpm.kpiName, V$2,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19" s="244">
        <f t="array" ref="W19">_xlfn.LET(
    _xlpm.kpiName, W$2,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19" s="244">
        <f t="array" ref="X19">_xlfn.LET(
    _xlpm.kpiName, X$2,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19" s="244">
        <f t="array" ref="Y19">_xlfn.LET(
    _xlpm.kpiName, Y$2,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19" s="244">
        <f t="array" ref="Z19">_xlfn.LET(
    _xlpm.kpiName, Z$2,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19" s="244">
        <f t="array" ref="AA19">_xlfn.LET(
    _xlpm.kpiName, AA$2,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19" s="244">
        <f t="array" ref="AB19">_xlfn.LET(
    _xlpm.kpiName, AB$2,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19" s="244">
        <f t="array" ref="AC19">_xlfn.LET(
    _xlpm.kpiName, AC$2,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19" s="244">
        <f t="array" ref="AD19">_xlfn.LET(
    _xlpm.kpiName, AD$2,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19" s="244">
        <f t="array" ref="AE19">_xlfn.LET(
    _xlpm.kpiName, AE$2,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19" s="244">
        <f t="array" ref="AF19">_xlfn.LET(
    _xlpm.kpiName, AF$2,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19" s="244">
        <f t="array" ref="AG19">_xlfn.LET(
    _xlpm.kpiName, AG$2,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19" s="244">
        <f t="array" ref="AH19">_xlfn.LET(
    _xlpm.kpiName, AH$2,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19" s="244">
        <f t="array" ref="AI19">_xlfn.LET(
    _xlpm.kpiName, AI$2,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19" s="244">
        <f t="array" ref="AJ19">_xlfn.LET(
    _xlpm.kpiName, AJ$2,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19" s="244">
        <f t="array" ref="AK19">_xlfn.LET(
    _xlpm.kpiName, AK$2,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19" s="244">
        <f t="array" ref="AL19">_xlfn.LET(
    _xlpm.kpiName, AL$2,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19" s="244">
        <f t="array" ref="AM19">_xlfn.LET(
    _xlpm.kpiName, AM$2,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19" s="244">
        <f t="array" ref="AN19">_xlfn.LET(
    _xlpm.kpiName, AN$2,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19" s="244">
        <f t="array" ref="AO19">_xlfn.LET(
    _xlpm.kpiName, AO$2,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19" s="244">
        <f t="array" ref="AP19">_xlfn.LET(
    _xlpm.kpiName, AP$2,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19" s="244">
        <f t="array" ref="AQ19">_xlfn.LET(
    _xlpm.kpiName, AQ$2,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19" s="244">
        <f t="array" ref="AR19">_xlfn.LET(
    _xlpm.kpiName, AR$2,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19" s="244">
        <f t="array" ref="AS19">_xlfn.LET(
    _xlpm.kpiName, AS$2,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19" s="244">
        <f t="array" ref="AT19">_xlfn.LET(
    _xlpm.kpiName, AT$2,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19" s="244">
        <f t="array" ref="AU19">_xlfn.LET(
    _xlpm.kpiName, AU$2,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19" s="244">
        <f t="array" ref="AV19">_xlfn.LET(
    _xlpm.kpiName, AV$2,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19" s="244">
        <f t="array" ref="AW19">_xlfn.LET(
    _xlpm.kpiName, AW$2,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19" s="244">
        <f t="array" ref="AX19">_xlfn.LET(
    _xlpm.kpiName, AX$2,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19" s="244">
        <f t="array" ref="AY19">_xlfn.LET(
    _xlpm.kpiName, AY$2,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19" s="244">
        <f t="array" ref="AZ19">_xlfn.LET(
    _xlpm.kpiName, AZ$2,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19" s="244">
        <f t="array" ref="BA19">_xlfn.LET(
    _xlpm.kpiName, BA$2,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19" s="244">
        <f t="array" ref="BB19">_xlfn.LET(
    _xlpm.kpiName, BB$2,
    _xlpm.factorName, $D19,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0" ht="13" customHeight="1" s="179">
      <c r="C20" s="1" t="n"/>
      <c r="D20" s="78" t="inlineStr">
        <is>
          <t>Factor18</t>
        </is>
      </c>
      <c r="E20" s="244">
        <f t="array" ref="E20">_xlfn.LET(
    _xlpm.kpiName, E$2,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0" s="244">
        <f t="array" ref="F20">_xlfn.LET(
    _xlpm.kpiName, F$2,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0" s="244">
        <f t="array" ref="G20">_xlfn.LET(
    _xlpm.kpiName, G$2,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0" s="244">
        <f t="array" ref="H20">_xlfn.LET(
    _xlpm.kpiName, H$2,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0" s="244">
        <f t="array" ref="I20">_xlfn.LET(
    _xlpm.kpiName, I$2,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0" s="244">
        <f t="array" ref="J20">_xlfn.LET(
    _xlpm.kpiName, J$2,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0" s="244">
        <f t="array" ref="K20">_xlfn.LET(
    _xlpm.kpiName, K$2,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0" s="244">
        <f t="array" ref="L20">_xlfn.LET(
    _xlpm.kpiName, L$2,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0" s="244">
        <f t="array" ref="M20">_xlfn.LET(
    _xlpm.kpiName, M$2,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0" s="244">
        <f t="array" ref="N20">_xlfn.LET(
    _xlpm.kpiName, N$2,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0" s="244">
        <f t="array" ref="O20">_xlfn.LET(
    _xlpm.kpiName, O$2,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0" s="244">
        <f t="array" ref="P20">_xlfn.LET(
    _xlpm.kpiName, P$2,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0" s="244">
        <f t="array" ref="Q20">_xlfn.LET(
    _xlpm.kpiName, Q$2,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0" s="244">
        <f t="array" ref="R20">_xlfn.LET(
    _xlpm.kpiName, R$2,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0" s="244">
        <f t="array" ref="S20">_xlfn.LET(
    _xlpm.kpiName, S$2,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0" s="244">
        <f t="array" ref="T20">_xlfn.LET(
    _xlpm.kpiName, T$2,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0" s="244">
        <f t="array" ref="U20">_xlfn.LET(
    _xlpm.kpiName, U$2,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0" s="244">
        <f t="array" ref="V20">_xlfn.LET(
    _xlpm.kpiName, V$2,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0" s="244">
        <f t="array" ref="W20">_xlfn.LET(
    _xlpm.kpiName, W$2,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0" s="244">
        <f t="array" ref="X20">_xlfn.LET(
    _xlpm.kpiName, X$2,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0" s="244">
        <f t="array" ref="Y20">_xlfn.LET(
    _xlpm.kpiName, Y$2,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0" s="244">
        <f t="array" ref="Z20">_xlfn.LET(
    _xlpm.kpiName, Z$2,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0" s="244">
        <f t="array" ref="AA20">_xlfn.LET(
    _xlpm.kpiName, AA$2,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0" s="244">
        <f t="array" ref="AB20">_xlfn.LET(
    _xlpm.kpiName, AB$2,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0" s="244">
        <f t="array" ref="AC20">_xlfn.LET(
    _xlpm.kpiName, AC$2,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0" s="244">
        <f t="array" ref="AD20">_xlfn.LET(
    _xlpm.kpiName, AD$2,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0" s="244">
        <f t="array" ref="AE20">_xlfn.LET(
    _xlpm.kpiName, AE$2,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0" s="244">
        <f t="array" ref="AF20">_xlfn.LET(
    _xlpm.kpiName, AF$2,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0" s="244">
        <f t="array" ref="AG20">_xlfn.LET(
    _xlpm.kpiName, AG$2,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0" s="244">
        <f t="array" ref="AH20">_xlfn.LET(
    _xlpm.kpiName, AH$2,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0" s="244">
        <f t="array" ref="AI20">_xlfn.LET(
    _xlpm.kpiName, AI$2,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0" s="244">
        <f t="array" ref="AJ20">_xlfn.LET(
    _xlpm.kpiName, AJ$2,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0" s="244">
        <f t="array" ref="AK20">_xlfn.LET(
    _xlpm.kpiName, AK$2,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0" s="244">
        <f t="array" ref="AL20">_xlfn.LET(
    _xlpm.kpiName, AL$2,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0" s="244">
        <f t="array" ref="AM20">_xlfn.LET(
    _xlpm.kpiName, AM$2,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0" s="244">
        <f t="array" ref="AN20">_xlfn.LET(
    _xlpm.kpiName, AN$2,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0" s="244">
        <f t="array" ref="AO20">_xlfn.LET(
    _xlpm.kpiName, AO$2,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0" s="244">
        <f t="array" ref="AP20">_xlfn.LET(
    _xlpm.kpiName, AP$2,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0" s="244">
        <f t="array" ref="AQ20">_xlfn.LET(
    _xlpm.kpiName, AQ$2,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0" s="244">
        <f t="array" ref="AR20">_xlfn.LET(
    _xlpm.kpiName, AR$2,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0" s="244">
        <f t="array" ref="AS20">_xlfn.LET(
    _xlpm.kpiName, AS$2,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0" s="244">
        <f t="array" ref="AT20">_xlfn.LET(
    _xlpm.kpiName, AT$2,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0" s="244">
        <f t="array" ref="AU20">_xlfn.LET(
    _xlpm.kpiName, AU$2,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0" s="244">
        <f t="array" ref="AV20">_xlfn.LET(
    _xlpm.kpiName, AV$2,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0" s="244">
        <f t="array" ref="AW20">_xlfn.LET(
    _xlpm.kpiName, AW$2,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0" s="244">
        <f t="array" ref="AX20">_xlfn.LET(
    _xlpm.kpiName, AX$2,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0" s="244">
        <f t="array" ref="AY20">_xlfn.LET(
    _xlpm.kpiName, AY$2,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0" s="244">
        <f t="array" ref="AZ20">_xlfn.LET(
    _xlpm.kpiName, AZ$2,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0" s="244">
        <f t="array" ref="BA20">_xlfn.LET(
    _xlpm.kpiName, BA$2,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0" s="244">
        <f t="array" ref="BB20">_xlfn.LET(
    _xlpm.kpiName, BB$2,
    _xlpm.factorName, $D20,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1" ht="13" customHeight="1" s="179">
      <c r="C21" s="1" t="n"/>
      <c r="D21" s="78" t="inlineStr">
        <is>
          <t>Factor19</t>
        </is>
      </c>
      <c r="E21" s="244">
        <f t="array" ref="E21">_xlfn.LET(
    _xlpm.kpiName, E$2,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1" s="244">
        <f t="array" ref="F21">_xlfn.LET(
    _xlpm.kpiName, F$2,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1" s="244">
        <f t="array" ref="G21">_xlfn.LET(
    _xlpm.kpiName, G$2,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1" s="244">
        <f t="array" ref="H21">_xlfn.LET(
    _xlpm.kpiName, H$2,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1" s="244">
        <f t="array" ref="I21">_xlfn.LET(
    _xlpm.kpiName, I$2,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1" s="244">
        <f t="array" ref="J21">_xlfn.LET(
    _xlpm.kpiName, J$2,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1" s="244">
        <f t="array" ref="K21">_xlfn.LET(
    _xlpm.kpiName, K$2,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1" s="244">
        <f t="array" ref="L21">_xlfn.LET(
    _xlpm.kpiName, L$2,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1" s="244">
        <f t="array" ref="M21">_xlfn.LET(
    _xlpm.kpiName, M$2,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1" s="244">
        <f t="array" ref="N21">_xlfn.LET(
    _xlpm.kpiName, N$2,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1" s="244">
        <f t="array" ref="O21">_xlfn.LET(
    _xlpm.kpiName, O$2,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1" s="244">
        <f t="array" ref="P21">_xlfn.LET(
    _xlpm.kpiName, P$2,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1" s="244">
        <f t="array" ref="Q21">_xlfn.LET(
    _xlpm.kpiName, Q$2,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1" s="244">
        <f t="array" ref="R21">_xlfn.LET(
    _xlpm.kpiName, R$2,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1" s="244">
        <f t="array" ref="S21">_xlfn.LET(
    _xlpm.kpiName, S$2,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1" s="244">
        <f t="array" ref="T21">_xlfn.LET(
    _xlpm.kpiName, T$2,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1" s="244">
        <f t="array" ref="U21">_xlfn.LET(
    _xlpm.kpiName, U$2,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1" s="244">
        <f t="array" ref="V21">_xlfn.LET(
    _xlpm.kpiName, V$2,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1" s="244">
        <f t="array" ref="W21">_xlfn.LET(
    _xlpm.kpiName, W$2,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1" s="244">
        <f t="array" ref="X21">_xlfn.LET(
    _xlpm.kpiName, X$2,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1" s="244">
        <f t="array" ref="Y21">_xlfn.LET(
    _xlpm.kpiName, Y$2,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1" s="244">
        <f t="array" ref="Z21">_xlfn.LET(
    _xlpm.kpiName, Z$2,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1" s="244">
        <f t="array" ref="AA21">_xlfn.LET(
    _xlpm.kpiName, AA$2,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1" s="244">
        <f t="array" ref="AB21">_xlfn.LET(
    _xlpm.kpiName, AB$2,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1" s="244">
        <f t="array" ref="AC21">_xlfn.LET(
    _xlpm.kpiName, AC$2,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1" s="244">
        <f t="array" ref="AD21">_xlfn.LET(
    _xlpm.kpiName, AD$2,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1" s="244">
        <f t="array" ref="AE21">_xlfn.LET(
    _xlpm.kpiName, AE$2,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1" s="244">
        <f t="array" ref="AF21">_xlfn.LET(
    _xlpm.kpiName, AF$2,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1" s="244">
        <f t="array" ref="AG21">_xlfn.LET(
    _xlpm.kpiName, AG$2,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1" s="244">
        <f t="array" ref="AH21">_xlfn.LET(
    _xlpm.kpiName, AH$2,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1" s="244">
        <f t="array" ref="AI21">_xlfn.LET(
    _xlpm.kpiName, AI$2,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1" s="244">
        <f t="array" ref="AJ21">_xlfn.LET(
    _xlpm.kpiName, AJ$2,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1" s="244">
        <f t="array" ref="AK21">_xlfn.LET(
    _xlpm.kpiName, AK$2,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1" s="244">
        <f t="array" ref="AL21">_xlfn.LET(
    _xlpm.kpiName, AL$2,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1" s="244">
        <f t="array" ref="AM21">_xlfn.LET(
    _xlpm.kpiName, AM$2,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1" s="244">
        <f t="array" ref="AN21">_xlfn.LET(
    _xlpm.kpiName, AN$2,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1" s="244">
        <f t="array" ref="AO21">_xlfn.LET(
    _xlpm.kpiName, AO$2,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1" s="244">
        <f t="array" ref="AP21">_xlfn.LET(
    _xlpm.kpiName, AP$2,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1" s="244">
        <f t="array" ref="AQ21">_xlfn.LET(
    _xlpm.kpiName, AQ$2,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1" s="244">
        <f t="array" ref="AR21">_xlfn.LET(
    _xlpm.kpiName, AR$2,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1" s="244">
        <f t="array" ref="AS21">_xlfn.LET(
    _xlpm.kpiName, AS$2,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1" s="244">
        <f t="array" ref="AT21">_xlfn.LET(
    _xlpm.kpiName, AT$2,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1" s="244">
        <f t="array" ref="AU21">_xlfn.LET(
    _xlpm.kpiName, AU$2,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1" s="244">
        <f t="array" ref="AV21">_xlfn.LET(
    _xlpm.kpiName, AV$2,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1" s="244">
        <f t="array" ref="AW21">_xlfn.LET(
    _xlpm.kpiName, AW$2,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1" s="244">
        <f t="array" ref="AX21">_xlfn.LET(
    _xlpm.kpiName, AX$2,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1" s="244">
        <f t="array" ref="AY21">_xlfn.LET(
    _xlpm.kpiName, AY$2,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1" s="244">
        <f t="array" ref="AZ21">_xlfn.LET(
    _xlpm.kpiName, AZ$2,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1" s="244">
        <f t="array" ref="BA21">_xlfn.LET(
    _xlpm.kpiName, BA$2,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1" s="244">
        <f t="array" ref="BB21">_xlfn.LET(
    _xlpm.kpiName, BB$2,
    _xlpm.factorName, $D21,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2" ht="13" customHeight="1" s="179">
      <c r="C22" s="1" t="n"/>
      <c r="D22" s="78" t="inlineStr">
        <is>
          <t>Factor20</t>
        </is>
      </c>
      <c r="E22" s="244">
        <f t="array" ref="E22">_xlfn.LET(
    _xlpm.kpiName, E$2,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2" s="244">
        <f t="array" ref="F22">_xlfn.LET(
    _xlpm.kpiName, F$2,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2" s="244">
        <f t="array" ref="G22">_xlfn.LET(
    _xlpm.kpiName, G$2,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2" s="244">
        <f t="array" ref="H22">_xlfn.LET(
    _xlpm.kpiName, H$2,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2" s="244">
        <f t="array" ref="I22">_xlfn.LET(
    _xlpm.kpiName, I$2,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2" s="244">
        <f t="array" ref="J22">_xlfn.LET(
    _xlpm.kpiName, J$2,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2" s="244">
        <f t="array" ref="K22">_xlfn.LET(
    _xlpm.kpiName, K$2,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2" s="244">
        <f t="array" ref="L22">_xlfn.LET(
    _xlpm.kpiName, L$2,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2" s="244">
        <f t="array" ref="M22">_xlfn.LET(
    _xlpm.kpiName, M$2,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2" s="244">
        <f t="array" ref="N22">_xlfn.LET(
    _xlpm.kpiName, N$2,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2" s="244">
        <f t="array" ref="O22">_xlfn.LET(
    _xlpm.kpiName, O$2,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2" s="244">
        <f t="array" ref="P22">_xlfn.LET(
    _xlpm.kpiName, P$2,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2" s="244">
        <f t="array" ref="Q22">_xlfn.LET(
    _xlpm.kpiName, Q$2,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2" s="244">
        <f t="array" ref="R22">_xlfn.LET(
    _xlpm.kpiName, R$2,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2" s="244">
        <f t="array" ref="S22">_xlfn.LET(
    _xlpm.kpiName, S$2,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2" s="244">
        <f t="array" ref="T22">_xlfn.LET(
    _xlpm.kpiName, T$2,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2" s="244">
        <f t="array" ref="U22">_xlfn.LET(
    _xlpm.kpiName, U$2,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2" s="244">
        <f t="array" ref="V22">_xlfn.LET(
    _xlpm.kpiName, V$2,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2" s="244">
        <f t="array" ref="W22">_xlfn.LET(
    _xlpm.kpiName, W$2,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2" s="244">
        <f t="array" ref="X22">_xlfn.LET(
    _xlpm.kpiName, X$2,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2" s="244">
        <f t="array" ref="Y22">_xlfn.LET(
    _xlpm.kpiName, Y$2,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2" s="244">
        <f t="array" ref="Z22">_xlfn.LET(
    _xlpm.kpiName, Z$2,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2" s="244">
        <f t="array" ref="AA22">_xlfn.LET(
    _xlpm.kpiName, AA$2,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2" s="244">
        <f t="array" ref="AB22">_xlfn.LET(
    _xlpm.kpiName, AB$2,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2" s="244">
        <f t="array" ref="AC22">_xlfn.LET(
    _xlpm.kpiName, AC$2,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2" s="244">
        <f t="array" ref="AD22">_xlfn.LET(
    _xlpm.kpiName, AD$2,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2" s="244">
        <f t="array" ref="AE22">_xlfn.LET(
    _xlpm.kpiName, AE$2,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2" s="244">
        <f t="array" ref="AF22">_xlfn.LET(
    _xlpm.kpiName, AF$2,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2" s="244">
        <f t="array" ref="AG22">_xlfn.LET(
    _xlpm.kpiName, AG$2,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2" s="244">
        <f t="array" ref="AH22">_xlfn.LET(
    _xlpm.kpiName, AH$2,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2" s="244">
        <f t="array" ref="AI22">_xlfn.LET(
    _xlpm.kpiName, AI$2,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2" s="244">
        <f t="array" ref="AJ22">_xlfn.LET(
    _xlpm.kpiName, AJ$2,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2" s="244">
        <f t="array" ref="AK22">_xlfn.LET(
    _xlpm.kpiName, AK$2,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2" s="244">
        <f t="array" ref="AL22">_xlfn.LET(
    _xlpm.kpiName, AL$2,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2" s="244">
        <f t="array" ref="AM22">_xlfn.LET(
    _xlpm.kpiName, AM$2,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2" s="244">
        <f t="array" ref="AN22">_xlfn.LET(
    _xlpm.kpiName, AN$2,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2" s="244">
        <f t="array" ref="AO22">_xlfn.LET(
    _xlpm.kpiName, AO$2,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2" s="244">
        <f t="array" ref="AP22">_xlfn.LET(
    _xlpm.kpiName, AP$2,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2" s="244">
        <f t="array" ref="AQ22">_xlfn.LET(
    _xlpm.kpiName, AQ$2,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2" s="244">
        <f t="array" ref="AR22">_xlfn.LET(
    _xlpm.kpiName, AR$2,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2" s="244">
        <f t="array" ref="AS22">_xlfn.LET(
    _xlpm.kpiName, AS$2,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2" s="244">
        <f t="array" ref="AT22">_xlfn.LET(
    _xlpm.kpiName, AT$2,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2" s="244">
        <f t="array" ref="AU22">_xlfn.LET(
    _xlpm.kpiName, AU$2,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2" s="244">
        <f t="array" ref="AV22">_xlfn.LET(
    _xlpm.kpiName, AV$2,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2" s="244">
        <f t="array" ref="AW22">_xlfn.LET(
    _xlpm.kpiName, AW$2,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2" s="244">
        <f t="array" ref="AX22">_xlfn.LET(
    _xlpm.kpiName, AX$2,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2" s="244">
        <f t="array" ref="AY22">_xlfn.LET(
    _xlpm.kpiName, AY$2,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2" s="244">
        <f t="array" ref="AZ22">_xlfn.LET(
    _xlpm.kpiName, AZ$2,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2" s="244">
        <f t="array" ref="BA22">_xlfn.LET(
    _xlpm.kpiName, BA$2,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2" s="244">
        <f t="array" ref="BB22">_xlfn.LET(
    _xlpm.kpiName, BB$2,
    _xlpm.factorName, $D22,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3" ht="13" customHeight="1" s="179">
      <c r="C23" s="1" t="n"/>
      <c r="D23" s="78" t="inlineStr">
        <is>
          <t>Factor21</t>
        </is>
      </c>
      <c r="E23" s="244">
        <f t="array" ref="E23">_xlfn.LET(
    _xlpm.kpiName, E$2,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3" s="244">
        <f t="array" ref="F23">_xlfn.LET(
    _xlpm.kpiName, F$2,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3" s="244">
        <f t="array" ref="G23">_xlfn.LET(
    _xlpm.kpiName, G$2,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3" s="244">
        <f t="array" ref="H23">_xlfn.LET(
    _xlpm.kpiName, H$2,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3" s="244">
        <f t="array" ref="I23">_xlfn.LET(
    _xlpm.kpiName, I$2,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3" s="244">
        <f t="array" ref="J23">_xlfn.LET(
    _xlpm.kpiName, J$2,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3" s="244">
        <f t="array" ref="K23">_xlfn.LET(
    _xlpm.kpiName, K$2,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3" s="244">
        <f t="array" ref="L23">_xlfn.LET(
    _xlpm.kpiName, L$2,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3" s="244">
        <f t="array" ref="M23">_xlfn.LET(
    _xlpm.kpiName, M$2,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3" s="244">
        <f t="array" ref="N23">_xlfn.LET(
    _xlpm.kpiName, N$2,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3" s="244">
        <f t="array" ref="O23">_xlfn.LET(
    _xlpm.kpiName, O$2,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3" s="244">
        <f t="array" ref="P23">_xlfn.LET(
    _xlpm.kpiName, P$2,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3" s="244">
        <f t="array" ref="Q23">_xlfn.LET(
    _xlpm.kpiName, Q$2,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3" s="244">
        <f t="array" ref="R23">_xlfn.LET(
    _xlpm.kpiName, R$2,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3" s="244">
        <f t="array" ref="S23">_xlfn.LET(
    _xlpm.kpiName, S$2,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3" s="244">
        <f t="array" ref="T23">_xlfn.LET(
    _xlpm.kpiName, T$2,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3" s="244">
        <f t="array" ref="U23">_xlfn.LET(
    _xlpm.kpiName, U$2,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3" s="244">
        <f t="array" ref="V23">_xlfn.LET(
    _xlpm.kpiName, V$2,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3" s="244">
        <f t="array" ref="W23">_xlfn.LET(
    _xlpm.kpiName, W$2,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3" s="244">
        <f t="array" ref="X23">_xlfn.LET(
    _xlpm.kpiName, X$2,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3" s="244">
        <f t="array" ref="Y23">_xlfn.LET(
    _xlpm.kpiName, Y$2,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3" s="244">
        <f t="array" ref="Z23">_xlfn.LET(
    _xlpm.kpiName, Z$2,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3" s="244">
        <f t="array" ref="AA23">_xlfn.LET(
    _xlpm.kpiName, AA$2,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3" s="244">
        <f t="array" ref="AB23">_xlfn.LET(
    _xlpm.kpiName, AB$2,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3" s="244">
        <f t="array" ref="AC23">_xlfn.LET(
    _xlpm.kpiName, AC$2,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3" s="244">
        <f t="array" ref="AD23">_xlfn.LET(
    _xlpm.kpiName, AD$2,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3" s="244">
        <f t="array" ref="AE23">_xlfn.LET(
    _xlpm.kpiName, AE$2,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3" s="244">
        <f t="array" ref="AF23">_xlfn.LET(
    _xlpm.kpiName, AF$2,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3" s="244">
        <f t="array" ref="AG23">_xlfn.LET(
    _xlpm.kpiName, AG$2,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3" s="244">
        <f t="array" ref="AH23">_xlfn.LET(
    _xlpm.kpiName, AH$2,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3" s="244">
        <f t="array" ref="AI23">_xlfn.LET(
    _xlpm.kpiName, AI$2,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3" s="244">
        <f t="array" ref="AJ23">_xlfn.LET(
    _xlpm.kpiName, AJ$2,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3" s="244">
        <f t="array" ref="AK23">_xlfn.LET(
    _xlpm.kpiName, AK$2,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3" s="244">
        <f t="array" ref="AL23">_xlfn.LET(
    _xlpm.kpiName, AL$2,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3" s="244">
        <f t="array" ref="AM23">_xlfn.LET(
    _xlpm.kpiName, AM$2,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3" s="244">
        <f t="array" ref="AN23">_xlfn.LET(
    _xlpm.kpiName, AN$2,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3" s="244">
        <f t="array" ref="AO23">_xlfn.LET(
    _xlpm.kpiName, AO$2,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3" s="244">
        <f t="array" ref="AP23">_xlfn.LET(
    _xlpm.kpiName, AP$2,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3" s="244">
        <f t="array" ref="AQ23">_xlfn.LET(
    _xlpm.kpiName, AQ$2,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3" s="244">
        <f t="array" ref="AR23">_xlfn.LET(
    _xlpm.kpiName, AR$2,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3" s="244">
        <f t="array" ref="AS23">_xlfn.LET(
    _xlpm.kpiName, AS$2,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3" s="244">
        <f t="array" ref="AT23">_xlfn.LET(
    _xlpm.kpiName, AT$2,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3" s="244">
        <f t="array" ref="AU23">_xlfn.LET(
    _xlpm.kpiName, AU$2,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3" s="244">
        <f t="array" ref="AV23">_xlfn.LET(
    _xlpm.kpiName, AV$2,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3" s="244">
        <f t="array" ref="AW23">_xlfn.LET(
    _xlpm.kpiName, AW$2,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3" s="244">
        <f t="array" ref="AX23">_xlfn.LET(
    _xlpm.kpiName, AX$2,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3" s="244">
        <f t="array" ref="AY23">_xlfn.LET(
    _xlpm.kpiName, AY$2,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3" s="244">
        <f t="array" ref="AZ23">_xlfn.LET(
    _xlpm.kpiName, AZ$2,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3" s="244">
        <f t="array" ref="BA23">_xlfn.LET(
    _xlpm.kpiName, BA$2,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3" s="244">
        <f t="array" ref="BB23">_xlfn.LET(
    _xlpm.kpiName, BB$2,
    _xlpm.factorName, $D23,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4" ht="9" customHeight="1" s="179">
      <c r="C24" s="1" t="n"/>
      <c r="D24" s="78" t="inlineStr">
        <is>
          <t>Factor22</t>
        </is>
      </c>
      <c r="E24" s="244">
        <f t="array" ref="E24">_xlfn.LET(
    _xlpm.kpiName, E$2,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4" s="244">
        <f t="array" ref="F24">_xlfn.LET(
    _xlpm.kpiName, F$2,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4" s="244">
        <f t="array" ref="G24">_xlfn.LET(
    _xlpm.kpiName, G$2,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4" s="244">
        <f t="array" ref="H24">_xlfn.LET(
    _xlpm.kpiName, H$2,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4" s="244">
        <f t="array" ref="I24">_xlfn.LET(
    _xlpm.kpiName, I$2,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4" s="244">
        <f t="array" ref="J24">_xlfn.LET(
    _xlpm.kpiName, J$2,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4" s="244">
        <f t="array" ref="K24">_xlfn.LET(
    _xlpm.kpiName, K$2,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4" s="244">
        <f t="array" ref="L24">_xlfn.LET(
    _xlpm.kpiName, L$2,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4" s="244">
        <f t="array" ref="M24">_xlfn.LET(
    _xlpm.kpiName, M$2,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4" s="244">
        <f t="array" ref="N24">_xlfn.LET(
    _xlpm.kpiName, N$2,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4" s="244">
        <f t="array" ref="O24">_xlfn.LET(
    _xlpm.kpiName, O$2,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4" s="244">
        <f t="array" ref="P24">_xlfn.LET(
    _xlpm.kpiName, P$2,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4" s="244">
        <f t="array" ref="Q24">_xlfn.LET(
    _xlpm.kpiName, Q$2,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4" s="244">
        <f t="array" ref="R24">_xlfn.LET(
    _xlpm.kpiName, R$2,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4" s="244">
        <f t="array" ref="S24">_xlfn.LET(
    _xlpm.kpiName, S$2,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4" s="244">
        <f t="array" ref="T24">_xlfn.LET(
    _xlpm.kpiName, T$2,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4" s="244">
        <f t="array" ref="U24">_xlfn.LET(
    _xlpm.kpiName, U$2,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4" s="244">
        <f t="array" ref="V24">_xlfn.LET(
    _xlpm.kpiName, V$2,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4" s="244">
        <f t="array" ref="W24">_xlfn.LET(
    _xlpm.kpiName, W$2,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4" s="244">
        <f t="array" ref="X24">_xlfn.LET(
    _xlpm.kpiName, X$2,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4" s="244">
        <f t="array" ref="Y24">_xlfn.LET(
    _xlpm.kpiName, Y$2,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4" s="244">
        <f t="array" ref="Z24">_xlfn.LET(
    _xlpm.kpiName, Z$2,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4" s="244">
        <f t="array" ref="AA24">_xlfn.LET(
    _xlpm.kpiName, AA$2,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4" s="244">
        <f t="array" ref="AB24">_xlfn.LET(
    _xlpm.kpiName, AB$2,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4" s="244">
        <f t="array" ref="AC24">_xlfn.LET(
    _xlpm.kpiName, AC$2,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4" s="244">
        <f t="array" ref="AD24">_xlfn.LET(
    _xlpm.kpiName, AD$2,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4" s="244">
        <f t="array" ref="AE24">_xlfn.LET(
    _xlpm.kpiName, AE$2,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4" s="244">
        <f t="array" ref="AF24">_xlfn.LET(
    _xlpm.kpiName, AF$2,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4" s="244">
        <f t="array" ref="AG24">_xlfn.LET(
    _xlpm.kpiName, AG$2,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4" s="244">
        <f t="array" ref="AH24">_xlfn.LET(
    _xlpm.kpiName, AH$2,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4" s="244">
        <f t="array" ref="AI24">_xlfn.LET(
    _xlpm.kpiName, AI$2,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4" s="244">
        <f t="array" ref="AJ24">_xlfn.LET(
    _xlpm.kpiName, AJ$2,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4" s="244">
        <f t="array" ref="AK24">_xlfn.LET(
    _xlpm.kpiName, AK$2,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4" s="244">
        <f t="array" ref="AL24">_xlfn.LET(
    _xlpm.kpiName, AL$2,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4" s="244">
        <f t="array" ref="AM24">_xlfn.LET(
    _xlpm.kpiName, AM$2,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4" s="244">
        <f t="array" ref="AN24">_xlfn.LET(
    _xlpm.kpiName, AN$2,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4" s="244">
        <f t="array" ref="AO24">_xlfn.LET(
    _xlpm.kpiName, AO$2,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4" s="244">
        <f t="array" ref="AP24">_xlfn.LET(
    _xlpm.kpiName, AP$2,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4" s="244">
        <f t="array" ref="AQ24">_xlfn.LET(
    _xlpm.kpiName, AQ$2,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4" s="244">
        <f t="array" ref="AR24">_xlfn.LET(
    _xlpm.kpiName, AR$2,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4" s="244">
        <f t="array" ref="AS24">_xlfn.LET(
    _xlpm.kpiName, AS$2,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4" s="244">
        <f t="array" ref="AT24">_xlfn.LET(
    _xlpm.kpiName, AT$2,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4" s="244">
        <f t="array" ref="AU24">_xlfn.LET(
    _xlpm.kpiName, AU$2,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4" s="244">
        <f t="array" ref="AV24">_xlfn.LET(
    _xlpm.kpiName, AV$2,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4" s="244">
        <f t="array" ref="AW24">_xlfn.LET(
    _xlpm.kpiName, AW$2,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4" s="244">
        <f t="array" ref="AX24">_xlfn.LET(
    _xlpm.kpiName, AX$2,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4" s="244">
        <f t="array" ref="AY24">_xlfn.LET(
    _xlpm.kpiName, AY$2,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4" s="244">
        <f t="array" ref="AZ24">_xlfn.LET(
    _xlpm.kpiName, AZ$2,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4" s="244">
        <f t="array" ref="BA24">_xlfn.LET(
    _xlpm.kpiName, BA$2,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4" s="244">
        <f t="array" ref="BB24">_xlfn.LET(
    _xlpm.kpiName, BB$2,
    _xlpm.factorName, $D24,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5" ht="9" customHeight="1" s="179">
      <c r="C25" s="1" t="n"/>
      <c r="D25" s="78" t="inlineStr">
        <is>
          <t>Factor23</t>
        </is>
      </c>
      <c r="E25" s="244">
        <f t="array" ref="E25">_xlfn.LET(
    _xlpm.kpiName, E$2,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5" s="244">
        <f t="array" ref="F25">_xlfn.LET(
    _xlpm.kpiName, F$2,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5" s="244">
        <f t="array" ref="G25">_xlfn.LET(
    _xlpm.kpiName, G$2,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5" s="244">
        <f t="array" ref="H25">_xlfn.LET(
    _xlpm.kpiName, H$2,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5" s="244">
        <f t="array" ref="I25">_xlfn.LET(
    _xlpm.kpiName, I$2,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5" s="244">
        <f t="array" ref="J25">_xlfn.LET(
    _xlpm.kpiName, J$2,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5" s="244">
        <f t="array" ref="K25">_xlfn.LET(
    _xlpm.kpiName, K$2,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5" s="244">
        <f t="array" ref="L25">_xlfn.LET(
    _xlpm.kpiName, L$2,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5" s="244">
        <f t="array" ref="M25">_xlfn.LET(
    _xlpm.kpiName, M$2,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5" s="244">
        <f t="array" ref="N25">_xlfn.LET(
    _xlpm.kpiName, N$2,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5" s="244">
        <f t="array" ref="O25">_xlfn.LET(
    _xlpm.kpiName, O$2,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5" s="244">
        <f t="array" ref="P25">_xlfn.LET(
    _xlpm.kpiName, P$2,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5" s="244">
        <f t="array" ref="Q25">_xlfn.LET(
    _xlpm.kpiName, Q$2,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5" s="244">
        <f t="array" ref="R25">_xlfn.LET(
    _xlpm.kpiName, R$2,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5" s="244">
        <f t="array" ref="S25">_xlfn.LET(
    _xlpm.kpiName, S$2,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5" s="244">
        <f t="array" ref="T25">_xlfn.LET(
    _xlpm.kpiName, T$2,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5" s="244">
        <f t="array" ref="U25">_xlfn.LET(
    _xlpm.kpiName, U$2,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5" s="244">
        <f t="array" ref="V25">_xlfn.LET(
    _xlpm.kpiName, V$2,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5" s="244">
        <f t="array" ref="W25">_xlfn.LET(
    _xlpm.kpiName, W$2,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5" s="244">
        <f t="array" ref="X25">_xlfn.LET(
    _xlpm.kpiName, X$2,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5" s="244">
        <f t="array" ref="Y25">_xlfn.LET(
    _xlpm.kpiName, Y$2,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5" s="244">
        <f t="array" ref="Z25">_xlfn.LET(
    _xlpm.kpiName, Z$2,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5" s="244">
        <f t="array" ref="AA25">_xlfn.LET(
    _xlpm.kpiName, AA$2,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5" s="244">
        <f t="array" ref="AB25">_xlfn.LET(
    _xlpm.kpiName, AB$2,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5" s="244">
        <f t="array" ref="AC25">_xlfn.LET(
    _xlpm.kpiName, AC$2,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5" s="244">
        <f t="array" ref="AD25">_xlfn.LET(
    _xlpm.kpiName, AD$2,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5" s="244">
        <f t="array" ref="AE25">_xlfn.LET(
    _xlpm.kpiName, AE$2,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5" s="244">
        <f t="array" ref="AF25">_xlfn.LET(
    _xlpm.kpiName, AF$2,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5" s="244">
        <f t="array" ref="AG25">_xlfn.LET(
    _xlpm.kpiName, AG$2,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5" s="244">
        <f t="array" ref="AH25">_xlfn.LET(
    _xlpm.kpiName, AH$2,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5" s="244">
        <f t="array" ref="AI25">_xlfn.LET(
    _xlpm.kpiName, AI$2,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5" s="244">
        <f t="array" ref="AJ25">_xlfn.LET(
    _xlpm.kpiName, AJ$2,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5" s="244">
        <f t="array" ref="AK25">_xlfn.LET(
    _xlpm.kpiName, AK$2,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5" s="244">
        <f t="array" ref="AL25">_xlfn.LET(
    _xlpm.kpiName, AL$2,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5" s="244">
        <f t="array" ref="AM25">_xlfn.LET(
    _xlpm.kpiName, AM$2,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5" s="244">
        <f t="array" ref="AN25">_xlfn.LET(
    _xlpm.kpiName, AN$2,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5" s="244">
        <f t="array" ref="AO25">_xlfn.LET(
    _xlpm.kpiName, AO$2,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5" s="244">
        <f t="array" ref="AP25">_xlfn.LET(
    _xlpm.kpiName, AP$2,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5" s="244">
        <f t="array" ref="AQ25">_xlfn.LET(
    _xlpm.kpiName, AQ$2,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5" s="244">
        <f t="array" ref="AR25">_xlfn.LET(
    _xlpm.kpiName, AR$2,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5" s="244">
        <f t="array" ref="AS25">_xlfn.LET(
    _xlpm.kpiName, AS$2,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5" s="244">
        <f t="array" ref="AT25">_xlfn.LET(
    _xlpm.kpiName, AT$2,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5" s="244">
        <f t="array" ref="AU25">_xlfn.LET(
    _xlpm.kpiName, AU$2,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5" s="244">
        <f t="array" ref="AV25">_xlfn.LET(
    _xlpm.kpiName, AV$2,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5" s="244">
        <f t="array" ref="AW25">_xlfn.LET(
    _xlpm.kpiName, AW$2,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5" s="244">
        <f t="array" ref="AX25">_xlfn.LET(
    _xlpm.kpiName, AX$2,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5" s="244">
        <f t="array" ref="AY25">_xlfn.LET(
    _xlpm.kpiName, AY$2,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5" s="244">
        <f t="array" ref="AZ25">_xlfn.LET(
    _xlpm.kpiName, AZ$2,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5" s="244">
        <f t="array" ref="BA25">_xlfn.LET(
    _xlpm.kpiName, BA$2,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5" s="244">
        <f t="array" ref="BB25">_xlfn.LET(
    _xlpm.kpiName, BB$2,
    _xlpm.factorName, $D25,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6" ht="9" customHeight="1" s="179">
      <c r="C26" s="1" t="n"/>
      <c r="D26" s="78" t="inlineStr">
        <is>
          <t>Factor24</t>
        </is>
      </c>
      <c r="E26" s="244">
        <f t="array" ref="E26">_xlfn.LET(
    _xlpm.kpiName, E$2,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6" s="244">
        <f t="array" ref="F26">_xlfn.LET(
    _xlpm.kpiName, F$2,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6" s="244">
        <f t="array" ref="G26">_xlfn.LET(
    _xlpm.kpiName, G$2,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6" s="244">
        <f t="array" ref="H26">_xlfn.LET(
    _xlpm.kpiName, H$2,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6" s="244">
        <f t="array" ref="I26">_xlfn.LET(
    _xlpm.kpiName, I$2,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6" s="244">
        <f t="array" ref="J26">_xlfn.LET(
    _xlpm.kpiName, J$2,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6" s="244">
        <f t="array" ref="K26">_xlfn.LET(
    _xlpm.kpiName, K$2,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6" s="244">
        <f t="array" ref="L26">_xlfn.LET(
    _xlpm.kpiName, L$2,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6" s="244">
        <f t="array" ref="M26">_xlfn.LET(
    _xlpm.kpiName, M$2,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6" s="244">
        <f t="array" ref="N26">_xlfn.LET(
    _xlpm.kpiName, N$2,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6" s="244">
        <f t="array" ref="O26">_xlfn.LET(
    _xlpm.kpiName, O$2,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6" s="244">
        <f t="array" ref="P26">_xlfn.LET(
    _xlpm.kpiName, P$2,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6" s="244">
        <f t="array" ref="Q26">_xlfn.LET(
    _xlpm.kpiName, Q$2,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6" s="244">
        <f t="array" ref="R26">_xlfn.LET(
    _xlpm.kpiName, R$2,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6" s="244">
        <f t="array" ref="S26">_xlfn.LET(
    _xlpm.kpiName, S$2,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6" s="244">
        <f t="array" ref="T26">_xlfn.LET(
    _xlpm.kpiName, T$2,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6" s="244">
        <f t="array" ref="U26">_xlfn.LET(
    _xlpm.kpiName, U$2,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6" s="244">
        <f t="array" ref="V26">_xlfn.LET(
    _xlpm.kpiName, V$2,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6" s="244">
        <f t="array" ref="W26">_xlfn.LET(
    _xlpm.kpiName, W$2,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6" s="244">
        <f t="array" ref="X26">_xlfn.LET(
    _xlpm.kpiName, X$2,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6" s="244">
        <f t="array" ref="Y26">_xlfn.LET(
    _xlpm.kpiName, Y$2,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6" s="244">
        <f t="array" ref="Z26">_xlfn.LET(
    _xlpm.kpiName, Z$2,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6" s="244">
        <f t="array" ref="AA26">_xlfn.LET(
    _xlpm.kpiName, AA$2,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6" s="244">
        <f t="array" ref="AB26">_xlfn.LET(
    _xlpm.kpiName, AB$2,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6" s="244">
        <f t="array" ref="AC26">_xlfn.LET(
    _xlpm.kpiName, AC$2,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6" s="244">
        <f t="array" ref="AD26">_xlfn.LET(
    _xlpm.kpiName, AD$2,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6" s="244">
        <f t="array" ref="AE26">_xlfn.LET(
    _xlpm.kpiName, AE$2,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6" s="244">
        <f t="array" ref="AF26">_xlfn.LET(
    _xlpm.kpiName, AF$2,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6" s="244">
        <f t="array" ref="AG26">_xlfn.LET(
    _xlpm.kpiName, AG$2,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6" s="244">
        <f t="array" ref="AH26">_xlfn.LET(
    _xlpm.kpiName, AH$2,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6" s="244">
        <f t="array" ref="AI26">_xlfn.LET(
    _xlpm.kpiName, AI$2,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6" s="244">
        <f t="array" ref="AJ26">_xlfn.LET(
    _xlpm.kpiName, AJ$2,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6" s="244">
        <f t="array" ref="AK26">_xlfn.LET(
    _xlpm.kpiName, AK$2,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6" s="244">
        <f t="array" ref="AL26">_xlfn.LET(
    _xlpm.kpiName, AL$2,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6" s="244">
        <f t="array" ref="AM26">_xlfn.LET(
    _xlpm.kpiName, AM$2,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6" s="244">
        <f t="array" ref="AN26">_xlfn.LET(
    _xlpm.kpiName, AN$2,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6" s="244">
        <f t="array" ref="AO26">_xlfn.LET(
    _xlpm.kpiName, AO$2,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6" s="244">
        <f t="array" ref="AP26">_xlfn.LET(
    _xlpm.kpiName, AP$2,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6" s="244">
        <f t="array" ref="AQ26">_xlfn.LET(
    _xlpm.kpiName, AQ$2,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6" s="244">
        <f t="array" ref="AR26">_xlfn.LET(
    _xlpm.kpiName, AR$2,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6" s="244">
        <f t="array" ref="AS26">_xlfn.LET(
    _xlpm.kpiName, AS$2,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6" s="244">
        <f t="array" ref="AT26">_xlfn.LET(
    _xlpm.kpiName, AT$2,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6" s="244">
        <f t="array" ref="AU26">_xlfn.LET(
    _xlpm.kpiName, AU$2,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6" s="244">
        <f t="array" ref="AV26">_xlfn.LET(
    _xlpm.kpiName, AV$2,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6" s="244">
        <f t="array" ref="AW26">_xlfn.LET(
    _xlpm.kpiName, AW$2,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6" s="244">
        <f t="array" ref="AX26">_xlfn.LET(
    _xlpm.kpiName, AX$2,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6" s="244">
        <f t="array" ref="AY26">_xlfn.LET(
    _xlpm.kpiName, AY$2,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6" s="244">
        <f t="array" ref="AZ26">_xlfn.LET(
    _xlpm.kpiName, AZ$2,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6" s="244">
        <f t="array" ref="BA26">_xlfn.LET(
    _xlpm.kpiName, BA$2,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6" s="244">
        <f t="array" ref="BB26">_xlfn.LET(
    _xlpm.kpiName, BB$2,
    _xlpm.factorName, $D26,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7" ht="9" customHeight="1" s="179">
      <c r="C27" s="1" t="n"/>
      <c r="D27" s="78" t="inlineStr">
        <is>
          <t>Factor25</t>
        </is>
      </c>
      <c r="E27" s="244">
        <f t="array" ref="E27">_xlfn.LET(
    _xlpm.kpiName, E$2,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7" s="244">
        <f t="array" ref="F27">_xlfn.LET(
    _xlpm.kpiName, F$2,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7" s="244">
        <f t="array" ref="G27">_xlfn.LET(
    _xlpm.kpiName, G$2,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7" s="244">
        <f t="array" ref="H27">_xlfn.LET(
    _xlpm.kpiName, H$2,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7" s="244">
        <f t="array" ref="I27">_xlfn.LET(
    _xlpm.kpiName, I$2,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7" s="244">
        <f t="array" ref="J27">_xlfn.LET(
    _xlpm.kpiName, J$2,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7" s="244">
        <f t="array" ref="K27">_xlfn.LET(
    _xlpm.kpiName, K$2,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7" s="244">
        <f t="array" ref="L27">_xlfn.LET(
    _xlpm.kpiName, L$2,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7" s="244">
        <f t="array" ref="M27">_xlfn.LET(
    _xlpm.kpiName, M$2,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7" s="244">
        <f t="array" ref="N27">_xlfn.LET(
    _xlpm.kpiName, N$2,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7" s="244">
        <f t="array" ref="O27">_xlfn.LET(
    _xlpm.kpiName, O$2,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7" s="244">
        <f t="array" ref="P27">_xlfn.LET(
    _xlpm.kpiName, P$2,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7" s="244">
        <f t="array" ref="Q27">_xlfn.LET(
    _xlpm.kpiName, Q$2,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7" s="244">
        <f t="array" ref="R27">_xlfn.LET(
    _xlpm.kpiName, R$2,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7" s="244">
        <f t="array" ref="S27">_xlfn.LET(
    _xlpm.kpiName, S$2,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7" s="244">
        <f t="array" ref="T27">_xlfn.LET(
    _xlpm.kpiName, T$2,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7" s="244">
        <f t="array" ref="U27">_xlfn.LET(
    _xlpm.kpiName, U$2,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7" s="244">
        <f t="array" ref="V27">_xlfn.LET(
    _xlpm.kpiName, V$2,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7" s="244">
        <f t="array" ref="W27">_xlfn.LET(
    _xlpm.kpiName, W$2,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7" s="244">
        <f t="array" ref="X27">_xlfn.LET(
    _xlpm.kpiName, X$2,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7" s="244">
        <f t="array" ref="Y27">_xlfn.LET(
    _xlpm.kpiName, Y$2,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7" s="244">
        <f t="array" ref="Z27">_xlfn.LET(
    _xlpm.kpiName, Z$2,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7" s="244">
        <f t="array" ref="AA27">_xlfn.LET(
    _xlpm.kpiName, AA$2,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7" s="244">
        <f t="array" ref="AB27">_xlfn.LET(
    _xlpm.kpiName, AB$2,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7" s="244">
        <f t="array" ref="AC27">_xlfn.LET(
    _xlpm.kpiName, AC$2,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7" s="244">
        <f t="array" ref="AD27">_xlfn.LET(
    _xlpm.kpiName, AD$2,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7" s="244">
        <f t="array" ref="AE27">_xlfn.LET(
    _xlpm.kpiName, AE$2,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7" s="244">
        <f t="array" ref="AF27">_xlfn.LET(
    _xlpm.kpiName, AF$2,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7" s="244">
        <f t="array" ref="AG27">_xlfn.LET(
    _xlpm.kpiName, AG$2,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7" s="244">
        <f t="array" ref="AH27">_xlfn.LET(
    _xlpm.kpiName, AH$2,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7" s="244">
        <f t="array" ref="AI27">_xlfn.LET(
    _xlpm.kpiName, AI$2,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7" s="244">
        <f t="array" ref="AJ27">_xlfn.LET(
    _xlpm.kpiName, AJ$2,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7" s="244">
        <f t="array" ref="AK27">_xlfn.LET(
    _xlpm.kpiName, AK$2,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7" s="244">
        <f t="array" ref="AL27">_xlfn.LET(
    _xlpm.kpiName, AL$2,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7" s="244">
        <f t="array" ref="AM27">_xlfn.LET(
    _xlpm.kpiName, AM$2,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7" s="244">
        <f t="array" ref="AN27">_xlfn.LET(
    _xlpm.kpiName, AN$2,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7" s="244">
        <f t="array" ref="AO27">_xlfn.LET(
    _xlpm.kpiName, AO$2,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7" s="244">
        <f t="array" ref="AP27">_xlfn.LET(
    _xlpm.kpiName, AP$2,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7" s="244">
        <f t="array" ref="AQ27">_xlfn.LET(
    _xlpm.kpiName, AQ$2,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7" s="244">
        <f t="array" ref="AR27">_xlfn.LET(
    _xlpm.kpiName, AR$2,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7" s="244">
        <f t="array" ref="AS27">_xlfn.LET(
    _xlpm.kpiName, AS$2,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7" s="244">
        <f t="array" ref="AT27">_xlfn.LET(
    _xlpm.kpiName, AT$2,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7" s="244">
        <f t="array" ref="AU27">_xlfn.LET(
    _xlpm.kpiName, AU$2,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7" s="244">
        <f t="array" ref="AV27">_xlfn.LET(
    _xlpm.kpiName, AV$2,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7" s="244">
        <f t="array" ref="AW27">_xlfn.LET(
    _xlpm.kpiName, AW$2,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7" s="244">
        <f t="array" ref="AX27">_xlfn.LET(
    _xlpm.kpiName, AX$2,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7" s="244">
        <f t="array" ref="AY27">_xlfn.LET(
    _xlpm.kpiName, AY$2,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7" s="244">
        <f t="array" ref="AZ27">_xlfn.LET(
    _xlpm.kpiName, AZ$2,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7" s="244">
        <f t="array" ref="BA27">_xlfn.LET(
    _xlpm.kpiName, BA$2,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7" s="244">
        <f t="array" ref="BB27">_xlfn.LET(
    _xlpm.kpiName, BB$2,
    _xlpm.factorName, $D27,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8" ht="9" customHeight="1" s="179">
      <c r="C28" s="1" t="n"/>
      <c r="D28" s="78" t="inlineStr">
        <is>
          <t>Factor26</t>
        </is>
      </c>
      <c r="E28" s="244">
        <f t="array" ref="E28">_xlfn.LET(
    _xlpm.kpiName, E$2,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8" s="244">
        <f t="array" ref="F28">_xlfn.LET(
    _xlpm.kpiName, F$2,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8" s="244">
        <f t="array" ref="G28">_xlfn.LET(
    _xlpm.kpiName, G$2,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8" s="244">
        <f t="array" ref="H28">_xlfn.LET(
    _xlpm.kpiName, H$2,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8" s="244">
        <f t="array" ref="I28">_xlfn.LET(
    _xlpm.kpiName, I$2,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8" s="244">
        <f t="array" ref="J28">_xlfn.LET(
    _xlpm.kpiName, J$2,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8" s="244">
        <f t="array" ref="K28">_xlfn.LET(
    _xlpm.kpiName, K$2,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8" s="244">
        <f t="array" ref="L28">_xlfn.LET(
    _xlpm.kpiName, L$2,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8" s="244">
        <f t="array" ref="M28">_xlfn.LET(
    _xlpm.kpiName, M$2,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8" s="244">
        <f t="array" ref="N28">_xlfn.LET(
    _xlpm.kpiName, N$2,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8" s="244">
        <f t="array" ref="O28">_xlfn.LET(
    _xlpm.kpiName, O$2,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8" s="244">
        <f t="array" ref="P28">_xlfn.LET(
    _xlpm.kpiName, P$2,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8" s="244">
        <f t="array" ref="Q28">_xlfn.LET(
    _xlpm.kpiName, Q$2,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8" s="244">
        <f t="array" ref="R28">_xlfn.LET(
    _xlpm.kpiName, R$2,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8" s="244">
        <f t="array" ref="S28">_xlfn.LET(
    _xlpm.kpiName, S$2,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8" s="244">
        <f t="array" ref="T28">_xlfn.LET(
    _xlpm.kpiName, T$2,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8" s="244">
        <f t="array" ref="U28">_xlfn.LET(
    _xlpm.kpiName, U$2,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8" s="244">
        <f t="array" ref="V28">_xlfn.LET(
    _xlpm.kpiName, V$2,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8" s="244">
        <f t="array" ref="W28">_xlfn.LET(
    _xlpm.kpiName, W$2,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8" s="244">
        <f t="array" ref="X28">_xlfn.LET(
    _xlpm.kpiName, X$2,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8" s="244">
        <f t="array" ref="Y28">_xlfn.LET(
    _xlpm.kpiName, Y$2,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8" s="244">
        <f t="array" ref="Z28">_xlfn.LET(
    _xlpm.kpiName, Z$2,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8" s="244">
        <f t="array" ref="AA28">_xlfn.LET(
    _xlpm.kpiName, AA$2,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8" s="244">
        <f t="array" ref="AB28">_xlfn.LET(
    _xlpm.kpiName, AB$2,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8" s="244">
        <f t="array" ref="AC28">_xlfn.LET(
    _xlpm.kpiName, AC$2,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8" s="244">
        <f t="array" ref="AD28">_xlfn.LET(
    _xlpm.kpiName, AD$2,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8" s="244">
        <f t="array" ref="AE28">_xlfn.LET(
    _xlpm.kpiName, AE$2,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8" s="244">
        <f t="array" ref="AF28">_xlfn.LET(
    _xlpm.kpiName, AF$2,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8" s="244">
        <f t="array" ref="AG28">_xlfn.LET(
    _xlpm.kpiName, AG$2,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8" s="244">
        <f t="array" ref="AH28">_xlfn.LET(
    _xlpm.kpiName, AH$2,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8" s="244">
        <f t="array" ref="AI28">_xlfn.LET(
    _xlpm.kpiName, AI$2,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8" s="244">
        <f t="array" ref="AJ28">_xlfn.LET(
    _xlpm.kpiName, AJ$2,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8" s="244">
        <f t="array" ref="AK28">_xlfn.LET(
    _xlpm.kpiName, AK$2,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8" s="244">
        <f t="array" ref="AL28">_xlfn.LET(
    _xlpm.kpiName, AL$2,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8" s="244">
        <f t="array" ref="AM28">_xlfn.LET(
    _xlpm.kpiName, AM$2,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8" s="244">
        <f t="array" ref="AN28">_xlfn.LET(
    _xlpm.kpiName, AN$2,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8" s="244">
        <f t="array" ref="AO28">_xlfn.LET(
    _xlpm.kpiName, AO$2,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8" s="244">
        <f t="array" ref="AP28">_xlfn.LET(
    _xlpm.kpiName, AP$2,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8" s="244">
        <f t="array" ref="AQ28">_xlfn.LET(
    _xlpm.kpiName, AQ$2,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8" s="244">
        <f t="array" ref="AR28">_xlfn.LET(
    _xlpm.kpiName, AR$2,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8" s="244">
        <f t="array" ref="AS28">_xlfn.LET(
    _xlpm.kpiName, AS$2,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8" s="244">
        <f t="array" ref="AT28">_xlfn.LET(
    _xlpm.kpiName, AT$2,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8" s="244">
        <f t="array" ref="AU28">_xlfn.LET(
    _xlpm.kpiName, AU$2,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8" s="244">
        <f t="array" ref="AV28">_xlfn.LET(
    _xlpm.kpiName, AV$2,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8" s="244">
        <f t="array" ref="AW28">_xlfn.LET(
    _xlpm.kpiName, AW$2,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8" s="244">
        <f t="array" ref="AX28">_xlfn.LET(
    _xlpm.kpiName, AX$2,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8" s="244">
        <f t="array" ref="AY28">_xlfn.LET(
    _xlpm.kpiName, AY$2,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8" s="244">
        <f t="array" ref="AZ28">_xlfn.LET(
    _xlpm.kpiName, AZ$2,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8" s="244">
        <f t="array" ref="BA28">_xlfn.LET(
    _xlpm.kpiName, BA$2,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8" s="244">
        <f t="array" ref="BB28">_xlfn.LET(
    _xlpm.kpiName, BB$2,
    _xlpm.factorName, $D28,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29" ht="9" customHeight="1" s="179">
      <c r="C29" s="1" t="n"/>
      <c r="D29" s="78" t="inlineStr">
        <is>
          <t>Factor27</t>
        </is>
      </c>
      <c r="E29" s="244">
        <f t="array" ref="E29">_xlfn.LET(
    _xlpm.kpiName, E$2,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29" s="244">
        <f t="array" ref="F29">_xlfn.LET(
    _xlpm.kpiName, F$2,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29" s="244">
        <f t="array" ref="G29">_xlfn.LET(
    _xlpm.kpiName, G$2,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29" s="244">
        <f t="array" ref="H29">_xlfn.LET(
    _xlpm.kpiName, H$2,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29" s="244">
        <f t="array" ref="I29">_xlfn.LET(
    _xlpm.kpiName, I$2,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29" s="244">
        <f t="array" ref="J29">_xlfn.LET(
    _xlpm.kpiName, J$2,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29" s="244">
        <f t="array" ref="K29">_xlfn.LET(
    _xlpm.kpiName, K$2,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29" s="244">
        <f t="array" ref="L29">_xlfn.LET(
    _xlpm.kpiName, L$2,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29" s="244">
        <f t="array" ref="M29">_xlfn.LET(
    _xlpm.kpiName, M$2,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29" s="244">
        <f t="array" ref="N29">_xlfn.LET(
    _xlpm.kpiName, N$2,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29" s="244">
        <f t="array" ref="O29">_xlfn.LET(
    _xlpm.kpiName, O$2,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29" s="244">
        <f t="array" ref="P29">_xlfn.LET(
    _xlpm.kpiName, P$2,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29" s="244">
        <f t="array" ref="Q29">_xlfn.LET(
    _xlpm.kpiName, Q$2,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29" s="244">
        <f t="array" ref="R29">_xlfn.LET(
    _xlpm.kpiName, R$2,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29" s="244">
        <f t="array" ref="S29">_xlfn.LET(
    _xlpm.kpiName, S$2,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29" s="244">
        <f t="array" ref="T29">_xlfn.LET(
    _xlpm.kpiName, T$2,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29" s="244">
        <f t="array" ref="U29">_xlfn.LET(
    _xlpm.kpiName, U$2,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29" s="244">
        <f t="array" ref="V29">_xlfn.LET(
    _xlpm.kpiName, V$2,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29" s="244">
        <f t="array" ref="W29">_xlfn.LET(
    _xlpm.kpiName, W$2,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29" s="244">
        <f t="array" ref="X29">_xlfn.LET(
    _xlpm.kpiName, X$2,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29" s="244">
        <f t="array" ref="Y29">_xlfn.LET(
    _xlpm.kpiName, Y$2,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29" s="244">
        <f t="array" ref="Z29">_xlfn.LET(
    _xlpm.kpiName, Z$2,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29" s="244">
        <f t="array" ref="AA29">_xlfn.LET(
    _xlpm.kpiName, AA$2,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29" s="244">
        <f t="array" ref="AB29">_xlfn.LET(
    _xlpm.kpiName, AB$2,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29" s="244">
        <f t="array" ref="AC29">_xlfn.LET(
    _xlpm.kpiName, AC$2,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29" s="244">
        <f t="array" ref="AD29">_xlfn.LET(
    _xlpm.kpiName, AD$2,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29" s="244">
        <f t="array" ref="AE29">_xlfn.LET(
    _xlpm.kpiName, AE$2,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29" s="244">
        <f t="array" ref="AF29">_xlfn.LET(
    _xlpm.kpiName, AF$2,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29" s="244">
        <f t="array" ref="AG29">_xlfn.LET(
    _xlpm.kpiName, AG$2,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29" s="244">
        <f t="array" ref="AH29">_xlfn.LET(
    _xlpm.kpiName, AH$2,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29" s="244">
        <f t="array" ref="AI29">_xlfn.LET(
    _xlpm.kpiName, AI$2,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29" s="244">
        <f t="array" ref="AJ29">_xlfn.LET(
    _xlpm.kpiName, AJ$2,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29" s="244">
        <f t="array" ref="AK29">_xlfn.LET(
    _xlpm.kpiName, AK$2,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29" s="244">
        <f t="array" ref="AL29">_xlfn.LET(
    _xlpm.kpiName, AL$2,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29" s="244">
        <f t="array" ref="AM29">_xlfn.LET(
    _xlpm.kpiName, AM$2,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29" s="244">
        <f t="array" ref="AN29">_xlfn.LET(
    _xlpm.kpiName, AN$2,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29" s="244">
        <f t="array" ref="AO29">_xlfn.LET(
    _xlpm.kpiName, AO$2,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29" s="244">
        <f t="array" ref="AP29">_xlfn.LET(
    _xlpm.kpiName, AP$2,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29" s="244">
        <f t="array" ref="AQ29">_xlfn.LET(
    _xlpm.kpiName, AQ$2,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29" s="244">
        <f t="array" ref="AR29">_xlfn.LET(
    _xlpm.kpiName, AR$2,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29" s="244">
        <f t="array" ref="AS29">_xlfn.LET(
    _xlpm.kpiName, AS$2,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29" s="244">
        <f t="array" ref="AT29">_xlfn.LET(
    _xlpm.kpiName, AT$2,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29" s="244">
        <f t="array" ref="AU29">_xlfn.LET(
    _xlpm.kpiName, AU$2,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29" s="244">
        <f t="array" ref="AV29">_xlfn.LET(
    _xlpm.kpiName, AV$2,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29" s="244">
        <f t="array" ref="AW29">_xlfn.LET(
    _xlpm.kpiName, AW$2,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29" s="244">
        <f t="array" ref="AX29">_xlfn.LET(
    _xlpm.kpiName, AX$2,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29" s="244">
        <f t="array" ref="AY29">_xlfn.LET(
    _xlpm.kpiName, AY$2,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29" s="244">
        <f t="array" ref="AZ29">_xlfn.LET(
    _xlpm.kpiName, AZ$2,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29" s="244">
        <f t="array" ref="BA29">_xlfn.LET(
    _xlpm.kpiName, BA$2,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29" s="244">
        <f t="array" ref="BB29">_xlfn.LET(
    _xlpm.kpiName, BB$2,
    _xlpm.factorName, $D29,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0" ht="9" customHeight="1" s="179">
      <c r="C30" s="1" t="n"/>
      <c r="D30" s="78" t="inlineStr">
        <is>
          <t>Factor28</t>
        </is>
      </c>
      <c r="E30" s="244">
        <f t="array" ref="E30">_xlfn.LET(
    _xlpm.kpiName, E$2,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0" s="244">
        <f t="array" ref="F30">_xlfn.LET(
    _xlpm.kpiName, F$2,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0" s="244">
        <f t="array" ref="G30">_xlfn.LET(
    _xlpm.kpiName, G$2,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0" s="244">
        <f t="array" ref="H30">_xlfn.LET(
    _xlpm.kpiName, H$2,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0" s="244">
        <f t="array" ref="I30">_xlfn.LET(
    _xlpm.kpiName, I$2,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0" s="244">
        <f t="array" ref="J30">_xlfn.LET(
    _xlpm.kpiName, J$2,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0" s="244">
        <f t="array" ref="K30">_xlfn.LET(
    _xlpm.kpiName, K$2,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0" s="244">
        <f t="array" ref="L30">_xlfn.LET(
    _xlpm.kpiName, L$2,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0" s="244">
        <f t="array" ref="M30">_xlfn.LET(
    _xlpm.kpiName, M$2,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0" s="244">
        <f t="array" ref="N30">_xlfn.LET(
    _xlpm.kpiName, N$2,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0" s="244">
        <f t="array" ref="O30">_xlfn.LET(
    _xlpm.kpiName, O$2,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0" s="244">
        <f t="array" ref="P30">_xlfn.LET(
    _xlpm.kpiName, P$2,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0" s="244">
        <f t="array" ref="Q30">_xlfn.LET(
    _xlpm.kpiName, Q$2,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0" s="244">
        <f t="array" ref="R30">_xlfn.LET(
    _xlpm.kpiName, R$2,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0" s="244">
        <f t="array" ref="S30">_xlfn.LET(
    _xlpm.kpiName, S$2,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0" s="244">
        <f t="array" ref="T30">_xlfn.LET(
    _xlpm.kpiName, T$2,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0" s="244">
        <f t="array" ref="U30">_xlfn.LET(
    _xlpm.kpiName, U$2,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0" s="244">
        <f t="array" ref="V30">_xlfn.LET(
    _xlpm.kpiName, V$2,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0" s="244">
        <f t="array" ref="W30">_xlfn.LET(
    _xlpm.kpiName, W$2,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0" s="244">
        <f t="array" ref="X30">_xlfn.LET(
    _xlpm.kpiName, X$2,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0" s="244">
        <f t="array" ref="Y30">_xlfn.LET(
    _xlpm.kpiName, Y$2,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0" s="244">
        <f t="array" ref="Z30">_xlfn.LET(
    _xlpm.kpiName, Z$2,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0" s="244">
        <f t="array" ref="AA30">_xlfn.LET(
    _xlpm.kpiName, AA$2,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0" s="244">
        <f t="array" ref="AB30">_xlfn.LET(
    _xlpm.kpiName, AB$2,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0" s="244">
        <f t="array" ref="AC30">_xlfn.LET(
    _xlpm.kpiName, AC$2,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0" s="244">
        <f t="array" ref="AD30">_xlfn.LET(
    _xlpm.kpiName, AD$2,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0" s="244">
        <f t="array" ref="AE30">_xlfn.LET(
    _xlpm.kpiName, AE$2,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0" s="244">
        <f t="array" ref="AF30">_xlfn.LET(
    _xlpm.kpiName, AF$2,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0" s="244">
        <f t="array" ref="AG30">_xlfn.LET(
    _xlpm.kpiName, AG$2,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0" s="244">
        <f t="array" ref="AH30">_xlfn.LET(
    _xlpm.kpiName, AH$2,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0" s="244">
        <f t="array" ref="AI30">_xlfn.LET(
    _xlpm.kpiName, AI$2,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0" s="244">
        <f t="array" ref="AJ30">_xlfn.LET(
    _xlpm.kpiName, AJ$2,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0" s="244">
        <f t="array" ref="AK30">_xlfn.LET(
    _xlpm.kpiName, AK$2,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0" s="244">
        <f t="array" ref="AL30">_xlfn.LET(
    _xlpm.kpiName, AL$2,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0" s="244">
        <f t="array" ref="AM30">_xlfn.LET(
    _xlpm.kpiName, AM$2,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0" s="244">
        <f t="array" ref="AN30">_xlfn.LET(
    _xlpm.kpiName, AN$2,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0" s="244">
        <f t="array" ref="AO30">_xlfn.LET(
    _xlpm.kpiName, AO$2,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0" s="244">
        <f t="array" ref="AP30">_xlfn.LET(
    _xlpm.kpiName, AP$2,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0" s="244">
        <f t="array" ref="AQ30">_xlfn.LET(
    _xlpm.kpiName, AQ$2,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0" s="244">
        <f t="array" ref="AR30">_xlfn.LET(
    _xlpm.kpiName, AR$2,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0" s="244">
        <f t="array" ref="AS30">_xlfn.LET(
    _xlpm.kpiName, AS$2,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0" s="244">
        <f t="array" ref="AT30">_xlfn.LET(
    _xlpm.kpiName, AT$2,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0" s="244">
        <f t="array" ref="AU30">_xlfn.LET(
    _xlpm.kpiName, AU$2,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0" s="244">
        <f t="array" ref="AV30">_xlfn.LET(
    _xlpm.kpiName, AV$2,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0" s="244">
        <f t="array" ref="AW30">_xlfn.LET(
    _xlpm.kpiName, AW$2,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0" s="244">
        <f t="array" ref="AX30">_xlfn.LET(
    _xlpm.kpiName, AX$2,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0" s="244">
        <f t="array" ref="AY30">_xlfn.LET(
    _xlpm.kpiName, AY$2,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0" s="244">
        <f t="array" ref="AZ30">_xlfn.LET(
    _xlpm.kpiName, AZ$2,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0" s="244">
        <f t="array" ref="BA30">_xlfn.LET(
    _xlpm.kpiName, BA$2,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0" s="244">
        <f t="array" ref="BB30">_xlfn.LET(
    _xlpm.kpiName, BB$2,
    _xlpm.factorName, $D30,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1" ht="9" customHeight="1" s="179">
      <c r="C31" s="1" t="n"/>
      <c r="D31" s="78" t="inlineStr">
        <is>
          <t>Factor29</t>
        </is>
      </c>
      <c r="E31" s="244">
        <f t="array" ref="E31">_xlfn.LET(
    _xlpm.kpiName, E$2,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1" s="244">
        <f t="array" ref="F31">_xlfn.LET(
    _xlpm.kpiName, F$2,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1" s="244">
        <f t="array" ref="G31">_xlfn.LET(
    _xlpm.kpiName, G$2,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1" s="244">
        <f t="array" ref="H31">_xlfn.LET(
    _xlpm.kpiName, H$2,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1" s="244">
        <f t="array" ref="I31">_xlfn.LET(
    _xlpm.kpiName, I$2,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1" s="244">
        <f t="array" ref="J31">_xlfn.LET(
    _xlpm.kpiName, J$2,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1" s="244">
        <f t="array" ref="K31">_xlfn.LET(
    _xlpm.kpiName, K$2,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1" s="244">
        <f t="array" ref="L31">_xlfn.LET(
    _xlpm.kpiName, L$2,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1" s="244">
        <f t="array" ref="M31">_xlfn.LET(
    _xlpm.kpiName, M$2,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1" s="244">
        <f t="array" ref="N31">_xlfn.LET(
    _xlpm.kpiName, N$2,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1" s="244">
        <f t="array" ref="O31">_xlfn.LET(
    _xlpm.kpiName, O$2,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1" s="244">
        <f t="array" ref="P31">_xlfn.LET(
    _xlpm.kpiName, P$2,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1" s="244">
        <f t="array" ref="Q31">_xlfn.LET(
    _xlpm.kpiName, Q$2,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1" s="244">
        <f t="array" ref="R31">_xlfn.LET(
    _xlpm.kpiName, R$2,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1" s="244">
        <f t="array" ref="S31">_xlfn.LET(
    _xlpm.kpiName, S$2,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1" s="244">
        <f t="array" ref="T31">_xlfn.LET(
    _xlpm.kpiName, T$2,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1" s="244">
        <f t="array" ref="U31">_xlfn.LET(
    _xlpm.kpiName, U$2,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1" s="244">
        <f t="array" ref="V31">_xlfn.LET(
    _xlpm.kpiName, V$2,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1" s="244">
        <f t="array" ref="W31">_xlfn.LET(
    _xlpm.kpiName, W$2,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1" s="244">
        <f t="array" ref="X31">_xlfn.LET(
    _xlpm.kpiName, X$2,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1" s="244">
        <f t="array" ref="Y31">_xlfn.LET(
    _xlpm.kpiName, Y$2,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1" s="244">
        <f t="array" ref="Z31">_xlfn.LET(
    _xlpm.kpiName, Z$2,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1" s="244">
        <f t="array" ref="AA31">_xlfn.LET(
    _xlpm.kpiName, AA$2,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1" s="244">
        <f t="array" ref="AB31">_xlfn.LET(
    _xlpm.kpiName, AB$2,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1" s="244">
        <f t="array" ref="AC31">_xlfn.LET(
    _xlpm.kpiName, AC$2,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1" s="244">
        <f t="array" ref="AD31">_xlfn.LET(
    _xlpm.kpiName, AD$2,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1" s="244">
        <f t="array" ref="AE31">_xlfn.LET(
    _xlpm.kpiName, AE$2,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1" s="244">
        <f t="array" ref="AF31">_xlfn.LET(
    _xlpm.kpiName, AF$2,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1" s="244">
        <f t="array" ref="AG31">_xlfn.LET(
    _xlpm.kpiName, AG$2,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1" s="244">
        <f t="array" ref="AH31">_xlfn.LET(
    _xlpm.kpiName, AH$2,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1" s="244">
        <f t="array" ref="AI31">_xlfn.LET(
    _xlpm.kpiName, AI$2,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1" s="244">
        <f t="array" ref="AJ31">_xlfn.LET(
    _xlpm.kpiName, AJ$2,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1" s="244">
        <f t="array" ref="AK31">_xlfn.LET(
    _xlpm.kpiName, AK$2,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1" s="244">
        <f t="array" ref="AL31">_xlfn.LET(
    _xlpm.kpiName, AL$2,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1" s="244">
        <f t="array" ref="AM31">_xlfn.LET(
    _xlpm.kpiName, AM$2,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1" s="244">
        <f t="array" ref="AN31">_xlfn.LET(
    _xlpm.kpiName, AN$2,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1" s="244">
        <f t="array" ref="AO31">_xlfn.LET(
    _xlpm.kpiName, AO$2,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1" s="244">
        <f t="array" ref="AP31">_xlfn.LET(
    _xlpm.kpiName, AP$2,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1" s="244">
        <f t="array" ref="AQ31">_xlfn.LET(
    _xlpm.kpiName, AQ$2,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1" s="244">
        <f t="array" ref="AR31">_xlfn.LET(
    _xlpm.kpiName, AR$2,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1" s="244">
        <f t="array" ref="AS31">_xlfn.LET(
    _xlpm.kpiName, AS$2,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1" s="244">
        <f t="array" ref="AT31">_xlfn.LET(
    _xlpm.kpiName, AT$2,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1" s="244">
        <f t="array" ref="AU31">_xlfn.LET(
    _xlpm.kpiName, AU$2,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1" s="244">
        <f t="array" ref="AV31">_xlfn.LET(
    _xlpm.kpiName, AV$2,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1" s="244">
        <f t="array" ref="AW31">_xlfn.LET(
    _xlpm.kpiName, AW$2,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1" s="244">
        <f t="array" ref="AX31">_xlfn.LET(
    _xlpm.kpiName, AX$2,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1" s="244">
        <f t="array" ref="AY31">_xlfn.LET(
    _xlpm.kpiName, AY$2,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1" s="244">
        <f t="array" ref="AZ31">_xlfn.LET(
    _xlpm.kpiName, AZ$2,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1" s="244">
        <f t="array" ref="BA31">_xlfn.LET(
    _xlpm.kpiName, BA$2,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1" s="244">
        <f t="array" ref="BB31">_xlfn.LET(
    _xlpm.kpiName, BB$2,
    _xlpm.factorName, $D31,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2" ht="9" customHeight="1" s="179">
      <c r="C32" s="1" t="n"/>
      <c r="D32" s="78" t="inlineStr">
        <is>
          <t>Factor30</t>
        </is>
      </c>
      <c r="E32" s="244">
        <f t="array" ref="E32">_xlfn.LET(
    _xlpm.kpiName, E$2,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2" s="244">
        <f t="array" ref="F32">_xlfn.LET(
    _xlpm.kpiName, F$2,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2" s="244">
        <f t="array" ref="G32">_xlfn.LET(
    _xlpm.kpiName, G$2,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2" s="244">
        <f t="array" ref="H32">_xlfn.LET(
    _xlpm.kpiName, H$2,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2" s="244">
        <f t="array" ref="I32">_xlfn.LET(
    _xlpm.kpiName, I$2,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2" s="244">
        <f t="array" ref="J32">_xlfn.LET(
    _xlpm.kpiName, J$2,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2" s="244">
        <f t="array" ref="K32">_xlfn.LET(
    _xlpm.kpiName, K$2,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2" s="244">
        <f t="array" ref="L32">_xlfn.LET(
    _xlpm.kpiName, L$2,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2" s="244">
        <f t="array" ref="M32">_xlfn.LET(
    _xlpm.kpiName, M$2,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2" s="244">
        <f t="array" ref="N32">_xlfn.LET(
    _xlpm.kpiName, N$2,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2" s="244">
        <f t="array" ref="O32">_xlfn.LET(
    _xlpm.kpiName, O$2,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2" s="244">
        <f t="array" ref="P32">_xlfn.LET(
    _xlpm.kpiName, P$2,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2" s="244">
        <f t="array" ref="Q32">_xlfn.LET(
    _xlpm.kpiName, Q$2,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2" s="244">
        <f t="array" ref="R32">_xlfn.LET(
    _xlpm.kpiName, R$2,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2" s="244">
        <f t="array" ref="S32">_xlfn.LET(
    _xlpm.kpiName, S$2,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2" s="244">
        <f t="array" ref="T32">_xlfn.LET(
    _xlpm.kpiName, T$2,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2" s="244">
        <f t="array" ref="U32">_xlfn.LET(
    _xlpm.kpiName, U$2,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2" s="244">
        <f t="array" ref="V32">_xlfn.LET(
    _xlpm.kpiName, V$2,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2" s="244">
        <f t="array" ref="W32">_xlfn.LET(
    _xlpm.kpiName, W$2,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2" s="244">
        <f t="array" ref="X32">_xlfn.LET(
    _xlpm.kpiName, X$2,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2" s="244">
        <f t="array" ref="Y32">_xlfn.LET(
    _xlpm.kpiName, Y$2,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2" s="244">
        <f t="array" ref="Z32">_xlfn.LET(
    _xlpm.kpiName, Z$2,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2" s="244">
        <f t="array" ref="AA32">_xlfn.LET(
    _xlpm.kpiName, AA$2,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2" s="244">
        <f t="array" ref="AB32">_xlfn.LET(
    _xlpm.kpiName, AB$2,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2" s="244">
        <f t="array" ref="AC32">_xlfn.LET(
    _xlpm.kpiName, AC$2,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2" s="244">
        <f t="array" ref="AD32">_xlfn.LET(
    _xlpm.kpiName, AD$2,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2" s="244">
        <f t="array" ref="AE32">_xlfn.LET(
    _xlpm.kpiName, AE$2,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2" s="244">
        <f t="array" ref="AF32">_xlfn.LET(
    _xlpm.kpiName, AF$2,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2" s="244">
        <f t="array" ref="AG32">_xlfn.LET(
    _xlpm.kpiName, AG$2,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2" s="244">
        <f t="array" ref="AH32">_xlfn.LET(
    _xlpm.kpiName, AH$2,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2" s="244">
        <f t="array" ref="AI32">_xlfn.LET(
    _xlpm.kpiName, AI$2,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2" s="244">
        <f t="array" ref="AJ32">_xlfn.LET(
    _xlpm.kpiName, AJ$2,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2" s="244">
        <f t="array" ref="AK32">_xlfn.LET(
    _xlpm.kpiName, AK$2,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2" s="244">
        <f t="array" ref="AL32">_xlfn.LET(
    _xlpm.kpiName, AL$2,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2" s="244">
        <f t="array" ref="AM32">_xlfn.LET(
    _xlpm.kpiName, AM$2,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2" s="244">
        <f t="array" ref="AN32">_xlfn.LET(
    _xlpm.kpiName, AN$2,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2" s="244">
        <f t="array" ref="AO32">_xlfn.LET(
    _xlpm.kpiName, AO$2,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2" s="244">
        <f t="array" ref="AP32">_xlfn.LET(
    _xlpm.kpiName, AP$2,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2" s="244">
        <f t="array" ref="AQ32">_xlfn.LET(
    _xlpm.kpiName, AQ$2,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2" s="244">
        <f t="array" ref="AR32">_xlfn.LET(
    _xlpm.kpiName, AR$2,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2" s="244">
        <f t="array" ref="AS32">_xlfn.LET(
    _xlpm.kpiName, AS$2,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2" s="244">
        <f t="array" ref="AT32">_xlfn.LET(
    _xlpm.kpiName, AT$2,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2" s="244">
        <f t="array" ref="AU32">_xlfn.LET(
    _xlpm.kpiName, AU$2,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2" s="244">
        <f t="array" ref="AV32">_xlfn.LET(
    _xlpm.kpiName, AV$2,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2" s="244">
        <f t="array" ref="AW32">_xlfn.LET(
    _xlpm.kpiName, AW$2,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2" s="244">
        <f t="array" ref="AX32">_xlfn.LET(
    _xlpm.kpiName, AX$2,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2" s="244">
        <f t="array" ref="AY32">_xlfn.LET(
    _xlpm.kpiName, AY$2,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2" s="244">
        <f t="array" ref="AZ32">_xlfn.LET(
    _xlpm.kpiName, AZ$2,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2" s="244">
        <f t="array" ref="BA32">_xlfn.LET(
    _xlpm.kpiName, BA$2,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2" s="244">
        <f t="array" ref="BB32">_xlfn.LET(
    _xlpm.kpiName, BB$2,
    _xlpm.factorName, $D32,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3" ht="9" customHeight="1" s="179">
      <c r="C33" s="1" t="n"/>
      <c r="D33" s="78" t="inlineStr">
        <is>
          <t>Factor31</t>
        </is>
      </c>
      <c r="E33" s="244">
        <f t="array" ref="E33">_xlfn.LET(
    _xlpm.kpiName, E$2,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3" s="244">
        <f t="array" ref="F33">_xlfn.LET(
    _xlpm.kpiName, F$2,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3" s="244">
        <f t="array" ref="G33">_xlfn.LET(
    _xlpm.kpiName, G$2,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3" s="244">
        <f t="array" ref="H33">_xlfn.LET(
    _xlpm.kpiName, H$2,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3" s="244">
        <f t="array" ref="I33">_xlfn.LET(
    _xlpm.kpiName, I$2,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3" s="244">
        <f t="array" ref="J33">_xlfn.LET(
    _xlpm.kpiName, J$2,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3" s="244">
        <f t="array" ref="K33">_xlfn.LET(
    _xlpm.kpiName, K$2,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3" s="244">
        <f t="array" ref="L33">_xlfn.LET(
    _xlpm.kpiName, L$2,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3" s="244">
        <f t="array" ref="M33">_xlfn.LET(
    _xlpm.kpiName, M$2,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3" s="244">
        <f t="array" ref="N33">_xlfn.LET(
    _xlpm.kpiName, N$2,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3" s="244">
        <f t="array" ref="O33">_xlfn.LET(
    _xlpm.kpiName, O$2,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3" s="244">
        <f t="array" ref="P33">_xlfn.LET(
    _xlpm.kpiName, P$2,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3" s="244">
        <f t="array" ref="Q33">_xlfn.LET(
    _xlpm.kpiName, Q$2,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3" s="244">
        <f t="array" ref="R33">_xlfn.LET(
    _xlpm.kpiName, R$2,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3" s="244">
        <f t="array" ref="S33">_xlfn.LET(
    _xlpm.kpiName, S$2,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3" s="244">
        <f t="array" ref="T33">_xlfn.LET(
    _xlpm.kpiName, T$2,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3" s="244">
        <f t="array" ref="U33">_xlfn.LET(
    _xlpm.kpiName, U$2,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3" s="244">
        <f t="array" ref="V33">_xlfn.LET(
    _xlpm.kpiName, V$2,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3" s="244">
        <f t="array" ref="W33">_xlfn.LET(
    _xlpm.kpiName, W$2,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3" s="244">
        <f t="array" ref="X33">_xlfn.LET(
    _xlpm.kpiName, X$2,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3" s="244">
        <f t="array" ref="Y33">_xlfn.LET(
    _xlpm.kpiName, Y$2,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3" s="244">
        <f t="array" ref="Z33">_xlfn.LET(
    _xlpm.kpiName, Z$2,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3" s="244">
        <f t="array" ref="AA33">_xlfn.LET(
    _xlpm.kpiName, AA$2,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3" s="244">
        <f t="array" ref="AB33">_xlfn.LET(
    _xlpm.kpiName, AB$2,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3" s="244">
        <f t="array" ref="AC33">_xlfn.LET(
    _xlpm.kpiName, AC$2,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3" s="244">
        <f t="array" ref="AD33">_xlfn.LET(
    _xlpm.kpiName, AD$2,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3" s="244">
        <f t="array" ref="AE33">_xlfn.LET(
    _xlpm.kpiName, AE$2,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3" s="244">
        <f t="array" ref="AF33">_xlfn.LET(
    _xlpm.kpiName, AF$2,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3" s="244">
        <f t="array" ref="AG33">_xlfn.LET(
    _xlpm.kpiName, AG$2,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3" s="244">
        <f t="array" ref="AH33">_xlfn.LET(
    _xlpm.kpiName, AH$2,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3" s="244">
        <f t="array" ref="AI33">_xlfn.LET(
    _xlpm.kpiName, AI$2,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3" s="244">
        <f t="array" ref="AJ33">_xlfn.LET(
    _xlpm.kpiName, AJ$2,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3" s="244">
        <f t="array" ref="AK33">_xlfn.LET(
    _xlpm.kpiName, AK$2,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3" s="244">
        <f t="array" ref="AL33">_xlfn.LET(
    _xlpm.kpiName, AL$2,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3" s="244">
        <f t="array" ref="AM33">_xlfn.LET(
    _xlpm.kpiName, AM$2,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3" s="244">
        <f t="array" ref="AN33">_xlfn.LET(
    _xlpm.kpiName, AN$2,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3" s="244">
        <f t="array" ref="AO33">_xlfn.LET(
    _xlpm.kpiName, AO$2,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3" s="244">
        <f t="array" ref="AP33">_xlfn.LET(
    _xlpm.kpiName, AP$2,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3" s="244">
        <f t="array" ref="AQ33">_xlfn.LET(
    _xlpm.kpiName, AQ$2,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3" s="244">
        <f t="array" ref="AR33">_xlfn.LET(
    _xlpm.kpiName, AR$2,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3" s="244">
        <f t="array" ref="AS33">_xlfn.LET(
    _xlpm.kpiName, AS$2,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3" s="244">
        <f t="array" ref="AT33">_xlfn.LET(
    _xlpm.kpiName, AT$2,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3" s="244">
        <f t="array" ref="AU33">_xlfn.LET(
    _xlpm.kpiName, AU$2,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3" s="244">
        <f t="array" ref="AV33">_xlfn.LET(
    _xlpm.kpiName, AV$2,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3" s="244">
        <f t="array" ref="AW33">_xlfn.LET(
    _xlpm.kpiName, AW$2,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3" s="244">
        <f t="array" ref="AX33">_xlfn.LET(
    _xlpm.kpiName, AX$2,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3" s="244">
        <f t="array" ref="AY33">_xlfn.LET(
    _xlpm.kpiName, AY$2,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3" s="244">
        <f t="array" ref="AZ33">_xlfn.LET(
    _xlpm.kpiName, AZ$2,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3" s="244">
        <f t="array" ref="BA33">_xlfn.LET(
    _xlpm.kpiName, BA$2,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3" s="244">
        <f t="array" ref="BB33">_xlfn.LET(
    _xlpm.kpiName, BB$2,
    _xlpm.factorName, $D33,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4" ht="9" customHeight="1" s="179">
      <c r="C34" s="1" t="n"/>
      <c r="D34" s="78" t="inlineStr">
        <is>
          <t>Factor32</t>
        </is>
      </c>
      <c r="E34" s="244">
        <f t="array" ref="E34">_xlfn.LET(
    _xlpm.kpiName, E$2,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4" s="244">
        <f t="array" ref="F34">_xlfn.LET(
    _xlpm.kpiName, F$2,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4" s="244">
        <f t="array" ref="G34">_xlfn.LET(
    _xlpm.kpiName, G$2,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4" s="244">
        <f t="array" ref="H34">_xlfn.LET(
    _xlpm.kpiName, H$2,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4" s="244">
        <f t="array" ref="I34">_xlfn.LET(
    _xlpm.kpiName, I$2,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4" s="244">
        <f t="array" ref="J34">_xlfn.LET(
    _xlpm.kpiName, J$2,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4" s="244">
        <f t="array" ref="K34">_xlfn.LET(
    _xlpm.kpiName, K$2,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4" s="244">
        <f t="array" ref="L34">_xlfn.LET(
    _xlpm.kpiName, L$2,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4" s="244">
        <f t="array" ref="M34">_xlfn.LET(
    _xlpm.kpiName, M$2,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4" s="244">
        <f t="array" ref="N34">_xlfn.LET(
    _xlpm.kpiName, N$2,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4" s="244">
        <f t="array" ref="O34">_xlfn.LET(
    _xlpm.kpiName, O$2,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4" s="244">
        <f t="array" ref="P34">_xlfn.LET(
    _xlpm.kpiName, P$2,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4" s="244">
        <f t="array" ref="Q34">_xlfn.LET(
    _xlpm.kpiName, Q$2,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4" s="244">
        <f t="array" ref="R34">_xlfn.LET(
    _xlpm.kpiName, R$2,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4" s="244">
        <f t="array" ref="S34">_xlfn.LET(
    _xlpm.kpiName, S$2,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4" s="244">
        <f t="array" ref="T34">_xlfn.LET(
    _xlpm.kpiName, T$2,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4" s="244">
        <f t="array" ref="U34">_xlfn.LET(
    _xlpm.kpiName, U$2,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4" s="244">
        <f t="array" ref="V34">_xlfn.LET(
    _xlpm.kpiName, V$2,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4" s="244">
        <f t="array" ref="W34">_xlfn.LET(
    _xlpm.kpiName, W$2,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4" s="244">
        <f t="array" ref="X34">_xlfn.LET(
    _xlpm.kpiName, X$2,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4" s="244">
        <f t="array" ref="Y34">_xlfn.LET(
    _xlpm.kpiName, Y$2,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4" s="244">
        <f t="array" ref="Z34">_xlfn.LET(
    _xlpm.kpiName, Z$2,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4" s="244">
        <f t="array" ref="AA34">_xlfn.LET(
    _xlpm.kpiName, AA$2,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4" s="244">
        <f t="array" ref="AB34">_xlfn.LET(
    _xlpm.kpiName, AB$2,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4" s="244">
        <f t="array" ref="AC34">_xlfn.LET(
    _xlpm.kpiName, AC$2,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4" s="244">
        <f t="array" ref="AD34">_xlfn.LET(
    _xlpm.kpiName, AD$2,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4" s="244">
        <f t="array" ref="AE34">_xlfn.LET(
    _xlpm.kpiName, AE$2,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4" s="244">
        <f t="array" ref="AF34">_xlfn.LET(
    _xlpm.kpiName, AF$2,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4" s="244">
        <f t="array" ref="AG34">_xlfn.LET(
    _xlpm.kpiName, AG$2,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4" s="244">
        <f t="array" ref="AH34">_xlfn.LET(
    _xlpm.kpiName, AH$2,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4" s="244">
        <f t="array" ref="AI34">_xlfn.LET(
    _xlpm.kpiName, AI$2,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4" s="244">
        <f t="array" ref="AJ34">_xlfn.LET(
    _xlpm.kpiName, AJ$2,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4" s="244">
        <f t="array" ref="AK34">_xlfn.LET(
    _xlpm.kpiName, AK$2,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4" s="244">
        <f t="array" ref="AL34">_xlfn.LET(
    _xlpm.kpiName, AL$2,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4" s="244">
        <f t="array" ref="AM34">_xlfn.LET(
    _xlpm.kpiName, AM$2,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4" s="244">
        <f t="array" ref="AN34">_xlfn.LET(
    _xlpm.kpiName, AN$2,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4" s="244">
        <f t="array" ref="AO34">_xlfn.LET(
    _xlpm.kpiName, AO$2,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4" s="244">
        <f t="array" ref="AP34">_xlfn.LET(
    _xlpm.kpiName, AP$2,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4" s="244">
        <f t="array" ref="AQ34">_xlfn.LET(
    _xlpm.kpiName, AQ$2,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4" s="244">
        <f t="array" ref="AR34">_xlfn.LET(
    _xlpm.kpiName, AR$2,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4" s="244">
        <f t="array" ref="AS34">_xlfn.LET(
    _xlpm.kpiName, AS$2,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4" s="244">
        <f t="array" ref="AT34">_xlfn.LET(
    _xlpm.kpiName, AT$2,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4" s="244">
        <f t="array" ref="AU34">_xlfn.LET(
    _xlpm.kpiName, AU$2,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4" s="244">
        <f t="array" ref="AV34">_xlfn.LET(
    _xlpm.kpiName, AV$2,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4" s="244">
        <f t="array" ref="AW34">_xlfn.LET(
    _xlpm.kpiName, AW$2,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4" s="244">
        <f t="array" ref="AX34">_xlfn.LET(
    _xlpm.kpiName, AX$2,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4" s="244">
        <f t="array" ref="AY34">_xlfn.LET(
    _xlpm.kpiName, AY$2,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4" s="244">
        <f t="array" ref="AZ34">_xlfn.LET(
    _xlpm.kpiName, AZ$2,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4" s="244">
        <f t="array" ref="BA34">_xlfn.LET(
    _xlpm.kpiName, BA$2,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4" s="244">
        <f t="array" ref="BB34">_xlfn.LET(
    _xlpm.kpiName, BB$2,
    _xlpm.factorName, $D34,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5" ht="9" customHeight="1" s="179">
      <c r="C35" s="1" t="n"/>
      <c r="D35" s="78" t="inlineStr">
        <is>
          <t>Factor33</t>
        </is>
      </c>
      <c r="E35" s="244">
        <f t="array" ref="E35">_xlfn.LET(
    _xlpm.kpiName, E$2,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5" s="244">
        <f t="array" ref="F35">_xlfn.LET(
    _xlpm.kpiName, F$2,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5" s="244">
        <f t="array" ref="G35">_xlfn.LET(
    _xlpm.kpiName, G$2,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5" s="244">
        <f t="array" ref="H35">_xlfn.LET(
    _xlpm.kpiName, H$2,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5" s="244">
        <f t="array" ref="I35">_xlfn.LET(
    _xlpm.kpiName, I$2,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5" s="244">
        <f t="array" ref="J35">_xlfn.LET(
    _xlpm.kpiName, J$2,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5" s="244">
        <f t="array" ref="K35">_xlfn.LET(
    _xlpm.kpiName, K$2,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5" s="244">
        <f t="array" ref="L35">_xlfn.LET(
    _xlpm.kpiName, L$2,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5" s="244">
        <f t="array" ref="M35">_xlfn.LET(
    _xlpm.kpiName, M$2,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5" s="244">
        <f t="array" ref="N35">_xlfn.LET(
    _xlpm.kpiName, N$2,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5" s="244">
        <f t="array" ref="O35">_xlfn.LET(
    _xlpm.kpiName, O$2,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5" s="244">
        <f t="array" ref="P35">_xlfn.LET(
    _xlpm.kpiName, P$2,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5" s="244">
        <f t="array" ref="Q35">_xlfn.LET(
    _xlpm.kpiName, Q$2,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5" s="244">
        <f t="array" ref="R35">_xlfn.LET(
    _xlpm.kpiName, R$2,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5" s="244">
        <f t="array" ref="S35">_xlfn.LET(
    _xlpm.kpiName, S$2,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5" s="244">
        <f t="array" ref="T35">_xlfn.LET(
    _xlpm.kpiName, T$2,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5" s="244">
        <f t="array" ref="U35">_xlfn.LET(
    _xlpm.kpiName, U$2,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5" s="244">
        <f t="array" ref="V35">_xlfn.LET(
    _xlpm.kpiName, V$2,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5" s="244">
        <f t="array" ref="W35">_xlfn.LET(
    _xlpm.kpiName, W$2,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5" s="244">
        <f t="array" ref="X35">_xlfn.LET(
    _xlpm.kpiName, X$2,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5" s="244">
        <f t="array" ref="Y35">_xlfn.LET(
    _xlpm.kpiName, Y$2,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5" s="244">
        <f t="array" ref="Z35">_xlfn.LET(
    _xlpm.kpiName, Z$2,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5" s="244">
        <f t="array" ref="AA35">_xlfn.LET(
    _xlpm.kpiName, AA$2,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5" s="244">
        <f t="array" ref="AB35">_xlfn.LET(
    _xlpm.kpiName, AB$2,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5" s="244">
        <f t="array" ref="AC35">_xlfn.LET(
    _xlpm.kpiName, AC$2,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5" s="244">
        <f t="array" ref="AD35">_xlfn.LET(
    _xlpm.kpiName, AD$2,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5" s="244">
        <f t="array" ref="AE35">_xlfn.LET(
    _xlpm.kpiName, AE$2,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5" s="244">
        <f t="array" ref="AF35">_xlfn.LET(
    _xlpm.kpiName, AF$2,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5" s="244">
        <f t="array" ref="AG35">_xlfn.LET(
    _xlpm.kpiName, AG$2,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5" s="244">
        <f t="array" ref="AH35">_xlfn.LET(
    _xlpm.kpiName, AH$2,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5" s="244">
        <f t="array" ref="AI35">_xlfn.LET(
    _xlpm.kpiName, AI$2,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5" s="244">
        <f t="array" ref="AJ35">_xlfn.LET(
    _xlpm.kpiName, AJ$2,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5" s="244">
        <f t="array" ref="AK35">_xlfn.LET(
    _xlpm.kpiName, AK$2,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5" s="244">
        <f t="array" ref="AL35">_xlfn.LET(
    _xlpm.kpiName, AL$2,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5" s="244">
        <f t="array" ref="AM35">_xlfn.LET(
    _xlpm.kpiName, AM$2,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5" s="244">
        <f t="array" ref="AN35">_xlfn.LET(
    _xlpm.kpiName, AN$2,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5" s="244">
        <f t="array" ref="AO35">_xlfn.LET(
    _xlpm.kpiName, AO$2,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5" s="244">
        <f t="array" ref="AP35">_xlfn.LET(
    _xlpm.kpiName, AP$2,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5" s="244">
        <f t="array" ref="AQ35">_xlfn.LET(
    _xlpm.kpiName, AQ$2,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5" s="244">
        <f t="array" ref="AR35">_xlfn.LET(
    _xlpm.kpiName, AR$2,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5" s="244">
        <f t="array" ref="AS35">_xlfn.LET(
    _xlpm.kpiName, AS$2,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5" s="244">
        <f t="array" ref="AT35">_xlfn.LET(
    _xlpm.kpiName, AT$2,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5" s="244">
        <f t="array" ref="AU35">_xlfn.LET(
    _xlpm.kpiName, AU$2,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5" s="244">
        <f t="array" ref="AV35">_xlfn.LET(
    _xlpm.kpiName, AV$2,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5" s="244">
        <f t="array" ref="AW35">_xlfn.LET(
    _xlpm.kpiName, AW$2,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5" s="244">
        <f t="array" ref="AX35">_xlfn.LET(
    _xlpm.kpiName, AX$2,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5" s="244">
        <f t="array" ref="AY35">_xlfn.LET(
    _xlpm.kpiName, AY$2,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5" s="244">
        <f t="array" ref="AZ35">_xlfn.LET(
    _xlpm.kpiName, AZ$2,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5" s="244">
        <f t="array" ref="BA35">_xlfn.LET(
    _xlpm.kpiName, BA$2,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5" s="244">
        <f t="array" ref="BB35">_xlfn.LET(
    _xlpm.kpiName, BB$2,
    _xlpm.factorName, $D35,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6" ht="9" customHeight="1" s="179">
      <c r="C36" s="1" t="n"/>
      <c r="D36" s="78" t="inlineStr">
        <is>
          <t>Factor34</t>
        </is>
      </c>
      <c r="E36" s="244">
        <f t="array" ref="E36">_xlfn.LET(
    _xlpm.kpiName, E$2,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6" s="244">
        <f t="array" ref="F36">_xlfn.LET(
    _xlpm.kpiName, F$2,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6" s="244">
        <f t="array" ref="G36">_xlfn.LET(
    _xlpm.kpiName, G$2,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6" s="244">
        <f t="array" ref="H36">_xlfn.LET(
    _xlpm.kpiName, H$2,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6" s="244">
        <f t="array" ref="I36">_xlfn.LET(
    _xlpm.kpiName, I$2,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6" s="244">
        <f t="array" ref="J36">_xlfn.LET(
    _xlpm.kpiName, J$2,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6" s="244">
        <f t="array" ref="K36">_xlfn.LET(
    _xlpm.kpiName, K$2,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6" s="244">
        <f t="array" ref="L36">_xlfn.LET(
    _xlpm.kpiName, L$2,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6" s="244">
        <f t="array" ref="M36">_xlfn.LET(
    _xlpm.kpiName, M$2,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6" s="244">
        <f t="array" ref="N36">_xlfn.LET(
    _xlpm.kpiName, N$2,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6" s="244">
        <f t="array" ref="O36">_xlfn.LET(
    _xlpm.kpiName, O$2,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6" s="244">
        <f t="array" ref="P36">_xlfn.LET(
    _xlpm.kpiName, P$2,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6" s="244">
        <f t="array" ref="Q36">_xlfn.LET(
    _xlpm.kpiName, Q$2,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6" s="244">
        <f t="array" ref="R36">_xlfn.LET(
    _xlpm.kpiName, R$2,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6" s="244">
        <f t="array" ref="S36">_xlfn.LET(
    _xlpm.kpiName, S$2,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6" s="244">
        <f t="array" ref="T36">_xlfn.LET(
    _xlpm.kpiName, T$2,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6" s="244">
        <f t="array" ref="U36">_xlfn.LET(
    _xlpm.kpiName, U$2,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6" s="244">
        <f t="array" ref="V36">_xlfn.LET(
    _xlpm.kpiName, V$2,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6" s="244">
        <f t="array" ref="W36">_xlfn.LET(
    _xlpm.kpiName, W$2,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6" s="244">
        <f t="array" ref="X36">_xlfn.LET(
    _xlpm.kpiName, X$2,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6" s="244">
        <f t="array" ref="Y36">_xlfn.LET(
    _xlpm.kpiName, Y$2,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6" s="244">
        <f t="array" ref="Z36">_xlfn.LET(
    _xlpm.kpiName, Z$2,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6" s="244">
        <f t="array" ref="AA36">_xlfn.LET(
    _xlpm.kpiName, AA$2,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6" s="244">
        <f t="array" ref="AB36">_xlfn.LET(
    _xlpm.kpiName, AB$2,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6" s="244">
        <f t="array" ref="AC36">_xlfn.LET(
    _xlpm.kpiName, AC$2,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6" s="244">
        <f t="array" ref="AD36">_xlfn.LET(
    _xlpm.kpiName, AD$2,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6" s="244">
        <f t="array" ref="AE36">_xlfn.LET(
    _xlpm.kpiName, AE$2,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6" s="244">
        <f t="array" ref="AF36">_xlfn.LET(
    _xlpm.kpiName, AF$2,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6" s="244">
        <f t="array" ref="AG36">_xlfn.LET(
    _xlpm.kpiName, AG$2,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6" s="244">
        <f t="array" ref="AH36">_xlfn.LET(
    _xlpm.kpiName, AH$2,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6" s="244">
        <f t="array" ref="AI36">_xlfn.LET(
    _xlpm.kpiName, AI$2,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6" s="244">
        <f t="array" ref="AJ36">_xlfn.LET(
    _xlpm.kpiName, AJ$2,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6" s="244">
        <f t="array" ref="AK36">_xlfn.LET(
    _xlpm.kpiName, AK$2,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6" s="244">
        <f t="array" ref="AL36">_xlfn.LET(
    _xlpm.kpiName, AL$2,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6" s="244">
        <f t="array" ref="AM36">_xlfn.LET(
    _xlpm.kpiName, AM$2,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6" s="244">
        <f t="array" ref="AN36">_xlfn.LET(
    _xlpm.kpiName, AN$2,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6" s="244">
        <f t="array" ref="AO36">_xlfn.LET(
    _xlpm.kpiName, AO$2,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6" s="244">
        <f t="array" ref="AP36">_xlfn.LET(
    _xlpm.kpiName, AP$2,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6" s="244">
        <f t="array" ref="AQ36">_xlfn.LET(
    _xlpm.kpiName, AQ$2,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6" s="244">
        <f t="array" ref="AR36">_xlfn.LET(
    _xlpm.kpiName, AR$2,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6" s="244">
        <f t="array" ref="AS36">_xlfn.LET(
    _xlpm.kpiName, AS$2,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6" s="244">
        <f t="array" ref="AT36">_xlfn.LET(
    _xlpm.kpiName, AT$2,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6" s="244">
        <f t="array" ref="AU36">_xlfn.LET(
    _xlpm.kpiName, AU$2,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6" s="244">
        <f t="array" ref="AV36">_xlfn.LET(
    _xlpm.kpiName, AV$2,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6" s="244">
        <f t="array" ref="AW36">_xlfn.LET(
    _xlpm.kpiName, AW$2,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6" s="244">
        <f t="array" ref="AX36">_xlfn.LET(
    _xlpm.kpiName, AX$2,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6" s="244">
        <f t="array" ref="AY36">_xlfn.LET(
    _xlpm.kpiName, AY$2,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6" s="244">
        <f t="array" ref="AZ36">_xlfn.LET(
    _xlpm.kpiName, AZ$2,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6" s="244">
        <f t="array" ref="BA36">_xlfn.LET(
    _xlpm.kpiName, BA$2,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6" s="244">
        <f t="array" ref="BB36">_xlfn.LET(
    _xlpm.kpiName, BB$2,
    _xlpm.factorName, $D36,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7" ht="9" customHeight="1" s="179">
      <c r="C37" s="1" t="n"/>
      <c r="D37" s="78" t="inlineStr">
        <is>
          <t>Factor35</t>
        </is>
      </c>
      <c r="E37" s="244">
        <f t="array" ref="E37">_xlfn.LET(
    _xlpm.kpiName, E$2,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7" s="244">
        <f t="array" ref="F37">_xlfn.LET(
    _xlpm.kpiName, F$2,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7" s="244">
        <f t="array" ref="G37">_xlfn.LET(
    _xlpm.kpiName, G$2,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7" s="244">
        <f t="array" ref="H37">_xlfn.LET(
    _xlpm.kpiName, H$2,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7" s="244">
        <f t="array" ref="I37">_xlfn.LET(
    _xlpm.kpiName, I$2,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7" s="244">
        <f t="array" ref="J37">_xlfn.LET(
    _xlpm.kpiName, J$2,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7" s="244">
        <f t="array" ref="K37">_xlfn.LET(
    _xlpm.kpiName, K$2,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7" s="244">
        <f t="array" ref="L37">_xlfn.LET(
    _xlpm.kpiName, L$2,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7" s="244">
        <f t="array" ref="M37">_xlfn.LET(
    _xlpm.kpiName, M$2,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7" s="244">
        <f t="array" ref="N37">_xlfn.LET(
    _xlpm.kpiName, N$2,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7" s="244">
        <f t="array" ref="O37">_xlfn.LET(
    _xlpm.kpiName, O$2,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7" s="244">
        <f t="array" ref="P37">_xlfn.LET(
    _xlpm.kpiName, P$2,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7" s="244">
        <f t="array" ref="Q37">_xlfn.LET(
    _xlpm.kpiName, Q$2,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7" s="244">
        <f t="array" ref="R37">_xlfn.LET(
    _xlpm.kpiName, R$2,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7" s="244">
        <f t="array" ref="S37">_xlfn.LET(
    _xlpm.kpiName, S$2,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7" s="244">
        <f t="array" ref="T37">_xlfn.LET(
    _xlpm.kpiName, T$2,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7" s="244">
        <f t="array" ref="U37">_xlfn.LET(
    _xlpm.kpiName, U$2,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7" s="244">
        <f t="array" ref="V37">_xlfn.LET(
    _xlpm.kpiName, V$2,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7" s="244">
        <f t="array" ref="W37">_xlfn.LET(
    _xlpm.kpiName, W$2,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7" s="244">
        <f t="array" ref="X37">_xlfn.LET(
    _xlpm.kpiName, X$2,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7" s="244">
        <f t="array" ref="Y37">_xlfn.LET(
    _xlpm.kpiName, Y$2,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7" s="244">
        <f t="array" ref="Z37">_xlfn.LET(
    _xlpm.kpiName, Z$2,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7" s="244">
        <f t="array" ref="AA37">_xlfn.LET(
    _xlpm.kpiName, AA$2,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7" s="244">
        <f t="array" ref="AB37">_xlfn.LET(
    _xlpm.kpiName, AB$2,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7" s="244">
        <f t="array" ref="AC37">_xlfn.LET(
    _xlpm.kpiName, AC$2,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7" s="244">
        <f t="array" ref="AD37">_xlfn.LET(
    _xlpm.kpiName, AD$2,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7" s="244">
        <f t="array" ref="AE37">_xlfn.LET(
    _xlpm.kpiName, AE$2,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7" s="244">
        <f t="array" ref="AF37">_xlfn.LET(
    _xlpm.kpiName, AF$2,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7" s="244">
        <f t="array" ref="AG37">_xlfn.LET(
    _xlpm.kpiName, AG$2,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7" s="244">
        <f t="array" ref="AH37">_xlfn.LET(
    _xlpm.kpiName, AH$2,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7" s="244">
        <f t="array" ref="AI37">_xlfn.LET(
    _xlpm.kpiName, AI$2,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7" s="244">
        <f t="array" ref="AJ37">_xlfn.LET(
    _xlpm.kpiName, AJ$2,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7" s="244">
        <f t="array" ref="AK37">_xlfn.LET(
    _xlpm.kpiName, AK$2,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7" s="244">
        <f t="array" ref="AL37">_xlfn.LET(
    _xlpm.kpiName, AL$2,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7" s="244">
        <f t="array" ref="AM37">_xlfn.LET(
    _xlpm.kpiName, AM$2,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7" s="244">
        <f t="array" ref="AN37">_xlfn.LET(
    _xlpm.kpiName, AN$2,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7" s="244">
        <f t="array" ref="AO37">_xlfn.LET(
    _xlpm.kpiName, AO$2,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7" s="244">
        <f t="array" ref="AP37">_xlfn.LET(
    _xlpm.kpiName, AP$2,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7" s="244">
        <f t="array" ref="AQ37">_xlfn.LET(
    _xlpm.kpiName, AQ$2,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7" s="244">
        <f t="array" ref="AR37">_xlfn.LET(
    _xlpm.kpiName, AR$2,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7" s="244">
        <f t="array" ref="AS37">_xlfn.LET(
    _xlpm.kpiName, AS$2,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7" s="244">
        <f t="array" ref="AT37">_xlfn.LET(
    _xlpm.kpiName, AT$2,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7" s="244">
        <f t="array" ref="AU37">_xlfn.LET(
    _xlpm.kpiName, AU$2,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7" s="244">
        <f t="array" ref="AV37">_xlfn.LET(
    _xlpm.kpiName, AV$2,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7" s="244">
        <f t="array" ref="AW37">_xlfn.LET(
    _xlpm.kpiName, AW$2,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7" s="244">
        <f t="array" ref="AX37">_xlfn.LET(
    _xlpm.kpiName, AX$2,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7" s="244">
        <f t="array" ref="AY37">_xlfn.LET(
    _xlpm.kpiName, AY$2,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7" s="244">
        <f t="array" ref="AZ37">_xlfn.LET(
    _xlpm.kpiName, AZ$2,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7" s="244">
        <f t="array" ref="BA37">_xlfn.LET(
    _xlpm.kpiName, BA$2,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7" s="244">
        <f t="array" ref="BB37">_xlfn.LET(
    _xlpm.kpiName, BB$2,
    _xlpm.factorName, $D37,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8" ht="9" customHeight="1" s="179">
      <c r="D38" s="78" t="inlineStr">
        <is>
          <t>Factor36</t>
        </is>
      </c>
      <c r="E38" s="244">
        <f t="array" ref="E38">_xlfn.LET(
    _xlpm.kpiName, E$2,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8" s="244">
        <f t="array" ref="F38">_xlfn.LET(
    _xlpm.kpiName, F$2,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8" s="244">
        <f t="array" ref="G38">_xlfn.LET(
    _xlpm.kpiName, G$2,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8" s="244">
        <f t="array" ref="H38">_xlfn.LET(
    _xlpm.kpiName, H$2,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8" s="244">
        <f t="array" ref="I38">_xlfn.LET(
    _xlpm.kpiName, I$2,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8" s="244">
        <f t="array" ref="J38">_xlfn.LET(
    _xlpm.kpiName, J$2,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8" s="244">
        <f t="array" ref="K38">_xlfn.LET(
    _xlpm.kpiName, K$2,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8" s="244">
        <f t="array" ref="L38">_xlfn.LET(
    _xlpm.kpiName, L$2,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8" s="244">
        <f t="array" ref="M38">_xlfn.LET(
    _xlpm.kpiName, M$2,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8" s="244">
        <f t="array" ref="N38">_xlfn.LET(
    _xlpm.kpiName, N$2,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8" s="244">
        <f t="array" ref="O38">_xlfn.LET(
    _xlpm.kpiName, O$2,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8" s="244">
        <f t="array" ref="P38">_xlfn.LET(
    _xlpm.kpiName, P$2,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8" s="244">
        <f t="array" ref="Q38">_xlfn.LET(
    _xlpm.kpiName, Q$2,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8" s="244">
        <f t="array" ref="R38">_xlfn.LET(
    _xlpm.kpiName, R$2,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8" s="244">
        <f t="array" ref="S38">_xlfn.LET(
    _xlpm.kpiName, S$2,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8" s="244">
        <f t="array" ref="T38">_xlfn.LET(
    _xlpm.kpiName, T$2,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8" s="244">
        <f t="array" ref="U38">_xlfn.LET(
    _xlpm.kpiName, U$2,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8" s="244">
        <f t="array" ref="V38">_xlfn.LET(
    _xlpm.kpiName, V$2,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8" s="244">
        <f t="array" ref="W38">_xlfn.LET(
    _xlpm.kpiName, W$2,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8" s="244">
        <f t="array" ref="X38">_xlfn.LET(
    _xlpm.kpiName, X$2,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8" s="244">
        <f t="array" ref="Y38">_xlfn.LET(
    _xlpm.kpiName, Y$2,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8" s="244">
        <f t="array" ref="Z38">_xlfn.LET(
    _xlpm.kpiName, Z$2,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8" s="244">
        <f t="array" ref="AA38">_xlfn.LET(
    _xlpm.kpiName, AA$2,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8" s="244">
        <f t="array" ref="AB38">_xlfn.LET(
    _xlpm.kpiName, AB$2,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8" s="244">
        <f t="array" ref="AC38">_xlfn.LET(
    _xlpm.kpiName, AC$2,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8" s="244">
        <f t="array" ref="AD38">_xlfn.LET(
    _xlpm.kpiName, AD$2,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8" s="244">
        <f t="array" ref="AE38">_xlfn.LET(
    _xlpm.kpiName, AE$2,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8" s="244">
        <f t="array" ref="AF38">_xlfn.LET(
    _xlpm.kpiName, AF$2,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8" s="244">
        <f t="array" ref="AG38">_xlfn.LET(
    _xlpm.kpiName, AG$2,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8" s="244">
        <f t="array" ref="AH38">_xlfn.LET(
    _xlpm.kpiName, AH$2,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8" s="244">
        <f t="array" ref="AI38">_xlfn.LET(
    _xlpm.kpiName, AI$2,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8" s="244">
        <f t="array" ref="AJ38">_xlfn.LET(
    _xlpm.kpiName, AJ$2,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8" s="244">
        <f t="array" ref="AK38">_xlfn.LET(
    _xlpm.kpiName, AK$2,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8" s="244">
        <f t="array" ref="AL38">_xlfn.LET(
    _xlpm.kpiName, AL$2,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8" s="244">
        <f t="array" ref="AM38">_xlfn.LET(
    _xlpm.kpiName, AM$2,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8" s="244">
        <f t="array" ref="AN38">_xlfn.LET(
    _xlpm.kpiName, AN$2,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8" s="244">
        <f t="array" ref="AO38">_xlfn.LET(
    _xlpm.kpiName, AO$2,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8" s="244">
        <f t="array" ref="AP38">_xlfn.LET(
    _xlpm.kpiName, AP$2,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8" s="244">
        <f t="array" ref="AQ38">_xlfn.LET(
    _xlpm.kpiName, AQ$2,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8" s="244">
        <f t="array" ref="AR38">_xlfn.LET(
    _xlpm.kpiName, AR$2,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8" s="244">
        <f t="array" ref="AS38">_xlfn.LET(
    _xlpm.kpiName, AS$2,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8" s="244">
        <f t="array" ref="AT38">_xlfn.LET(
    _xlpm.kpiName, AT$2,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8" s="244">
        <f t="array" ref="AU38">_xlfn.LET(
    _xlpm.kpiName, AU$2,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8" s="244">
        <f t="array" ref="AV38">_xlfn.LET(
    _xlpm.kpiName, AV$2,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8" s="244">
        <f t="array" ref="AW38">_xlfn.LET(
    _xlpm.kpiName, AW$2,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8" s="244">
        <f t="array" ref="AX38">_xlfn.LET(
    _xlpm.kpiName, AX$2,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8" s="244">
        <f t="array" ref="AY38">_xlfn.LET(
    _xlpm.kpiName, AY$2,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8" s="244">
        <f t="array" ref="AZ38">_xlfn.LET(
    _xlpm.kpiName, AZ$2,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8" s="244">
        <f t="array" ref="BA38">_xlfn.LET(
    _xlpm.kpiName, BA$2,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8" s="244">
        <f t="array" ref="BB38">_xlfn.LET(
    _xlpm.kpiName, BB$2,
    _xlpm.factorName, $D38,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39" ht="9" customHeight="1" s="179">
      <c r="D39" s="78" t="inlineStr">
        <is>
          <t>Factor37</t>
        </is>
      </c>
      <c r="E39" s="244">
        <f t="array" ref="E39">_xlfn.LET(
    _xlpm.kpiName, E$2,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39" s="244">
        <f t="array" ref="F39">_xlfn.LET(
    _xlpm.kpiName, F$2,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39" s="244">
        <f t="array" ref="G39">_xlfn.LET(
    _xlpm.kpiName, G$2,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39" s="244">
        <f t="array" ref="H39">_xlfn.LET(
    _xlpm.kpiName, H$2,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39" s="244">
        <f t="array" ref="I39">_xlfn.LET(
    _xlpm.kpiName, I$2,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39" s="244">
        <f t="array" ref="J39">_xlfn.LET(
    _xlpm.kpiName, J$2,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39" s="244">
        <f t="array" ref="K39">_xlfn.LET(
    _xlpm.kpiName, K$2,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39" s="244">
        <f t="array" ref="L39">_xlfn.LET(
    _xlpm.kpiName, L$2,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39" s="244">
        <f t="array" ref="M39">_xlfn.LET(
    _xlpm.kpiName, M$2,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39" s="244">
        <f t="array" ref="N39">_xlfn.LET(
    _xlpm.kpiName, N$2,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39" s="244">
        <f t="array" ref="O39">_xlfn.LET(
    _xlpm.kpiName, O$2,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39" s="244">
        <f t="array" ref="P39">_xlfn.LET(
    _xlpm.kpiName, P$2,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39" s="244">
        <f t="array" ref="Q39">_xlfn.LET(
    _xlpm.kpiName, Q$2,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39" s="244">
        <f t="array" ref="R39">_xlfn.LET(
    _xlpm.kpiName, R$2,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39" s="244">
        <f t="array" ref="S39">_xlfn.LET(
    _xlpm.kpiName, S$2,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39" s="244">
        <f t="array" ref="T39">_xlfn.LET(
    _xlpm.kpiName, T$2,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39" s="244">
        <f t="array" ref="U39">_xlfn.LET(
    _xlpm.kpiName, U$2,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39" s="244">
        <f t="array" ref="V39">_xlfn.LET(
    _xlpm.kpiName, V$2,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39" s="244">
        <f t="array" ref="W39">_xlfn.LET(
    _xlpm.kpiName, W$2,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39" s="244">
        <f t="array" ref="X39">_xlfn.LET(
    _xlpm.kpiName, X$2,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39" s="244">
        <f t="array" ref="Y39">_xlfn.LET(
    _xlpm.kpiName, Y$2,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39" s="244">
        <f t="array" ref="Z39">_xlfn.LET(
    _xlpm.kpiName, Z$2,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39" s="244">
        <f t="array" ref="AA39">_xlfn.LET(
    _xlpm.kpiName, AA$2,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39" s="244">
        <f t="array" ref="AB39">_xlfn.LET(
    _xlpm.kpiName, AB$2,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39" s="244">
        <f t="array" ref="AC39">_xlfn.LET(
    _xlpm.kpiName, AC$2,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39" s="244">
        <f t="array" ref="AD39">_xlfn.LET(
    _xlpm.kpiName, AD$2,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39" s="244">
        <f t="array" ref="AE39">_xlfn.LET(
    _xlpm.kpiName, AE$2,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39" s="244">
        <f t="array" ref="AF39">_xlfn.LET(
    _xlpm.kpiName, AF$2,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39" s="244">
        <f t="array" ref="AG39">_xlfn.LET(
    _xlpm.kpiName, AG$2,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39" s="244">
        <f t="array" ref="AH39">_xlfn.LET(
    _xlpm.kpiName, AH$2,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39" s="244">
        <f t="array" ref="AI39">_xlfn.LET(
    _xlpm.kpiName, AI$2,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39" s="244">
        <f t="array" ref="AJ39">_xlfn.LET(
    _xlpm.kpiName, AJ$2,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39" s="244">
        <f t="array" ref="AK39">_xlfn.LET(
    _xlpm.kpiName, AK$2,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39" s="244">
        <f t="array" ref="AL39">_xlfn.LET(
    _xlpm.kpiName, AL$2,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39" s="244">
        <f t="array" ref="AM39">_xlfn.LET(
    _xlpm.kpiName, AM$2,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39" s="244">
        <f t="array" ref="AN39">_xlfn.LET(
    _xlpm.kpiName, AN$2,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39" s="244">
        <f t="array" ref="AO39">_xlfn.LET(
    _xlpm.kpiName, AO$2,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39" s="244">
        <f t="array" ref="AP39">_xlfn.LET(
    _xlpm.kpiName, AP$2,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39" s="244">
        <f t="array" ref="AQ39">_xlfn.LET(
    _xlpm.kpiName, AQ$2,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39" s="244">
        <f t="array" ref="AR39">_xlfn.LET(
    _xlpm.kpiName, AR$2,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39" s="244">
        <f t="array" ref="AS39">_xlfn.LET(
    _xlpm.kpiName, AS$2,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39" s="244">
        <f t="array" ref="AT39">_xlfn.LET(
    _xlpm.kpiName, AT$2,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39" s="244">
        <f t="array" ref="AU39">_xlfn.LET(
    _xlpm.kpiName, AU$2,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39" s="244">
        <f t="array" ref="AV39">_xlfn.LET(
    _xlpm.kpiName, AV$2,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39" s="244">
        <f t="array" ref="AW39">_xlfn.LET(
    _xlpm.kpiName, AW$2,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39" s="244">
        <f t="array" ref="AX39">_xlfn.LET(
    _xlpm.kpiName, AX$2,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39" s="244">
        <f t="array" ref="AY39">_xlfn.LET(
    _xlpm.kpiName, AY$2,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39" s="244">
        <f t="array" ref="AZ39">_xlfn.LET(
    _xlpm.kpiName, AZ$2,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39" s="244">
        <f t="array" ref="BA39">_xlfn.LET(
    _xlpm.kpiName, BA$2,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39" s="244">
        <f t="array" ref="BB39">_xlfn.LET(
    _xlpm.kpiName, BB$2,
    _xlpm.factorName, $D39,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40" ht="9" customHeight="1" s="179">
      <c r="D40" s="78" t="inlineStr">
        <is>
          <t>Factor38</t>
        </is>
      </c>
      <c r="E40" s="244">
        <f t="array" ref="E40">_xlfn.LET(
    _xlpm.kpiName, E$2,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F40" s="244">
        <f t="array" ref="F40">_xlfn.LET(
    _xlpm.kpiName, F$2,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G40" s="244">
        <f t="array" ref="G40">_xlfn.LET(
    _xlpm.kpiName, G$2,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H40" s="244">
        <f t="array" ref="H40">_xlfn.LET(
    _xlpm.kpiName, H$2,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I40" s="244">
        <f t="array" ref="I40">_xlfn.LET(
    _xlpm.kpiName, I$2,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J40" s="244">
        <f t="array" ref="J40">_xlfn.LET(
    _xlpm.kpiName, J$2,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K40" s="244">
        <f t="array" ref="K40">_xlfn.LET(
    _xlpm.kpiName, K$2,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L40" s="244">
        <f t="array" ref="L40">_xlfn.LET(
    _xlpm.kpiName, L$2,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M40" s="244">
        <f t="array" ref="M40">_xlfn.LET(
    _xlpm.kpiName, M$2,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N40" s="244">
        <f t="array" ref="N40">_xlfn.LET(
    _xlpm.kpiName, N$2,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O40" s="244">
        <f t="array" ref="O40">_xlfn.LET(
    _xlpm.kpiName, O$2,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P40" s="244">
        <f t="array" ref="P40">_xlfn.LET(
    _xlpm.kpiName, P$2,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Q40" s="244">
        <f t="array" ref="Q40">_xlfn.LET(
    _xlpm.kpiName, Q$2,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R40" s="244">
        <f t="array" ref="R40">_xlfn.LET(
    _xlpm.kpiName, R$2,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S40" s="244">
        <f t="array" ref="S40">_xlfn.LET(
    _xlpm.kpiName, S$2,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T40" s="244">
        <f t="array" ref="T40">_xlfn.LET(
    _xlpm.kpiName, T$2,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U40" s="244">
        <f t="array" ref="U40">_xlfn.LET(
    _xlpm.kpiName, U$2,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V40" s="244">
        <f t="array" ref="V40">_xlfn.LET(
    _xlpm.kpiName, V$2,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W40" s="244">
        <f t="array" ref="W40">_xlfn.LET(
    _xlpm.kpiName, W$2,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X40" s="244">
        <f t="array" ref="X40">_xlfn.LET(
    _xlpm.kpiName, X$2,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Y40" s="244">
        <f t="array" ref="Y40">_xlfn.LET(
    _xlpm.kpiName, Y$2,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Z40" s="244">
        <f t="array" ref="Z40">_xlfn.LET(
    _xlpm.kpiName, Z$2,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A40" s="244">
        <f t="array" ref="AA40">_xlfn.LET(
    _xlpm.kpiName, AA$2,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B40" s="244">
        <f t="array" ref="AB40">_xlfn.LET(
    _xlpm.kpiName, AB$2,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C40" s="244">
        <f t="array" ref="AC40">_xlfn.LET(
    _xlpm.kpiName, AC$2,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D40" s="244">
        <f t="array" ref="AD40">_xlfn.LET(
    _xlpm.kpiName, AD$2,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E40" s="244">
        <f t="array" ref="AE40">_xlfn.LET(
    _xlpm.kpiName, AE$2,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F40" s="244">
        <f t="array" ref="AF40">_xlfn.LET(
    _xlpm.kpiName, AF$2,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G40" s="244">
        <f t="array" ref="AG40">_xlfn.LET(
    _xlpm.kpiName, AG$2,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H40" s="244">
        <f t="array" ref="AH40">_xlfn.LET(
    _xlpm.kpiName, AH$2,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I40" s="244">
        <f t="array" ref="AI40">_xlfn.LET(
    _xlpm.kpiName, AI$2,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J40" s="244">
        <f t="array" ref="AJ40">_xlfn.LET(
    _xlpm.kpiName, AJ$2,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K40" s="244">
        <f t="array" ref="AK40">_xlfn.LET(
    _xlpm.kpiName, AK$2,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L40" s="244">
        <f t="array" ref="AL40">_xlfn.LET(
    _xlpm.kpiName, AL$2,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M40" s="244">
        <f t="array" ref="AM40">_xlfn.LET(
    _xlpm.kpiName, AM$2,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N40" s="244">
        <f t="array" ref="AN40">_xlfn.LET(
    _xlpm.kpiName, AN$2,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O40" s="244">
        <f t="array" ref="AO40">_xlfn.LET(
    _xlpm.kpiName, AO$2,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P40" s="244">
        <f t="array" ref="AP40">_xlfn.LET(
    _xlpm.kpiName, AP$2,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Q40" s="244">
        <f t="array" ref="AQ40">_xlfn.LET(
    _xlpm.kpiName, AQ$2,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R40" s="244">
        <f t="array" ref="AR40">_xlfn.LET(
    _xlpm.kpiName, AR$2,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S40" s="244">
        <f t="array" ref="AS40">_xlfn.LET(
    _xlpm.kpiName, AS$2,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T40" s="244">
        <f t="array" ref="AT40">_xlfn.LET(
    _xlpm.kpiName, AT$2,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U40" s="244">
        <f t="array" ref="AU40">_xlfn.LET(
    _xlpm.kpiName, AU$2,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V40" s="244">
        <f t="array" ref="AV40">_xlfn.LET(
    _xlpm.kpiName, AV$2,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W40" s="244">
        <f t="array" ref="AW40">_xlfn.LET(
    _xlpm.kpiName, AW$2,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X40" s="244">
        <f t="array" ref="AX40">_xlfn.LET(
    _xlpm.kpiName, AX$2,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Y40" s="244">
        <f t="array" ref="AY40">_xlfn.LET(
    _xlpm.kpiName, AY$2,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AZ40" s="244">
        <f t="array" ref="AZ40">_xlfn.LET(
    _xlpm.kpiName, AZ$2,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A40" s="244">
        <f t="array" ref="BA40">_xlfn.LET(
    _xlpm.kpiName, BA$2,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  <c r="BB40" s="244">
        <f t="array" ref="BB40">_xlfn.LET(
    _xlpm.kpiName, BB$2,
    _xlpm.factorName, $D40,
    _xlpm.headerText, "Dependent Variable: "&amp;_xlpm.kpiName,
    _xlpm.regA, '2A Regression'!$A$1:$A$10000,
    _xlpm.regB, '2A Regression'!$B$1:$B$10000,
    _xlpm.regE, '2A Regression'!$E$1:$E$10000,
    _xlpm.headerRow, MATCH(_xlpm.headerText, _xlpm.regA, 0),
    _xlpm.nextHeaderRow, _xlfn.AGGREGATE(15, 6, ROW(_xlpm.regA)/((LEFT(_xlpm.regA,19)="Dependent Variable:")*(ROW(_xlpm.regA)&gt;_xlpm.headerRow)), 1),
    _xlpm.searchStart, _xlpm.headerRow,
    _xlpm.searchEnd, IF(ISERROR(_xlpm.nextHeaderRow), 300, _xlpm.nextHeaderRow-1),
    _xlpm.factorPos, _xlfn.AGGREGATE(15, 6, ROW(_xlpm.regB)/((_xlpm.regB=_xlpm.factorName)*(ROW(_xlpm.regB)&gt;=_xlpm.searchStart)*(ROW(_xlpm.regB)&lt;=_xlpm.searchEnd)), 1),
    IF(ISERROR(_xlpm.factorPos), 0, INDEX(_xlpm.regE, _xlpm.factorPos))
)</f>
        <v/>
      </c>
    </row>
    <row r="41">
      <c r="D41" s="27" t="n"/>
      <c r="E41" s="227" t="n"/>
      <c r="F41" s="227" t="n"/>
      <c r="G41" s="227" t="n"/>
      <c r="H41" s="227" t="n"/>
      <c r="I41" s="227" t="n"/>
      <c r="J41" s="227" t="n"/>
      <c r="K41" s="227" t="n"/>
      <c r="L41" s="227" t="n"/>
      <c r="M41" s="227" t="n"/>
      <c r="N41" s="227" t="n"/>
      <c r="O41" s="227" t="n"/>
      <c r="P41" s="227" t="n"/>
      <c r="Q41" s="227" t="n"/>
      <c r="R41" s="227" t="n"/>
      <c r="S41" s="227" t="n"/>
      <c r="T41" s="227" t="n"/>
      <c r="U41" s="228" t="n"/>
      <c r="W41" s="229" t="n"/>
    </row>
    <row r="42">
      <c r="C42" s="27" t="inlineStr">
        <is>
          <t>非标准化系数（brand dispo）</t>
        </is>
      </c>
      <c r="D42" s="5">
        <f>B8</f>
        <v/>
      </c>
      <c r="E42" s="227">
        <f t="array" ref="E42">IF(E$2=0,"",_xlfn.LET(_xlpm.dep,E$2,_xlpm.var,$D42,_xlpm.start,_xlfn.XMATCH("Dependent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F42" s="227">
        <f t="array" ref="F42">IF(F$2=0,"",_xlfn.LET(_xlpm.dep,F$2,_xlpm.var,$D42,_xlpm.start,_xlfn.XMATCH("Dependent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G42" s="227">
        <f t="array" ref="G42">IF(G$2=0,"",_xlfn.LET(_xlpm.dep,G$2,_xlpm.var,$D42,_xlpm.start,_xlfn.XMATCH("Dependent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H42" s="227">
        <f t="array" ref="H42">IF(H$2=0,"",_xlfn.LET(_xlpm.dep,H$2,_xlpm.var,$D42,_xlpm.start,_xlfn.XMATCH("Dependent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I42" s="227">
        <f t="array" ref="I42">IF(I$2=0,"",_xlfn.LET(_xlpm.dep,I$2,_xlpm.var,$D42,_xlpm.start,_xlfn.XMATCH("Dependent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J42" s="227">
        <f t="array" ref="J42">IF(J$2=0,"",_xlfn.LET(_xlpm.dep,J$2,_xlpm.var,$D42,_xlpm.start,_xlfn.XMATCH("Dependent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K42" s="227">
        <f t="array" ref="K42">IF(K$2=0,"",_xlfn.LET(_xlpm.dep,K$2,_xlpm.var,$D42,_xlpm.start,_xlfn.XMATCH("Dependent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L42" s="227">
        <f t="array" ref="L42">IF(L$2=0,"",_xlfn.LET(_xlpm.dep,L$2,_xlpm.var,$D42,_xlpm.start,_xlfn.XMATCH("Dependent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M42" s="227">
        <f t="array" ref="M42">IF(M$2=0,"",_xlfn.LET(_xlpm.dep,M$2,_xlpm.var,$D42,_xlpm.start,_xlfn.XMATCH("Dependent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N42" s="227">
        <f t="array" ref="N42">IF(N$2=0,"",_xlfn.LET(_xlpm.dep,N$2,_xlpm.var,$D42,_xlpm.start,_xlfn.XMATCH("Dependent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O42" s="227">
        <f t="array" ref="O42">IF(O$2=0,"",_xlfn.LET(_xlpm.dep,O$2,_xlpm.var,$D42,_xlpm.start,_xlfn.XMATCH("Dependent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P42" s="227">
        <f t="array" ref="P42">IF(P$2=0,"",_xlfn.LET(_xlpm.dep,P$2,_xlpm.var,$D42,_xlpm.start,_xlfn.XMATCH("Dependent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Q42" s="227">
        <f t="array" ref="Q42">IF(Q$2=0,"",_xlfn.LET(_xlpm.dep,Q$2,_xlpm.var,$D42,_xlpm.start,_xlfn.XMATCH("Dependent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R42" s="227">
        <f t="array" ref="R42">IF(R$2=0,"",_xlfn.LET(_xlpm.dep,R$2,_xlpm.var,$D42,_xlpm.start,_xlfn.XMATCH("Dependent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S42" s="227">
        <f t="array" ref="S42">IF(S$2=0,"",_xlfn.LET(_xlpm.dep,S$2,_xlpm.var,$D42,_xlpm.start,_xlfn.XMATCH("Dependent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T42" s="227">
        <f t="array" ref="T42">IF(T$2=0,"",_xlfn.LET(_xlpm.dep,T$2,_xlpm.var,$D42,_xlpm.start,_xlfn.XMATCH("Dependent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U42" s="227">
        <f t="array" ref="U42">IF(U$2=0,"",_xlfn.LET(_xlpm.dep,U$2,_xlpm.var,$D42,_xlpm.start,_xlfn.XMATCH("Dependent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V42" s="227">
        <f t="array" ref="V42">IF(V$2=0,"",_xlfn.LET(_xlpm.dep,V$2,_xlpm.var,$D42,_xlpm.start,_xlfn.XMATCH("Dependent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W42" s="227">
        <f t="array" ref="W42">IF(W$2=0,"",_xlfn.LET(_xlpm.dep,W$2,_xlpm.var,$D42,_xlpm.start,_xlfn.XMATCH("Dependent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X42" s="227">
        <f t="array" ref="X42">IF(X$2=0,"",_xlfn.LET(_xlpm.dep,X$2,_xlpm.var,$D42,_xlpm.start,_xlfn.XMATCH("Dependent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Y42" s="227">
        <f t="array" ref="Y42">IF(Y$2=0,"",_xlfn.LET(_xlpm.dep,Y$2,_xlpm.var,$D42,_xlpm.start,_xlfn.XMATCH("Dependent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Z42" s="227">
        <f t="array" ref="Z42">IF(Z$2=0,"",_xlfn.LET(_xlpm.dep,Z$2,_xlpm.var,$D42,_xlpm.start,_xlfn.XMATCH("Dependent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A42" s="227">
        <f t="array" ref="AA42">IF(AA$2=0,"",_xlfn.LET(_xlpm.dep,AA$2,_xlpm.var,$D42,_xlpm.start,_xlfn.XMATCH("Dependent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B42" s="227">
        <f t="array" ref="AB42">IF(AB$2=0,"",_xlfn.LET(_xlpm.dep,AB$2,_xlpm.var,$D42,_xlpm.start,_xlfn.XMATCH("Dependent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C42" s="227">
        <f t="array" ref="AC42">IF(AC$2=0,"",_xlfn.LET(_xlpm.dep,AC$2,_xlpm.var,$D42,_xlpm.start,_xlfn.XMATCH("Dependent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D42" s="227">
        <f t="array" ref="AD42">IF(AD$2=0,"",_xlfn.LET(_xlpm.dep,AD$2,_xlpm.var,$D42,_xlpm.start,_xlfn.XMATCH("Dependent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E42" s="227">
        <f t="array" ref="AE42">IF(AE$2=0,"",_xlfn.LET(_xlpm.dep,AE$2,_xlpm.var,$D42,_xlpm.start,_xlfn.XMATCH("Dependent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F42" s="227">
        <f t="array" ref="AF42">IF(AF$2=0,"",_xlfn.LET(_xlpm.dep,AF$2,_xlpm.var,$D42,_xlpm.start,_xlfn.XMATCH("Dependent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G42" s="227">
        <f t="array" ref="AG42">IF(AG$2=0,"",_xlfn.LET(_xlpm.dep,AG$2,_xlpm.var,$D42,_xlpm.start,_xlfn.XMATCH("Dependent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H42" s="227">
        <f t="array" ref="AH42">IF(AH$2=0,"",_xlfn.LET(_xlpm.dep,AH$2,_xlpm.var,$D42,_xlpm.start,_xlfn.XMATCH("Dependent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I42" s="227">
        <f t="array" ref="AI42">IF(AI$2=0,"",_xlfn.LET(_xlpm.dep,AI$2,_xlpm.var,$D42,_xlpm.start,_xlfn.XMATCH("Dependent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J42" s="227">
        <f t="array" ref="AJ42">IF(AJ$2=0,"",_xlfn.LET(_xlpm.dep,AJ$2,_xlpm.var,$D42,_xlpm.start,_xlfn.XMATCH("Dependent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K42" s="227">
        <f t="array" ref="AK42">IF(AK$2=0,"",_xlfn.LET(_xlpm.dep,AK$2,_xlpm.var,$D42,_xlpm.start,_xlfn.XMATCH("Dependent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L42" s="227">
        <f t="array" ref="AL42">IF(AL$2=0,"",_xlfn.LET(_xlpm.dep,AL$2,_xlpm.var,$D42,_xlpm.start,_xlfn.XMATCH("Dependent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M42" s="227">
        <f t="array" ref="AM42">IF(AM$2=0,"",_xlfn.LET(_xlpm.dep,AM$2,_xlpm.var,$D42,_xlpm.start,_xlfn.XMATCH("Dependent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N42" s="227">
        <f t="array" ref="AN42">IF(AN$2=0,"",_xlfn.LET(_xlpm.dep,AN$2,_xlpm.var,$D42,_xlpm.start,_xlfn.XMATCH("Dependent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O42" s="227">
        <f t="array" ref="AO42">IF(AO$2=0,"",_xlfn.LET(_xlpm.dep,AO$2,_xlpm.var,$D42,_xlpm.start,_xlfn.XMATCH("Dependent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P42" s="227">
        <f t="array" ref="AP42">IF(AP$2=0,"",_xlfn.LET(_xlpm.dep,AP$2,_xlpm.var,$D42,_xlpm.start,_xlfn.XMATCH("Dependent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Q42" s="227">
        <f t="array" ref="AQ42">IF(AQ$2=0,"",_xlfn.LET(_xlpm.dep,AQ$2,_xlpm.var,$D42,_xlpm.start,_xlfn.XMATCH("Dependent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R42" s="227">
        <f t="array" ref="AR42">IF(AR$2=0,"",_xlfn.LET(_xlpm.dep,AR$2,_xlpm.var,$D42,_xlpm.start,_xlfn.XMATCH("Dependent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S42" s="227">
        <f t="array" ref="AS42">IF(AS$2=0,"",_xlfn.LET(_xlpm.dep,AS$2,_xlpm.var,$D42,_xlpm.start,_xlfn.XMATCH("Dependent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T42" s="227">
        <f t="array" ref="AT42">IF(AT$2=0,"",_xlfn.LET(_xlpm.dep,AT$2,_xlpm.var,$D42,_xlpm.start,_xlfn.XMATCH("Dependent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U42" s="227">
        <f t="array" ref="AU42">IF(AU$2=0,"",_xlfn.LET(_xlpm.dep,AU$2,_xlpm.var,$D42,_xlpm.start,_xlfn.XMATCH("Dependent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V42" s="227">
        <f t="array" ref="AV42">IF(AV$2=0,"",_xlfn.LET(_xlpm.dep,AV$2,_xlpm.var,$D42,_xlpm.start,_xlfn.XMATCH("Dependent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W42" s="227">
        <f t="array" ref="AW42">IF(AW$2=0,"",_xlfn.LET(_xlpm.dep,AW$2,_xlpm.var,$D42,_xlpm.start,_xlfn.XMATCH("Dependent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X42" s="227">
        <f t="array" ref="AX42">IF(AX$2=0,"",_xlfn.LET(_xlpm.dep,AX$2,_xlpm.var,$D42,_xlpm.start,_xlfn.XMATCH("Dependent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Y42" s="227">
        <f t="array" ref="AY42">IF(AY$2=0,"",_xlfn.LET(_xlpm.dep,AY$2,_xlpm.var,$D42,_xlpm.start,_xlfn.XMATCH("Dependent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Z42" s="227">
        <f t="array" ref="AZ42">IF(AZ$2=0,"",_xlfn.LET(_xlpm.dep,AZ$2,_xlpm.var,$D42,_xlpm.start,_xlfn.XMATCH("Dependent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BA42" s="227">
        <f t="array" ref="BA42">IF(BA$2=0,"",_xlfn.LET(_xlpm.dep,BA$2,_xlpm.var,$D42,_xlpm.start,_xlfn.XMATCH("Dependent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BB42" s="227">
        <f t="array" ref="BB42">IF(BB$2=0,"",_xlfn.LET(_xlpm.dep,BB$2,_xlpm.var,$D42,_xlpm.start,_xlfn.XMATCH("Dependent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</row>
    <row r="43">
      <c r="C43" s="27" t="inlineStr">
        <is>
          <t>Reach（brand dispo）</t>
        </is>
      </c>
      <c r="D43" s="5">
        <f>B8</f>
        <v/>
      </c>
      <c r="E43" s="227">
        <f>IF(E$2=0,"",IFERROR(VLOOKUP($D$43,'2C 均值'!$A:$F,5,0),0))</f>
        <v/>
      </c>
      <c r="F43" s="227">
        <f>IF(F$2=0,"",IFERROR(VLOOKUP($D$43,'2C 均值'!$A:$F,5,0),0))</f>
        <v/>
      </c>
      <c r="G43" s="227">
        <f>IF(G$2=0,"",IFERROR(VLOOKUP($D$43,'2C 均值'!$A:$F,5,0),0))</f>
        <v/>
      </c>
      <c r="H43" s="227">
        <f>IF(H$2=0,"",IFERROR(VLOOKUP($D$43,'2C 均值'!$A:$F,5,0),0))</f>
        <v/>
      </c>
      <c r="I43" s="227">
        <f>IF(I$2=0,"",IFERROR(VLOOKUP($D$43,'2C 均值'!$A:$F,5,0),0))</f>
        <v/>
      </c>
      <c r="J43" s="227">
        <f>IF(J$2=0,"",IFERROR(VLOOKUP($D$43,'2C 均值'!$A:$F,5,0),0))</f>
        <v/>
      </c>
      <c r="K43" s="227">
        <f>IF(K$2=0,"",IFERROR(VLOOKUP($D$43,'2C 均值'!$A:$F,5,0),0))</f>
        <v/>
      </c>
      <c r="L43" s="227">
        <f>IF(L$2=0,"",IFERROR(VLOOKUP($D$43,'2C 均值'!$A:$F,5,0),0))</f>
        <v/>
      </c>
      <c r="M43" s="227">
        <f>IF(M$2=0,"",IFERROR(VLOOKUP($D$43,'2C 均值'!$A:$F,5,0),0))</f>
        <v/>
      </c>
      <c r="N43" s="227">
        <f>IF(N$2=0,"",IFERROR(VLOOKUP($D$43,'2C 均值'!$A:$F,5,0),0))</f>
        <v/>
      </c>
      <c r="O43" s="227">
        <f>IF(O$2=0,"",IFERROR(VLOOKUP($D$43,'2C 均值'!$A:$F,5,0),0))</f>
        <v/>
      </c>
      <c r="P43" s="227">
        <f>IF(P$2=0,"",IFERROR(VLOOKUP($D$43,'2C 均值'!$A:$F,5,0),0))</f>
        <v/>
      </c>
      <c r="Q43" s="227">
        <f>IF(Q$2=0,"",IFERROR(VLOOKUP($D$43,'2C 均值'!$A:$F,5,0),0))</f>
        <v/>
      </c>
      <c r="R43" s="227">
        <f>IF(R$2=0,"",IFERROR(VLOOKUP($D$43,'2C 均值'!$A:$F,5,0),0))</f>
        <v/>
      </c>
      <c r="S43" s="227">
        <f>IF(S$2=0,"",IFERROR(VLOOKUP($D$43,'2C 均值'!$A:$F,5,0),0))</f>
        <v/>
      </c>
      <c r="T43" s="227">
        <f>IF(T$2=0,"",IFERROR(VLOOKUP($D$43,'2C 均值'!$A:$F,5,0),0))</f>
        <v/>
      </c>
      <c r="U43" s="227">
        <f>IF(U$2=0,"",IFERROR(VLOOKUP($D$43,'2C 均值'!$A:$F,5,0),0))</f>
        <v/>
      </c>
      <c r="V43" s="227">
        <f>IF(V$2=0,"",IFERROR(VLOOKUP($D$43,'2C 均值'!$A:$F,5,0),0))</f>
        <v/>
      </c>
      <c r="W43" s="227">
        <f>IF(W$2=0,"",IFERROR(VLOOKUP($D$43,'2C 均值'!$A:$F,5,0),0))</f>
        <v/>
      </c>
      <c r="X43" s="227">
        <f>IF(X$2=0,"",IFERROR(VLOOKUP($D$43,'2C 均值'!$A:$F,5,0),0))</f>
        <v/>
      </c>
      <c r="Y43" s="227">
        <f>IF(Y$2=0,"",IFERROR(VLOOKUP($D$43,'2C 均值'!$A:$F,5,0),0))</f>
        <v/>
      </c>
      <c r="Z43" s="227">
        <f>IF(Z$2=0,"",IFERROR(VLOOKUP($D$43,'2C 均值'!$A:$F,5,0),0))</f>
        <v/>
      </c>
      <c r="AA43" s="227">
        <f>IF(AA$2=0,"",IFERROR(VLOOKUP($D$43,'2C 均值'!$A:$F,5,0),0))</f>
        <v/>
      </c>
      <c r="AB43" s="227">
        <f>IF(AB$2=0,"",IFERROR(VLOOKUP($D$43,'2C 均值'!$A:$F,5,0),0))</f>
        <v/>
      </c>
      <c r="AC43" s="227">
        <f>IF(AC$2=0,"",IFERROR(VLOOKUP($D$43,'2C 均值'!$A:$F,5,0),0))</f>
        <v/>
      </c>
      <c r="AD43" s="227">
        <f>IF(AD$2=0,"",IFERROR(VLOOKUP($D$43,'2C 均值'!$A:$F,5,0),0))</f>
        <v/>
      </c>
      <c r="AE43" s="227">
        <f>IF(AE$2=0,"",IFERROR(VLOOKUP($D$43,'2C 均值'!$A:$F,5,0),0))</f>
        <v/>
      </c>
      <c r="AF43" s="227">
        <f>IF(AF$2=0,"",IFERROR(VLOOKUP($D$43,'2C 均值'!$A:$F,5,0),0))</f>
        <v/>
      </c>
      <c r="AG43" s="227">
        <f>IF(AG$2=0,"",IFERROR(VLOOKUP($D$43,'2C 均值'!$A:$F,5,0),0))</f>
        <v/>
      </c>
      <c r="AH43" s="227">
        <f>IF(AH$2=0,"",IFERROR(VLOOKUP($D$43,'2C 均值'!$A:$F,5,0),0))</f>
        <v/>
      </c>
      <c r="AI43" s="227">
        <f>IF(AI$2=0,"",IFERROR(VLOOKUP($D$43,'2C 均值'!$A:$F,5,0),0))</f>
        <v/>
      </c>
      <c r="AJ43" s="227">
        <f>IF(AJ$2=0,"",IFERROR(VLOOKUP($D$43,'2C 均值'!$A:$F,5,0),0))</f>
        <v/>
      </c>
      <c r="AK43" s="227">
        <f>IF(AK$2=0,"",IFERROR(VLOOKUP($D$43,'2C 均值'!$A:$F,5,0),0))</f>
        <v/>
      </c>
      <c r="AL43" s="227">
        <f>IF(AL$2=0,"",IFERROR(VLOOKUP($D$43,'2C 均值'!$A:$F,5,0),0))</f>
        <v/>
      </c>
      <c r="AM43" s="227">
        <f>IF(AM$2=0,"",IFERROR(VLOOKUP($D$43,'2C 均值'!$A:$F,5,0),0))</f>
        <v/>
      </c>
      <c r="AN43" s="227">
        <f>IF(AN$2=0,"",IFERROR(VLOOKUP($D$43,'2C 均值'!$A:$F,5,0),0))</f>
        <v/>
      </c>
      <c r="AO43" s="227">
        <f>IF(AO$2=0,"",IFERROR(VLOOKUP($D$43,'2C 均值'!$A:$F,5,0),0))</f>
        <v/>
      </c>
      <c r="AP43" s="227">
        <f>IF(AP$2=0,"",IFERROR(VLOOKUP($D$43,'2C 均值'!$A:$F,5,0),0))</f>
        <v/>
      </c>
      <c r="AQ43" s="227">
        <f>IF(AQ$2=0,"",IFERROR(VLOOKUP($D$43,'2C 均值'!$A:$F,5,0),0))</f>
        <v/>
      </c>
      <c r="AR43" s="227">
        <f>IF(AR$2=0,"",IFERROR(VLOOKUP($D$43,'2C 均值'!$A:$F,5,0),0))</f>
        <v/>
      </c>
      <c r="AS43" s="227">
        <f>IF(AS$2=0,"",IFERROR(VLOOKUP($D$43,'2C 均值'!$A:$F,5,0),0))</f>
        <v/>
      </c>
      <c r="AT43" s="227">
        <f>IF(AT$2=0,"",IFERROR(VLOOKUP($D$43,'2C 均值'!$A:$F,5,0),0))</f>
        <v/>
      </c>
      <c r="AU43" s="227">
        <f>IF(AU$2=0,"",IFERROR(VLOOKUP($D$43,'2C 均值'!$A:$F,5,0),0))</f>
        <v/>
      </c>
      <c r="AV43" s="227">
        <f>IF(AV$2=0,"",IFERROR(VLOOKUP($D$43,'2C 均值'!$A:$F,5,0),0))</f>
        <v/>
      </c>
      <c r="AW43" s="227">
        <f>IF(AW$2=0,"",IFERROR(VLOOKUP($D$43,'2C 均值'!$A:$F,5,0),0))</f>
        <v/>
      </c>
      <c r="AX43" s="227">
        <f>IF(AX$2=0,"",IFERROR(VLOOKUP($D$43,'2C 均值'!$A:$F,5,0),0))</f>
        <v/>
      </c>
      <c r="AY43" s="227">
        <f>IF(AY$2=0,"",IFERROR(VLOOKUP($D$43,'2C 均值'!$A:$F,5,0),0))</f>
        <v/>
      </c>
      <c r="AZ43" s="227">
        <f>IF(AZ$2=0,"",IFERROR(VLOOKUP($D$43,'2C 均值'!$A:$F,5,0),0))</f>
        <v/>
      </c>
      <c r="BA43" s="227">
        <f>IF(BA$2=0,"",IFERROR(VLOOKUP($D$43,'2C 均值'!$A:$F,5,0),0))</f>
        <v/>
      </c>
      <c r="BB43" s="227">
        <f>IF(BB$2=0,"",IFERROR(VLOOKUP($D$43,'2C 均值'!$A:$F,5,0),0))</f>
        <v/>
      </c>
    </row>
    <row r="44">
      <c r="C44" s="27" t="inlineStr">
        <is>
          <t>常数项</t>
        </is>
      </c>
      <c r="D44" s="232" t="inlineStr">
        <is>
          <t>Constant</t>
        </is>
      </c>
      <c r="E44" s="227">
        <f t="array" ref="E44">IF(E$2=0,"",_xlfn.LET(_xlpm.dep,E$2,_xlpm.var,LOWER($D44),_xlpm.start,_xlfn.XMATCH("Dependent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F44" s="227">
        <f t="array" ref="F44">IF(F$2=0,"",_xlfn.LET(_xlpm.dep,F$2,_xlpm.var,LOWER($D44),_xlpm.start,_xlfn.XMATCH("Dependent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G44" s="227">
        <f t="array" ref="G44">IF(G$2=0,"",_xlfn.LET(_xlpm.dep,G$2,_xlpm.var,LOWER($D44),_xlpm.start,_xlfn.XMATCH("Dependent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H44" s="227">
        <f t="array" ref="H44">IF(H$2=0,"",_xlfn.LET(_xlpm.dep,H$2,_xlpm.var,LOWER($D44),_xlpm.start,_xlfn.XMATCH("Dependent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I44" s="227">
        <f t="array" ref="I44">IF(I$2=0,"",_xlfn.LET(_xlpm.dep,I$2,_xlpm.var,LOWER($D44),_xlpm.start,_xlfn.XMATCH("Dependent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J44" s="227">
        <f t="array" ref="J44">IF(J$2=0,"",_xlfn.LET(_xlpm.dep,J$2,_xlpm.var,LOWER($D44),_xlpm.start,_xlfn.XMATCH("Dependent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K44" s="227">
        <f t="array" ref="K44">IF(K$2=0,"",_xlfn.LET(_xlpm.dep,K$2,_xlpm.var,LOWER($D44),_xlpm.start,_xlfn.XMATCH("Dependent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L44" s="227">
        <f t="array" ref="L44">IF(L$2=0,"",_xlfn.LET(_xlpm.dep,L$2,_xlpm.var,LOWER($D44),_xlpm.start,_xlfn.XMATCH("Dependent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M44" s="227">
        <f t="array" ref="M44">IF(M$2=0,"",_xlfn.LET(_xlpm.dep,M$2,_xlpm.var,LOWER($D44),_xlpm.start,_xlfn.XMATCH("Dependent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N44" s="227">
        <f t="array" ref="N44">IF(N$2=0,"",_xlfn.LET(_xlpm.dep,N$2,_xlpm.var,LOWER($D44),_xlpm.start,_xlfn.XMATCH("Dependent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O44" s="227">
        <f t="array" ref="O44">IF(O$2=0,"",_xlfn.LET(_xlpm.dep,O$2,_xlpm.var,LOWER($D44),_xlpm.start,_xlfn.XMATCH("Dependent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P44" s="227">
        <f t="array" ref="P44">IF(P$2=0,"",_xlfn.LET(_xlpm.dep,P$2,_xlpm.var,LOWER($D44),_xlpm.start,_xlfn.XMATCH("Dependent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Q44" s="227">
        <f t="array" ref="Q44">IF(Q$2=0,"",_xlfn.LET(_xlpm.dep,Q$2,_xlpm.var,LOWER($D44),_xlpm.start,_xlfn.XMATCH("Dependent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R44" s="227">
        <f t="array" ref="R44">IF(R$2=0,"",_xlfn.LET(_xlpm.dep,R$2,_xlpm.var,LOWER($D44),_xlpm.start,_xlfn.XMATCH("Dependent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S44" s="227">
        <f t="array" ref="S44">IF(S$2=0,"",_xlfn.LET(_xlpm.dep,S$2,_xlpm.var,LOWER($D44),_xlpm.start,_xlfn.XMATCH("Dependent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T44" s="227">
        <f t="array" ref="T44">IF(T$2=0,"",_xlfn.LET(_xlpm.dep,T$2,_xlpm.var,LOWER($D44),_xlpm.start,_xlfn.XMATCH("Dependent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U44" s="227">
        <f t="array" ref="U44">IF(U$2=0,"",_xlfn.LET(_xlpm.dep,U$2,_xlpm.var,LOWER($D44),_xlpm.start,_xlfn.XMATCH("Dependent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V44" s="227">
        <f t="array" ref="V44">IF(V$2=0,"",_xlfn.LET(_xlpm.dep,V$2,_xlpm.var,LOWER($D44),_xlpm.start,_xlfn.XMATCH("Dependent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W44" s="227">
        <f t="array" ref="W44">IF(W$2=0,"",_xlfn.LET(_xlpm.dep,W$2,_xlpm.var,LOWER($D44),_xlpm.start,_xlfn.XMATCH("Dependent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X44" s="227">
        <f t="array" ref="X44">IF(X$2=0,"",_xlfn.LET(_xlpm.dep,X$2,_xlpm.var,LOWER($D44),_xlpm.start,_xlfn.XMATCH("Dependent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Y44" s="227">
        <f t="array" ref="Y44">IF(Y$2=0,"",_xlfn.LET(_xlpm.dep,Y$2,_xlpm.var,LOWER($D44),_xlpm.start,_xlfn.XMATCH("Dependent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Z44" s="227">
        <f t="array" ref="Z44">IF(Z$2=0,"",_xlfn.LET(_xlpm.dep,Z$2,_xlpm.var,LOWER($D44),_xlpm.start,_xlfn.XMATCH("Dependent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A44" s="227">
        <f t="array" ref="AA44">IF(AA$2=0,"",_xlfn.LET(_xlpm.dep,AA$2,_xlpm.var,LOWER($D44),_xlpm.start,_xlfn.XMATCH("Dependent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B44" s="227">
        <f t="array" ref="AB44">IF(AB$2=0,"",_xlfn.LET(_xlpm.dep,AB$2,_xlpm.var,LOWER($D44),_xlpm.start,_xlfn.XMATCH("Dependent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C44" s="227">
        <f t="array" ref="AC44">IF(AC$2=0,"",_xlfn.LET(_xlpm.dep,AC$2,_xlpm.var,LOWER($D44),_xlpm.start,_xlfn.XMATCH("Dependent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D44" s="227">
        <f t="array" ref="AD44">IF(AD$2=0,"",_xlfn.LET(_xlpm.dep,AD$2,_xlpm.var,LOWER($D44),_xlpm.start,_xlfn.XMATCH("Dependent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E44" s="227">
        <f t="array" ref="AE44">IF(AE$2=0,"",_xlfn.LET(_xlpm.dep,AE$2,_xlpm.var,LOWER($D44),_xlpm.start,_xlfn.XMATCH("Dependent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F44" s="227">
        <f t="array" ref="AF44">IF(AF$2=0,"",_xlfn.LET(_xlpm.dep,AF$2,_xlpm.var,LOWER($D44),_xlpm.start,_xlfn.XMATCH("Dependent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G44" s="227">
        <f t="array" ref="AG44">IF(AG$2=0,"",_xlfn.LET(_xlpm.dep,AG$2,_xlpm.var,LOWER($D44),_xlpm.start,_xlfn.XMATCH("Dependent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H44" s="227">
        <f t="array" ref="AH44">IF(AH$2=0,"",_xlfn.LET(_xlpm.dep,AH$2,_xlpm.var,LOWER($D44),_xlpm.start,_xlfn.XMATCH("Dependent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I44" s="227">
        <f t="array" ref="AI44">IF(AI$2=0,"",_xlfn.LET(_xlpm.dep,AI$2,_xlpm.var,LOWER($D44),_xlpm.start,_xlfn.XMATCH("Dependent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J44" s="227">
        <f t="array" ref="AJ44">IF(AJ$2=0,"",_xlfn.LET(_xlpm.dep,AJ$2,_xlpm.var,LOWER($D44),_xlpm.start,_xlfn.XMATCH("Dependent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K44" s="227">
        <f t="array" ref="AK44">IF(AK$2=0,"",_xlfn.LET(_xlpm.dep,AK$2,_xlpm.var,LOWER($D44),_xlpm.start,_xlfn.XMATCH("Dependent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L44" s="227">
        <f t="array" ref="AL44">IF(AL$2=0,"",_xlfn.LET(_xlpm.dep,AL$2,_xlpm.var,LOWER($D44),_xlpm.start,_xlfn.XMATCH("Dependent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M44" s="227">
        <f t="array" ref="AM44">IF(AM$2=0,"",_xlfn.LET(_xlpm.dep,AM$2,_xlpm.var,LOWER($D44),_xlpm.start,_xlfn.XMATCH("Dependent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N44" s="227">
        <f t="array" ref="AN44">IF(AN$2=0,"",_xlfn.LET(_xlpm.dep,AN$2,_xlpm.var,LOWER($D44),_xlpm.start,_xlfn.XMATCH("Dependent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O44" s="227">
        <f t="array" ref="AO44">IF(AO$2=0,"",_xlfn.LET(_xlpm.dep,AO$2,_xlpm.var,LOWER($D44),_xlpm.start,_xlfn.XMATCH("Dependent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P44" s="227">
        <f t="array" ref="AP44">IF(AP$2=0,"",_xlfn.LET(_xlpm.dep,AP$2,_xlpm.var,LOWER($D44),_xlpm.start,_xlfn.XMATCH("Dependent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Q44" s="227">
        <f t="array" ref="AQ44">IF(AQ$2=0,"",_xlfn.LET(_xlpm.dep,AQ$2,_xlpm.var,LOWER($D44),_xlpm.start,_xlfn.XMATCH("Dependent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R44" s="227">
        <f t="array" ref="AR44">IF(AR$2=0,"",_xlfn.LET(_xlpm.dep,AR$2,_xlpm.var,LOWER($D44),_xlpm.start,_xlfn.XMATCH("Dependent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S44" s="227">
        <f t="array" ref="AS44">IF(AS$2=0,"",_xlfn.LET(_xlpm.dep,AS$2,_xlpm.var,LOWER($D44),_xlpm.start,_xlfn.XMATCH("Dependent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T44" s="227">
        <f t="array" ref="AT44">IF(AT$2=0,"",_xlfn.LET(_xlpm.dep,AT$2,_xlpm.var,LOWER($D44),_xlpm.start,_xlfn.XMATCH("Dependent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U44" s="227">
        <f t="array" ref="AU44">IF(AU$2=0,"",_xlfn.LET(_xlpm.dep,AU$2,_xlpm.var,LOWER($D44),_xlpm.start,_xlfn.XMATCH("Dependent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V44" s="227">
        <f t="array" ref="AV44">IF(AV$2=0,"",_xlfn.LET(_xlpm.dep,AV$2,_xlpm.var,LOWER($D44),_xlpm.start,_xlfn.XMATCH("Dependent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W44" s="227">
        <f t="array" ref="AW44">IF(AW$2=0,"",_xlfn.LET(_xlpm.dep,AW$2,_xlpm.var,LOWER($D44),_xlpm.start,_xlfn.XMATCH("Dependent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X44" s="227">
        <f t="array" ref="AX44">IF(AX$2=0,"",_xlfn.LET(_xlpm.dep,AX$2,_xlpm.var,LOWER($D44),_xlpm.start,_xlfn.XMATCH("Dependent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Y44" s="227">
        <f t="array" ref="AY44">IF(AY$2=0,"",_xlfn.LET(_xlpm.dep,AY$2,_xlpm.var,LOWER($D44),_xlpm.start,_xlfn.XMATCH("Dependent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AZ44" s="227">
        <f t="array" ref="AZ44">IF(AZ$2=0,"",_xlfn.LET(_xlpm.dep,AZ$2,_xlpm.var,LOWER($D44),_xlpm.start,_xlfn.XMATCH("Dependent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BA44" s="227">
        <f t="array" ref="BA44">IF(BA$2=0,"",_xlfn.LET(_xlpm.dep,BA$2,_xlpm.var,LOWER($D44),_xlpm.start,_xlfn.XMATCH("Dependent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  <c r="BB44" s="227">
        <f t="array" ref="BB44">IF(BB$2=0,"",_xlfn.LET(_xlpm.dep,BB$2,_xlpm.var,LOWER($D44),_xlpm.start,_xlfn.XMATCH("Dependent Variable: "&amp;_xlpm.dep,'2A Regression'!$A:$A,0),_xlpm.next,IFERROR(_xlfn.XMATCH("Dependent Variable: *",_xlfn.DROP('2A Regression'!$A:$A,_xlpm.start),2),ROWS('2A Regression'!$A:$A)-_xlpm.start+1),_xlpm.vars,_xlfn.TAKE(_xlfn.DROP('2A Regression'!$B:$B,_xlpm.start),_xlpm.next-1),_xlpm.coefs,_xlfn.TAKE(_xlfn.DROP('2A Regression'!$C:$C,_xlpm.start),_xlpm.next-1),IFERROR(_xlfn.XLOOKUP(_xlpm.var,_xlpm.vars,_xlpm.coefs),"")))</f>
        <v/>
      </c>
    </row>
    <row r="45">
      <c r="C45" s="3" t="n"/>
      <c r="D45" s="1" t="n"/>
      <c r="E45" s="227" t="n"/>
      <c r="F45" s="227" t="n"/>
      <c r="G45" s="227" t="n"/>
      <c r="H45" s="227" t="n"/>
      <c r="I45" s="227" t="n"/>
      <c r="J45" s="227" t="n"/>
      <c r="K45" s="227" t="n"/>
      <c r="L45" s="227" t="n"/>
      <c r="M45" s="227" t="n"/>
      <c r="N45" s="227" t="n"/>
      <c r="O45" s="227" t="n"/>
      <c r="P45" s="227" t="n"/>
      <c r="Q45" s="227" t="n"/>
      <c r="R45" s="227" t="n"/>
      <c r="S45" s="227" t="n"/>
      <c r="T45" s="227" t="n"/>
      <c r="U45" s="227" t="n"/>
      <c r="V45" s="227" t="n"/>
      <c r="W45" s="227" t="n"/>
      <c r="X45" s="227" t="n"/>
      <c r="Y45" s="227" t="n"/>
      <c r="Z45" s="227" t="n"/>
      <c r="AA45" s="227" t="n"/>
      <c r="AB45" s="227" t="n"/>
      <c r="AC45" s="227" t="n"/>
      <c r="AD45" s="227" t="n"/>
      <c r="AE45" s="227" t="n"/>
      <c r="AF45" s="227" t="n"/>
      <c r="AG45" s="227" t="n"/>
      <c r="AH45" s="227" t="n"/>
      <c r="AI45" s="227" t="n"/>
      <c r="AJ45" s="227" t="n"/>
      <c r="AK45" s="227" t="n"/>
      <c r="AL45" s="227" t="n"/>
      <c r="AM45" s="227" t="n"/>
      <c r="AN45" s="227" t="n"/>
      <c r="AO45" s="227" t="n"/>
      <c r="AP45" s="227" t="n"/>
      <c r="AQ45" s="227" t="n"/>
      <c r="AR45" s="227" t="n"/>
      <c r="AS45" s="227" t="n"/>
      <c r="AT45" s="227" t="n"/>
      <c r="AU45" s="227" t="n"/>
      <c r="AV45" s="227" t="n"/>
      <c r="AW45" s="227" t="n"/>
      <c r="AX45" s="227" t="n"/>
      <c r="AY45" s="227" t="n"/>
      <c r="AZ45" s="227" t="n"/>
      <c r="BA45" s="227" t="n"/>
      <c r="BB45" s="227" t="n"/>
    </row>
    <row r="46">
      <c r="C46" s="4" t="inlineStr">
        <is>
          <t>系数（回归模型结果）</t>
        </is>
      </c>
      <c r="D46" s="1" t="inlineStr">
        <is>
          <t>Baseline</t>
        </is>
      </c>
      <c r="E46" s="227">
        <f>IFERROR(IF($B$4=1,(E42*E43+E44),E44),"")</f>
        <v/>
      </c>
      <c r="F46" s="227">
        <f>IFERROR(IF($B$4=1,(F42*F43+F44),F44),"")</f>
        <v/>
      </c>
      <c r="G46" s="227">
        <f>IFERROR(IF($B$4=1,(G42*G43+G44),G44),"")</f>
        <v/>
      </c>
      <c r="H46" s="227">
        <f>IFERROR(IF($B$4=1,(H42*H43+H44),H44),"")</f>
        <v/>
      </c>
      <c r="I46" s="227">
        <f>IFERROR(IF($B$4=1,(I42*I43+I44),I44),"")</f>
        <v/>
      </c>
      <c r="J46" s="227">
        <f>IFERROR(IF($B$4=1,(J42*J43+J44),J44),"")</f>
        <v/>
      </c>
      <c r="K46" s="227">
        <f>IFERROR(IF($B$4=1,(K42*K43+K44),K44),"")</f>
        <v/>
      </c>
      <c r="L46" s="227">
        <f>IFERROR(IF($B$4=1,(L42*L43+L44),L44),"")</f>
        <v/>
      </c>
      <c r="M46" s="227">
        <f>IFERROR(IF($B$4=1,(M42*M43+M44),M44),"")</f>
        <v/>
      </c>
      <c r="N46" s="227">
        <f>IFERROR(IF($B$4=1,(N42*N43+N44),N44),"")</f>
        <v/>
      </c>
      <c r="O46" s="227">
        <f>IFERROR(IF($B$4=1,(O42*O43+O44),O44),"")</f>
        <v/>
      </c>
      <c r="P46" s="227">
        <f>IFERROR(IF($B$4=1,(P42*P43+P44),P44),"")</f>
        <v/>
      </c>
      <c r="Q46" s="227">
        <f>IFERROR(IF($B$4=1,(Q42*Q43+Q44),Q44),"")</f>
        <v/>
      </c>
      <c r="R46" s="227">
        <f>IFERROR(IF($B$4=1,(R42*R43+R44),R44),"")</f>
        <v/>
      </c>
      <c r="S46" s="227">
        <f>IFERROR(IF($B$4=1,(S42*S43+S44),S44),"")</f>
        <v/>
      </c>
      <c r="T46" s="227">
        <f>IFERROR(IF($B$4=1,(T42*T43+T44),T44),"")</f>
        <v/>
      </c>
      <c r="U46" s="227">
        <f>IFERROR(IF($B$4=1,(U42*U43+U44),U44),"")</f>
        <v/>
      </c>
      <c r="V46" s="227">
        <f>IFERROR(IF($B$4=1,(V42*V43+V44),V44),"")</f>
        <v/>
      </c>
      <c r="W46" s="227">
        <f>IFERROR(IF($B$4=1,(W42*W43+W44),W44),"")</f>
        <v/>
      </c>
      <c r="X46" s="227">
        <f>IFERROR(IF($B$4=1,(X42*X43+X44),X44),"")</f>
        <v/>
      </c>
      <c r="Y46" s="227">
        <f>IFERROR(IF($B$4=1,(Y42*Y43+Y44),Y44),"")</f>
        <v/>
      </c>
      <c r="Z46" s="227">
        <f>IFERROR(IF($B$4=1,(Z42*Z43+Z44),Z44),"")</f>
        <v/>
      </c>
      <c r="AA46" s="227">
        <f>IFERROR(IF($B$4=1,(AA42*AA43+AA44),AA44),"")</f>
        <v/>
      </c>
      <c r="AB46" s="227">
        <f>IFERROR(IF($B$4=1,(AB42*AB43+AB44),AB44),"")</f>
        <v/>
      </c>
      <c r="AC46" s="227">
        <f>IFERROR(IF($B$4=1,(AC42*AC43+AC44),AC44),"")</f>
        <v/>
      </c>
      <c r="AD46" s="227">
        <f>IFERROR(IF($B$4=1,(AD42*AD43+AD44),AD44),"")</f>
        <v/>
      </c>
      <c r="AE46" s="227">
        <f>IFERROR(IF($B$4=1,(AE42*AE43+AE44),AE44),"")</f>
        <v/>
      </c>
      <c r="AF46" s="227">
        <f>IFERROR(IF($B$4=1,(AF42*AF43+AF44),AF44),"")</f>
        <v/>
      </c>
      <c r="AG46" s="227">
        <f>IFERROR(IF($B$4=1,(AG42*AG43+AG44),AG44),"")</f>
        <v/>
      </c>
      <c r="AH46" s="227">
        <f>IFERROR(IF($B$4=1,(AH42*AH43+AH44),AH44),"")</f>
        <v/>
      </c>
      <c r="AI46" s="227">
        <f>IFERROR(IF($B$4=1,(AI42*AI43+AI44),AI44),"")</f>
        <v/>
      </c>
      <c r="AJ46" s="227">
        <f>IFERROR(IF($B$4=1,(AJ42*AJ43+AJ44),AJ44),"")</f>
        <v/>
      </c>
      <c r="AK46" s="227">
        <f>IFERROR(IF($B$4=1,(AK42*AK43+AK44),AK44),"")</f>
        <v/>
      </c>
      <c r="AL46" s="227">
        <f>IFERROR(IF($B$4=1,(AL42*AL43+AL44),AL44),"")</f>
        <v/>
      </c>
      <c r="AM46" s="227">
        <f>IFERROR(IF($B$4=1,(AM42*AM43+AM44),AM44),"")</f>
        <v/>
      </c>
      <c r="AN46" s="227">
        <f>IFERROR(IF($B$4=1,(AN42*AN43+AN44),AN44),"")</f>
        <v/>
      </c>
      <c r="AO46" s="227">
        <f>IFERROR(IF($B$4=1,(AO42*AO43+AO44),AO44),"")</f>
        <v/>
      </c>
      <c r="AP46" s="227">
        <f>IFERROR(IF($B$4=1,(AP42*AP43+AP44),AP44),"")</f>
        <v/>
      </c>
      <c r="AQ46" s="227">
        <f>IFERROR(IF($B$4=1,(AQ42*AQ43+AQ44),AQ44),"")</f>
        <v/>
      </c>
      <c r="AR46" s="227">
        <f>IFERROR(IF($B$4=1,(AR42*AR43+AR44),AR44),"")</f>
        <v/>
      </c>
      <c r="AS46" s="227">
        <f>IFERROR(IF($B$4=1,(AS42*AS43+AS44),AS44),"")</f>
        <v/>
      </c>
      <c r="AT46" s="227">
        <f>IFERROR(IF($B$4=1,(AT42*AT43+AT44),AT44),"")</f>
        <v/>
      </c>
      <c r="AU46" s="227">
        <f>IFERROR(IF($B$4=1,(AU42*AU43+AU44),AU44),"")</f>
        <v/>
      </c>
      <c r="AV46" s="227">
        <f>IFERROR(IF($B$4=1,(AV42*AV43+AV44),AV44),"")</f>
        <v/>
      </c>
      <c r="AW46" s="227">
        <f>IFERROR(IF($B$4=1,(AW42*AW43+AW44),AW44),"")</f>
        <v/>
      </c>
      <c r="AX46" s="227">
        <f>IFERROR(IF($B$4=1,(AX42*AX43+AX44),AX44),"")</f>
        <v/>
      </c>
      <c r="AY46" s="227">
        <f>IFERROR(IF($B$4=1,(AY42*AY43+AY44),AY44),"")</f>
        <v/>
      </c>
      <c r="AZ46" s="227">
        <f>IFERROR(IF($B$4=1,(AZ42*AZ43+AZ44),AZ44),"")</f>
        <v/>
      </c>
      <c r="BA46" s="227">
        <f>IFERROR(IF($B$4=1,(BA42*BA43+BA44),BA44),"")</f>
        <v/>
      </c>
      <c r="BB46" s="227">
        <f>IFERROR(IF($B$4=1,(BB42*BB43+BB44),BB44),"")</f>
        <v/>
      </c>
    </row>
    <row r="47">
      <c r="C47" s="3" t="n"/>
    </row>
    <row r="48" ht="16.5" customHeight="1" s="179">
      <c r="C48" s="7" t="inlineStr">
        <is>
          <t>KPI表现</t>
        </is>
      </c>
      <c r="D48" s="1" t="inlineStr">
        <is>
          <t>Y(All)</t>
        </is>
      </c>
      <c r="E48" s="233">
        <f>_xlfn.XLOOKUP(E$2,'2C 均值'!$A:$A,'2C 均值'!$E:$E)</f>
        <v/>
      </c>
      <c r="F48" s="233">
        <f>_xlfn.XLOOKUP(F$2,'2C 均值'!$A:$A,'2C 均值'!$E:$E)</f>
        <v/>
      </c>
      <c r="G48" s="233">
        <f>_xlfn.XLOOKUP(G$2,'2C 均值'!$A:$A,'2C 均值'!$E:$E)</f>
        <v/>
      </c>
      <c r="H48" s="233">
        <f>IFERROR(_xlfn.XLOOKUP(H$2,'2C 均值'!$A:$A,'2C 均值'!$E:$E),"")</f>
        <v/>
      </c>
      <c r="I48" s="233">
        <f>IFERROR(_xlfn.XLOOKUP(I$2,'2C 均值'!$A:$A,'2C 均值'!$E:$E),"")</f>
        <v/>
      </c>
      <c r="J48" s="233">
        <f>IFERROR(_xlfn.XLOOKUP(J$2,'2C 均值'!$A:$A,'2C 均值'!$E:$E),"")</f>
        <v/>
      </c>
      <c r="K48" s="233">
        <f>IFERROR(_xlfn.XLOOKUP(K$2,'2C 均值'!$A:$A,'2C 均值'!$E:$E),"")</f>
        <v/>
      </c>
      <c r="L48" s="233">
        <f>IFERROR(_xlfn.XLOOKUP(L$2,'2C 均值'!$A:$A,'2C 均值'!$E:$E),"")</f>
        <v/>
      </c>
      <c r="M48" s="233">
        <f>IFERROR(_xlfn.XLOOKUP(M$2,'2C 均值'!$A:$A,'2C 均值'!$E:$E),"")</f>
        <v/>
      </c>
      <c r="N48" s="233">
        <f>IFERROR(_xlfn.XLOOKUP(N$2,'2C 均值'!$A:$A,'2C 均值'!$E:$E),"")</f>
        <v/>
      </c>
      <c r="O48" s="233">
        <f>IFERROR(_xlfn.XLOOKUP(O$2,'2C 均值'!$A:$A,'2C 均值'!$E:$E),"")</f>
        <v/>
      </c>
      <c r="P48" s="233">
        <f>IFERROR(_xlfn.XLOOKUP(P$2,'2C 均值'!$A:$A,'2C 均值'!$E:$E),"")</f>
        <v/>
      </c>
      <c r="Q48" s="233">
        <f>IFERROR(_xlfn.XLOOKUP(Q$2,'2C 均值'!$A:$A,'2C 均值'!$E:$E),"")</f>
        <v/>
      </c>
      <c r="R48" s="233">
        <f>IFERROR(_xlfn.XLOOKUP(R$2,'2C 均值'!$A:$A,'2C 均值'!$E:$E),"")</f>
        <v/>
      </c>
      <c r="S48" s="233">
        <f>IFERROR(_xlfn.XLOOKUP(S$2,'2C 均值'!$A:$A,'2C 均值'!$E:$E),"")</f>
        <v/>
      </c>
      <c r="T48" s="233">
        <f>IFERROR(_xlfn.XLOOKUP(T$2,'2C 均值'!$A:$A,'2C 均值'!$E:$E),"")</f>
        <v/>
      </c>
      <c r="U48" s="233">
        <f>IFERROR(_xlfn.XLOOKUP(U$2,'2C 均值'!$A:$A,'2C 均值'!$E:$E),"")</f>
        <v/>
      </c>
      <c r="V48" s="233">
        <f>IFERROR(_xlfn.XLOOKUP(V$2,'2C 均值'!$A:$A,'2C 均值'!$E:$E),"")</f>
        <v/>
      </c>
      <c r="W48" s="233">
        <f>IFERROR(_xlfn.XLOOKUP(W$2,'2C 均值'!$A:$A,'2C 均值'!$E:$E),"")</f>
        <v/>
      </c>
      <c r="X48" s="233">
        <f>IFERROR(_xlfn.XLOOKUP(X$2,'2C 均值'!$A:$A,'2C 均值'!$E:$E),"")</f>
        <v/>
      </c>
      <c r="Y48" s="233">
        <f>IFERROR(_xlfn.XLOOKUP(Y$2,'2C 均值'!$A:$A,'2C 均值'!$E:$E),"")</f>
        <v/>
      </c>
      <c r="Z48" s="233">
        <f>IFERROR(_xlfn.XLOOKUP(Z$2,'2C 均值'!$A:$A,'2C 均值'!$E:$E),"")</f>
        <v/>
      </c>
      <c r="AA48" s="233">
        <f>IFERROR(_xlfn.XLOOKUP(AA$2,'2C 均值'!$A:$A,'2C 均值'!$E:$E),"")</f>
        <v/>
      </c>
      <c r="AB48" s="233">
        <f>IFERROR(_xlfn.XLOOKUP(AB$2,'2C 均值'!$A:$A,'2C 均值'!$E:$E),"")</f>
        <v/>
      </c>
      <c r="AC48" s="233">
        <f>IFERROR(_xlfn.XLOOKUP(AC$2,'2C 均值'!$A:$A,'2C 均值'!$E:$E),"")</f>
        <v/>
      </c>
      <c r="AD48" s="233">
        <f>IFERROR(_xlfn.XLOOKUP(AD$2,'2C 均值'!$A:$A,'2C 均值'!$E:$E),"")</f>
        <v/>
      </c>
      <c r="AE48" s="233">
        <f>IFERROR(_xlfn.XLOOKUP(AE$2,'2C 均值'!$A:$A,'2C 均值'!$E:$E),"")</f>
        <v/>
      </c>
      <c r="AF48" s="233">
        <f>IFERROR(_xlfn.XLOOKUP(AF$2,'2C 均值'!$A:$A,'2C 均值'!$E:$E),"")</f>
        <v/>
      </c>
      <c r="AG48" s="233">
        <f>IFERROR(_xlfn.XLOOKUP(AG$2,'2C 均值'!$A:$A,'2C 均值'!$E:$E),"")</f>
        <v/>
      </c>
      <c r="AH48" s="233">
        <f>IFERROR(_xlfn.XLOOKUP(AH$2,'2C 均值'!$A:$A,'2C 均值'!$E:$E),"")</f>
        <v/>
      </c>
      <c r="AI48" s="233">
        <f>IFERROR(_xlfn.XLOOKUP(AI$2,'2C 均值'!$A:$A,'2C 均值'!$E:$E),"")</f>
        <v/>
      </c>
      <c r="AJ48" s="233">
        <f>IFERROR(_xlfn.XLOOKUP(AJ$2,'2C 均值'!$A:$A,'2C 均值'!$E:$E),"")</f>
        <v/>
      </c>
      <c r="AK48" s="233">
        <f>IFERROR(_xlfn.XLOOKUP(AK$2,'2C 均值'!$A:$A,'2C 均值'!$E:$E),"")</f>
        <v/>
      </c>
      <c r="AL48" s="233">
        <f>IFERROR(_xlfn.XLOOKUP(AL$2,'2C 均值'!$A:$A,'2C 均值'!$E:$E),"")</f>
        <v/>
      </c>
      <c r="AM48" s="233">
        <f>IFERROR(_xlfn.XLOOKUP(AM$2,'2C 均值'!$A:$A,'2C 均值'!$E:$E),"")</f>
        <v/>
      </c>
      <c r="AN48" s="233">
        <f>IFERROR(_xlfn.XLOOKUP(AN$2,'2C 均值'!$A:$A,'2C 均值'!$E:$E),"")</f>
        <v/>
      </c>
      <c r="AO48" s="233">
        <f>IFERROR(_xlfn.XLOOKUP(AO$2,'2C 均值'!$A:$A,'2C 均值'!$E:$E),"")</f>
        <v/>
      </c>
      <c r="AP48" s="233">
        <f>IFERROR(_xlfn.XLOOKUP(AP$2,'2C 均值'!$A:$A,'2C 均值'!$E:$E),"")</f>
        <v/>
      </c>
      <c r="AQ48" s="233">
        <f>IFERROR(_xlfn.XLOOKUP(AQ$2,'2C 均值'!$A:$A,'2C 均值'!$E:$E),"")</f>
        <v/>
      </c>
      <c r="AR48" s="233">
        <f>IFERROR(_xlfn.XLOOKUP(AR$2,'2C 均值'!$A:$A,'2C 均值'!$E:$E),"")</f>
        <v/>
      </c>
      <c r="AS48" s="233">
        <f>IFERROR(_xlfn.XLOOKUP(AS$2,'2C 均值'!$A:$A,'2C 均值'!$E:$E),"")</f>
        <v/>
      </c>
      <c r="AT48" s="233">
        <f>IFERROR(_xlfn.XLOOKUP(AT$2,'2C 均值'!$A:$A,'2C 均值'!$E:$E),"")</f>
        <v/>
      </c>
      <c r="AU48" s="233">
        <f>IFERROR(_xlfn.XLOOKUP(AU$2,'2C 均值'!$A:$A,'2C 均值'!$E:$E),"")</f>
        <v/>
      </c>
      <c r="AV48" s="233">
        <f>IFERROR(_xlfn.XLOOKUP(AV$2,'2C 均值'!$A:$A,'2C 均值'!$E:$E),"")</f>
        <v/>
      </c>
      <c r="AW48" s="233">
        <f>IFERROR(_xlfn.XLOOKUP(AW$2,'2C 均值'!$A:$A,'2C 均值'!$E:$E),"")</f>
        <v/>
      </c>
      <c r="AX48" s="233">
        <f>IFERROR(_xlfn.XLOOKUP(AX$2,'2C 均值'!$A:$A,'2C 均值'!$E:$E),"")</f>
        <v/>
      </c>
      <c r="AY48" s="233">
        <f>IFERROR(_xlfn.XLOOKUP(AY$2,'2C 均值'!$A:$A,'2C 均值'!$E:$E),"")</f>
        <v/>
      </c>
      <c r="AZ48" s="233">
        <f>IFERROR(_xlfn.XLOOKUP(AZ$2,'2C 均值'!$A:$A,'2C 均值'!$E:$E),"")</f>
        <v/>
      </c>
      <c r="BA48" s="233">
        <f>IFERROR(_xlfn.XLOOKUP(BA$2,'2C 均值'!$A:$A,'2C 均值'!$E:$E),"")</f>
        <v/>
      </c>
      <c r="BB48" s="233">
        <f>IFERROR(_xlfn.XLOOKUP(BB$2,'2C 均值'!$A:$A,'2C 均值'!$E:$E),"")</f>
        <v/>
      </c>
    </row>
    <row r="49" ht="16.5" customHeight="1" s="179">
      <c r="C49" s="7" t="inlineStr">
        <is>
          <t>报告中的Baseline</t>
        </is>
      </c>
      <c r="D49" s="85" t="inlineStr">
        <is>
          <t>BaseLine</t>
        </is>
      </c>
      <c r="E49" s="233">
        <f>E46</f>
        <v/>
      </c>
      <c r="F49" s="233">
        <f>F46</f>
        <v/>
      </c>
      <c r="G49" s="233">
        <f>G46</f>
        <v/>
      </c>
      <c r="H49" s="233">
        <f>H46</f>
        <v/>
      </c>
      <c r="I49" s="233">
        <f>I46</f>
        <v/>
      </c>
      <c r="J49" s="233">
        <f>J46</f>
        <v/>
      </c>
      <c r="K49" s="233">
        <f>K46</f>
        <v/>
      </c>
      <c r="L49" s="233">
        <f>L46</f>
        <v/>
      </c>
      <c r="M49" s="233">
        <f>M46</f>
        <v/>
      </c>
      <c r="N49" s="233">
        <f>N46</f>
        <v/>
      </c>
      <c r="O49" s="233">
        <f>O46</f>
        <v/>
      </c>
      <c r="P49" s="233">
        <f>P46</f>
        <v/>
      </c>
      <c r="Q49" s="233">
        <f>Q46</f>
        <v/>
      </c>
      <c r="R49" s="233">
        <f>R46</f>
        <v/>
      </c>
      <c r="S49" s="233">
        <f>S46</f>
        <v/>
      </c>
      <c r="T49" s="233">
        <f>T46</f>
        <v/>
      </c>
      <c r="U49" s="233">
        <f>U46</f>
        <v/>
      </c>
      <c r="V49" s="233">
        <f>V46</f>
        <v/>
      </c>
      <c r="W49" s="233">
        <f>W46</f>
        <v/>
      </c>
      <c r="X49" s="233">
        <f>X46</f>
        <v/>
      </c>
      <c r="Y49" s="233">
        <f>Y46</f>
        <v/>
      </c>
      <c r="Z49" s="233">
        <f>Z46</f>
        <v/>
      </c>
      <c r="AA49" s="233">
        <f>AA46</f>
        <v/>
      </c>
      <c r="AB49" s="233">
        <f>AB46</f>
        <v/>
      </c>
      <c r="AC49" s="233">
        <f>AC46</f>
        <v/>
      </c>
      <c r="AD49" s="233">
        <f>AD46</f>
        <v/>
      </c>
      <c r="AE49" s="233">
        <f>AE46</f>
        <v/>
      </c>
      <c r="AF49" s="233">
        <f>AF46</f>
        <v/>
      </c>
      <c r="AG49" s="233">
        <f>AG46</f>
        <v/>
      </c>
      <c r="AH49" s="233">
        <f>AH46</f>
        <v/>
      </c>
      <c r="AI49" s="233">
        <f>AI46</f>
        <v/>
      </c>
      <c r="AJ49" s="233">
        <f>AJ46</f>
        <v/>
      </c>
      <c r="AK49" s="233">
        <f>AK46</f>
        <v/>
      </c>
      <c r="AL49" s="233">
        <f>AL46</f>
        <v/>
      </c>
      <c r="AM49" s="233">
        <f>AM46</f>
        <v/>
      </c>
      <c r="AN49" s="233">
        <f>AN46</f>
        <v/>
      </c>
      <c r="AO49" s="233">
        <f>AO46</f>
        <v/>
      </c>
      <c r="AP49" s="233">
        <f>AP46</f>
        <v/>
      </c>
      <c r="AQ49" s="233">
        <f>AQ46</f>
        <v/>
      </c>
      <c r="AR49" s="233">
        <f>AR46</f>
        <v/>
      </c>
      <c r="AS49" s="233">
        <f>AS46</f>
        <v/>
      </c>
      <c r="AT49" s="233">
        <f>AT46</f>
        <v/>
      </c>
      <c r="AU49" s="233">
        <f>AU46</f>
        <v/>
      </c>
      <c r="AV49" s="233">
        <f>AV46</f>
        <v/>
      </c>
      <c r="AW49" s="233">
        <f>AW46</f>
        <v/>
      </c>
      <c r="AX49" s="233">
        <f>AX46</f>
        <v/>
      </c>
      <c r="AY49" s="233">
        <f>AY46</f>
        <v/>
      </c>
      <c r="AZ49" s="233">
        <f>AZ46</f>
        <v/>
      </c>
      <c r="BA49" s="233">
        <f>BA46</f>
        <v/>
      </c>
      <c r="BB49" s="233">
        <f>BB46</f>
        <v/>
      </c>
    </row>
    <row r="50" ht="16.5" customHeight="1" s="179">
      <c r="C50" s="7" t="inlineStr">
        <is>
          <t>报告中的Impact</t>
        </is>
      </c>
      <c r="D50" s="5" t="inlineStr">
        <is>
          <t>Uplifts</t>
        </is>
      </c>
      <c r="E50" s="233">
        <f>IFERROR(E48-E49,"")</f>
        <v/>
      </c>
      <c r="F50" s="233">
        <f>IFERROR(F48-F49,"")</f>
        <v/>
      </c>
      <c r="G50" s="233">
        <f>IFERROR(G48-G49,"")</f>
        <v/>
      </c>
      <c r="H50" s="233">
        <f>IFERROR(H48-H49,"")</f>
        <v/>
      </c>
      <c r="I50" s="233">
        <f>IFERROR(I48-I49,"")</f>
        <v/>
      </c>
      <c r="J50" s="233">
        <f>IFERROR(J48-J49,"")</f>
        <v/>
      </c>
      <c r="K50" s="233">
        <f>IFERROR(K48-K49,"")</f>
        <v/>
      </c>
      <c r="L50" s="233">
        <f>IFERROR(L48-L49,"")</f>
        <v/>
      </c>
      <c r="M50" s="233">
        <f>IFERROR(M48-M49,"")</f>
        <v/>
      </c>
      <c r="N50" s="233">
        <f>IFERROR(N48-N49,"")</f>
        <v/>
      </c>
      <c r="O50" s="233">
        <f>IFERROR(O48-O49,"")</f>
        <v/>
      </c>
      <c r="P50" s="233">
        <f>IFERROR(P48-P49,"")</f>
        <v/>
      </c>
      <c r="Q50" s="233">
        <f>IFERROR(Q48-Q49,"")</f>
        <v/>
      </c>
      <c r="R50" s="233">
        <f>IFERROR(R48-R49,"")</f>
        <v/>
      </c>
      <c r="S50" s="233">
        <f>IFERROR(S48-S49,"")</f>
        <v/>
      </c>
      <c r="T50" s="233">
        <f>IFERROR(T48-T49,"")</f>
        <v/>
      </c>
      <c r="U50" s="233">
        <f>IFERROR(U48-U49,"")</f>
        <v/>
      </c>
      <c r="V50" s="233">
        <f>IFERROR(V48-V49,"")</f>
        <v/>
      </c>
      <c r="W50" s="233">
        <f>IFERROR(W48-W49,"")</f>
        <v/>
      </c>
      <c r="X50" s="233">
        <f>IFERROR(X48-X49,"")</f>
        <v/>
      </c>
      <c r="Y50" s="233">
        <f>IFERROR(Y48-Y49,"")</f>
        <v/>
      </c>
      <c r="Z50" s="233">
        <f>IFERROR(Z48-Z49,"")</f>
        <v/>
      </c>
      <c r="AA50" s="233">
        <f>IFERROR(AA48-AA49,"")</f>
        <v/>
      </c>
      <c r="AB50" s="233">
        <f>IFERROR(AB48-AB49,"")</f>
        <v/>
      </c>
      <c r="AC50" s="233">
        <f>IFERROR(AC48-AC49,"")</f>
        <v/>
      </c>
      <c r="AD50" s="233">
        <f>IFERROR(AD48-AD49,"")</f>
        <v/>
      </c>
      <c r="AE50" s="233">
        <f>IFERROR(AE48-AE49,"")</f>
        <v/>
      </c>
      <c r="AF50" s="233">
        <f>IFERROR(AF48-AF49,"")</f>
        <v/>
      </c>
      <c r="AG50" s="233">
        <f>IFERROR(AG48-AG49,"")</f>
        <v/>
      </c>
      <c r="AH50" s="233">
        <f>IFERROR(AH48-AH49,"")</f>
        <v/>
      </c>
      <c r="AI50" s="233">
        <f>IFERROR(AI48-AI49,"")</f>
        <v/>
      </c>
      <c r="AJ50" s="233">
        <f>IFERROR(AJ48-AJ49,"")</f>
        <v/>
      </c>
      <c r="AK50" s="233">
        <f>IFERROR(AK48-AK49,"")</f>
        <v/>
      </c>
      <c r="AL50" s="233">
        <f>IFERROR(AL48-AL49,"")</f>
        <v/>
      </c>
      <c r="AM50" s="233">
        <f>IFERROR(AM48-AM49,"")</f>
        <v/>
      </c>
      <c r="AN50" s="233">
        <f>IFERROR(AN48-AN49,"")</f>
        <v/>
      </c>
      <c r="AO50" s="233">
        <f>IFERROR(AO48-AO49,"")</f>
        <v/>
      </c>
      <c r="AP50" s="233">
        <f>IFERROR(AP48-AP49,"")</f>
        <v/>
      </c>
      <c r="AQ50" s="233">
        <f>IFERROR(AQ48-AQ49,"")</f>
        <v/>
      </c>
      <c r="AR50" s="233">
        <f>IFERROR(AR48-AR49,"")</f>
        <v/>
      </c>
      <c r="AS50" s="233">
        <f>IFERROR(AS48-AS49,"")</f>
        <v/>
      </c>
      <c r="AT50" s="233">
        <f>IFERROR(AT48-AT49,"")</f>
        <v/>
      </c>
      <c r="AU50" s="233">
        <f>IFERROR(AU48-AU49,"")</f>
        <v/>
      </c>
      <c r="AV50" s="233">
        <f>IFERROR(AV48-AV49,"")</f>
        <v/>
      </c>
      <c r="AW50" s="233">
        <f>IFERROR(AW48-AW49,"")</f>
        <v/>
      </c>
      <c r="AX50" s="233">
        <f>IFERROR(AX48-AX49,"")</f>
        <v/>
      </c>
      <c r="AY50" s="233">
        <f>IFERROR(AY48-AY49,"")</f>
        <v/>
      </c>
      <c r="AZ50" s="233">
        <f>IFERROR(AZ48-AZ49,"")</f>
        <v/>
      </c>
      <c r="BA50" s="233">
        <f>IFERROR(BA48-BA49,"")</f>
        <v/>
      </c>
      <c r="BB50" s="233">
        <f>IFERROR(BB48-BB49,"")</f>
        <v/>
      </c>
    </row>
    <row r="51">
      <c r="E51" s="233" t="n"/>
      <c r="F51" s="233" t="n"/>
      <c r="G51" s="233" t="n"/>
      <c r="H51" s="233" t="n"/>
      <c r="I51" s="233" t="n"/>
      <c r="J51" s="233" t="n"/>
      <c r="K51" s="233" t="n"/>
      <c r="L51" s="233" t="n"/>
      <c r="M51" s="233" t="n"/>
      <c r="N51" s="233" t="n"/>
      <c r="O51" s="233" t="n"/>
      <c r="P51" s="233" t="n"/>
      <c r="Q51" s="233" t="n"/>
      <c r="R51" s="233" t="n"/>
      <c r="S51" s="233" t="n"/>
      <c r="T51" s="233" t="n"/>
    </row>
    <row r="52">
      <c r="E52" s="233" t="n"/>
      <c r="F52" s="233" t="n"/>
      <c r="G52" s="233" t="n"/>
      <c r="H52" s="233" t="n"/>
      <c r="I52" s="233" t="n"/>
      <c r="J52" s="233" t="n"/>
      <c r="K52" s="233" t="n"/>
      <c r="L52" s="233" t="n"/>
      <c r="M52" s="233" t="n"/>
      <c r="N52" s="233" t="n"/>
      <c r="O52" s="233" t="n"/>
      <c r="P52" s="233" t="n"/>
      <c r="Q52" s="233" t="n"/>
      <c r="R52" s="233" t="n"/>
      <c r="S52" s="233" t="n"/>
      <c r="T52" s="233" t="n"/>
    </row>
    <row r="53">
      <c r="E53" s="233" t="n"/>
      <c r="F53" s="233" t="n"/>
      <c r="G53" s="233" t="n"/>
      <c r="H53" s="233" t="n"/>
      <c r="I53" s="233" t="n"/>
      <c r="J53" s="233" t="n"/>
      <c r="K53" s="233" t="n"/>
      <c r="L53" s="233" t="n"/>
      <c r="M53" s="233" t="n"/>
      <c r="N53" s="233" t="n"/>
      <c r="O53" s="233" t="n"/>
      <c r="P53" s="233" t="n"/>
      <c r="Q53" s="233" t="n"/>
      <c r="R53" s="233" t="n"/>
      <c r="S53" s="233" t="n"/>
      <c r="T53" s="233" t="n"/>
    </row>
    <row r="54">
      <c r="E54" s="233" t="n"/>
      <c r="F54" s="233" t="n"/>
      <c r="G54" s="233" t="n"/>
      <c r="H54" s="233" t="n"/>
      <c r="I54" s="233" t="n"/>
      <c r="J54" s="233" t="n"/>
      <c r="K54" s="233" t="n"/>
      <c r="L54" s="233" t="n"/>
      <c r="M54" s="233" t="n"/>
      <c r="N54" s="233" t="n"/>
      <c r="O54" s="233" t="n"/>
      <c r="P54" s="233" t="n"/>
      <c r="Q54" s="233" t="n"/>
      <c r="R54" s="233" t="n"/>
      <c r="S54" s="233" t="n"/>
      <c r="T54" s="233" t="n"/>
    </row>
    <row r="55"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233" t="n"/>
      <c r="O55" s="233" t="n"/>
      <c r="P55" s="233" t="n"/>
      <c r="Q55" s="233" t="n"/>
      <c r="R55" s="233" t="n"/>
      <c r="S55" s="233" t="n"/>
      <c r="T55" s="233" t="n"/>
    </row>
    <row r="56">
      <c r="E56" s="234" t="n">
        <v>2</v>
      </c>
      <c r="F56" s="234" t="n">
        <v>3</v>
      </c>
      <c r="G56" s="234" t="n">
        <v>4</v>
      </c>
      <c r="H56" s="234" t="n">
        <v>5</v>
      </c>
      <c r="I56" s="234" t="n">
        <v>6</v>
      </c>
      <c r="J56" s="234" t="n">
        <v>7</v>
      </c>
      <c r="K56" s="234" t="n">
        <v>8</v>
      </c>
      <c r="L56" s="234" t="n">
        <v>9</v>
      </c>
      <c r="M56" s="234" t="n">
        <v>10</v>
      </c>
      <c r="N56" s="234" t="n">
        <v>11</v>
      </c>
      <c r="O56" s="234" t="n">
        <v>12</v>
      </c>
      <c r="P56" s="234" t="n">
        <v>13</v>
      </c>
      <c r="Q56" s="234" t="n">
        <v>14</v>
      </c>
      <c r="R56" s="234" t="n">
        <v>15</v>
      </c>
      <c r="S56" s="234" t="n">
        <v>16</v>
      </c>
      <c r="T56" s="234" t="n">
        <v>17</v>
      </c>
      <c r="U56" s="234" t="n">
        <v>18</v>
      </c>
      <c r="V56" s="234" t="n">
        <v>19</v>
      </c>
      <c r="W56" s="234" t="n">
        <v>20</v>
      </c>
      <c r="X56" s="234" t="n">
        <v>21</v>
      </c>
      <c r="Y56" s="234" t="n">
        <v>22</v>
      </c>
      <c r="Z56" s="234" t="n">
        <v>23</v>
      </c>
      <c r="AA56" s="234" t="n">
        <v>24</v>
      </c>
      <c r="AB56" s="234" t="n">
        <v>25</v>
      </c>
      <c r="AC56" s="234" t="n">
        <v>26</v>
      </c>
      <c r="AD56" s="234" t="n">
        <v>27</v>
      </c>
      <c r="AE56" s="234" t="n">
        <v>28</v>
      </c>
      <c r="AF56" s="234" t="n">
        <v>29</v>
      </c>
      <c r="AG56" s="234" t="n">
        <v>30</v>
      </c>
      <c r="AH56" s="234" t="n">
        <v>31</v>
      </c>
      <c r="AI56" s="234" t="n">
        <v>32</v>
      </c>
      <c r="AJ56" s="234" t="n">
        <v>33</v>
      </c>
      <c r="AK56" s="234" t="n">
        <v>34</v>
      </c>
      <c r="AL56" s="234" t="n">
        <v>35</v>
      </c>
      <c r="AM56" s="234" t="n">
        <v>36</v>
      </c>
      <c r="AN56" s="234" t="n">
        <v>37</v>
      </c>
      <c r="AO56" s="234" t="n">
        <v>38</v>
      </c>
      <c r="AP56" s="234" t="n">
        <v>39</v>
      </c>
      <c r="AQ56" s="234" t="n">
        <v>40</v>
      </c>
      <c r="AR56" s="234" t="n">
        <v>41</v>
      </c>
      <c r="AS56" s="234" t="n">
        <v>42</v>
      </c>
      <c r="AT56" s="234" t="n">
        <v>43</v>
      </c>
      <c r="AU56" s="234" t="n">
        <v>44</v>
      </c>
      <c r="AV56" s="234" t="n">
        <v>45</v>
      </c>
      <c r="AW56" s="234" t="n">
        <v>46</v>
      </c>
      <c r="AX56" s="234" t="n">
        <v>47</v>
      </c>
      <c r="AY56" s="234" t="n">
        <v>48</v>
      </c>
      <c r="AZ56" s="234" t="n">
        <v>49</v>
      </c>
      <c r="BA56" s="234" t="n">
        <v>50</v>
      </c>
      <c r="BB56" s="234" t="n">
        <v>51</v>
      </c>
    </row>
    <row r="57" ht="30" customFormat="1" customHeight="1" s="175">
      <c r="C57" s="175" t="inlineStr">
        <is>
          <t>Channel所属Factor</t>
        </is>
      </c>
      <c r="D57" s="19" t="inlineStr">
        <is>
          <t>Channel Coefficient</t>
        </is>
      </c>
      <c r="E57" s="79">
        <f>E2</f>
        <v/>
      </c>
      <c r="F57" s="79">
        <f>F2</f>
        <v/>
      </c>
      <c r="G57" s="79">
        <f>G2</f>
        <v/>
      </c>
      <c r="H57" s="79">
        <f>H2</f>
        <v/>
      </c>
      <c r="I57" s="79">
        <f>I2</f>
        <v/>
      </c>
      <c r="J57" s="79">
        <f>J2</f>
        <v/>
      </c>
      <c r="K57" s="79">
        <f>K2</f>
        <v/>
      </c>
      <c r="L57" s="79">
        <f>L2</f>
        <v/>
      </c>
      <c r="M57" s="79">
        <f>M2</f>
        <v/>
      </c>
      <c r="N57" s="79">
        <f>N2</f>
        <v/>
      </c>
      <c r="O57" s="79">
        <f>O2</f>
        <v/>
      </c>
      <c r="P57" s="79">
        <f>P2</f>
        <v/>
      </c>
      <c r="Q57" s="79">
        <f>Q2</f>
        <v/>
      </c>
      <c r="R57" s="79">
        <f>R2</f>
        <v/>
      </c>
      <c r="S57" s="79">
        <f>S2</f>
        <v/>
      </c>
      <c r="T57" s="79">
        <f>T2</f>
        <v/>
      </c>
      <c r="U57" s="79">
        <f>U2</f>
        <v/>
      </c>
      <c r="V57" s="79">
        <f>V2</f>
        <v/>
      </c>
      <c r="W57" s="79">
        <f>W2</f>
        <v/>
      </c>
      <c r="X57" s="79">
        <f>X2</f>
        <v/>
      </c>
      <c r="Y57" s="79">
        <f>Y2</f>
        <v/>
      </c>
      <c r="Z57" s="79">
        <f>Z2</f>
        <v/>
      </c>
      <c r="AA57" s="79">
        <f>AA2</f>
        <v/>
      </c>
      <c r="AB57" s="79">
        <f>AB2</f>
        <v/>
      </c>
      <c r="AC57" s="79">
        <f>AC2</f>
        <v/>
      </c>
      <c r="AD57" s="79">
        <f>AD2</f>
        <v/>
      </c>
      <c r="AE57" s="79">
        <f>AE2</f>
        <v/>
      </c>
      <c r="AF57" s="79">
        <f>AF2</f>
        <v/>
      </c>
      <c r="AG57" s="79">
        <f>AG2</f>
        <v/>
      </c>
      <c r="AH57" s="79">
        <f>AH2</f>
        <v/>
      </c>
      <c r="AI57" s="79">
        <f>AI2</f>
        <v/>
      </c>
      <c r="AJ57" s="79">
        <f>AJ2</f>
        <v/>
      </c>
      <c r="AK57" s="79">
        <f>AK2</f>
        <v/>
      </c>
      <c r="AL57" s="79">
        <f>AL2</f>
        <v/>
      </c>
      <c r="AM57" s="79">
        <f>AM2</f>
        <v/>
      </c>
      <c r="AN57" s="79">
        <f>AN2</f>
        <v/>
      </c>
      <c r="AO57" s="79">
        <f>AO2</f>
        <v/>
      </c>
      <c r="AP57" s="79">
        <f>AP2</f>
        <v/>
      </c>
      <c r="AQ57" s="79">
        <f>AQ2</f>
        <v/>
      </c>
      <c r="AR57" s="79">
        <f>AR2</f>
        <v/>
      </c>
      <c r="AS57" s="79">
        <f>AS2</f>
        <v/>
      </c>
      <c r="AT57" s="79">
        <f>AT2</f>
        <v/>
      </c>
      <c r="AU57" s="79">
        <f>AU2</f>
        <v/>
      </c>
      <c r="AV57" s="79">
        <f>AV2</f>
        <v/>
      </c>
      <c r="AW57" s="79">
        <f>AW2</f>
        <v/>
      </c>
      <c r="AX57" s="79">
        <f>AX2</f>
        <v/>
      </c>
      <c r="AY57" s="79">
        <f>AY2</f>
        <v/>
      </c>
      <c r="AZ57" s="79">
        <f>AZ2</f>
        <v/>
      </c>
      <c r="BA57" s="79">
        <f>BA2</f>
        <v/>
      </c>
      <c r="BB57" s="79">
        <f>BB2</f>
        <v/>
      </c>
      <c r="BC57" s="19" t="inlineStr">
        <is>
          <t xml:space="preserve">Recognition% </t>
        </is>
      </c>
      <c r="BD57" s="19" t="inlineStr">
        <is>
          <t>Factor构成系数</t>
        </is>
      </c>
    </row>
    <row r="58" ht="15.75" customHeight="1" s="179">
      <c r="C58" s="84">
        <f>IF(OR($D58=0,$D58=""),"",_xlfn.LET(
    _xlpm.channel,$D58,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58" s="119">
        <f>'2B RotationRule'!C3</f>
        <v/>
      </c>
      <c r="E58" s="227">
        <f>IFERROR(_xlfn.XLOOKUP($C58,$D$3:$D$40,E$3:E$40)*$BD58,0)</f>
        <v/>
      </c>
      <c r="F58" s="227">
        <f>IFERROR(_xlfn.XLOOKUP($C58,$D$3:$D$40,F$3:F$40)*$BD58,0)</f>
        <v/>
      </c>
      <c r="G58" s="227">
        <f>IFERROR(_xlfn.XLOOKUP($C58,$D$3:$D$40,G$3:G$40)*$BD58,0)</f>
        <v/>
      </c>
      <c r="H58" s="235">
        <f>IFERROR(_xlfn.XLOOKUP($C58,$D$3:$D$40,H$3:H$40)*$BD58,0)</f>
        <v/>
      </c>
      <c r="I58" s="235">
        <f>IFERROR(_xlfn.XLOOKUP($C58,$D$3:$D$40,I$3:I$40)*$BD58,0)</f>
        <v/>
      </c>
      <c r="J58" s="235">
        <f>IFERROR(_xlfn.XLOOKUP($C58,$D$3:$D$40,J$3:J$40)*$BD58,0)</f>
        <v/>
      </c>
      <c r="K58" s="235">
        <f>IFERROR(_xlfn.XLOOKUP($C58,$D$3:$D$40,K$3:K$40)*$BD58,0)</f>
        <v/>
      </c>
      <c r="L58" s="235">
        <f>IFERROR(_xlfn.XLOOKUP($C58,$D$3:$D$40,L$3:L$40)*$BD58,0)</f>
        <v/>
      </c>
      <c r="M58" s="235">
        <f>IFERROR(_xlfn.XLOOKUP($C58,$D$3:$D$40,M$3:M$40)*$BD58,0)</f>
        <v/>
      </c>
      <c r="N58" s="235">
        <f>IFERROR(_xlfn.XLOOKUP($C58,$D$3:$D$40,N$3:N$40)*$BD58,0)</f>
        <v/>
      </c>
      <c r="O58" s="235">
        <f>IFERROR(_xlfn.XLOOKUP($C58,$D$3:$D$40,O$3:O$40)*$BD58,0)</f>
        <v/>
      </c>
      <c r="P58" s="235">
        <f>IFERROR(_xlfn.XLOOKUP($C58,$D$3:$D$40,P$3:P$40)*$BD58,0)</f>
        <v/>
      </c>
      <c r="Q58" s="235">
        <f>IFERROR(_xlfn.XLOOKUP($C58,$D$3:$D$40,Q$3:Q$40)*$BD58,0)</f>
        <v/>
      </c>
      <c r="R58" s="235">
        <f>IFERROR(_xlfn.XLOOKUP($C58,$D$3:$D$40,R$3:R$40)*$BD58,0)</f>
        <v/>
      </c>
      <c r="S58" s="235">
        <f>IFERROR(_xlfn.XLOOKUP($C58,$D$3:$D$40,S$3:S$40)*$BD58,0)</f>
        <v/>
      </c>
      <c r="T58" s="235">
        <f>IFERROR(_xlfn.XLOOKUP($C58,$D$3:$D$40,T$3:T$40)*$BD58,0)</f>
        <v/>
      </c>
      <c r="U58" s="235">
        <f>IFERROR(_xlfn.XLOOKUP($C58,$D$3:$D$40,U$3:U$40)*$BD58,0)</f>
        <v/>
      </c>
      <c r="V58" s="235">
        <f>IFERROR(_xlfn.XLOOKUP($C58,$D$3:$D$40,V$3:V$40)*$BD58,0)</f>
        <v/>
      </c>
      <c r="W58" s="235">
        <f>IFERROR(_xlfn.XLOOKUP($C58,$D$3:$D$40,W$3:W$40)*$BD58,0)</f>
        <v/>
      </c>
      <c r="X58" s="235">
        <f>IFERROR(_xlfn.XLOOKUP($C58,$D$3:$D$40,X$3:X$40)*$BD58,0)</f>
        <v/>
      </c>
      <c r="Y58" s="235">
        <f>IFERROR(_xlfn.XLOOKUP($C58,$D$3:$D$40,Y$3:Y$40)*$BD58,0)</f>
        <v/>
      </c>
      <c r="Z58" s="235">
        <f>IFERROR(_xlfn.XLOOKUP($C58,$D$3:$D$40,Z$3:Z$40)*$BD58,0)</f>
        <v/>
      </c>
      <c r="AA58" s="235">
        <f>IFERROR(_xlfn.XLOOKUP($C58,$D$3:$D$40,AA$3:AA$40)*$BD58,0)</f>
        <v/>
      </c>
      <c r="AB58" s="235">
        <f>IFERROR(_xlfn.XLOOKUP($C58,$D$3:$D$40,AB$3:AB$40)*$BD58,0)</f>
        <v/>
      </c>
      <c r="AC58" s="235">
        <f>IFERROR(_xlfn.XLOOKUP($C58,$D$3:$D$40,AC$3:AC$40)*$BD58,0)</f>
        <v/>
      </c>
      <c r="AD58" s="235">
        <f>IFERROR(_xlfn.XLOOKUP($C58,$D$3:$D$40,AD$3:AD$40)*$BD58,0)</f>
        <v/>
      </c>
      <c r="AE58" s="235">
        <f>IFERROR(_xlfn.XLOOKUP($C58,$D$3:$D$40,AE$3:AE$40)*$BD58,0)</f>
        <v/>
      </c>
      <c r="AF58" s="235">
        <f>IFERROR(_xlfn.XLOOKUP($C58,$D$3:$D$40,AF$3:AF$40)*$BD58,0)</f>
        <v/>
      </c>
      <c r="AG58" s="235">
        <f>IFERROR(_xlfn.XLOOKUP($C58,$D$3:$D$40,AG$3:AG$40)*$BD58,0)</f>
        <v/>
      </c>
      <c r="AH58" s="235">
        <f>IFERROR(_xlfn.XLOOKUP($C58,$D$3:$D$40,AH$3:AH$40)*$BD58,0)</f>
        <v/>
      </c>
      <c r="AI58" s="235">
        <f>IFERROR(_xlfn.XLOOKUP($C58,$D$3:$D$40,AI$3:AI$40)*$BD58,0)</f>
        <v/>
      </c>
      <c r="AJ58" s="235">
        <f>IFERROR(_xlfn.XLOOKUP($C58,$D$3:$D$40,AJ$3:AJ$40)*$BD58,0)</f>
        <v/>
      </c>
      <c r="AK58" s="235">
        <f>IFERROR(_xlfn.XLOOKUP($C58,$D$3:$D$40,AK$3:AK$40)*$BD58,0)</f>
        <v/>
      </c>
      <c r="AL58" s="235">
        <f>IFERROR(_xlfn.XLOOKUP($C58,$D$3:$D$40,AL$3:AL$40)*$BD58,0)</f>
        <v/>
      </c>
      <c r="AM58" s="235">
        <f>IFERROR(_xlfn.XLOOKUP($C58,$D$3:$D$40,AM$3:AM$40)*$BD58,0)</f>
        <v/>
      </c>
      <c r="AN58" s="235">
        <f>IFERROR(_xlfn.XLOOKUP($C58,$D$3:$D$40,AN$3:AN$40)*$BD58,0)</f>
        <v/>
      </c>
      <c r="AO58" s="235">
        <f>IFERROR(_xlfn.XLOOKUP($C58,$D$3:$D$40,AO$3:AO$40)*$BD58,0)</f>
        <v/>
      </c>
      <c r="AP58" s="235">
        <f>IFERROR(_xlfn.XLOOKUP($C58,$D$3:$D$40,AP$3:AP$40)*$BD58,0)</f>
        <v/>
      </c>
      <c r="AQ58" s="235">
        <f>IFERROR(_xlfn.XLOOKUP($C58,$D$3:$D$40,AQ$3:AQ$40)*$BD58,0)</f>
        <v/>
      </c>
      <c r="AR58" s="235">
        <f>IFERROR(_xlfn.XLOOKUP($C58,$D$3:$D$40,AR$3:AR$40)*$BD58,0)</f>
        <v/>
      </c>
      <c r="AS58" s="235">
        <f>IFERROR(_xlfn.XLOOKUP($C58,$D$3:$D$40,AS$3:AS$40)*$BD58,0)</f>
        <v/>
      </c>
      <c r="AT58" s="235">
        <f>IFERROR(_xlfn.XLOOKUP($C58,$D$3:$D$40,AT$3:AT$40)*$BD58,0)</f>
        <v/>
      </c>
      <c r="AU58" s="235">
        <f>IFERROR(_xlfn.XLOOKUP($C58,$D$3:$D$40,AU$3:AU$40)*$BD58,0)</f>
        <v/>
      </c>
      <c r="AV58" s="235">
        <f>IFERROR(_xlfn.XLOOKUP($C58,$D$3:$D$40,AV$3:AV$40)*$BD58,0)</f>
        <v/>
      </c>
      <c r="AW58" s="235">
        <f>IFERROR(_xlfn.XLOOKUP($C58,$D$3:$D$40,AW$3:AW$40)*$BD58,0)</f>
        <v/>
      </c>
      <c r="AX58" s="235">
        <f>IFERROR(_xlfn.XLOOKUP($C58,$D$3:$D$40,AX$3:AX$40)*$BD58,0)</f>
        <v/>
      </c>
      <c r="AY58" s="235">
        <f>IFERROR(_xlfn.XLOOKUP($C58,$D$3:$D$40,AY$3:AY$40)*$BD58,0)</f>
        <v/>
      </c>
      <c r="AZ58" s="235">
        <f>IFERROR(_xlfn.XLOOKUP($C58,$D$3:$D$40,AZ$3:AZ$40)*$BD58,0)</f>
        <v/>
      </c>
      <c r="BA58" s="235">
        <f>IFERROR(_xlfn.XLOOKUP($C58,$D$3:$D$40,BA$3:BA$40)*$BD58,0)</f>
        <v/>
      </c>
      <c r="BB58" s="235">
        <f>IFERROR(_xlfn.XLOOKUP($C58,$D$3:$D$40,BB$3:BB$40)*$BD58,0)</f>
        <v/>
      </c>
      <c r="BC58" s="228">
        <f>IFERROR(_xlfn.XLOOKUP(D58,'2C 均值'!$A:$A,'2C 均值'!$E:$E),0)</f>
        <v/>
      </c>
      <c r="BD58" s="228">
        <f t="array" ref="BD58">IF(OR($D58=0,$D58=""),"",_xlfn.LET(
        _xlpm.channel,$D58,
        _xlpm.factorName,$C58,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59" ht="15.75" customHeight="1" s="179">
      <c r="C59" s="84">
        <f>IF(OR($D59=0,$D59=""),"",_xlfn.LET(
    _xlpm.channel,$D59,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59" s="119">
        <f>'2B RotationRule'!C4</f>
        <v/>
      </c>
      <c r="E59" s="227">
        <f>IFERROR(_xlfn.XLOOKUP($C59,$D$3:$D$40,E$3:E$40)*$BD59,0)</f>
        <v/>
      </c>
      <c r="F59" s="227">
        <f>IFERROR(_xlfn.XLOOKUP($C59,$D$3:$D$40,F$3:F$40)*$BD59,0)</f>
        <v/>
      </c>
      <c r="G59" s="227">
        <f>IFERROR(_xlfn.XLOOKUP($C59,$D$3:$D$40,G$3:G$40)*$BD59,0)</f>
        <v/>
      </c>
      <c r="H59" s="235">
        <f>IFERROR(_xlfn.XLOOKUP($C59,$D$3:$D$40,H$3:H$40)*$BD59,0)</f>
        <v/>
      </c>
      <c r="I59" s="235">
        <f>IFERROR(_xlfn.XLOOKUP($C59,$D$3:$D$40,I$3:I$40)*$BD59,0)</f>
        <v/>
      </c>
      <c r="J59" s="235">
        <f>IFERROR(_xlfn.XLOOKUP($C59,$D$3:$D$40,J$3:J$40)*$BD59,0)</f>
        <v/>
      </c>
      <c r="K59" s="235">
        <f>IFERROR(_xlfn.XLOOKUP($C59,$D$3:$D$40,K$3:K$40)*$BD59,0)</f>
        <v/>
      </c>
      <c r="L59" s="235">
        <f>IFERROR(_xlfn.XLOOKUP($C59,$D$3:$D$40,L$3:L$40)*$BD59,0)</f>
        <v/>
      </c>
      <c r="M59" s="235">
        <f>IFERROR(_xlfn.XLOOKUP($C59,$D$3:$D$40,M$3:M$40)*$BD59,0)</f>
        <v/>
      </c>
      <c r="N59" s="235">
        <f>IFERROR(_xlfn.XLOOKUP($C59,$D$3:$D$40,N$3:N$40)*$BD59,0)</f>
        <v/>
      </c>
      <c r="O59" s="235">
        <f>IFERROR(_xlfn.XLOOKUP($C59,$D$3:$D$40,O$3:O$40)*$BD59,0)</f>
        <v/>
      </c>
      <c r="P59" s="235">
        <f>IFERROR(_xlfn.XLOOKUP($C59,$D$3:$D$40,P$3:P$40)*$BD59,0)</f>
        <v/>
      </c>
      <c r="Q59" s="235">
        <f>IFERROR(_xlfn.XLOOKUP($C59,$D$3:$D$40,Q$3:Q$40)*$BD59,0)</f>
        <v/>
      </c>
      <c r="R59" s="235">
        <f>IFERROR(_xlfn.XLOOKUP($C59,$D$3:$D$40,R$3:R$40)*$BD59,0)</f>
        <v/>
      </c>
      <c r="S59" s="235">
        <f>IFERROR(_xlfn.XLOOKUP($C59,$D$3:$D$40,S$3:S$40)*$BD59,0)</f>
        <v/>
      </c>
      <c r="T59" s="235">
        <f>IFERROR(_xlfn.XLOOKUP($C59,$D$3:$D$40,T$3:T$40)*$BD59,0)</f>
        <v/>
      </c>
      <c r="U59" s="235">
        <f>IFERROR(_xlfn.XLOOKUP($C59,$D$3:$D$40,U$3:U$40)*$BD59,0)</f>
        <v/>
      </c>
      <c r="V59" s="235">
        <f>IFERROR(_xlfn.XLOOKUP($C59,$D$3:$D$40,V$3:V$40)*$BD59,0)</f>
        <v/>
      </c>
      <c r="W59" s="235">
        <f>IFERROR(_xlfn.XLOOKUP($C59,$D$3:$D$40,W$3:W$40)*$BD59,0)</f>
        <v/>
      </c>
      <c r="X59" s="235">
        <f>IFERROR(_xlfn.XLOOKUP($C59,$D$3:$D$40,X$3:X$40)*$BD59,0)</f>
        <v/>
      </c>
      <c r="Y59" s="235">
        <f>IFERROR(_xlfn.XLOOKUP($C59,$D$3:$D$40,Y$3:Y$40)*$BD59,0)</f>
        <v/>
      </c>
      <c r="Z59" s="235">
        <f>IFERROR(_xlfn.XLOOKUP($C59,$D$3:$D$40,Z$3:Z$40)*$BD59,0)</f>
        <v/>
      </c>
      <c r="AA59" s="235">
        <f>IFERROR(_xlfn.XLOOKUP($C59,$D$3:$D$40,AA$3:AA$40)*$BD59,0)</f>
        <v/>
      </c>
      <c r="AB59" s="235">
        <f>IFERROR(_xlfn.XLOOKUP($C59,$D$3:$D$40,AB$3:AB$40)*$BD59,0)</f>
        <v/>
      </c>
      <c r="AC59" s="235">
        <f>IFERROR(_xlfn.XLOOKUP($C59,$D$3:$D$40,AC$3:AC$40)*$BD59,0)</f>
        <v/>
      </c>
      <c r="AD59" s="235">
        <f>IFERROR(_xlfn.XLOOKUP($C59,$D$3:$D$40,AD$3:AD$40)*$BD59,0)</f>
        <v/>
      </c>
      <c r="AE59" s="235">
        <f>IFERROR(_xlfn.XLOOKUP($C59,$D$3:$D$40,AE$3:AE$40)*$BD59,0)</f>
        <v/>
      </c>
      <c r="AF59" s="235">
        <f>IFERROR(_xlfn.XLOOKUP($C59,$D$3:$D$40,AF$3:AF$40)*$BD59,0)</f>
        <v/>
      </c>
      <c r="AG59" s="235">
        <f>IFERROR(_xlfn.XLOOKUP($C59,$D$3:$D$40,AG$3:AG$40)*$BD59,0)</f>
        <v/>
      </c>
      <c r="AH59" s="235">
        <f>IFERROR(_xlfn.XLOOKUP($C59,$D$3:$D$40,AH$3:AH$40)*$BD59,0)</f>
        <v/>
      </c>
      <c r="AI59" s="235">
        <f>IFERROR(_xlfn.XLOOKUP($C59,$D$3:$D$40,AI$3:AI$40)*$BD59,0)</f>
        <v/>
      </c>
      <c r="AJ59" s="235">
        <f>IFERROR(_xlfn.XLOOKUP($C59,$D$3:$D$40,AJ$3:AJ$40)*$BD59,0)</f>
        <v/>
      </c>
      <c r="AK59" s="235">
        <f>IFERROR(_xlfn.XLOOKUP($C59,$D$3:$D$40,AK$3:AK$40)*$BD59,0)</f>
        <v/>
      </c>
      <c r="AL59" s="235">
        <f>IFERROR(_xlfn.XLOOKUP($C59,$D$3:$D$40,AL$3:AL$40)*$BD59,0)</f>
        <v/>
      </c>
      <c r="AM59" s="235">
        <f>IFERROR(_xlfn.XLOOKUP($C59,$D$3:$D$40,AM$3:AM$40)*$BD59,0)</f>
        <v/>
      </c>
      <c r="AN59" s="235">
        <f>IFERROR(_xlfn.XLOOKUP($C59,$D$3:$D$40,AN$3:AN$40)*$BD59,0)</f>
        <v/>
      </c>
      <c r="AO59" s="235">
        <f>IFERROR(_xlfn.XLOOKUP($C59,$D$3:$D$40,AO$3:AO$40)*$BD59,0)</f>
        <v/>
      </c>
      <c r="AP59" s="235">
        <f>IFERROR(_xlfn.XLOOKUP($C59,$D$3:$D$40,AP$3:AP$40)*$BD59,0)</f>
        <v/>
      </c>
      <c r="AQ59" s="235">
        <f>IFERROR(_xlfn.XLOOKUP($C59,$D$3:$D$40,AQ$3:AQ$40)*$BD59,0)</f>
        <v/>
      </c>
      <c r="AR59" s="235">
        <f>IFERROR(_xlfn.XLOOKUP($C59,$D$3:$D$40,AR$3:AR$40)*$BD59,0)</f>
        <v/>
      </c>
      <c r="AS59" s="235">
        <f>IFERROR(_xlfn.XLOOKUP($C59,$D$3:$D$40,AS$3:AS$40)*$BD59,0)</f>
        <v/>
      </c>
      <c r="AT59" s="235">
        <f>IFERROR(_xlfn.XLOOKUP($C59,$D$3:$D$40,AT$3:AT$40)*$BD59,0)</f>
        <v/>
      </c>
      <c r="AU59" s="235">
        <f>IFERROR(_xlfn.XLOOKUP($C59,$D$3:$D$40,AU$3:AU$40)*$BD59,0)</f>
        <v/>
      </c>
      <c r="AV59" s="235">
        <f>IFERROR(_xlfn.XLOOKUP($C59,$D$3:$D$40,AV$3:AV$40)*$BD59,0)</f>
        <v/>
      </c>
      <c r="AW59" s="235">
        <f>IFERROR(_xlfn.XLOOKUP($C59,$D$3:$D$40,AW$3:AW$40)*$BD59,0)</f>
        <v/>
      </c>
      <c r="AX59" s="235">
        <f>IFERROR(_xlfn.XLOOKUP($C59,$D$3:$D$40,AX$3:AX$40)*$BD59,0)</f>
        <v/>
      </c>
      <c r="AY59" s="235">
        <f>IFERROR(_xlfn.XLOOKUP($C59,$D$3:$D$40,AY$3:AY$40)*$BD59,0)</f>
        <v/>
      </c>
      <c r="AZ59" s="235">
        <f>IFERROR(_xlfn.XLOOKUP($C59,$D$3:$D$40,AZ$3:AZ$40)*$BD59,0)</f>
        <v/>
      </c>
      <c r="BA59" s="235">
        <f>IFERROR(_xlfn.XLOOKUP($C59,$D$3:$D$40,BA$3:BA$40)*$BD59,0)</f>
        <v/>
      </c>
      <c r="BB59" s="235">
        <f>IFERROR(_xlfn.XLOOKUP($C59,$D$3:$D$40,BB$3:BB$40)*$BD59,0)</f>
        <v/>
      </c>
      <c r="BC59" s="228">
        <f>IFERROR(_xlfn.XLOOKUP(D59,'2C 均值'!$A:$A,'2C 均值'!$E:$E),0)</f>
        <v/>
      </c>
      <c r="BD59" s="228">
        <f t="array" ref="BD59">IF(OR($D59=0,$D59=""),"",_xlfn.LET(
        _xlpm.channel,$D59,
        _xlpm.factorName,$C59,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0" ht="15.75" customHeight="1" s="179">
      <c r="C60" s="84">
        <f>IF(OR($D60=0,$D60=""),"",_xlfn.LET(
    _xlpm.channel,$D60,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0" s="119">
        <f>'2B RotationRule'!C5</f>
        <v/>
      </c>
      <c r="E60" s="227">
        <f>IFERROR(_xlfn.XLOOKUP($C60,$D$3:$D$40,E$3:E$40)*$BD60,0)</f>
        <v/>
      </c>
      <c r="F60" s="227">
        <f>IFERROR(_xlfn.XLOOKUP($C60,$D$3:$D$40,F$3:F$40)*$BD60,0)</f>
        <v/>
      </c>
      <c r="G60" s="227">
        <f>IFERROR(_xlfn.XLOOKUP($C60,$D$3:$D$40,G$3:G$40)*$BD60,0)</f>
        <v/>
      </c>
      <c r="H60" s="235">
        <f>IFERROR(_xlfn.XLOOKUP($C60,$D$3:$D$40,H$3:H$40)*$BD60,0)</f>
        <v/>
      </c>
      <c r="I60" s="235">
        <f>IFERROR(_xlfn.XLOOKUP($C60,$D$3:$D$40,I$3:I$40)*$BD60,0)</f>
        <v/>
      </c>
      <c r="J60" s="235">
        <f>IFERROR(_xlfn.XLOOKUP($C60,$D$3:$D$40,J$3:J$40)*$BD60,0)</f>
        <v/>
      </c>
      <c r="K60" s="235">
        <f>IFERROR(_xlfn.XLOOKUP($C60,$D$3:$D$40,K$3:K$40)*$BD60,0)</f>
        <v/>
      </c>
      <c r="L60" s="235">
        <f>IFERROR(_xlfn.XLOOKUP($C60,$D$3:$D$40,L$3:L$40)*$BD60,0)</f>
        <v/>
      </c>
      <c r="M60" s="235">
        <f>IFERROR(_xlfn.XLOOKUP($C60,$D$3:$D$40,M$3:M$40)*$BD60,0)</f>
        <v/>
      </c>
      <c r="N60" s="235">
        <f>IFERROR(_xlfn.XLOOKUP($C60,$D$3:$D$40,N$3:N$40)*$BD60,0)</f>
        <v/>
      </c>
      <c r="O60" s="235">
        <f>IFERROR(_xlfn.XLOOKUP($C60,$D$3:$D$40,O$3:O$40)*$BD60,0)</f>
        <v/>
      </c>
      <c r="P60" s="235">
        <f>IFERROR(_xlfn.XLOOKUP($C60,$D$3:$D$40,P$3:P$40)*$BD60,0)</f>
        <v/>
      </c>
      <c r="Q60" s="235">
        <f>IFERROR(_xlfn.XLOOKUP($C60,$D$3:$D$40,Q$3:Q$40)*$BD60,0)</f>
        <v/>
      </c>
      <c r="R60" s="235">
        <f>IFERROR(_xlfn.XLOOKUP($C60,$D$3:$D$40,R$3:R$40)*$BD60,0)</f>
        <v/>
      </c>
      <c r="S60" s="235">
        <f>IFERROR(_xlfn.XLOOKUP($C60,$D$3:$D$40,S$3:S$40)*$BD60,0)</f>
        <v/>
      </c>
      <c r="T60" s="235">
        <f>IFERROR(_xlfn.XLOOKUP($C60,$D$3:$D$40,T$3:T$40)*$BD60,0)</f>
        <v/>
      </c>
      <c r="U60" s="235">
        <f>IFERROR(_xlfn.XLOOKUP($C60,$D$3:$D$40,U$3:U$40)*$BD60,0)</f>
        <v/>
      </c>
      <c r="V60" s="235">
        <f>IFERROR(_xlfn.XLOOKUP($C60,$D$3:$D$40,V$3:V$40)*$BD60,0)</f>
        <v/>
      </c>
      <c r="W60" s="235">
        <f>IFERROR(_xlfn.XLOOKUP($C60,$D$3:$D$40,W$3:W$40)*$BD60,0)</f>
        <v/>
      </c>
      <c r="X60" s="235">
        <f>IFERROR(_xlfn.XLOOKUP($C60,$D$3:$D$40,X$3:X$40)*$BD60,0)</f>
        <v/>
      </c>
      <c r="Y60" s="235">
        <f>IFERROR(_xlfn.XLOOKUP($C60,$D$3:$D$40,Y$3:Y$40)*$BD60,0)</f>
        <v/>
      </c>
      <c r="Z60" s="235">
        <f>IFERROR(_xlfn.XLOOKUP($C60,$D$3:$D$40,Z$3:Z$40)*$BD60,0)</f>
        <v/>
      </c>
      <c r="AA60" s="235">
        <f>IFERROR(_xlfn.XLOOKUP($C60,$D$3:$D$40,AA$3:AA$40)*$BD60,0)</f>
        <v/>
      </c>
      <c r="AB60" s="235">
        <f>IFERROR(_xlfn.XLOOKUP($C60,$D$3:$D$40,AB$3:AB$40)*$BD60,0)</f>
        <v/>
      </c>
      <c r="AC60" s="235">
        <f>IFERROR(_xlfn.XLOOKUP($C60,$D$3:$D$40,AC$3:AC$40)*$BD60,0)</f>
        <v/>
      </c>
      <c r="AD60" s="235">
        <f>IFERROR(_xlfn.XLOOKUP($C60,$D$3:$D$40,AD$3:AD$40)*$BD60,0)</f>
        <v/>
      </c>
      <c r="AE60" s="235">
        <f>IFERROR(_xlfn.XLOOKUP($C60,$D$3:$D$40,AE$3:AE$40)*$BD60,0)</f>
        <v/>
      </c>
      <c r="AF60" s="235">
        <f>IFERROR(_xlfn.XLOOKUP($C60,$D$3:$D$40,AF$3:AF$40)*$BD60,0)</f>
        <v/>
      </c>
      <c r="AG60" s="235">
        <f>IFERROR(_xlfn.XLOOKUP($C60,$D$3:$D$40,AG$3:AG$40)*$BD60,0)</f>
        <v/>
      </c>
      <c r="AH60" s="235">
        <f>IFERROR(_xlfn.XLOOKUP($C60,$D$3:$D$40,AH$3:AH$40)*$BD60,0)</f>
        <v/>
      </c>
      <c r="AI60" s="235">
        <f>IFERROR(_xlfn.XLOOKUP($C60,$D$3:$D$40,AI$3:AI$40)*$BD60,0)</f>
        <v/>
      </c>
      <c r="AJ60" s="235">
        <f>IFERROR(_xlfn.XLOOKUP($C60,$D$3:$D$40,AJ$3:AJ$40)*$BD60,0)</f>
        <v/>
      </c>
      <c r="AK60" s="235">
        <f>IFERROR(_xlfn.XLOOKUP($C60,$D$3:$D$40,AK$3:AK$40)*$BD60,0)</f>
        <v/>
      </c>
      <c r="AL60" s="235">
        <f>IFERROR(_xlfn.XLOOKUP($C60,$D$3:$D$40,AL$3:AL$40)*$BD60,0)</f>
        <v/>
      </c>
      <c r="AM60" s="235">
        <f>IFERROR(_xlfn.XLOOKUP($C60,$D$3:$D$40,AM$3:AM$40)*$BD60,0)</f>
        <v/>
      </c>
      <c r="AN60" s="235">
        <f>IFERROR(_xlfn.XLOOKUP($C60,$D$3:$D$40,AN$3:AN$40)*$BD60,0)</f>
        <v/>
      </c>
      <c r="AO60" s="235">
        <f>IFERROR(_xlfn.XLOOKUP($C60,$D$3:$D$40,AO$3:AO$40)*$BD60,0)</f>
        <v/>
      </c>
      <c r="AP60" s="235">
        <f>IFERROR(_xlfn.XLOOKUP($C60,$D$3:$D$40,AP$3:AP$40)*$BD60,0)</f>
        <v/>
      </c>
      <c r="AQ60" s="235">
        <f>IFERROR(_xlfn.XLOOKUP($C60,$D$3:$D$40,AQ$3:AQ$40)*$BD60,0)</f>
        <v/>
      </c>
      <c r="AR60" s="235">
        <f>IFERROR(_xlfn.XLOOKUP($C60,$D$3:$D$40,AR$3:AR$40)*$BD60,0)</f>
        <v/>
      </c>
      <c r="AS60" s="235">
        <f>IFERROR(_xlfn.XLOOKUP($C60,$D$3:$D$40,AS$3:AS$40)*$BD60,0)</f>
        <v/>
      </c>
      <c r="AT60" s="235">
        <f>IFERROR(_xlfn.XLOOKUP($C60,$D$3:$D$40,AT$3:AT$40)*$BD60,0)</f>
        <v/>
      </c>
      <c r="AU60" s="235">
        <f>IFERROR(_xlfn.XLOOKUP($C60,$D$3:$D$40,AU$3:AU$40)*$BD60,0)</f>
        <v/>
      </c>
      <c r="AV60" s="235">
        <f>IFERROR(_xlfn.XLOOKUP($C60,$D$3:$D$40,AV$3:AV$40)*$BD60,0)</f>
        <v/>
      </c>
      <c r="AW60" s="235">
        <f>IFERROR(_xlfn.XLOOKUP($C60,$D$3:$D$40,AW$3:AW$40)*$BD60,0)</f>
        <v/>
      </c>
      <c r="AX60" s="235">
        <f>IFERROR(_xlfn.XLOOKUP($C60,$D$3:$D$40,AX$3:AX$40)*$BD60,0)</f>
        <v/>
      </c>
      <c r="AY60" s="235">
        <f>IFERROR(_xlfn.XLOOKUP($C60,$D$3:$D$40,AY$3:AY$40)*$BD60,0)</f>
        <v/>
      </c>
      <c r="AZ60" s="235">
        <f>IFERROR(_xlfn.XLOOKUP($C60,$D$3:$D$40,AZ$3:AZ$40)*$BD60,0)</f>
        <v/>
      </c>
      <c r="BA60" s="235">
        <f>IFERROR(_xlfn.XLOOKUP($C60,$D$3:$D$40,BA$3:BA$40)*$BD60,0)</f>
        <v/>
      </c>
      <c r="BB60" s="235">
        <f>IFERROR(_xlfn.XLOOKUP($C60,$D$3:$D$40,BB$3:BB$40)*$BD60,0)</f>
        <v/>
      </c>
      <c r="BC60" s="228">
        <f>IFERROR(_xlfn.XLOOKUP(D60,'2C 均值'!$A:$A,'2C 均值'!$E:$E),0)</f>
        <v/>
      </c>
      <c r="BD60" s="228">
        <f t="array" ref="BD60">IF(OR($D60=0,$D60=""),"",_xlfn.LET(
        _xlpm.channel,$D60,
        _xlpm.factorName,$C60,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1" ht="15.75" customHeight="1" s="179">
      <c r="C61" s="84">
        <f>IF(OR($D61=0,$D61=""),"",_xlfn.LET(
    _xlpm.channel,$D61,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1" s="119">
        <f>'2B RotationRule'!C6</f>
        <v/>
      </c>
      <c r="E61" s="227">
        <f>IFERROR(_xlfn.XLOOKUP($C61,$D$3:$D$40,E$3:E$40)*$BD61,0)</f>
        <v/>
      </c>
      <c r="F61" s="227">
        <f>IFERROR(_xlfn.XLOOKUP($C61,$D$3:$D$40,F$3:F$40)*$BD61,0)</f>
        <v/>
      </c>
      <c r="G61" s="227">
        <f>IFERROR(_xlfn.XLOOKUP($C61,$D$3:$D$40,G$3:G$40)*$BD61,0)</f>
        <v/>
      </c>
      <c r="H61" s="235">
        <f>IFERROR(_xlfn.XLOOKUP($C61,$D$3:$D$40,H$3:H$40)*$BD61,0)</f>
        <v/>
      </c>
      <c r="I61" s="235">
        <f>IFERROR(_xlfn.XLOOKUP($C61,$D$3:$D$40,I$3:I$40)*$BD61,0)</f>
        <v/>
      </c>
      <c r="J61" s="235">
        <f>IFERROR(_xlfn.XLOOKUP($C61,$D$3:$D$40,J$3:J$40)*$BD61,0)</f>
        <v/>
      </c>
      <c r="K61" s="235">
        <f>IFERROR(_xlfn.XLOOKUP($C61,$D$3:$D$40,K$3:K$40)*$BD61,0)</f>
        <v/>
      </c>
      <c r="L61" s="235">
        <f>IFERROR(_xlfn.XLOOKUP($C61,$D$3:$D$40,L$3:L$40)*$BD61,0)</f>
        <v/>
      </c>
      <c r="M61" s="235">
        <f>IFERROR(_xlfn.XLOOKUP($C61,$D$3:$D$40,M$3:M$40)*$BD61,0)</f>
        <v/>
      </c>
      <c r="N61" s="235">
        <f>IFERROR(_xlfn.XLOOKUP($C61,$D$3:$D$40,N$3:N$40)*$BD61,0)</f>
        <v/>
      </c>
      <c r="O61" s="235">
        <f>IFERROR(_xlfn.XLOOKUP($C61,$D$3:$D$40,O$3:O$40)*$BD61,0)</f>
        <v/>
      </c>
      <c r="P61" s="235">
        <f>IFERROR(_xlfn.XLOOKUP($C61,$D$3:$D$40,P$3:P$40)*$BD61,0)</f>
        <v/>
      </c>
      <c r="Q61" s="235">
        <f>IFERROR(_xlfn.XLOOKUP($C61,$D$3:$D$40,Q$3:Q$40)*$BD61,0)</f>
        <v/>
      </c>
      <c r="R61" s="235">
        <f>IFERROR(_xlfn.XLOOKUP($C61,$D$3:$D$40,R$3:R$40)*$BD61,0)</f>
        <v/>
      </c>
      <c r="S61" s="235">
        <f>IFERROR(_xlfn.XLOOKUP($C61,$D$3:$D$40,S$3:S$40)*$BD61,0)</f>
        <v/>
      </c>
      <c r="T61" s="235">
        <f>IFERROR(_xlfn.XLOOKUP($C61,$D$3:$D$40,T$3:T$40)*$BD61,0)</f>
        <v/>
      </c>
      <c r="U61" s="235">
        <f>IFERROR(_xlfn.XLOOKUP($C61,$D$3:$D$40,U$3:U$40)*$BD61,0)</f>
        <v/>
      </c>
      <c r="V61" s="235">
        <f>IFERROR(_xlfn.XLOOKUP($C61,$D$3:$D$40,V$3:V$40)*$BD61,0)</f>
        <v/>
      </c>
      <c r="W61" s="235">
        <f>IFERROR(_xlfn.XLOOKUP($C61,$D$3:$D$40,W$3:W$40)*$BD61,0)</f>
        <v/>
      </c>
      <c r="X61" s="235">
        <f>IFERROR(_xlfn.XLOOKUP($C61,$D$3:$D$40,X$3:X$40)*$BD61,0)</f>
        <v/>
      </c>
      <c r="Y61" s="235">
        <f>IFERROR(_xlfn.XLOOKUP($C61,$D$3:$D$40,Y$3:Y$40)*$BD61,0)</f>
        <v/>
      </c>
      <c r="Z61" s="235">
        <f>IFERROR(_xlfn.XLOOKUP($C61,$D$3:$D$40,Z$3:Z$40)*$BD61,0)</f>
        <v/>
      </c>
      <c r="AA61" s="235">
        <f>IFERROR(_xlfn.XLOOKUP($C61,$D$3:$D$40,AA$3:AA$40)*$BD61,0)</f>
        <v/>
      </c>
      <c r="AB61" s="235">
        <f>IFERROR(_xlfn.XLOOKUP($C61,$D$3:$D$40,AB$3:AB$40)*$BD61,0)</f>
        <v/>
      </c>
      <c r="AC61" s="235">
        <f>IFERROR(_xlfn.XLOOKUP($C61,$D$3:$D$40,AC$3:AC$40)*$BD61,0)</f>
        <v/>
      </c>
      <c r="AD61" s="235">
        <f>IFERROR(_xlfn.XLOOKUP($C61,$D$3:$D$40,AD$3:AD$40)*$BD61,0)</f>
        <v/>
      </c>
      <c r="AE61" s="235">
        <f>IFERROR(_xlfn.XLOOKUP($C61,$D$3:$D$40,AE$3:AE$40)*$BD61,0)</f>
        <v/>
      </c>
      <c r="AF61" s="235">
        <f>IFERROR(_xlfn.XLOOKUP($C61,$D$3:$D$40,AF$3:AF$40)*$BD61,0)</f>
        <v/>
      </c>
      <c r="AG61" s="235">
        <f>IFERROR(_xlfn.XLOOKUP($C61,$D$3:$D$40,AG$3:AG$40)*$BD61,0)</f>
        <v/>
      </c>
      <c r="AH61" s="235">
        <f>IFERROR(_xlfn.XLOOKUP($C61,$D$3:$D$40,AH$3:AH$40)*$BD61,0)</f>
        <v/>
      </c>
      <c r="AI61" s="235">
        <f>IFERROR(_xlfn.XLOOKUP($C61,$D$3:$D$40,AI$3:AI$40)*$BD61,0)</f>
        <v/>
      </c>
      <c r="AJ61" s="235">
        <f>IFERROR(_xlfn.XLOOKUP($C61,$D$3:$D$40,AJ$3:AJ$40)*$BD61,0)</f>
        <v/>
      </c>
      <c r="AK61" s="235">
        <f>IFERROR(_xlfn.XLOOKUP($C61,$D$3:$D$40,AK$3:AK$40)*$BD61,0)</f>
        <v/>
      </c>
      <c r="AL61" s="235">
        <f>IFERROR(_xlfn.XLOOKUP($C61,$D$3:$D$40,AL$3:AL$40)*$BD61,0)</f>
        <v/>
      </c>
      <c r="AM61" s="235">
        <f>IFERROR(_xlfn.XLOOKUP($C61,$D$3:$D$40,AM$3:AM$40)*$BD61,0)</f>
        <v/>
      </c>
      <c r="AN61" s="235">
        <f>IFERROR(_xlfn.XLOOKUP($C61,$D$3:$D$40,AN$3:AN$40)*$BD61,0)</f>
        <v/>
      </c>
      <c r="AO61" s="235">
        <f>IFERROR(_xlfn.XLOOKUP($C61,$D$3:$D$40,AO$3:AO$40)*$BD61,0)</f>
        <v/>
      </c>
      <c r="AP61" s="235">
        <f>IFERROR(_xlfn.XLOOKUP($C61,$D$3:$D$40,AP$3:AP$40)*$BD61,0)</f>
        <v/>
      </c>
      <c r="AQ61" s="235">
        <f>IFERROR(_xlfn.XLOOKUP($C61,$D$3:$D$40,AQ$3:AQ$40)*$BD61,0)</f>
        <v/>
      </c>
      <c r="AR61" s="235">
        <f>IFERROR(_xlfn.XLOOKUP($C61,$D$3:$D$40,AR$3:AR$40)*$BD61,0)</f>
        <v/>
      </c>
      <c r="AS61" s="235">
        <f>IFERROR(_xlfn.XLOOKUP($C61,$D$3:$D$40,AS$3:AS$40)*$BD61,0)</f>
        <v/>
      </c>
      <c r="AT61" s="235">
        <f>IFERROR(_xlfn.XLOOKUP($C61,$D$3:$D$40,AT$3:AT$40)*$BD61,0)</f>
        <v/>
      </c>
      <c r="AU61" s="235">
        <f>IFERROR(_xlfn.XLOOKUP($C61,$D$3:$D$40,AU$3:AU$40)*$BD61,0)</f>
        <v/>
      </c>
      <c r="AV61" s="235">
        <f>IFERROR(_xlfn.XLOOKUP($C61,$D$3:$D$40,AV$3:AV$40)*$BD61,0)</f>
        <v/>
      </c>
      <c r="AW61" s="235">
        <f>IFERROR(_xlfn.XLOOKUP($C61,$D$3:$D$40,AW$3:AW$40)*$BD61,0)</f>
        <v/>
      </c>
      <c r="AX61" s="235">
        <f>IFERROR(_xlfn.XLOOKUP($C61,$D$3:$D$40,AX$3:AX$40)*$BD61,0)</f>
        <v/>
      </c>
      <c r="AY61" s="235">
        <f>IFERROR(_xlfn.XLOOKUP($C61,$D$3:$D$40,AY$3:AY$40)*$BD61,0)</f>
        <v/>
      </c>
      <c r="AZ61" s="235">
        <f>IFERROR(_xlfn.XLOOKUP($C61,$D$3:$D$40,AZ$3:AZ$40)*$BD61,0)</f>
        <v/>
      </c>
      <c r="BA61" s="235">
        <f>IFERROR(_xlfn.XLOOKUP($C61,$D$3:$D$40,BA$3:BA$40)*$BD61,0)</f>
        <v/>
      </c>
      <c r="BB61" s="235">
        <f>IFERROR(_xlfn.XLOOKUP($C61,$D$3:$D$40,BB$3:BB$40)*$BD61,0)</f>
        <v/>
      </c>
      <c r="BC61" s="228">
        <f>IFERROR(_xlfn.XLOOKUP(D61,'2C 均值'!$A:$A,'2C 均值'!$E:$E),0)</f>
        <v/>
      </c>
      <c r="BD61" s="228">
        <f t="array" ref="BD61">IF(OR($D61=0,$D61=""),"",_xlfn.LET(
        _xlpm.channel,$D61,
        _xlpm.factorName,$C61,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2" ht="15.75" customHeight="1" s="179">
      <c r="C62" s="84">
        <f>IF(OR($D62=0,$D62=""),"",_xlfn.LET(
    _xlpm.channel,$D62,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2" s="119">
        <f>'2B RotationRule'!C7</f>
        <v/>
      </c>
      <c r="E62" s="227">
        <f>IFERROR(_xlfn.XLOOKUP($C62,$D$3:$D$40,E$3:E$40)*$BD62,0)</f>
        <v/>
      </c>
      <c r="F62" s="227">
        <f>IFERROR(_xlfn.XLOOKUP($C62,$D$3:$D$40,F$3:F$40)*$BD62,0)</f>
        <v/>
      </c>
      <c r="G62" s="227">
        <f>IFERROR(_xlfn.XLOOKUP($C62,$D$3:$D$40,G$3:G$40)*$BD62,0)</f>
        <v/>
      </c>
      <c r="H62" s="235">
        <f>IFERROR(_xlfn.XLOOKUP($C62,$D$3:$D$40,H$3:H$40)*$BD62,0)</f>
        <v/>
      </c>
      <c r="I62" s="235">
        <f>IFERROR(_xlfn.XLOOKUP($C62,$D$3:$D$40,I$3:I$40)*$BD62,0)</f>
        <v/>
      </c>
      <c r="J62" s="235">
        <f>IFERROR(_xlfn.XLOOKUP($C62,$D$3:$D$40,J$3:J$40)*$BD62,0)</f>
        <v/>
      </c>
      <c r="K62" s="235">
        <f>IFERROR(_xlfn.XLOOKUP($C62,$D$3:$D$40,K$3:K$40)*$BD62,0)</f>
        <v/>
      </c>
      <c r="L62" s="235">
        <f>IFERROR(_xlfn.XLOOKUP($C62,$D$3:$D$40,L$3:L$40)*$BD62,0)</f>
        <v/>
      </c>
      <c r="M62" s="235">
        <f>IFERROR(_xlfn.XLOOKUP($C62,$D$3:$D$40,M$3:M$40)*$BD62,0)</f>
        <v/>
      </c>
      <c r="N62" s="235">
        <f>IFERROR(_xlfn.XLOOKUP($C62,$D$3:$D$40,N$3:N$40)*$BD62,0)</f>
        <v/>
      </c>
      <c r="O62" s="235">
        <f>IFERROR(_xlfn.XLOOKUP($C62,$D$3:$D$40,O$3:O$40)*$BD62,0)</f>
        <v/>
      </c>
      <c r="P62" s="235">
        <f>IFERROR(_xlfn.XLOOKUP($C62,$D$3:$D$40,P$3:P$40)*$BD62,0)</f>
        <v/>
      </c>
      <c r="Q62" s="235">
        <f>IFERROR(_xlfn.XLOOKUP($C62,$D$3:$D$40,Q$3:Q$40)*$BD62,0)</f>
        <v/>
      </c>
      <c r="R62" s="235">
        <f>IFERROR(_xlfn.XLOOKUP($C62,$D$3:$D$40,R$3:R$40)*$BD62,0)</f>
        <v/>
      </c>
      <c r="S62" s="235">
        <f>IFERROR(_xlfn.XLOOKUP($C62,$D$3:$D$40,S$3:S$40)*$BD62,0)</f>
        <v/>
      </c>
      <c r="T62" s="235">
        <f>IFERROR(_xlfn.XLOOKUP($C62,$D$3:$D$40,T$3:T$40)*$BD62,0)</f>
        <v/>
      </c>
      <c r="U62" s="235">
        <f>IFERROR(_xlfn.XLOOKUP($C62,$D$3:$D$40,U$3:U$40)*$BD62,0)</f>
        <v/>
      </c>
      <c r="V62" s="235">
        <f>IFERROR(_xlfn.XLOOKUP($C62,$D$3:$D$40,V$3:V$40)*$BD62,0)</f>
        <v/>
      </c>
      <c r="W62" s="235">
        <f>IFERROR(_xlfn.XLOOKUP($C62,$D$3:$D$40,W$3:W$40)*$BD62,0)</f>
        <v/>
      </c>
      <c r="X62" s="235">
        <f>IFERROR(_xlfn.XLOOKUP($C62,$D$3:$D$40,X$3:X$40)*$BD62,0)</f>
        <v/>
      </c>
      <c r="Y62" s="235">
        <f>IFERROR(_xlfn.XLOOKUP($C62,$D$3:$D$40,Y$3:Y$40)*$BD62,0)</f>
        <v/>
      </c>
      <c r="Z62" s="235">
        <f>IFERROR(_xlfn.XLOOKUP($C62,$D$3:$D$40,Z$3:Z$40)*$BD62,0)</f>
        <v/>
      </c>
      <c r="AA62" s="235">
        <f>IFERROR(_xlfn.XLOOKUP($C62,$D$3:$D$40,AA$3:AA$40)*$BD62,0)</f>
        <v/>
      </c>
      <c r="AB62" s="235">
        <f>IFERROR(_xlfn.XLOOKUP($C62,$D$3:$D$40,AB$3:AB$40)*$BD62,0)</f>
        <v/>
      </c>
      <c r="AC62" s="235">
        <f>IFERROR(_xlfn.XLOOKUP($C62,$D$3:$D$40,AC$3:AC$40)*$BD62,0)</f>
        <v/>
      </c>
      <c r="AD62" s="235">
        <f>IFERROR(_xlfn.XLOOKUP($C62,$D$3:$D$40,AD$3:AD$40)*$BD62,0)</f>
        <v/>
      </c>
      <c r="AE62" s="235">
        <f>IFERROR(_xlfn.XLOOKUP($C62,$D$3:$D$40,AE$3:AE$40)*$BD62,0)</f>
        <v/>
      </c>
      <c r="AF62" s="235">
        <f>IFERROR(_xlfn.XLOOKUP($C62,$D$3:$D$40,AF$3:AF$40)*$BD62,0)</f>
        <v/>
      </c>
      <c r="AG62" s="235">
        <f>IFERROR(_xlfn.XLOOKUP($C62,$D$3:$D$40,AG$3:AG$40)*$BD62,0)</f>
        <v/>
      </c>
      <c r="AH62" s="235">
        <f>IFERROR(_xlfn.XLOOKUP($C62,$D$3:$D$40,AH$3:AH$40)*$BD62,0)</f>
        <v/>
      </c>
      <c r="AI62" s="235">
        <f>IFERROR(_xlfn.XLOOKUP($C62,$D$3:$D$40,AI$3:AI$40)*$BD62,0)</f>
        <v/>
      </c>
      <c r="AJ62" s="235">
        <f>IFERROR(_xlfn.XLOOKUP($C62,$D$3:$D$40,AJ$3:AJ$40)*$BD62,0)</f>
        <v/>
      </c>
      <c r="AK62" s="235">
        <f>IFERROR(_xlfn.XLOOKUP($C62,$D$3:$D$40,AK$3:AK$40)*$BD62,0)</f>
        <v/>
      </c>
      <c r="AL62" s="235">
        <f>IFERROR(_xlfn.XLOOKUP($C62,$D$3:$D$40,AL$3:AL$40)*$BD62,0)</f>
        <v/>
      </c>
      <c r="AM62" s="235">
        <f>IFERROR(_xlfn.XLOOKUP($C62,$D$3:$D$40,AM$3:AM$40)*$BD62,0)</f>
        <v/>
      </c>
      <c r="AN62" s="235">
        <f>IFERROR(_xlfn.XLOOKUP($C62,$D$3:$D$40,AN$3:AN$40)*$BD62,0)</f>
        <v/>
      </c>
      <c r="AO62" s="235">
        <f>IFERROR(_xlfn.XLOOKUP($C62,$D$3:$D$40,AO$3:AO$40)*$BD62,0)</f>
        <v/>
      </c>
      <c r="AP62" s="235">
        <f>IFERROR(_xlfn.XLOOKUP($C62,$D$3:$D$40,AP$3:AP$40)*$BD62,0)</f>
        <v/>
      </c>
      <c r="AQ62" s="235">
        <f>IFERROR(_xlfn.XLOOKUP($C62,$D$3:$D$40,AQ$3:AQ$40)*$BD62,0)</f>
        <v/>
      </c>
      <c r="AR62" s="235">
        <f>IFERROR(_xlfn.XLOOKUP($C62,$D$3:$D$40,AR$3:AR$40)*$BD62,0)</f>
        <v/>
      </c>
      <c r="AS62" s="235">
        <f>IFERROR(_xlfn.XLOOKUP($C62,$D$3:$D$40,AS$3:AS$40)*$BD62,0)</f>
        <v/>
      </c>
      <c r="AT62" s="235">
        <f>IFERROR(_xlfn.XLOOKUP($C62,$D$3:$D$40,AT$3:AT$40)*$BD62,0)</f>
        <v/>
      </c>
      <c r="AU62" s="235">
        <f>IFERROR(_xlfn.XLOOKUP($C62,$D$3:$D$40,AU$3:AU$40)*$BD62,0)</f>
        <v/>
      </c>
      <c r="AV62" s="235">
        <f>IFERROR(_xlfn.XLOOKUP($C62,$D$3:$D$40,AV$3:AV$40)*$BD62,0)</f>
        <v/>
      </c>
      <c r="AW62" s="235">
        <f>IFERROR(_xlfn.XLOOKUP($C62,$D$3:$D$40,AW$3:AW$40)*$BD62,0)</f>
        <v/>
      </c>
      <c r="AX62" s="235">
        <f>IFERROR(_xlfn.XLOOKUP($C62,$D$3:$D$40,AX$3:AX$40)*$BD62,0)</f>
        <v/>
      </c>
      <c r="AY62" s="235">
        <f>IFERROR(_xlfn.XLOOKUP($C62,$D$3:$D$40,AY$3:AY$40)*$BD62,0)</f>
        <v/>
      </c>
      <c r="AZ62" s="235">
        <f>IFERROR(_xlfn.XLOOKUP($C62,$D$3:$D$40,AZ$3:AZ$40)*$BD62,0)</f>
        <v/>
      </c>
      <c r="BA62" s="235">
        <f>IFERROR(_xlfn.XLOOKUP($C62,$D$3:$D$40,BA$3:BA$40)*$BD62,0)</f>
        <v/>
      </c>
      <c r="BB62" s="235">
        <f>IFERROR(_xlfn.XLOOKUP($C62,$D$3:$D$40,BB$3:BB$40)*$BD62,0)</f>
        <v/>
      </c>
      <c r="BC62" s="228">
        <f>IFERROR(_xlfn.XLOOKUP(D62,'2C 均值'!$A:$A,'2C 均值'!$E:$E),0)</f>
        <v/>
      </c>
      <c r="BD62" s="228">
        <f t="array" ref="BD62">IF(OR($D62=0,$D62=""),"",_xlfn.LET(
        _xlpm.channel,$D62,
        _xlpm.factorName,$C62,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3" ht="15.75" customHeight="1" s="179">
      <c r="C63" s="84">
        <f>IF(OR($D63=0,$D63=""),"",_xlfn.LET(
    _xlpm.channel,$D63,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3" s="119">
        <f>'2B RotationRule'!C8</f>
        <v/>
      </c>
      <c r="E63" s="227">
        <f>IFERROR(_xlfn.XLOOKUP($C63,$D$3:$D$40,E$3:E$40)*$BD63,0)</f>
        <v/>
      </c>
      <c r="F63" s="227">
        <f>IFERROR(_xlfn.XLOOKUP($C63,$D$3:$D$40,F$3:F$40)*$BD63,0)</f>
        <v/>
      </c>
      <c r="G63" s="227">
        <f>IFERROR(_xlfn.XLOOKUP($C63,$D$3:$D$40,G$3:G$40)*$BD63,0)</f>
        <v/>
      </c>
      <c r="H63" s="235">
        <f>IFERROR(_xlfn.XLOOKUP($C63,$D$3:$D$40,H$3:H$40)*$BD63,0)</f>
        <v/>
      </c>
      <c r="I63" s="235">
        <f>IFERROR(_xlfn.XLOOKUP($C63,$D$3:$D$40,I$3:I$40)*$BD63,0)</f>
        <v/>
      </c>
      <c r="J63" s="235">
        <f>IFERROR(_xlfn.XLOOKUP($C63,$D$3:$D$40,J$3:J$40)*$BD63,0)</f>
        <v/>
      </c>
      <c r="K63" s="235">
        <f>IFERROR(_xlfn.XLOOKUP($C63,$D$3:$D$40,K$3:K$40)*$BD63,0)</f>
        <v/>
      </c>
      <c r="L63" s="235">
        <f>IFERROR(_xlfn.XLOOKUP($C63,$D$3:$D$40,L$3:L$40)*$BD63,0)</f>
        <v/>
      </c>
      <c r="M63" s="235">
        <f>IFERROR(_xlfn.XLOOKUP($C63,$D$3:$D$40,M$3:M$40)*$BD63,0)</f>
        <v/>
      </c>
      <c r="N63" s="235">
        <f>IFERROR(_xlfn.XLOOKUP($C63,$D$3:$D$40,N$3:N$40)*$BD63,0)</f>
        <v/>
      </c>
      <c r="O63" s="235">
        <f>IFERROR(_xlfn.XLOOKUP($C63,$D$3:$D$40,O$3:O$40)*$BD63,0)</f>
        <v/>
      </c>
      <c r="P63" s="235">
        <f>IFERROR(_xlfn.XLOOKUP($C63,$D$3:$D$40,P$3:P$40)*$BD63,0)</f>
        <v/>
      </c>
      <c r="Q63" s="235">
        <f>IFERROR(_xlfn.XLOOKUP($C63,$D$3:$D$40,Q$3:Q$40)*$BD63,0)</f>
        <v/>
      </c>
      <c r="R63" s="235">
        <f>IFERROR(_xlfn.XLOOKUP($C63,$D$3:$D$40,R$3:R$40)*$BD63,0)</f>
        <v/>
      </c>
      <c r="S63" s="235">
        <f>IFERROR(_xlfn.XLOOKUP($C63,$D$3:$D$40,S$3:S$40)*$BD63,0)</f>
        <v/>
      </c>
      <c r="T63" s="235">
        <f>IFERROR(_xlfn.XLOOKUP($C63,$D$3:$D$40,T$3:T$40)*$BD63,0)</f>
        <v/>
      </c>
      <c r="U63" s="235">
        <f>IFERROR(_xlfn.XLOOKUP($C63,$D$3:$D$40,U$3:U$40)*$BD63,0)</f>
        <v/>
      </c>
      <c r="V63" s="235">
        <f>IFERROR(_xlfn.XLOOKUP($C63,$D$3:$D$40,V$3:V$40)*$BD63,0)</f>
        <v/>
      </c>
      <c r="W63" s="235">
        <f>IFERROR(_xlfn.XLOOKUP($C63,$D$3:$D$40,W$3:W$40)*$BD63,0)</f>
        <v/>
      </c>
      <c r="X63" s="235">
        <f>IFERROR(_xlfn.XLOOKUP($C63,$D$3:$D$40,X$3:X$40)*$BD63,0)</f>
        <v/>
      </c>
      <c r="Y63" s="235">
        <f>IFERROR(_xlfn.XLOOKUP($C63,$D$3:$D$40,Y$3:Y$40)*$BD63,0)</f>
        <v/>
      </c>
      <c r="Z63" s="235">
        <f>IFERROR(_xlfn.XLOOKUP($C63,$D$3:$D$40,Z$3:Z$40)*$BD63,0)</f>
        <v/>
      </c>
      <c r="AA63" s="235">
        <f>IFERROR(_xlfn.XLOOKUP($C63,$D$3:$D$40,AA$3:AA$40)*$BD63,0)</f>
        <v/>
      </c>
      <c r="AB63" s="235">
        <f>IFERROR(_xlfn.XLOOKUP($C63,$D$3:$D$40,AB$3:AB$40)*$BD63,0)</f>
        <v/>
      </c>
      <c r="AC63" s="235">
        <f>IFERROR(_xlfn.XLOOKUP($C63,$D$3:$D$40,AC$3:AC$40)*$BD63,0)</f>
        <v/>
      </c>
      <c r="AD63" s="235">
        <f>IFERROR(_xlfn.XLOOKUP($C63,$D$3:$D$40,AD$3:AD$40)*$BD63,0)</f>
        <v/>
      </c>
      <c r="AE63" s="235">
        <f>IFERROR(_xlfn.XLOOKUP($C63,$D$3:$D$40,AE$3:AE$40)*$BD63,0)</f>
        <v/>
      </c>
      <c r="AF63" s="235">
        <f>IFERROR(_xlfn.XLOOKUP($C63,$D$3:$D$40,AF$3:AF$40)*$BD63,0)</f>
        <v/>
      </c>
      <c r="AG63" s="235">
        <f>IFERROR(_xlfn.XLOOKUP($C63,$D$3:$D$40,AG$3:AG$40)*$BD63,0)</f>
        <v/>
      </c>
      <c r="AH63" s="235">
        <f>IFERROR(_xlfn.XLOOKUP($C63,$D$3:$D$40,AH$3:AH$40)*$BD63,0)</f>
        <v/>
      </c>
      <c r="AI63" s="235">
        <f>IFERROR(_xlfn.XLOOKUP($C63,$D$3:$D$40,AI$3:AI$40)*$BD63,0)</f>
        <v/>
      </c>
      <c r="AJ63" s="235">
        <f>IFERROR(_xlfn.XLOOKUP($C63,$D$3:$D$40,AJ$3:AJ$40)*$BD63,0)</f>
        <v/>
      </c>
      <c r="AK63" s="235">
        <f>IFERROR(_xlfn.XLOOKUP($C63,$D$3:$D$40,AK$3:AK$40)*$BD63,0)</f>
        <v/>
      </c>
      <c r="AL63" s="235">
        <f>IFERROR(_xlfn.XLOOKUP($C63,$D$3:$D$40,AL$3:AL$40)*$BD63,0)</f>
        <v/>
      </c>
      <c r="AM63" s="235">
        <f>IFERROR(_xlfn.XLOOKUP($C63,$D$3:$D$40,AM$3:AM$40)*$BD63,0)</f>
        <v/>
      </c>
      <c r="AN63" s="235">
        <f>IFERROR(_xlfn.XLOOKUP($C63,$D$3:$D$40,AN$3:AN$40)*$BD63,0)</f>
        <v/>
      </c>
      <c r="AO63" s="235">
        <f>IFERROR(_xlfn.XLOOKUP($C63,$D$3:$D$40,AO$3:AO$40)*$BD63,0)</f>
        <v/>
      </c>
      <c r="AP63" s="235">
        <f>IFERROR(_xlfn.XLOOKUP($C63,$D$3:$D$40,AP$3:AP$40)*$BD63,0)</f>
        <v/>
      </c>
      <c r="AQ63" s="235">
        <f>IFERROR(_xlfn.XLOOKUP($C63,$D$3:$D$40,AQ$3:AQ$40)*$BD63,0)</f>
        <v/>
      </c>
      <c r="AR63" s="235">
        <f>IFERROR(_xlfn.XLOOKUP($C63,$D$3:$D$40,AR$3:AR$40)*$BD63,0)</f>
        <v/>
      </c>
      <c r="AS63" s="235">
        <f>IFERROR(_xlfn.XLOOKUP($C63,$D$3:$D$40,AS$3:AS$40)*$BD63,0)</f>
        <v/>
      </c>
      <c r="AT63" s="235">
        <f>IFERROR(_xlfn.XLOOKUP($C63,$D$3:$D$40,AT$3:AT$40)*$BD63,0)</f>
        <v/>
      </c>
      <c r="AU63" s="235">
        <f>IFERROR(_xlfn.XLOOKUP($C63,$D$3:$D$40,AU$3:AU$40)*$BD63,0)</f>
        <v/>
      </c>
      <c r="AV63" s="235">
        <f>IFERROR(_xlfn.XLOOKUP($C63,$D$3:$D$40,AV$3:AV$40)*$BD63,0)</f>
        <v/>
      </c>
      <c r="AW63" s="235">
        <f>IFERROR(_xlfn.XLOOKUP($C63,$D$3:$D$40,AW$3:AW$40)*$BD63,0)</f>
        <v/>
      </c>
      <c r="AX63" s="235">
        <f>IFERROR(_xlfn.XLOOKUP($C63,$D$3:$D$40,AX$3:AX$40)*$BD63,0)</f>
        <v/>
      </c>
      <c r="AY63" s="235">
        <f>IFERROR(_xlfn.XLOOKUP($C63,$D$3:$D$40,AY$3:AY$40)*$BD63,0)</f>
        <v/>
      </c>
      <c r="AZ63" s="235">
        <f>IFERROR(_xlfn.XLOOKUP($C63,$D$3:$D$40,AZ$3:AZ$40)*$BD63,0)</f>
        <v/>
      </c>
      <c r="BA63" s="235">
        <f>IFERROR(_xlfn.XLOOKUP($C63,$D$3:$D$40,BA$3:BA$40)*$BD63,0)</f>
        <v/>
      </c>
      <c r="BB63" s="235">
        <f>IFERROR(_xlfn.XLOOKUP($C63,$D$3:$D$40,BB$3:BB$40)*$BD63,0)</f>
        <v/>
      </c>
      <c r="BC63" s="228">
        <f>IFERROR(_xlfn.XLOOKUP(D63,'2C 均值'!$A:$A,'2C 均值'!$E:$E),0)</f>
        <v/>
      </c>
      <c r="BD63" s="228">
        <f t="array" ref="BD63">IF(OR($D63=0,$D63=""),"",_xlfn.LET(
        _xlpm.channel,$D63,
        _xlpm.factorName,$C63,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4" ht="15.75" customHeight="1" s="179">
      <c r="C64" s="84">
        <f>IF(OR($D64=0,$D64=""),"",_xlfn.LET(
    _xlpm.channel,$D64,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4" s="119">
        <f>'2B RotationRule'!C9</f>
        <v/>
      </c>
      <c r="E64" s="227">
        <f>IFERROR(_xlfn.XLOOKUP($C64,$D$3:$D$40,E$3:E$40)*$BD64,0)</f>
        <v/>
      </c>
      <c r="F64" s="227">
        <f>IFERROR(_xlfn.XLOOKUP($C64,$D$3:$D$40,F$3:F$40)*$BD64,0)</f>
        <v/>
      </c>
      <c r="G64" s="227">
        <f>IFERROR(_xlfn.XLOOKUP($C64,$D$3:$D$40,G$3:G$40)*$BD64,0)</f>
        <v/>
      </c>
      <c r="H64" s="235">
        <f>IFERROR(_xlfn.XLOOKUP($C64,$D$3:$D$40,H$3:H$40)*$BD64,0)</f>
        <v/>
      </c>
      <c r="I64" s="235">
        <f>IFERROR(_xlfn.XLOOKUP($C64,$D$3:$D$40,I$3:I$40)*$BD64,0)</f>
        <v/>
      </c>
      <c r="J64" s="235">
        <f>IFERROR(_xlfn.XLOOKUP($C64,$D$3:$D$40,J$3:J$40)*$BD64,0)</f>
        <v/>
      </c>
      <c r="K64" s="235">
        <f>IFERROR(_xlfn.XLOOKUP($C64,$D$3:$D$40,K$3:K$40)*$BD64,0)</f>
        <v/>
      </c>
      <c r="L64" s="235">
        <f>IFERROR(_xlfn.XLOOKUP($C64,$D$3:$D$40,L$3:L$40)*$BD64,0)</f>
        <v/>
      </c>
      <c r="M64" s="235">
        <f>IFERROR(_xlfn.XLOOKUP($C64,$D$3:$D$40,M$3:M$40)*$BD64,0)</f>
        <v/>
      </c>
      <c r="N64" s="235">
        <f>IFERROR(_xlfn.XLOOKUP($C64,$D$3:$D$40,N$3:N$40)*$BD64,0)</f>
        <v/>
      </c>
      <c r="O64" s="235">
        <f>IFERROR(_xlfn.XLOOKUP($C64,$D$3:$D$40,O$3:O$40)*$BD64,0)</f>
        <v/>
      </c>
      <c r="P64" s="235">
        <f>IFERROR(_xlfn.XLOOKUP($C64,$D$3:$D$40,P$3:P$40)*$BD64,0)</f>
        <v/>
      </c>
      <c r="Q64" s="235">
        <f>IFERROR(_xlfn.XLOOKUP($C64,$D$3:$D$40,Q$3:Q$40)*$BD64,0)</f>
        <v/>
      </c>
      <c r="R64" s="235">
        <f>IFERROR(_xlfn.XLOOKUP($C64,$D$3:$D$40,R$3:R$40)*$BD64,0)</f>
        <v/>
      </c>
      <c r="S64" s="235">
        <f>IFERROR(_xlfn.XLOOKUP($C64,$D$3:$D$40,S$3:S$40)*$BD64,0)</f>
        <v/>
      </c>
      <c r="T64" s="235">
        <f>IFERROR(_xlfn.XLOOKUP($C64,$D$3:$D$40,T$3:T$40)*$BD64,0)</f>
        <v/>
      </c>
      <c r="U64" s="235">
        <f>IFERROR(_xlfn.XLOOKUP($C64,$D$3:$D$40,U$3:U$40)*$BD64,0)</f>
        <v/>
      </c>
      <c r="V64" s="235">
        <f>IFERROR(_xlfn.XLOOKUP($C64,$D$3:$D$40,V$3:V$40)*$BD64,0)</f>
        <v/>
      </c>
      <c r="W64" s="235">
        <f>IFERROR(_xlfn.XLOOKUP($C64,$D$3:$D$40,W$3:W$40)*$BD64,0)</f>
        <v/>
      </c>
      <c r="X64" s="235">
        <f>IFERROR(_xlfn.XLOOKUP($C64,$D$3:$D$40,X$3:X$40)*$BD64,0)</f>
        <v/>
      </c>
      <c r="Y64" s="235">
        <f>IFERROR(_xlfn.XLOOKUP($C64,$D$3:$D$40,Y$3:Y$40)*$BD64,0)</f>
        <v/>
      </c>
      <c r="Z64" s="235">
        <f>IFERROR(_xlfn.XLOOKUP($C64,$D$3:$D$40,Z$3:Z$40)*$BD64,0)</f>
        <v/>
      </c>
      <c r="AA64" s="235">
        <f>IFERROR(_xlfn.XLOOKUP($C64,$D$3:$D$40,AA$3:AA$40)*$BD64,0)</f>
        <v/>
      </c>
      <c r="AB64" s="235">
        <f>IFERROR(_xlfn.XLOOKUP($C64,$D$3:$D$40,AB$3:AB$40)*$BD64,0)</f>
        <v/>
      </c>
      <c r="AC64" s="235">
        <f>IFERROR(_xlfn.XLOOKUP($C64,$D$3:$D$40,AC$3:AC$40)*$BD64,0)</f>
        <v/>
      </c>
      <c r="AD64" s="235">
        <f>IFERROR(_xlfn.XLOOKUP($C64,$D$3:$D$40,AD$3:AD$40)*$BD64,0)</f>
        <v/>
      </c>
      <c r="AE64" s="235">
        <f>IFERROR(_xlfn.XLOOKUP($C64,$D$3:$D$40,AE$3:AE$40)*$BD64,0)</f>
        <v/>
      </c>
      <c r="AF64" s="235">
        <f>IFERROR(_xlfn.XLOOKUP($C64,$D$3:$D$40,AF$3:AF$40)*$BD64,0)</f>
        <v/>
      </c>
      <c r="AG64" s="235">
        <f>IFERROR(_xlfn.XLOOKUP($C64,$D$3:$D$40,AG$3:AG$40)*$BD64,0)</f>
        <v/>
      </c>
      <c r="AH64" s="235">
        <f>IFERROR(_xlfn.XLOOKUP($C64,$D$3:$D$40,AH$3:AH$40)*$BD64,0)</f>
        <v/>
      </c>
      <c r="AI64" s="235">
        <f>IFERROR(_xlfn.XLOOKUP($C64,$D$3:$D$40,AI$3:AI$40)*$BD64,0)</f>
        <v/>
      </c>
      <c r="AJ64" s="235">
        <f>IFERROR(_xlfn.XLOOKUP($C64,$D$3:$D$40,AJ$3:AJ$40)*$BD64,0)</f>
        <v/>
      </c>
      <c r="AK64" s="235">
        <f>IFERROR(_xlfn.XLOOKUP($C64,$D$3:$D$40,AK$3:AK$40)*$BD64,0)</f>
        <v/>
      </c>
      <c r="AL64" s="235">
        <f>IFERROR(_xlfn.XLOOKUP($C64,$D$3:$D$40,AL$3:AL$40)*$BD64,0)</f>
        <v/>
      </c>
      <c r="AM64" s="235">
        <f>IFERROR(_xlfn.XLOOKUP($C64,$D$3:$D$40,AM$3:AM$40)*$BD64,0)</f>
        <v/>
      </c>
      <c r="AN64" s="235">
        <f>IFERROR(_xlfn.XLOOKUP($C64,$D$3:$D$40,AN$3:AN$40)*$BD64,0)</f>
        <v/>
      </c>
      <c r="AO64" s="235">
        <f>IFERROR(_xlfn.XLOOKUP($C64,$D$3:$D$40,AO$3:AO$40)*$BD64,0)</f>
        <v/>
      </c>
      <c r="AP64" s="235">
        <f>IFERROR(_xlfn.XLOOKUP($C64,$D$3:$D$40,AP$3:AP$40)*$BD64,0)</f>
        <v/>
      </c>
      <c r="AQ64" s="235">
        <f>IFERROR(_xlfn.XLOOKUP($C64,$D$3:$D$40,AQ$3:AQ$40)*$BD64,0)</f>
        <v/>
      </c>
      <c r="AR64" s="235">
        <f>IFERROR(_xlfn.XLOOKUP($C64,$D$3:$D$40,AR$3:AR$40)*$BD64,0)</f>
        <v/>
      </c>
      <c r="AS64" s="235">
        <f>IFERROR(_xlfn.XLOOKUP($C64,$D$3:$D$40,AS$3:AS$40)*$BD64,0)</f>
        <v/>
      </c>
      <c r="AT64" s="235">
        <f>IFERROR(_xlfn.XLOOKUP($C64,$D$3:$D$40,AT$3:AT$40)*$BD64,0)</f>
        <v/>
      </c>
      <c r="AU64" s="235">
        <f>IFERROR(_xlfn.XLOOKUP($C64,$D$3:$D$40,AU$3:AU$40)*$BD64,0)</f>
        <v/>
      </c>
      <c r="AV64" s="235">
        <f>IFERROR(_xlfn.XLOOKUP($C64,$D$3:$D$40,AV$3:AV$40)*$BD64,0)</f>
        <v/>
      </c>
      <c r="AW64" s="235">
        <f>IFERROR(_xlfn.XLOOKUP($C64,$D$3:$D$40,AW$3:AW$40)*$BD64,0)</f>
        <v/>
      </c>
      <c r="AX64" s="235">
        <f>IFERROR(_xlfn.XLOOKUP($C64,$D$3:$D$40,AX$3:AX$40)*$BD64,0)</f>
        <v/>
      </c>
      <c r="AY64" s="235">
        <f>IFERROR(_xlfn.XLOOKUP($C64,$D$3:$D$40,AY$3:AY$40)*$BD64,0)</f>
        <v/>
      </c>
      <c r="AZ64" s="235">
        <f>IFERROR(_xlfn.XLOOKUP($C64,$D$3:$D$40,AZ$3:AZ$40)*$BD64,0)</f>
        <v/>
      </c>
      <c r="BA64" s="235">
        <f>IFERROR(_xlfn.XLOOKUP($C64,$D$3:$D$40,BA$3:BA$40)*$BD64,0)</f>
        <v/>
      </c>
      <c r="BB64" s="235">
        <f>IFERROR(_xlfn.XLOOKUP($C64,$D$3:$D$40,BB$3:BB$40)*$BD64,0)</f>
        <v/>
      </c>
      <c r="BC64" s="228">
        <f>IFERROR(_xlfn.XLOOKUP(D64,'2C 均值'!$A:$A,'2C 均值'!$E:$E),0)</f>
        <v/>
      </c>
      <c r="BD64" s="228">
        <f t="array" ref="BD64">IF(OR($D64=0,$D64=""),"",_xlfn.LET(
        _xlpm.channel,$D64,
        _xlpm.factorName,$C64,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5" ht="15.75" customHeight="1" s="179">
      <c r="C65" s="84">
        <f>IF(OR($D65=0,$D65=""),"",_xlfn.LET(
    _xlpm.channel,$D65,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5" s="119">
        <f>'2B RotationRule'!C10</f>
        <v/>
      </c>
      <c r="E65" s="227">
        <f>IFERROR(_xlfn.XLOOKUP($C65,$D$3:$D$40,E$3:E$40)*$BD65,0)</f>
        <v/>
      </c>
      <c r="F65" s="227">
        <f>IFERROR(_xlfn.XLOOKUP($C65,$D$3:$D$40,F$3:F$40)*$BD65,0)</f>
        <v/>
      </c>
      <c r="G65" s="227">
        <f>IFERROR(_xlfn.XLOOKUP($C65,$D$3:$D$40,G$3:G$40)*$BD65,0)</f>
        <v/>
      </c>
      <c r="H65" s="235">
        <f>IFERROR(_xlfn.XLOOKUP($C65,$D$3:$D$40,H$3:H$40)*$BD65,0)</f>
        <v/>
      </c>
      <c r="I65" s="235">
        <f>IFERROR(_xlfn.XLOOKUP($C65,$D$3:$D$40,I$3:I$40)*$BD65,0)</f>
        <v/>
      </c>
      <c r="J65" s="235">
        <f>IFERROR(_xlfn.XLOOKUP($C65,$D$3:$D$40,J$3:J$40)*$BD65,0)</f>
        <v/>
      </c>
      <c r="K65" s="235">
        <f>IFERROR(_xlfn.XLOOKUP($C65,$D$3:$D$40,K$3:K$40)*$BD65,0)</f>
        <v/>
      </c>
      <c r="L65" s="235">
        <f>IFERROR(_xlfn.XLOOKUP($C65,$D$3:$D$40,L$3:L$40)*$BD65,0)</f>
        <v/>
      </c>
      <c r="M65" s="235">
        <f>IFERROR(_xlfn.XLOOKUP($C65,$D$3:$D$40,M$3:M$40)*$BD65,0)</f>
        <v/>
      </c>
      <c r="N65" s="235">
        <f>IFERROR(_xlfn.XLOOKUP($C65,$D$3:$D$40,N$3:N$40)*$BD65,0)</f>
        <v/>
      </c>
      <c r="O65" s="235">
        <f>IFERROR(_xlfn.XLOOKUP($C65,$D$3:$D$40,O$3:O$40)*$BD65,0)</f>
        <v/>
      </c>
      <c r="P65" s="235">
        <f>IFERROR(_xlfn.XLOOKUP($C65,$D$3:$D$40,P$3:P$40)*$BD65,0)</f>
        <v/>
      </c>
      <c r="Q65" s="235">
        <f>IFERROR(_xlfn.XLOOKUP($C65,$D$3:$D$40,Q$3:Q$40)*$BD65,0)</f>
        <v/>
      </c>
      <c r="R65" s="235">
        <f>IFERROR(_xlfn.XLOOKUP($C65,$D$3:$D$40,R$3:R$40)*$BD65,0)</f>
        <v/>
      </c>
      <c r="S65" s="235">
        <f>IFERROR(_xlfn.XLOOKUP($C65,$D$3:$D$40,S$3:S$40)*$BD65,0)</f>
        <v/>
      </c>
      <c r="T65" s="235">
        <f>IFERROR(_xlfn.XLOOKUP($C65,$D$3:$D$40,T$3:T$40)*$BD65,0)</f>
        <v/>
      </c>
      <c r="U65" s="235">
        <f>IFERROR(_xlfn.XLOOKUP($C65,$D$3:$D$40,U$3:U$40)*$BD65,0)</f>
        <v/>
      </c>
      <c r="V65" s="235">
        <f>IFERROR(_xlfn.XLOOKUP($C65,$D$3:$D$40,V$3:V$40)*$BD65,0)</f>
        <v/>
      </c>
      <c r="W65" s="235">
        <f>IFERROR(_xlfn.XLOOKUP($C65,$D$3:$D$40,W$3:W$40)*$BD65,0)</f>
        <v/>
      </c>
      <c r="X65" s="235">
        <f>IFERROR(_xlfn.XLOOKUP($C65,$D$3:$D$40,X$3:X$40)*$BD65,0)</f>
        <v/>
      </c>
      <c r="Y65" s="235">
        <f>IFERROR(_xlfn.XLOOKUP($C65,$D$3:$D$40,Y$3:Y$40)*$BD65,0)</f>
        <v/>
      </c>
      <c r="Z65" s="235">
        <f>IFERROR(_xlfn.XLOOKUP($C65,$D$3:$D$40,Z$3:Z$40)*$BD65,0)</f>
        <v/>
      </c>
      <c r="AA65" s="235">
        <f>IFERROR(_xlfn.XLOOKUP($C65,$D$3:$D$40,AA$3:AA$40)*$BD65,0)</f>
        <v/>
      </c>
      <c r="AB65" s="235">
        <f>IFERROR(_xlfn.XLOOKUP($C65,$D$3:$D$40,AB$3:AB$40)*$BD65,0)</f>
        <v/>
      </c>
      <c r="AC65" s="235">
        <f>IFERROR(_xlfn.XLOOKUP($C65,$D$3:$D$40,AC$3:AC$40)*$BD65,0)</f>
        <v/>
      </c>
      <c r="AD65" s="235">
        <f>IFERROR(_xlfn.XLOOKUP($C65,$D$3:$D$40,AD$3:AD$40)*$BD65,0)</f>
        <v/>
      </c>
      <c r="AE65" s="235">
        <f>IFERROR(_xlfn.XLOOKUP($C65,$D$3:$D$40,AE$3:AE$40)*$BD65,0)</f>
        <v/>
      </c>
      <c r="AF65" s="235">
        <f>IFERROR(_xlfn.XLOOKUP($C65,$D$3:$D$40,AF$3:AF$40)*$BD65,0)</f>
        <v/>
      </c>
      <c r="AG65" s="235">
        <f>IFERROR(_xlfn.XLOOKUP($C65,$D$3:$D$40,AG$3:AG$40)*$BD65,0)</f>
        <v/>
      </c>
      <c r="AH65" s="235">
        <f>IFERROR(_xlfn.XLOOKUP($C65,$D$3:$D$40,AH$3:AH$40)*$BD65,0)</f>
        <v/>
      </c>
      <c r="AI65" s="235">
        <f>IFERROR(_xlfn.XLOOKUP($C65,$D$3:$D$40,AI$3:AI$40)*$BD65,0)</f>
        <v/>
      </c>
      <c r="AJ65" s="235">
        <f>IFERROR(_xlfn.XLOOKUP($C65,$D$3:$D$40,AJ$3:AJ$40)*$BD65,0)</f>
        <v/>
      </c>
      <c r="AK65" s="235">
        <f>IFERROR(_xlfn.XLOOKUP($C65,$D$3:$D$40,AK$3:AK$40)*$BD65,0)</f>
        <v/>
      </c>
      <c r="AL65" s="235">
        <f>IFERROR(_xlfn.XLOOKUP($C65,$D$3:$D$40,AL$3:AL$40)*$BD65,0)</f>
        <v/>
      </c>
      <c r="AM65" s="235">
        <f>IFERROR(_xlfn.XLOOKUP($C65,$D$3:$D$40,AM$3:AM$40)*$BD65,0)</f>
        <v/>
      </c>
      <c r="AN65" s="235">
        <f>IFERROR(_xlfn.XLOOKUP($C65,$D$3:$D$40,AN$3:AN$40)*$BD65,0)</f>
        <v/>
      </c>
      <c r="AO65" s="235">
        <f>IFERROR(_xlfn.XLOOKUP($C65,$D$3:$D$40,AO$3:AO$40)*$BD65,0)</f>
        <v/>
      </c>
      <c r="AP65" s="235">
        <f>IFERROR(_xlfn.XLOOKUP($C65,$D$3:$D$40,AP$3:AP$40)*$BD65,0)</f>
        <v/>
      </c>
      <c r="AQ65" s="235">
        <f>IFERROR(_xlfn.XLOOKUP($C65,$D$3:$D$40,AQ$3:AQ$40)*$BD65,0)</f>
        <v/>
      </c>
      <c r="AR65" s="235">
        <f>IFERROR(_xlfn.XLOOKUP($C65,$D$3:$D$40,AR$3:AR$40)*$BD65,0)</f>
        <v/>
      </c>
      <c r="AS65" s="235">
        <f>IFERROR(_xlfn.XLOOKUP($C65,$D$3:$D$40,AS$3:AS$40)*$BD65,0)</f>
        <v/>
      </c>
      <c r="AT65" s="235">
        <f>IFERROR(_xlfn.XLOOKUP($C65,$D$3:$D$40,AT$3:AT$40)*$BD65,0)</f>
        <v/>
      </c>
      <c r="AU65" s="235">
        <f>IFERROR(_xlfn.XLOOKUP($C65,$D$3:$D$40,AU$3:AU$40)*$BD65,0)</f>
        <v/>
      </c>
      <c r="AV65" s="235">
        <f>IFERROR(_xlfn.XLOOKUP($C65,$D$3:$D$40,AV$3:AV$40)*$BD65,0)</f>
        <v/>
      </c>
      <c r="AW65" s="235">
        <f>IFERROR(_xlfn.XLOOKUP($C65,$D$3:$D$40,AW$3:AW$40)*$BD65,0)</f>
        <v/>
      </c>
      <c r="AX65" s="235">
        <f>IFERROR(_xlfn.XLOOKUP($C65,$D$3:$D$40,AX$3:AX$40)*$BD65,0)</f>
        <v/>
      </c>
      <c r="AY65" s="235">
        <f>IFERROR(_xlfn.XLOOKUP($C65,$D$3:$D$40,AY$3:AY$40)*$BD65,0)</f>
        <v/>
      </c>
      <c r="AZ65" s="235">
        <f>IFERROR(_xlfn.XLOOKUP($C65,$D$3:$D$40,AZ$3:AZ$40)*$BD65,0)</f>
        <v/>
      </c>
      <c r="BA65" s="235">
        <f>IFERROR(_xlfn.XLOOKUP($C65,$D$3:$D$40,BA$3:BA$40)*$BD65,0)</f>
        <v/>
      </c>
      <c r="BB65" s="235">
        <f>IFERROR(_xlfn.XLOOKUP($C65,$D$3:$D$40,BB$3:BB$40)*$BD65,0)</f>
        <v/>
      </c>
      <c r="BC65" s="228">
        <f>IFERROR(_xlfn.XLOOKUP(D65,'2C 均值'!$A:$A,'2C 均值'!$E:$E),0)</f>
        <v/>
      </c>
      <c r="BD65" s="228">
        <f t="array" ref="BD65">IF(OR($D65=0,$D65=""),"",_xlfn.LET(
        _xlpm.channel,$D65,
        _xlpm.factorName,$C65,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6" ht="15.75" customHeight="1" s="179">
      <c r="C66" s="84">
        <f>IF(OR($D66=0,$D66=""),"",_xlfn.LET(
    _xlpm.channel,$D66,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6" s="119">
        <f>'2B RotationRule'!C11</f>
        <v/>
      </c>
      <c r="E66" s="227">
        <f>IFERROR(_xlfn.XLOOKUP($C66,$D$3:$D$40,E$3:E$40)*$BD66,0)</f>
        <v/>
      </c>
      <c r="F66" s="227">
        <f>IFERROR(_xlfn.XLOOKUP($C66,$D$3:$D$40,F$3:F$40)*$BD66,0)</f>
        <v/>
      </c>
      <c r="G66" s="227">
        <f>IFERROR(_xlfn.XLOOKUP($C66,$D$3:$D$40,G$3:G$40)*$BD66,0)</f>
        <v/>
      </c>
      <c r="H66" s="235">
        <f>IFERROR(_xlfn.XLOOKUP($C66,$D$3:$D$40,H$3:H$40)*$BD66,0)</f>
        <v/>
      </c>
      <c r="I66" s="235">
        <f>IFERROR(_xlfn.XLOOKUP($C66,$D$3:$D$40,I$3:I$40)*$BD66,0)</f>
        <v/>
      </c>
      <c r="J66" s="235">
        <f>IFERROR(_xlfn.XLOOKUP($C66,$D$3:$D$40,J$3:J$40)*$BD66,0)</f>
        <v/>
      </c>
      <c r="K66" s="235">
        <f>IFERROR(_xlfn.XLOOKUP($C66,$D$3:$D$40,K$3:K$40)*$BD66,0)</f>
        <v/>
      </c>
      <c r="L66" s="235">
        <f>IFERROR(_xlfn.XLOOKUP($C66,$D$3:$D$40,L$3:L$40)*$BD66,0)</f>
        <v/>
      </c>
      <c r="M66" s="235">
        <f>IFERROR(_xlfn.XLOOKUP($C66,$D$3:$D$40,M$3:M$40)*$BD66,0)</f>
        <v/>
      </c>
      <c r="N66" s="235">
        <f>IFERROR(_xlfn.XLOOKUP($C66,$D$3:$D$40,N$3:N$40)*$BD66,0)</f>
        <v/>
      </c>
      <c r="O66" s="235">
        <f>IFERROR(_xlfn.XLOOKUP($C66,$D$3:$D$40,O$3:O$40)*$BD66,0)</f>
        <v/>
      </c>
      <c r="P66" s="235">
        <f>IFERROR(_xlfn.XLOOKUP($C66,$D$3:$D$40,P$3:P$40)*$BD66,0)</f>
        <v/>
      </c>
      <c r="Q66" s="235">
        <f>IFERROR(_xlfn.XLOOKUP($C66,$D$3:$D$40,Q$3:Q$40)*$BD66,0)</f>
        <v/>
      </c>
      <c r="R66" s="235">
        <f>IFERROR(_xlfn.XLOOKUP($C66,$D$3:$D$40,R$3:R$40)*$BD66,0)</f>
        <v/>
      </c>
      <c r="S66" s="235">
        <f>IFERROR(_xlfn.XLOOKUP($C66,$D$3:$D$40,S$3:S$40)*$BD66,0)</f>
        <v/>
      </c>
      <c r="T66" s="235">
        <f>IFERROR(_xlfn.XLOOKUP($C66,$D$3:$D$40,T$3:T$40)*$BD66,0)</f>
        <v/>
      </c>
      <c r="U66" s="235">
        <f>IFERROR(_xlfn.XLOOKUP($C66,$D$3:$D$40,U$3:U$40)*$BD66,0)</f>
        <v/>
      </c>
      <c r="V66" s="235">
        <f>IFERROR(_xlfn.XLOOKUP($C66,$D$3:$D$40,V$3:V$40)*$BD66,0)</f>
        <v/>
      </c>
      <c r="W66" s="235">
        <f>IFERROR(_xlfn.XLOOKUP($C66,$D$3:$D$40,W$3:W$40)*$BD66,0)</f>
        <v/>
      </c>
      <c r="X66" s="235">
        <f>IFERROR(_xlfn.XLOOKUP($C66,$D$3:$D$40,X$3:X$40)*$BD66,0)</f>
        <v/>
      </c>
      <c r="Y66" s="235">
        <f>IFERROR(_xlfn.XLOOKUP($C66,$D$3:$D$40,Y$3:Y$40)*$BD66,0)</f>
        <v/>
      </c>
      <c r="Z66" s="235">
        <f>IFERROR(_xlfn.XLOOKUP($C66,$D$3:$D$40,Z$3:Z$40)*$BD66,0)</f>
        <v/>
      </c>
      <c r="AA66" s="235">
        <f>IFERROR(_xlfn.XLOOKUP($C66,$D$3:$D$40,AA$3:AA$40)*$BD66,0)</f>
        <v/>
      </c>
      <c r="AB66" s="235">
        <f>IFERROR(_xlfn.XLOOKUP($C66,$D$3:$D$40,AB$3:AB$40)*$BD66,0)</f>
        <v/>
      </c>
      <c r="AC66" s="235">
        <f>IFERROR(_xlfn.XLOOKUP($C66,$D$3:$D$40,AC$3:AC$40)*$BD66,0)</f>
        <v/>
      </c>
      <c r="AD66" s="235">
        <f>IFERROR(_xlfn.XLOOKUP($C66,$D$3:$D$40,AD$3:AD$40)*$BD66,0)</f>
        <v/>
      </c>
      <c r="AE66" s="235">
        <f>IFERROR(_xlfn.XLOOKUP($C66,$D$3:$D$40,AE$3:AE$40)*$BD66,0)</f>
        <v/>
      </c>
      <c r="AF66" s="235">
        <f>IFERROR(_xlfn.XLOOKUP($C66,$D$3:$D$40,AF$3:AF$40)*$BD66,0)</f>
        <v/>
      </c>
      <c r="AG66" s="235">
        <f>IFERROR(_xlfn.XLOOKUP($C66,$D$3:$D$40,AG$3:AG$40)*$BD66,0)</f>
        <v/>
      </c>
      <c r="AH66" s="235">
        <f>IFERROR(_xlfn.XLOOKUP($C66,$D$3:$D$40,AH$3:AH$40)*$BD66,0)</f>
        <v/>
      </c>
      <c r="AI66" s="235">
        <f>IFERROR(_xlfn.XLOOKUP($C66,$D$3:$D$40,AI$3:AI$40)*$BD66,0)</f>
        <v/>
      </c>
      <c r="AJ66" s="235">
        <f>IFERROR(_xlfn.XLOOKUP($C66,$D$3:$D$40,AJ$3:AJ$40)*$BD66,0)</f>
        <v/>
      </c>
      <c r="AK66" s="235">
        <f>IFERROR(_xlfn.XLOOKUP($C66,$D$3:$D$40,AK$3:AK$40)*$BD66,0)</f>
        <v/>
      </c>
      <c r="AL66" s="235">
        <f>IFERROR(_xlfn.XLOOKUP($C66,$D$3:$D$40,AL$3:AL$40)*$BD66,0)</f>
        <v/>
      </c>
      <c r="AM66" s="235">
        <f>IFERROR(_xlfn.XLOOKUP($C66,$D$3:$D$40,AM$3:AM$40)*$BD66,0)</f>
        <v/>
      </c>
      <c r="AN66" s="235">
        <f>IFERROR(_xlfn.XLOOKUP($C66,$D$3:$D$40,AN$3:AN$40)*$BD66,0)</f>
        <v/>
      </c>
      <c r="AO66" s="235">
        <f>IFERROR(_xlfn.XLOOKUP($C66,$D$3:$D$40,AO$3:AO$40)*$BD66,0)</f>
        <v/>
      </c>
      <c r="AP66" s="235">
        <f>IFERROR(_xlfn.XLOOKUP($C66,$D$3:$D$40,AP$3:AP$40)*$BD66,0)</f>
        <v/>
      </c>
      <c r="AQ66" s="235">
        <f>IFERROR(_xlfn.XLOOKUP($C66,$D$3:$D$40,AQ$3:AQ$40)*$BD66,0)</f>
        <v/>
      </c>
      <c r="AR66" s="235">
        <f>IFERROR(_xlfn.XLOOKUP($C66,$D$3:$D$40,AR$3:AR$40)*$BD66,0)</f>
        <v/>
      </c>
      <c r="AS66" s="235">
        <f>IFERROR(_xlfn.XLOOKUP($C66,$D$3:$D$40,AS$3:AS$40)*$BD66,0)</f>
        <v/>
      </c>
      <c r="AT66" s="235">
        <f>IFERROR(_xlfn.XLOOKUP($C66,$D$3:$D$40,AT$3:AT$40)*$BD66,0)</f>
        <v/>
      </c>
      <c r="AU66" s="235">
        <f>IFERROR(_xlfn.XLOOKUP($C66,$D$3:$D$40,AU$3:AU$40)*$BD66,0)</f>
        <v/>
      </c>
      <c r="AV66" s="235">
        <f>IFERROR(_xlfn.XLOOKUP($C66,$D$3:$D$40,AV$3:AV$40)*$BD66,0)</f>
        <v/>
      </c>
      <c r="AW66" s="235">
        <f>IFERROR(_xlfn.XLOOKUP($C66,$D$3:$D$40,AW$3:AW$40)*$BD66,0)</f>
        <v/>
      </c>
      <c r="AX66" s="235">
        <f>IFERROR(_xlfn.XLOOKUP($C66,$D$3:$D$40,AX$3:AX$40)*$BD66,0)</f>
        <v/>
      </c>
      <c r="AY66" s="235">
        <f>IFERROR(_xlfn.XLOOKUP($C66,$D$3:$D$40,AY$3:AY$40)*$BD66,0)</f>
        <v/>
      </c>
      <c r="AZ66" s="235">
        <f>IFERROR(_xlfn.XLOOKUP($C66,$D$3:$D$40,AZ$3:AZ$40)*$BD66,0)</f>
        <v/>
      </c>
      <c r="BA66" s="235">
        <f>IFERROR(_xlfn.XLOOKUP($C66,$D$3:$D$40,BA$3:BA$40)*$BD66,0)</f>
        <v/>
      </c>
      <c r="BB66" s="235">
        <f>IFERROR(_xlfn.XLOOKUP($C66,$D$3:$D$40,BB$3:BB$40)*$BD66,0)</f>
        <v/>
      </c>
      <c r="BC66" s="228">
        <f>IFERROR(_xlfn.XLOOKUP(D66,'2C 均值'!$A:$A,'2C 均值'!$E:$E),0)</f>
        <v/>
      </c>
      <c r="BD66" s="228">
        <f t="array" ref="BD66">IF(OR($D66=0,$D66=""),"",_xlfn.LET(
        _xlpm.channel,$D66,
        _xlpm.factorName,$C66,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7" ht="15.75" customHeight="1" s="179">
      <c r="C67" s="84">
        <f>IF(OR($D67=0,$D67=""),"",_xlfn.LET(
    _xlpm.channel,$D67,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7" s="119">
        <f>'2B RotationRule'!C12</f>
        <v/>
      </c>
      <c r="E67" s="227">
        <f>IFERROR(_xlfn.XLOOKUP($C67,$D$3:$D$40,E$3:E$40)*$BD67,0)</f>
        <v/>
      </c>
      <c r="F67" s="227">
        <f>IFERROR(_xlfn.XLOOKUP($C67,$D$3:$D$40,F$3:F$40)*$BD67,0)</f>
        <v/>
      </c>
      <c r="G67" s="227">
        <f>IFERROR(_xlfn.XLOOKUP($C67,$D$3:$D$40,G$3:G$40)*$BD67,0)</f>
        <v/>
      </c>
      <c r="H67" s="235">
        <f>IFERROR(_xlfn.XLOOKUP($C67,$D$3:$D$40,H$3:H$40)*$BD67,0)</f>
        <v/>
      </c>
      <c r="I67" s="235">
        <f>IFERROR(_xlfn.XLOOKUP($C67,$D$3:$D$40,I$3:I$40)*$BD67,0)</f>
        <v/>
      </c>
      <c r="J67" s="235">
        <f>IFERROR(_xlfn.XLOOKUP($C67,$D$3:$D$40,J$3:J$40)*$BD67,0)</f>
        <v/>
      </c>
      <c r="K67" s="235">
        <f>IFERROR(_xlfn.XLOOKUP($C67,$D$3:$D$40,K$3:K$40)*$BD67,0)</f>
        <v/>
      </c>
      <c r="L67" s="235">
        <f>IFERROR(_xlfn.XLOOKUP($C67,$D$3:$D$40,L$3:L$40)*$BD67,0)</f>
        <v/>
      </c>
      <c r="M67" s="235">
        <f>IFERROR(_xlfn.XLOOKUP($C67,$D$3:$D$40,M$3:M$40)*$BD67,0)</f>
        <v/>
      </c>
      <c r="N67" s="235">
        <f>IFERROR(_xlfn.XLOOKUP($C67,$D$3:$D$40,N$3:N$40)*$BD67,0)</f>
        <v/>
      </c>
      <c r="O67" s="235">
        <f>IFERROR(_xlfn.XLOOKUP($C67,$D$3:$D$40,O$3:O$40)*$BD67,0)</f>
        <v/>
      </c>
      <c r="P67" s="235">
        <f>IFERROR(_xlfn.XLOOKUP($C67,$D$3:$D$40,P$3:P$40)*$BD67,0)</f>
        <v/>
      </c>
      <c r="Q67" s="235">
        <f>IFERROR(_xlfn.XLOOKUP($C67,$D$3:$D$40,Q$3:Q$40)*$BD67,0)</f>
        <v/>
      </c>
      <c r="R67" s="235">
        <f>IFERROR(_xlfn.XLOOKUP($C67,$D$3:$D$40,R$3:R$40)*$BD67,0)</f>
        <v/>
      </c>
      <c r="S67" s="235">
        <f>IFERROR(_xlfn.XLOOKUP($C67,$D$3:$D$40,S$3:S$40)*$BD67,0)</f>
        <v/>
      </c>
      <c r="T67" s="235">
        <f>IFERROR(_xlfn.XLOOKUP($C67,$D$3:$D$40,T$3:T$40)*$BD67,0)</f>
        <v/>
      </c>
      <c r="U67" s="235">
        <f>IFERROR(_xlfn.XLOOKUP($C67,$D$3:$D$40,U$3:U$40)*$BD67,0)</f>
        <v/>
      </c>
      <c r="V67" s="235">
        <f>IFERROR(_xlfn.XLOOKUP($C67,$D$3:$D$40,V$3:V$40)*$BD67,0)</f>
        <v/>
      </c>
      <c r="W67" s="235">
        <f>IFERROR(_xlfn.XLOOKUP($C67,$D$3:$D$40,W$3:W$40)*$BD67,0)</f>
        <v/>
      </c>
      <c r="X67" s="235">
        <f>IFERROR(_xlfn.XLOOKUP($C67,$D$3:$D$40,X$3:X$40)*$BD67,0)</f>
        <v/>
      </c>
      <c r="Y67" s="235">
        <f>IFERROR(_xlfn.XLOOKUP($C67,$D$3:$D$40,Y$3:Y$40)*$BD67,0)</f>
        <v/>
      </c>
      <c r="Z67" s="235">
        <f>IFERROR(_xlfn.XLOOKUP($C67,$D$3:$D$40,Z$3:Z$40)*$BD67,0)</f>
        <v/>
      </c>
      <c r="AA67" s="235">
        <f>IFERROR(_xlfn.XLOOKUP($C67,$D$3:$D$40,AA$3:AA$40)*$BD67,0)</f>
        <v/>
      </c>
      <c r="AB67" s="235">
        <f>IFERROR(_xlfn.XLOOKUP($C67,$D$3:$D$40,AB$3:AB$40)*$BD67,0)</f>
        <v/>
      </c>
      <c r="AC67" s="235">
        <f>IFERROR(_xlfn.XLOOKUP($C67,$D$3:$D$40,AC$3:AC$40)*$BD67,0)</f>
        <v/>
      </c>
      <c r="AD67" s="235">
        <f>IFERROR(_xlfn.XLOOKUP($C67,$D$3:$D$40,AD$3:AD$40)*$BD67,0)</f>
        <v/>
      </c>
      <c r="AE67" s="235">
        <f>IFERROR(_xlfn.XLOOKUP($C67,$D$3:$D$40,AE$3:AE$40)*$BD67,0)</f>
        <v/>
      </c>
      <c r="AF67" s="235">
        <f>IFERROR(_xlfn.XLOOKUP($C67,$D$3:$D$40,AF$3:AF$40)*$BD67,0)</f>
        <v/>
      </c>
      <c r="AG67" s="235">
        <f>IFERROR(_xlfn.XLOOKUP($C67,$D$3:$D$40,AG$3:AG$40)*$BD67,0)</f>
        <v/>
      </c>
      <c r="AH67" s="235">
        <f>IFERROR(_xlfn.XLOOKUP($C67,$D$3:$D$40,AH$3:AH$40)*$BD67,0)</f>
        <v/>
      </c>
      <c r="AI67" s="235">
        <f>IFERROR(_xlfn.XLOOKUP($C67,$D$3:$D$40,AI$3:AI$40)*$BD67,0)</f>
        <v/>
      </c>
      <c r="AJ67" s="235">
        <f>IFERROR(_xlfn.XLOOKUP($C67,$D$3:$D$40,AJ$3:AJ$40)*$BD67,0)</f>
        <v/>
      </c>
      <c r="AK67" s="235">
        <f>IFERROR(_xlfn.XLOOKUP($C67,$D$3:$D$40,AK$3:AK$40)*$BD67,0)</f>
        <v/>
      </c>
      <c r="AL67" s="235">
        <f>IFERROR(_xlfn.XLOOKUP($C67,$D$3:$D$40,AL$3:AL$40)*$BD67,0)</f>
        <v/>
      </c>
      <c r="AM67" s="235">
        <f>IFERROR(_xlfn.XLOOKUP($C67,$D$3:$D$40,AM$3:AM$40)*$BD67,0)</f>
        <v/>
      </c>
      <c r="AN67" s="235">
        <f>IFERROR(_xlfn.XLOOKUP($C67,$D$3:$D$40,AN$3:AN$40)*$BD67,0)</f>
        <v/>
      </c>
      <c r="AO67" s="235">
        <f>IFERROR(_xlfn.XLOOKUP($C67,$D$3:$D$40,AO$3:AO$40)*$BD67,0)</f>
        <v/>
      </c>
      <c r="AP67" s="235">
        <f>IFERROR(_xlfn.XLOOKUP($C67,$D$3:$D$40,AP$3:AP$40)*$BD67,0)</f>
        <v/>
      </c>
      <c r="AQ67" s="235">
        <f>IFERROR(_xlfn.XLOOKUP($C67,$D$3:$D$40,AQ$3:AQ$40)*$BD67,0)</f>
        <v/>
      </c>
      <c r="AR67" s="235">
        <f>IFERROR(_xlfn.XLOOKUP($C67,$D$3:$D$40,AR$3:AR$40)*$BD67,0)</f>
        <v/>
      </c>
      <c r="AS67" s="235">
        <f>IFERROR(_xlfn.XLOOKUP($C67,$D$3:$D$40,AS$3:AS$40)*$BD67,0)</f>
        <v/>
      </c>
      <c r="AT67" s="235">
        <f>IFERROR(_xlfn.XLOOKUP($C67,$D$3:$D$40,AT$3:AT$40)*$BD67,0)</f>
        <v/>
      </c>
      <c r="AU67" s="235">
        <f>IFERROR(_xlfn.XLOOKUP($C67,$D$3:$D$40,AU$3:AU$40)*$BD67,0)</f>
        <v/>
      </c>
      <c r="AV67" s="235">
        <f>IFERROR(_xlfn.XLOOKUP($C67,$D$3:$D$40,AV$3:AV$40)*$BD67,0)</f>
        <v/>
      </c>
      <c r="AW67" s="235">
        <f>IFERROR(_xlfn.XLOOKUP($C67,$D$3:$D$40,AW$3:AW$40)*$BD67,0)</f>
        <v/>
      </c>
      <c r="AX67" s="235">
        <f>IFERROR(_xlfn.XLOOKUP($C67,$D$3:$D$40,AX$3:AX$40)*$BD67,0)</f>
        <v/>
      </c>
      <c r="AY67" s="235">
        <f>IFERROR(_xlfn.XLOOKUP($C67,$D$3:$D$40,AY$3:AY$40)*$BD67,0)</f>
        <v/>
      </c>
      <c r="AZ67" s="235">
        <f>IFERROR(_xlfn.XLOOKUP($C67,$D$3:$D$40,AZ$3:AZ$40)*$BD67,0)</f>
        <v/>
      </c>
      <c r="BA67" s="235">
        <f>IFERROR(_xlfn.XLOOKUP($C67,$D$3:$D$40,BA$3:BA$40)*$BD67,0)</f>
        <v/>
      </c>
      <c r="BB67" s="235">
        <f>IFERROR(_xlfn.XLOOKUP($C67,$D$3:$D$40,BB$3:BB$40)*$BD67,0)</f>
        <v/>
      </c>
      <c r="BC67" s="228">
        <f>IFERROR(_xlfn.XLOOKUP(D67,'2C 均值'!$A:$A,'2C 均值'!$E:$E),0)</f>
        <v/>
      </c>
      <c r="BD67" s="228">
        <f t="array" ref="BD67">IF(OR($D67=0,$D67=""),"",_xlfn.LET(
        _xlpm.channel,$D67,
        _xlpm.factorName,$C67,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8" ht="15.75" customHeight="1" s="179">
      <c r="C68" s="84">
        <f>IF(OR($D68=0,$D68=""),"",_xlfn.LET(
    _xlpm.channel,$D68,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8" s="119">
        <f>'2B RotationRule'!C13</f>
        <v/>
      </c>
      <c r="E68" s="227">
        <f>IFERROR(_xlfn.XLOOKUP($C68,$D$3:$D$40,E$3:E$40)*$BD68,0)</f>
        <v/>
      </c>
      <c r="F68" s="227">
        <f>IFERROR(_xlfn.XLOOKUP($C68,$D$3:$D$40,F$3:F$40)*$BD68,0)</f>
        <v/>
      </c>
      <c r="G68" s="227">
        <f>IFERROR(_xlfn.XLOOKUP($C68,$D$3:$D$40,G$3:G$40)*$BD68,0)</f>
        <v/>
      </c>
      <c r="H68" s="235">
        <f>IFERROR(_xlfn.XLOOKUP($C68,$D$3:$D$40,H$3:H$40)*$BD68,0)</f>
        <v/>
      </c>
      <c r="I68" s="235">
        <f>IFERROR(_xlfn.XLOOKUP($C68,$D$3:$D$40,I$3:I$40)*$BD68,0)</f>
        <v/>
      </c>
      <c r="J68" s="235">
        <f>IFERROR(_xlfn.XLOOKUP($C68,$D$3:$D$40,J$3:J$40)*$BD68,0)</f>
        <v/>
      </c>
      <c r="K68" s="235">
        <f>IFERROR(_xlfn.XLOOKUP($C68,$D$3:$D$40,K$3:K$40)*$BD68,0)</f>
        <v/>
      </c>
      <c r="L68" s="235">
        <f>IFERROR(_xlfn.XLOOKUP($C68,$D$3:$D$40,L$3:L$40)*$BD68,0)</f>
        <v/>
      </c>
      <c r="M68" s="235">
        <f>IFERROR(_xlfn.XLOOKUP($C68,$D$3:$D$40,M$3:M$40)*$BD68,0)</f>
        <v/>
      </c>
      <c r="N68" s="235">
        <f>IFERROR(_xlfn.XLOOKUP($C68,$D$3:$D$40,N$3:N$40)*$BD68,0)</f>
        <v/>
      </c>
      <c r="O68" s="235">
        <f>IFERROR(_xlfn.XLOOKUP($C68,$D$3:$D$40,O$3:O$40)*$BD68,0)</f>
        <v/>
      </c>
      <c r="P68" s="235">
        <f>IFERROR(_xlfn.XLOOKUP($C68,$D$3:$D$40,P$3:P$40)*$BD68,0)</f>
        <v/>
      </c>
      <c r="Q68" s="235">
        <f>IFERROR(_xlfn.XLOOKUP($C68,$D$3:$D$40,Q$3:Q$40)*$BD68,0)</f>
        <v/>
      </c>
      <c r="R68" s="235">
        <f>IFERROR(_xlfn.XLOOKUP($C68,$D$3:$D$40,R$3:R$40)*$BD68,0)</f>
        <v/>
      </c>
      <c r="S68" s="235">
        <f>IFERROR(_xlfn.XLOOKUP($C68,$D$3:$D$40,S$3:S$40)*$BD68,0)</f>
        <v/>
      </c>
      <c r="T68" s="235">
        <f>IFERROR(_xlfn.XLOOKUP($C68,$D$3:$D$40,T$3:T$40)*$BD68,0)</f>
        <v/>
      </c>
      <c r="U68" s="235">
        <f>IFERROR(_xlfn.XLOOKUP($C68,$D$3:$D$40,U$3:U$40)*$BD68,0)</f>
        <v/>
      </c>
      <c r="V68" s="235">
        <f>IFERROR(_xlfn.XLOOKUP($C68,$D$3:$D$40,V$3:V$40)*$BD68,0)</f>
        <v/>
      </c>
      <c r="W68" s="235">
        <f>IFERROR(_xlfn.XLOOKUP($C68,$D$3:$D$40,W$3:W$40)*$BD68,0)</f>
        <v/>
      </c>
      <c r="X68" s="235">
        <f>IFERROR(_xlfn.XLOOKUP($C68,$D$3:$D$40,X$3:X$40)*$BD68,0)</f>
        <v/>
      </c>
      <c r="Y68" s="235">
        <f>IFERROR(_xlfn.XLOOKUP($C68,$D$3:$D$40,Y$3:Y$40)*$BD68,0)</f>
        <v/>
      </c>
      <c r="Z68" s="235">
        <f>IFERROR(_xlfn.XLOOKUP($C68,$D$3:$D$40,Z$3:Z$40)*$BD68,0)</f>
        <v/>
      </c>
      <c r="AA68" s="235">
        <f>IFERROR(_xlfn.XLOOKUP($C68,$D$3:$D$40,AA$3:AA$40)*$BD68,0)</f>
        <v/>
      </c>
      <c r="AB68" s="235">
        <f>IFERROR(_xlfn.XLOOKUP($C68,$D$3:$D$40,AB$3:AB$40)*$BD68,0)</f>
        <v/>
      </c>
      <c r="AC68" s="235">
        <f>IFERROR(_xlfn.XLOOKUP($C68,$D$3:$D$40,AC$3:AC$40)*$BD68,0)</f>
        <v/>
      </c>
      <c r="AD68" s="235">
        <f>IFERROR(_xlfn.XLOOKUP($C68,$D$3:$D$40,AD$3:AD$40)*$BD68,0)</f>
        <v/>
      </c>
      <c r="AE68" s="235">
        <f>IFERROR(_xlfn.XLOOKUP($C68,$D$3:$D$40,AE$3:AE$40)*$BD68,0)</f>
        <v/>
      </c>
      <c r="AF68" s="235">
        <f>IFERROR(_xlfn.XLOOKUP($C68,$D$3:$D$40,AF$3:AF$40)*$BD68,0)</f>
        <v/>
      </c>
      <c r="AG68" s="235">
        <f>IFERROR(_xlfn.XLOOKUP($C68,$D$3:$D$40,AG$3:AG$40)*$BD68,0)</f>
        <v/>
      </c>
      <c r="AH68" s="235">
        <f>IFERROR(_xlfn.XLOOKUP($C68,$D$3:$D$40,AH$3:AH$40)*$BD68,0)</f>
        <v/>
      </c>
      <c r="AI68" s="235">
        <f>IFERROR(_xlfn.XLOOKUP($C68,$D$3:$D$40,AI$3:AI$40)*$BD68,0)</f>
        <v/>
      </c>
      <c r="AJ68" s="235">
        <f>IFERROR(_xlfn.XLOOKUP($C68,$D$3:$D$40,AJ$3:AJ$40)*$BD68,0)</f>
        <v/>
      </c>
      <c r="AK68" s="235">
        <f>IFERROR(_xlfn.XLOOKUP($C68,$D$3:$D$40,AK$3:AK$40)*$BD68,0)</f>
        <v/>
      </c>
      <c r="AL68" s="235">
        <f>IFERROR(_xlfn.XLOOKUP($C68,$D$3:$D$40,AL$3:AL$40)*$BD68,0)</f>
        <v/>
      </c>
      <c r="AM68" s="235">
        <f>IFERROR(_xlfn.XLOOKUP($C68,$D$3:$D$40,AM$3:AM$40)*$BD68,0)</f>
        <v/>
      </c>
      <c r="AN68" s="235">
        <f>IFERROR(_xlfn.XLOOKUP($C68,$D$3:$D$40,AN$3:AN$40)*$BD68,0)</f>
        <v/>
      </c>
      <c r="AO68" s="235">
        <f>IFERROR(_xlfn.XLOOKUP($C68,$D$3:$D$40,AO$3:AO$40)*$BD68,0)</f>
        <v/>
      </c>
      <c r="AP68" s="235">
        <f>IFERROR(_xlfn.XLOOKUP($C68,$D$3:$D$40,AP$3:AP$40)*$BD68,0)</f>
        <v/>
      </c>
      <c r="AQ68" s="235">
        <f>IFERROR(_xlfn.XLOOKUP($C68,$D$3:$D$40,AQ$3:AQ$40)*$BD68,0)</f>
        <v/>
      </c>
      <c r="AR68" s="235">
        <f>IFERROR(_xlfn.XLOOKUP($C68,$D$3:$D$40,AR$3:AR$40)*$BD68,0)</f>
        <v/>
      </c>
      <c r="AS68" s="235">
        <f>IFERROR(_xlfn.XLOOKUP($C68,$D$3:$D$40,AS$3:AS$40)*$BD68,0)</f>
        <v/>
      </c>
      <c r="AT68" s="235">
        <f>IFERROR(_xlfn.XLOOKUP($C68,$D$3:$D$40,AT$3:AT$40)*$BD68,0)</f>
        <v/>
      </c>
      <c r="AU68" s="235">
        <f>IFERROR(_xlfn.XLOOKUP($C68,$D$3:$D$40,AU$3:AU$40)*$BD68,0)</f>
        <v/>
      </c>
      <c r="AV68" s="235">
        <f>IFERROR(_xlfn.XLOOKUP($C68,$D$3:$D$40,AV$3:AV$40)*$BD68,0)</f>
        <v/>
      </c>
      <c r="AW68" s="235">
        <f>IFERROR(_xlfn.XLOOKUP($C68,$D$3:$D$40,AW$3:AW$40)*$BD68,0)</f>
        <v/>
      </c>
      <c r="AX68" s="235">
        <f>IFERROR(_xlfn.XLOOKUP($C68,$D$3:$D$40,AX$3:AX$40)*$BD68,0)</f>
        <v/>
      </c>
      <c r="AY68" s="235">
        <f>IFERROR(_xlfn.XLOOKUP($C68,$D$3:$D$40,AY$3:AY$40)*$BD68,0)</f>
        <v/>
      </c>
      <c r="AZ68" s="235">
        <f>IFERROR(_xlfn.XLOOKUP($C68,$D$3:$D$40,AZ$3:AZ$40)*$BD68,0)</f>
        <v/>
      </c>
      <c r="BA68" s="235">
        <f>IFERROR(_xlfn.XLOOKUP($C68,$D$3:$D$40,BA$3:BA$40)*$BD68,0)</f>
        <v/>
      </c>
      <c r="BB68" s="235">
        <f>IFERROR(_xlfn.XLOOKUP($C68,$D$3:$D$40,BB$3:BB$40)*$BD68,0)</f>
        <v/>
      </c>
      <c r="BC68" s="228">
        <f>IFERROR(_xlfn.XLOOKUP(D68,'2C 均值'!$A:$A,'2C 均值'!$E:$E),0)</f>
        <v/>
      </c>
      <c r="BD68" s="228">
        <f t="array" ref="BD68">IF(OR($D68=0,$D68=""),"",_xlfn.LET(
        _xlpm.channel,$D68,
        _xlpm.factorName,$C68,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69" ht="15.75" customHeight="1" s="179">
      <c r="C69" s="84">
        <f>IF(OR($D69=0,$D69=""),"",_xlfn.LET(
    _xlpm.channel,$D69,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69" s="119">
        <f>'2B RotationRule'!C14</f>
        <v/>
      </c>
      <c r="E69" s="227">
        <f>IFERROR(_xlfn.XLOOKUP($C69,$D$3:$D$40,E$3:E$40)*$BD69,0)</f>
        <v/>
      </c>
      <c r="F69" s="227">
        <f>IFERROR(_xlfn.XLOOKUP($C69,$D$3:$D$40,F$3:F$40)*$BD69,0)</f>
        <v/>
      </c>
      <c r="G69" s="227">
        <f>IFERROR(_xlfn.XLOOKUP($C69,$D$3:$D$40,G$3:G$40)*$BD69,0)</f>
        <v/>
      </c>
      <c r="H69" s="235">
        <f>IFERROR(_xlfn.XLOOKUP($C69,$D$3:$D$40,H$3:H$40)*$BD69,0)</f>
        <v/>
      </c>
      <c r="I69" s="235">
        <f>IFERROR(_xlfn.XLOOKUP($C69,$D$3:$D$40,I$3:I$40)*$BD69,0)</f>
        <v/>
      </c>
      <c r="J69" s="235">
        <f>IFERROR(_xlfn.XLOOKUP($C69,$D$3:$D$40,J$3:J$40)*$BD69,0)</f>
        <v/>
      </c>
      <c r="K69" s="235">
        <f>IFERROR(_xlfn.XLOOKUP($C69,$D$3:$D$40,K$3:K$40)*$BD69,0)</f>
        <v/>
      </c>
      <c r="L69" s="235">
        <f>IFERROR(_xlfn.XLOOKUP($C69,$D$3:$D$40,L$3:L$40)*$BD69,0)</f>
        <v/>
      </c>
      <c r="M69" s="235">
        <f>IFERROR(_xlfn.XLOOKUP($C69,$D$3:$D$40,M$3:M$40)*$BD69,0)</f>
        <v/>
      </c>
      <c r="N69" s="235">
        <f>IFERROR(_xlfn.XLOOKUP($C69,$D$3:$D$40,N$3:N$40)*$BD69,0)</f>
        <v/>
      </c>
      <c r="O69" s="235">
        <f>IFERROR(_xlfn.XLOOKUP($C69,$D$3:$D$40,O$3:O$40)*$BD69,0)</f>
        <v/>
      </c>
      <c r="P69" s="235">
        <f>IFERROR(_xlfn.XLOOKUP($C69,$D$3:$D$40,P$3:P$40)*$BD69,0)</f>
        <v/>
      </c>
      <c r="Q69" s="235">
        <f>IFERROR(_xlfn.XLOOKUP($C69,$D$3:$D$40,Q$3:Q$40)*$BD69,0)</f>
        <v/>
      </c>
      <c r="R69" s="235">
        <f>IFERROR(_xlfn.XLOOKUP($C69,$D$3:$D$40,R$3:R$40)*$BD69,0)</f>
        <v/>
      </c>
      <c r="S69" s="235">
        <f>IFERROR(_xlfn.XLOOKUP($C69,$D$3:$D$40,S$3:S$40)*$BD69,0)</f>
        <v/>
      </c>
      <c r="T69" s="235">
        <f>IFERROR(_xlfn.XLOOKUP($C69,$D$3:$D$40,T$3:T$40)*$BD69,0)</f>
        <v/>
      </c>
      <c r="U69" s="235">
        <f>IFERROR(_xlfn.XLOOKUP($C69,$D$3:$D$40,U$3:U$40)*$BD69,0)</f>
        <v/>
      </c>
      <c r="V69" s="235">
        <f>IFERROR(_xlfn.XLOOKUP($C69,$D$3:$D$40,V$3:V$40)*$BD69,0)</f>
        <v/>
      </c>
      <c r="W69" s="235">
        <f>IFERROR(_xlfn.XLOOKUP($C69,$D$3:$D$40,W$3:W$40)*$BD69,0)</f>
        <v/>
      </c>
      <c r="X69" s="235">
        <f>IFERROR(_xlfn.XLOOKUP($C69,$D$3:$D$40,X$3:X$40)*$BD69,0)</f>
        <v/>
      </c>
      <c r="Y69" s="235">
        <f>IFERROR(_xlfn.XLOOKUP($C69,$D$3:$D$40,Y$3:Y$40)*$BD69,0)</f>
        <v/>
      </c>
      <c r="Z69" s="235">
        <f>IFERROR(_xlfn.XLOOKUP($C69,$D$3:$D$40,Z$3:Z$40)*$BD69,0)</f>
        <v/>
      </c>
      <c r="AA69" s="235">
        <f>IFERROR(_xlfn.XLOOKUP($C69,$D$3:$D$40,AA$3:AA$40)*$BD69,0)</f>
        <v/>
      </c>
      <c r="AB69" s="235">
        <f>IFERROR(_xlfn.XLOOKUP($C69,$D$3:$D$40,AB$3:AB$40)*$BD69,0)</f>
        <v/>
      </c>
      <c r="AC69" s="235">
        <f>IFERROR(_xlfn.XLOOKUP($C69,$D$3:$D$40,AC$3:AC$40)*$BD69,0)</f>
        <v/>
      </c>
      <c r="AD69" s="235">
        <f>IFERROR(_xlfn.XLOOKUP($C69,$D$3:$D$40,AD$3:AD$40)*$BD69,0)</f>
        <v/>
      </c>
      <c r="AE69" s="235">
        <f>IFERROR(_xlfn.XLOOKUP($C69,$D$3:$D$40,AE$3:AE$40)*$BD69,0)</f>
        <v/>
      </c>
      <c r="AF69" s="235">
        <f>IFERROR(_xlfn.XLOOKUP($C69,$D$3:$D$40,AF$3:AF$40)*$BD69,0)</f>
        <v/>
      </c>
      <c r="AG69" s="235">
        <f>IFERROR(_xlfn.XLOOKUP($C69,$D$3:$D$40,AG$3:AG$40)*$BD69,0)</f>
        <v/>
      </c>
      <c r="AH69" s="235">
        <f>IFERROR(_xlfn.XLOOKUP($C69,$D$3:$D$40,AH$3:AH$40)*$BD69,0)</f>
        <v/>
      </c>
      <c r="AI69" s="235">
        <f>IFERROR(_xlfn.XLOOKUP($C69,$D$3:$D$40,AI$3:AI$40)*$BD69,0)</f>
        <v/>
      </c>
      <c r="AJ69" s="235">
        <f>IFERROR(_xlfn.XLOOKUP($C69,$D$3:$D$40,AJ$3:AJ$40)*$BD69,0)</f>
        <v/>
      </c>
      <c r="AK69" s="235">
        <f>IFERROR(_xlfn.XLOOKUP($C69,$D$3:$D$40,AK$3:AK$40)*$BD69,0)</f>
        <v/>
      </c>
      <c r="AL69" s="235">
        <f>IFERROR(_xlfn.XLOOKUP($C69,$D$3:$D$40,AL$3:AL$40)*$BD69,0)</f>
        <v/>
      </c>
      <c r="AM69" s="235">
        <f>IFERROR(_xlfn.XLOOKUP($C69,$D$3:$D$40,AM$3:AM$40)*$BD69,0)</f>
        <v/>
      </c>
      <c r="AN69" s="235">
        <f>IFERROR(_xlfn.XLOOKUP($C69,$D$3:$D$40,AN$3:AN$40)*$BD69,0)</f>
        <v/>
      </c>
      <c r="AO69" s="235">
        <f>IFERROR(_xlfn.XLOOKUP($C69,$D$3:$D$40,AO$3:AO$40)*$BD69,0)</f>
        <v/>
      </c>
      <c r="AP69" s="235">
        <f>IFERROR(_xlfn.XLOOKUP($C69,$D$3:$D$40,AP$3:AP$40)*$BD69,0)</f>
        <v/>
      </c>
      <c r="AQ69" s="235">
        <f>IFERROR(_xlfn.XLOOKUP($C69,$D$3:$D$40,AQ$3:AQ$40)*$BD69,0)</f>
        <v/>
      </c>
      <c r="AR69" s="235">
        <f>IFERROR(_xlfn.XLOOKUP($C69,$D$3:$D$40,AR$3:AR$40)*$BD69,0)</f>
        <v/>
      </c>
      <c r="AS69" s="235">
        <f>IFERROR(_xlfn.XLOOKUP($C69,$D$3:$D$40,AS$3:AS$40)*$BD69,0)</f>
        <v/>
      </c>
      <c r="AT69" s="235">
        <f>IFERROR(_xlfn.XLOOKUP($C69,$D$3:$D$40,AT$3:AT$40)*$BD69,0)</f>
        <v/>
      </c>
      <c r="AU69" s="235">
        <f>IFERROR(_xlfn.XLOOKUP($C69,$D$3:$D$40,AU$3:AU$40)*$BD69,0)</f>
        <v/>
      </c>
      <c r="AV69" s="235">
        <f>IFERROR(_xlfn.XLOOKUP($C69,$D$3:$D$40,AV$3:AV$40)*$BD69,0)</f>
        <v/>
      </c>
      <c r="AW69" s="235">
        <f>IFERROR(_xlfn.XLOOKUP($C69,$D$3:$D$40,AW$3:AW$40)*$BD69,0)</f>
        <v/>
      </c>
      <c r="AX69" s="235">
        <f>IFERROR(_xlfn.XLOOKUP($C69,$D$3:$D$40,AX$3:AX$40)*$BD69,0)</f>
        <v/>
      </c>
      <c r="AY69" s="235">
        <f>IFERROR(_xlfn.XLOOKUP($C69,$D$3:$D$40,AY$3:AY$40)*$BD69,0)</f>
        <v/>
      </c>
      <c r="AZ69" s="235">
        <f>IFERROR(_xlfn.XLOOKUP($C69,$D$3:$D$40,AZ$3:AZ$40)*$BD69,0)</f>
        <v/>
      </c>
      <c r="BA69" s="235">
        <f>IFERROR(_xlfn.XLOOKUP($C69,$D$3:$D$40,BA$3:BA$40)*$BD69,0)</f>
        <v/>
      </c>
      <c r="BB69" s="235">
        <f>IFERROR(_xlfn.XLOOKUP($C69,$D$3:$D$40,BB$3:BB$40)*$BD69,0)</f>
        <v/>
      </c>
      <c r="BC69" s="228">
        <f>IFERROR(_xlfn.XLOOKUP(D69,'2C 均值'!$A:$A,'2C 均值'!$E:$E),0)</f>
        <v/>
      </c>
      <c r="BD69" s="228">
        <f t="array" ref="BD69">IF(OR($D69=0,$D69=""),"",_xlfn.LET(
        _xlpm.channel,$D69,
        _xlpm.factorName,$C69,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0" ht="15.75" customHeight="1" s="179">
      <c r="C70" s="84">
        <f>IF(OR($D70=0,$D70=""),"",_xlfn.LET(
    _xlpm.channel,$D70,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0" s="119">
        <f>'2B RotationRule'!C15</f>
        <v/>
      </c>
      <c r="E70" s="227">
        <f>IFERROR(_xlfn.XLOOKUP($C70,$D$3:$D$40,E$3:E$40)*$BD70,0)</f>
        <v/>
      </c>
      <c r="F70" s="227">
        <f>IFERROR(_xlfn.XLOOKUP($C70,$D$3:$D$40,F$3:F$40)*$BD70,0)</f>
        <v/>
      </c>
      <c r="G70" s="227">
        <f>IFERROR(_xlfn.XLOOKUP($C70,$D$3:$D$40,G$3:G$40)*$BD70,0)</f>
        <v/>
      </c>
      <c r="H70" s="235">
        <f>IFERROR(_xlfn.XLOOKUP($C70,$D$3:$D$40,H$3:H$40)*$BD70,0)</f>
        <v/>
      </c>
      <c r="I70" s="235">
        <f>IFERROR(_xlfn.XLOOKUP($C70,$D$3:$D$40,I$3:I$40)*$BD70,0)</f>
        <v/>
      </c>
      <c r="J70" s="235">
        <f>IFERROR(_xlfn.XLOOKUP($C70,$D$3:$D$40,J$3:J$40)*$BD70,0)</f>
        <v/>
      </c>
      <c r="K70" s="235">
        <f>IFERROR(_xlfn.XLOOKUP($C70,$D$3:$D$40,K$3:K$40)*$BD70,0)</f>
        <v/>
      </c>
      <c r="L70" s="235">
        <f>IFERROR(_xlfn.XLOOKUP($C70,$D$3:$D$40,L$3:L$40)*$BD70,0)</f>
        <v/>
      </c>
      <c r="M70" s="235">
        <f>IFERROR(_xlfn.XLOOKUP($C70,$D$3:$D$40,M$3:M$40)*$BD70,0)</f>
        <v/>
      </c>
      <c r="N70" s="235">
        <f>IFERROR(_xlfn.XLOOKUP($C70,$D$3:$D$40,N$3:N$40)*$BD70,0)</f>
        <v/>
      </c>
      <c r="O70" s="235">
        <f>IFERROR(_xlfn.XLOOKUP($C70,$D$3:$D$40,O$3:O$40)*$BD70,0)</f>
        <v/>
      </c>
      <c r="P70" s="235">
        <f>IFERROR(_xlfn.XLOOKUP($C70,$D$3:$D$40,P$3:P$40)*$BD70,0)</f>
        <v/>
      </c>
      <c r="Q70" s="235">
        <f>IFERROR(_xlfn.XLOOKUP($C70,$D$3:$D$40,Q$3:Q$40)*$BD70,0)</f>
        <v/>
      </c>
      <c r="R70" s="235">
        <f>IFERROR(_xlfn.XLOOKUP($C70,$D$3:$D$40,R$3:R$40)*$BD70,0)</f>
        <v/>
      </c>
      <c r="S70" s="235">
        <f>IFERROR(_xlfn.XLOOKUP($C70,$D$3:$D$40,S$3:S$40)*$BD70,0)</f>
        <v/>
      </c>
      <c r="T70" s="235">
        <f>IFERROR(_xlfn.XLOOKUP($C70,$D$3:$D$40,T$3:T$40)*$BD70,0)</f>
        <v/>
      </c>
      <c r="U70" s="235">
        <f>IFERROR(_xlfn.XLOOKUP($C70,$D$3:$D$40,U$3:U$40)*$BD70,0)</f>
        <v/>
      </c>
      <c r="V70" s="235">
        <f>IFERROR(_xlfn.XLOOKUP($C70,$D$3:$D$40,V$3:V$40)*$BD70,0)</f>
        <v/>
      </c>
      <c r="W70" s="235">
        <f>IFERROR(_xlfn.XLOOKUP($C70,$D$3:$D$40,W$3:W$40)*$BD70,0)</f>
        <v/>
      </c>
      <c r="X70" s="235">
        <f>IFERROR(_xlfn.XLOOKUP($C70,$D$3:$D$40,X$3:X$40)*$BD70,0)</f>
        <v/>
      </c>
      <c r="Y70" s="235">
        <f>IFERROR(_xlfn.XLOOKUP($C70,$D$3:$D$40,Y$3:Y$40)*$BD70,0)</f>
        <v/>
      </c>
      <c r="Z70" s="235">
        <f>IFERROR(_xlfn.XLOOKUP($C70,$D$3:$D$40,Z$3:Z$40)*$BD70,0)</f>
        <v/>
      </c>
      <c r="AA70" s="235">
        <f>IFERROR(_xlfn.XLOOKUP($C70,$D$3:$D$40,AA$3:AA$40)*$BD70,0)</f>
        <v/>
      </c>
      <c r="AB70" s="235">
        <f>IFERROR(_xlfn.XLOOKUP($C70,$D$3:$D$40,AB$3:AB$40)*$BD70,0)</f>
        <v/>
      </c>
      <c r="AC70" s="235">
        <f>IFERROR(_xlfn.XLOOKUP($C70,$D$3:$D$40,AC$3:AC$40)*$BD70,0)</f>
        <v/>
      </c>
      <c r="AD70" s="235">
        <f>IFERROR(_xlfn.XLOOKUP($C70,$D$3:$D$40,AD$3:AD$40)*$BD70,0)</f>
        <v/>
      </c>
      <c r="AE70" s="235">
        <f>IFERROR(_xlfn.XLOOKUP($C70,$D$3:$D$40,AE$3:AE$40)*$BD70,0)</f>
        <v/>
      </c>
      <c r="AF70" s="235">
        <f>IFERROR(_xlfn.XLOOKUP($C70,$D$3:$D$40,AF$3:AF$40)*$BD70,0)</f>
        <v/>
      </c>
      <c r="AG70" s="235">
        <f>IFERROR(_xlfn.XLOOKUP($C70,$D$3:$D$40,AG$3:AG$40)*$BD70,0)</f>
        <v/>
      </c>
      <c r="AH70" s="235">
        <f>IFERROR(_xlfn.XLOOKUP($C70,$D$3:$D$40,AH$3:AH$40)*$BD70,0)</f>
        <v/>
      </c>
      <c r="AI70" s="235">
        <f>IFERROR(_xlfn.XLOOKUP($C70,$D$3:$D$40,AI$3:AI$40)*$BD70,0)</f>
        <v/>
      </c>
      <c r="AJ70" s="235">
        <f>IFERROR(_xlfn.XLOOKUP($C70,$D$3:$D$40,AJ$3:AJ$40)*$BD70,0)</f>
        <v/>
      </c>
      <c r="AK70" s="235">
        <f>IFERROR(_xlfn.XLOOKUP($C70,$D$3:$D$40,AK$3:AK$40)*$BD70,0)</f>
        <v/>
      </c>
      <c r="AL70" s="235">
        <f>IFERROR(_xlfn.XLOOKUP($C70,$D$3:$D$40,AL$3:AL$40)*$BD70,0)</f>
        <v/>
      </c>
      <c r="AM70" s="235">
        <f>IFERROR(_xlfn.XLOOKUP($C70,$D$3:$D$40,AM$3:AM$40)*$BD70,0)</f>
        <v/>
      </c>
      <c r="AN70" s="235">
        <f>IFERROR(_xlfn.XLOOKUP($C70,$D$3:$D$40,AN$3:AN$40)*$BD70,0)</f>
        <v/>
      </c>
      <c r="AO70" s="235">
        <f>IFERROR(_xlfn.XLOOKUP($C70,$D$3:$D$40,AO$3:AO$40)*$BD70,0)</f>
        <v/>
      </c>
      <c r="AP70" s="235">
        <f>IFERROR(_xlfn.XLOOKUP($C70,$D$3:$D$40,AP$3:AP$40)*$BD70,0)</f>
        <v/>
      </c>
      <c r="AQ70" s="235">
        <f>IFERROR(_xlfn.XLOOKUP($C70,$D$3:$D$40,AQ$3:AQ$40)*$BD70,0)</f>
        <v/>
      </c>
      <c r="AR70" s="235">
        <f>IFERROR(_xlfn.XLOOKUP($C70,$D$3:$D$40,AR$3:AR$40)*$BD70,0)</f>
        <v/>
      </c>
      <c r="AS70" s="235">
        <f>IFERROR(_xlfn.XLOOKUP($C70,$D$3:$D$40,AS$3:AS$40)*$BD70,0)</f>
        <v/>
      </c>
      <c r="AT70" s="235">
        <f>IFERROR(_xlfn.XLOOKUP($C70,$D$3:$D$40,AT$3:AT$40)*$BD70,0)</f>
        <v/>
      </c>
      <c r="AU70" s="235">
        <f>IFERROR(_xlfn.XLOOKUP($C70,$D$3:$D$40,AU$3:AU$40)*$BD70,0)</f>
        <v/>
      </c>
      <c r="AV70" s="235">
        <f>IFERROR(_xlfn.XLOOKUP($C70,$D$3:$D$40,AV$3:AV$40)*$BD70,0)</f>
        <v/>
      </c>
      <c r="AW70" s="235">
        <f>IFERROR(_xlfn.XLOOKUP($C70,$D$3:$D$40,AW$3:AW$40)*$BD70,0)</f>
        <v/>
      </c>
      <c r="AX70" s="235">
        <f>IFERROR(_xlfn.XLOOKUP($C70,$D$3:$D$40,AX$3:AX$40)*$BD70,0)</f>
        <v/>
      </c>
      <c r="AY70" s="235">
        <f>IFERROR(_xlfn.XLOOKUP($C70,$D$3:$D$40,AY$3:AY$40)*$BD70,0)</f>
        <v/>
      </c>
      <c r="AZ70" s="235">
        <f>IFERROR(_xlfn.XLOOKUP($C70,$D$3:$D$40,AZ$3:AZ$40)*$BD70,0)</f>
        <v/>
      </c>
      <c r="BA70" s="235">
        <f>IFERROR(_xlfn.XLOOKUP($C70,$D$3:$D$40,BA$3:BA$40)*$BD70,0)</f>
        <v/>
      </c>
      <c r="BB70" s="235">
        <f>IFERROR(_xlfn.XLOOKUP($C70,$D$3:$D$40,BB$3:BB$40)*$BD70,0)</f>
        <v/>
      </c>
      <c r="BC70" s="228">
        <f>IFERROR(_xlfn.XLOOKUP(D70,'2C 均值'!$A:$A,'2C 均值'!$E:$E),0)</f>
        <v/>
      </c>
      <c r="BD70" s="228">
        <f t="array" ref="BD70">IF(OR($D70=0,$D70=""),"",_xlfn.LET(
        _xlpm.channel,$D70,
        _xlpm.factorName,$C70,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1" ht="15.75" customHeight="1" s="179">
      <c r="C71" s="84">
        <f>IF(OR($D71=0,$D71=""),"",_xlfn.LET(
    _xlpm.channel,$D71,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1" s="119">
        <f>'2B RotationRule'!C16</f>
        <v/>
      </c>
      <c r="E71" s="227">
        <f>IFERROR(_xlfn.XLOOKUP($C71,$D$3:$D$40,E$3:E$40)*$BD71,0)</f>
        <v/>
      </c>
      <c r="F71" s="227">
        <f>IFERROR(_xlfn.XLOOKUP($C71,$D$3:$D$40,F$3:F$40)*$BD71,0)</f>
        <v/>
      </c>
      <c r="G71" s="227">
        <f>IFERROR(_xlfn.XLOOKUP($C71,$D$3:$D$40,G$3:G$40)*$BD71,0)</f>
        <v/>
      </c>
      <c r="H71" s="235">
        <f>IFERROR(_xlfn.XLOOKUP($C71,$D$3:$D$40,H$3:H$40)*$BD71,0)</f>
        <v/>
      </c>
      <c r="I71" s="235">
        <f>IFERROR(_xlfn.XLOOKUP($C71,$D$3:$D$40,I$3:I$40)*$BD71,0)</f>
        <v/>
      </c>
      <c r="J71" s="235">
        <f>IFERROR(_xlfn.XLOOKUP($C71,$D$3:$D$40,J$3:J$40)*$BD71,0)</f>
        <v/>
      </c>
      <c r="K71" s="235">
        <f>IFERROR(_xlfn.XLOOKUP($C71,$D$3:$D$40,K$3:K$40)*$BD71,0)</f>
        <v/>
      </c>
      <c r="L71" s="235">
        <f>IFERROR(_xlfn.XLOOKUP($C71,$D$3:$D$40,L$3:L$40)*$BD71,0)</f>
        <v/>
      </c>
      <c r="M71" s="235">
        <f>IFERROR(_xlfn.XLOOKUP($C71,$D$3:$D$40,M$3:M$40)*$BD71,0)</f>
        <v/>
      </c>
      <c r="N71" s="235">
        <f>IFERROR(_xlfn.XLOOKUP($C71,$D$3:$D$40,N$3:N$40)*$BD71,0)</f>
        <v/>
      </c>
      <c r="O71" s="235">
        <f>IFERROR(_xlfn.XLOOKUP($C71,$D$3:$D$40,O$3:O$40)*$BD71,0)</f>
        <v/>
      </c>
      <c r="P71" s="235">
        <f>IFERROR(_xlfn.XLOOKUP($C71,$D$3:$D$40,P$3:P$40)*$BD71,0)</f>
        <v/>
      </c>
      <c r="Q71" s="235">
        <f>IFERROR(_xlfn.XLOOKUP($C71,$D$3:$D$40,Q$3:Q$40)*$BD71,0)</f>
        <v/>
      </c>
      <c r="R71" s="235">
        <f>IFERROR(_xlfn.XLOOKUP($C71,$D$3:$D$40,R$3:R$40)*$BD71,0)</f>
        <v/>
      </c>
      <c r="S71" s="235">
        <f>IFERROR(_xlfn.XLOOKUP($C71,$D$3:$D$40,S$3:S$40)*$BD71,0)</f>
        <v/>
      </c>
      <c r="T71" s="235">
        <f>IFERROR(_xlfn.XLOOKUP($C71,$D$3:$D$40,T$3:T$40)*$BD71,0)</f>
        <v/>
      </c>
      <c r="U71" s="235">
        <f>IFERROR(_xlfn.XLOOKUP($C71,$D$3:$D$40,U$3:U$40)*$BD71,0)</f>
        <v/>
      </c>
      <c r="V71" s="235">
        <f>IFERROR(_xlfn.XLOOKUP($C71,$D$3:$D$40,V$3:V$40)*$BD71,0)</f>
        <v/>
      </c>
      <c r="W71" s="235">
        <f>IFERROR(_xlfn.XLOOKUP($C71,$D$3:$D$40,W$3:W$40)*$BD71,0)</f>
        <v/>
      </c>
      <c r="X71" s="235">
        <f>IFERROR(_xlfn.XLOOKUP($C71,$D$3:$D$40,X$3:X$40)*$BD71,0)</f>
        <v/>
      </c>
      <c r="Y71" s="235">
        <f>IFERROR(_xlfn.XLOOKUP($C71,$D$3:$D$40,Y$3:Y$40)*$BD71,0)</f>
        <v/>
      </c>
      <c r="Z71" s="235">
        <f>IFERROR(_xlfn.XLOOKUP($C71,$D$3:$D$40,Z$3:Z$40)*$BD71,0)</f>
        <v/>
      </c>
      <c r="AA71" s="235">
        <f>IFERROR(_xlfn.XLOOKUP($C71,$D$3:$D$40,AA$3:AA$40)*$BD71,0)</f>
        <v/>
      </c>
      <c r="AB71" s="235">
        <f>IFERROR(_xlfn.XLOOKUP($C71,$D$3:$D$40,AB$3:AB$40)*$BD71,0)</f>
        <v/>
      </c>
      <c r="AC71" s="235">
        <f>IFERROR(_xlfn.XLOOKUP($C71,$D$3:$D$40,AC$3:AC$40)*$BD71,0)</f>
        <v/>
      </c>
      <c r="AD71" s="235">
        <f>IFERROR(_xlfn.XLOOKUP($C71,$D$3:$D$40,AD$3:AD$40)*$BD71,0)</f>
        <v/>
      </c>
      <c r="AE71" s="235">
        <f>IFERROR(_xlfn.XLOOKUP($C71,$D$3:$D$40,AE$3:AE$40)*$BD71,0)</f>
        <v/>
      </c>
      <c r="AF71" s="235">
        <f>IFERROR(_xlfn.XLOOKUP($C71,$D$3:$D$40,AF$3:AF$40)*$BD71,0)</f>
        <v/>
      </c>
      <c r="AG71" s="235">
        <f>IFERROR(_xlfn.XLOOKUP($C71,$D$3:$D$40,AG$3:AG$40)*$BD71,0)</f>
        <v/>
      </c>
      <c r="AH71" s="235">
        <f>IFERROR(_xlfn.XLOOKUP($C71,$D$3:$D$40,AH$3:AH$40)*$BD71,0)</f>
        <v/>
      </c>
      <c r="AI71" s="235">
        <f>IFERROR(_xlfn.XLOOKUP($C71,$D$3:$D$40,AI$3:AI$40)*$BD71,0)</f>
        <v/>
      </c>
      <c r="AJ71" s="235">
        <f>IFERROR(_xlfn.XLOOKUP($C71,$D$3:$D$40,AJ$3:AJ$40)*$BD71,0)</f>
        <v/>
      </c>
      <c r="AK71" s="235">
        <f>IFERROR(_xlfn.XLOOKUP($C71,$D$3:$D$40,AK$3:AK$40)*$BD71,0)</f>
        <v/>
      </c>
      <c r="AL71" s="235">
        <f>IFERROR(_xlfn.XLOOKUP($C71,$D$3:$D$40,AL$3:AL$40)*$BD71,0)</f>
        <v/>
      </c>
      <c r="AM71" s="235">
        <f>IFERROR(_xlfn.XLOOKUP($C71,$D$3:$D$40,AM$3:AM$40)*$BD71,0)</f>
        <v/>
      </c>
      <c r="AN71" s="235">
        <f>IFERROR(_xlfn.XLOOKUP($C71,$D$3:$D$40,AN$3:AN$40)*$BD71,0)</f>
        <v/>
      </c>
      <c r="AO71" s="235">
        <f>IFERROR(_xlfn.XLOOKUP($C71,$D$3:$D$40,AO$3:AO$40)*$BD71,0)</f>
        <v/>
      </c>
      <c r="AP71" s="235">
        <f>IFERROR(_xlfn.XLOOKUP($C71,$D$3:$D$40,AP$3:AP$40)*$BD71,0)</f>
        <v/>
      </c>
      <c r="AQ71" s="235">
        <f>IFERROR(_xlfn.XLOOKUP($C71,$D$3:$D$40,AQ$3:AQ$40)*$BD71,0)</f>
        <v/>
      </c>
      <c r="AR71" s="235">
        <f>IFERROR(_xlfn.XLOOKUP($C71,$D$3:$D$40,AR$3:AR$40)*$BD71,0)</f>
        <v/>
      </c>
      <c r="AS71" s="235">
        <f>IFERROR(_xlfn.XLOOKUP($C71,$D$3:$D$40,AS$3:AS$40)*$BD71,0)</f>
        <v/>
      </c>
      <c r="AT71" s="235">
        <f>IFERROR(_xlfn.XLOOKUP($C71,$D$3:$D$40,AT$3:AT$40)*$BD71,0)</f>
        <v/>
      </c>
      <c r="AU71" s="235">
        <f>IFERROR(_xlfn.XLOOKUP($C71,$D$3:$D$40,AU$3:AU$40)*$BD71,0)</f>
        <v/>
      </c>
      <c r="AV71" s="235">
        <f>IFERROR(_xlfn.XLOOKUP($C71,$D$3:$D$40,AV$3:AV$40)*$BD71,0)</f>
        <v/>
      </c>
      <c r="AW71" s="235">
        <f>IFERROR(_xlfn.XLOOKUP($C71,$D$3:$D$40,AW$3:AW$40)*$BD71,0)</f>
        <v/>
      </c>
      <c r="AX71" s="235">
        <f>IFERROR(_xlfn.XLOOKUP($C71,$D$3:$D$40,AX$3:AX$40)*$BD71,0)</f>
        <v/>
      </c>
      <c r="AY71" s="235">
        <f>IFERROR(_xlfn.XLOOKUP($C71,$D$3:$D$40,AY$3:AY$40)*$BD71,0)</f>
        <v/>
      </c>
      <c r="AZ71" s="235">
        <f>IFERROR(_xlfn.XLOOKUP($C71,$D$3:$D$40,AZ$3:AZ$40)*$BD71,0)</f>
        <v/>
      </c>
      <c r="BA71" s="235">
        <f>IFERROR(_xlfn.XLOOKUP($C71,$D$3:$D$40,BA$3:BA$40)*$BD71,0)</f>
        <v/>
      </c>
      <c r="BB71" s="235">
        <f>IFERROR(_xlfn.XLOOKUP($C71,$D$3:$D$40,BB$3:BB$40)*$BD71,0)</f>
        <v/>
      </c>
      <c r="BC71" s="228">
        <f>IFERROR(_xlfn.XLOOKUP(D71,'2C 均值'!$A:$A,'2C 均值'!$E:$E),0)</f>
        <v/>
      </c>
      <c r="BD71" s="228">
        <f t="array" ref="BD71">IF(OR($D71=0,$D71=""),"",_xlfn.LET(
        _xlpm.channel,$D71,
        _xlpm.factorName,$C71,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2" ht="15.75" customHeight="1" s="179">
      <c r="C72" s="84">
        <f>IF(OR($D72=0,$D72=""),"",_xlfn.LET(
    _xlpm.channel,$D72,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2" s="119">
        <f>'2B RotationRule'!C17</f>
        <v/>
      </c>
      <c r="E72" s="227">
        <f>IFERROR(_xlfn.XLOOKUP($C72,$D$3:$D$40,E$3:E$40)*$BD72,0)</f>
        <v/>
      </c>
      <c r="F72" s="227">
        <f>IFERROR(_xlfn.XLOOKUP($C72,$D$3:$D$40,F$3:F$40)*$BD72,0)</f>
        <v/>
      </c>
      <c r="G72" s="227">
        <f>IFERROR(_xlfn.XLOOKUP($C72,$D$3:$D$40,G$3:G$40)*$BD72,0)</f>
        <v/>
      </c>
      <c r="H72" s="235">
        <f>IFERROR(_xlfn.XLOOKUP($C72,$D$3:$D$40,H$3:H$40)*$BD72,0)</f>
        <v/>
      </c>
      <c r="I72" s="235">
        <f>IFERROR(_xlfn.XLOOKUP($C72,$D$3:$D$40,I$3:I$40)*$BD72,0)</f>
        <v/>
      </c>
      <c r="J72" s="235">
        <f>IFERROR(_xlfn.XLOOKUP($C72,$D$3:$D$40,J$3:J$40)*$BD72,0)</f>
        <v/>
      </c>
      <c r="K72" s="235">
        <f>IFERROR(_xlfn.XLOOKUP($C72,$D$3:$D$40,K$3:K$40)*$BD72,0)</f>
        <v/>
      </c>
      <c r="L72" s="235">
        <f>IFERROR(_xlfn.XLOOKUP($C72,$D$3:$D$40,L$3:L$40)*$BD72,0)</f>
        <v/>
      </c>
      <c r="M72" s="235">
        <f>IFERROR(_xlfn.XLOOKUP($C72,$D$3:$D$40,M$3:M$40)*$BD72,0)</f>
        <v/>
      </c>
      <c r="N72" s="235">
        <f>IFERROR(_xlfn.XLOOKUP($C72,$D$3:$D$40,N$3:N$40)*$BD72,0)</f>
        <v/>
      </c>
      <c r="O72" s="235">
        <f>IFERROR(_xlfn.XLOOKUP($C72,$D$3:$D$40,O$3:O$40)*$BD72,0)</f>
        <v/>
      </c>
      <c r="P72" s="235">
        <f>IFERROR(_xlfn.XLOOKUP($C72,$D$3:$D$40,P$3:P$40)*$BD72,0)</f>
        <v/>
      </c>
      <c r="Q72" s="235">
        <f>IFERROR(_xlfn.XLOOKUP($C72,$D$3:$D$40,Q$3:Q$40)*$BD72,0)</f>
        <v/>
      </c>
      <c r="R72" s="235">
        <f>IFERROR(_xlfn.XLOOKUP($C72,$D$3:$D$40,R$3:R$40)*$BD72,0)</f>
        <v/>
      </c>
      <c r="S72" s="235">
        <f>IFERROR(_xlfn.XLOOKUP($C72,$D$3:$D$40,S$3:S$40)*$BD72,0)</f>
        <v/>
      </c>
      <c r="T72" s="235">
        <f>IFERROR(_xlfn.XLOOKUP($C72,$D$3:$D$40,T$3:T$40)*$BD72,0)</f>
        <v/>
      </c>
      <c r="U72" s="235">
        <f>IFERROR(_xlfn.XLOOKUP($C72,$D$3:$D$40,U$3:U$40)*$BD72,0)</f>
        <v/>
      </c>
      <c r="V72" s="235">
        <f>IFERROR(_xlfn.XLOOKUP($C72,$D$3:$D$40,V$3:V$40)*$BD72,0)</f>
        <v/>
      </c>
      <c r="W72" s="235">
        <f>IFERROR(_xlfn.XLOOKUP($C72,$D$3:$D$40,W$3:W$40)*$BD72,0)</f>
        <v/>
      </c>
      <c r="X72" s="235">
        <f>IFERROR(_xlfn.XLOOKUP($C72,$D$3:$D$40,X$3:X$40)*$BD72,0)</f>
        <v/>
      </c>
      <c r="Y72" s="235">
        <f>IFERROR(_xlfn.XLOOKUP($C72,$D$3:$D$40,Y$3:Y$40)*$BD72,0)</f>
        <v/>
      </c>
      <c r="Z72" s="235">
        <f>IFERROR(_xlfn.XLOOKUP($C72,$D$3:$D$40,Z$3:Z$40)*$BD72,0)</f>
        <v/>
      </c>
      <c r="AA72" s="235">
        <f>IFERROR(_xlfn.XLOOKUP($C72,$D$3:$D$40,AA$3:AA$40)*$BD72,0)</f>
        <v/>
      </c>
      <c r="AB72" s="235">
        <f>IFERROR(_xlfn.XLOOKUP($C72,$D$3:$D$40,AB$3:AB$40)*$BD72,0)</f>
        <v/>
      </c>
      <c r="AC72" s="235">
        <f>IFERROR(_xlfn.XLOOKUP($C72,$D$3:$D$40,AC$3:AC$40)*$BD72,0)</f>
        <v/>
      </c>
      <c r="AD72" s="235">
        <f>IFERROR(_xlfn.XLOOKUP($C72,$D$3:$D$40,AD$3:AD$40)*$BD72,0)</f>
        <v/>
      </c>
      <c r="AE72" s="235">
        <f>IFERROR(_xlfn.XLOOKUP($C72,$D$3:$D$40,AE$3:AE$40)*$BD72,0)</f>
        <v/>
      </c>
      <c r="AF72" s="235">
        <f>IFERROR(_xlfn.XLOOKUP($C72,$D$3:$D$40,AF$3:AF$40)*$BD72,0)</f>
        <v/>
      </c>
      <c r="AG72" s="235">
        <f>IFERROR(_xlfn.XLOOKUP($C72,$D$3:$D$40,AG$3:AG$40)*$BD72,0)</f>
        <v/>
      </c>
      <c r="AH72" s="235">
        <f>IFERROR(_xlfn.XLOOKUP($C72,$D$3:$D$40,AH$3:AH$40)*$BD72,0)</f>
        <v/>
      </c>
      <c r="AI72" s="235">
        <f>IFERROR(_xlfn.XLOOKUP($C72,$D$3:$D$40,AI$3:AI$40)*$BD72,0)</f>
        <v/>
      </c>
      <c r="AJ72" s="235">
        <f>IFERROR(_xlfn.XLOOKUP($C72,$D$3:$D$40,AJ$3:AJ$40)*$BD72,0)</f>
        <v/>
      </c>
      <c r="AK72" s="235">
        <f>IFERROR(_xlfn.XLOOKUP($C72,$D$3:$D$40,AK$3:AK$40)*$BD72,0)</f>
        <v/>
      </c>
      <c r="AL72" s="235">
        <f>IFERROR(_xlfn.XLOOKUP($C72,$D$3:$D$40,AL$3:AL$40)*$BD72,0)</f>
        <v/>
      </c>
      <c r="AM72" s="235">
        <f>IFERROR(_xlfn.XLOOKUP($C72,$D$3:$D$40,AM$3:AM$40)*$BD72,0)</f>
        <v/>
      </c>
      <c r="AN72" s="235">
        <f>IFERROR(_xlfn.XLOOKUP($C72,$D$3:$D$40,AN$3:AN$40)*$BD72,0)</f>
        <v/>
      </c>
      <c r="AO72" s="235">
        <f>IFERROR(_xlfn.XLOOKUP($C72,$D$3:$D$40,AO$3:AO$40)*$BD72,0)</f>
        <v/>
      </c>
      <c r="AP72" s="235">
        <f>IFERROR(_xlfn.XLOOKUP($C72,$D$3:$D$40,AP$3:AP$40)*$BD72,0)</f>
        <v/>
      </c>
      <c r="AQ72" s="235">
        <f>IFERROR(_xlfn.XLOOKUP($C72,$D$3:$D$40,AQ$3:AQ$40)*$BD72,0)</f>
        <v/>
      </c>
      <c r="AR72" s="235">
        <f>IFERROR(_xlfn.XLOOKUP($C72,$D$3:$D$40,AR$3:AR$40)*$BD72,0)</f>
        <v/>
      </c>
      <c r="AS72" s="235">
        <f>IFERROR(_xlfn.XLOOKUP($C72,$D$3:$D$40,AS$3:AS$40)*$BD72,0)</f>
        <v/>
      </c>
      <c r="AT72" s="235">
        <f>IFERROR(_xlfn.XLOOKUP($C72,$D$3:$D$40,AT$3:AT$40)*$BD72,0)</f>
        <v/>
      </c>
      <c r="AU72" s="235">
        <f>IFERROR(_xlfn.XLOOKUP($C72,$D$3:$D$40,AU$3:AU$40)*$BD72,0)</f>
        <v/>
      </c>
      <c r="AV72" s="235">
        <f>IFERROR(_xlfn.XLOOKUP($C72,$D$3:$D$40,AV$3:AV$40)*$BD72,0)</f>
        <v/>
      </c>
      <c r="AW72" s="235">
        <f>IFERROR(_xlfn.XLOOKUP($C72,$D$3:$D$40,AW$3:AW$40)*$BD72,0)</f>
        <v/>
      </c>
      <c r="AX72" s="235">
        <f>IFERROR(_xlfn.XLOOKUP($C72,$D$3:$D$40,AX$3:AX$40)*$BD72,0)</f>
        <v/>
      </c>
      <c r="AY72" s="235">
        <f>IFERROR(_xlfn.XLOOKUP($C72,$D$3:$D$40,AY$3:AY$40)*$BD72,0)</f>
        <v/>
      </c>
      <c r="AZ72" s="235">
        <f>IFERROR(_xlfn.XLOOKUP($C72,$D$3:$D$40,AZ$3:AZ$40)*$BD72,0)</f>
        <v/>
      </c>
      <c r="BA72" s="235">
        <f>IFERROR(_xlfn.XLOOKUP($C72,$D$3:$D$40,BA$3:BA$40)*$BD72,0)</f>
        <v/>
      </c>
      <c r="BB72" s="235">
        <f>IFERROR(_xlfn.XLOOKUP($C72,$D$3:$D$40,BB$3:BB$40)*$BD72,0)</f>
        <v/>
      </c>
      <c r="BC72" s="228">
        <f>IFERROR(_xlfn.XLOOKUP(D72,'2C 均值'!$A:$A,'2C 均值'!$E:$E),0)</f>
        <v/>
      </c>
      <c r="BD72" s="228">
        <f t="array" ref="BD72">IF(OR($D72=0,$D72=""),"",_xlfn.LET(
        _xlpm.channel,$D72,
        _xlpm.factorName,$C72,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3" ht="15.75" customHeight="1" s="179">
      <c r="C73" s="84">
        <f>IF(OR($D73=0,$D73=""),"",_xlfn.LET(
    _xlpm.channel,$D73,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3" s="119">
        <f>'2B RotationRule'!C18</f>
        <v/>
      </c>
      <c r="E73" s="227">
        <f>IFERROR(_xlfn.XLOOKUP($C73,$D$3:$D$40,E$3:E$40)*$BD73,0)</f>
        <v/>
      </c>
      <c r="F73" s="227">
        <f>IFERROR(_xlfn.XLOOKUP($C73,$D$3:$D$40,F$3:F$40)*$BD73,0)</f>
        <v/>
      </c>
      <c r="G73" s="227">
        <f>IFERROR(_xlfn.XLOOKUP($C73,$D$3:$D$40,G$3:G$40)*$BD73,0)</f>
        <v/>
      </c>
      <c r="H73" s="235">
        <f>IFERROR(_xlfn.XLOOKUP($C73,$D$3:$D$40,H$3:H$40)*$BD73,0)</f>
        <v/>
      </c>
      <c r="I73" s="235">
        <f>IFERROR(_xlfn.XLOOKUP($C73,$D$3:$D$40,I$3:I$40)*$BD73,0)</f>
        <v/>
      </c>
      <c r="J73" s="235">
        <f>IFERROR(_xlfn.XLOOKUP($C73,$D$3:$D$40,J$3:J$40)*$BD73,0)</f>
        <v/>
      </c>
      <c r="K73" s="235">
        <f>IFERROR(_xlfn.XLOOKUP($C73,$D$3:$D$40,K$3:K$40)*$BD73,0)</f>
        <v/>
      </c>
      <c r="L73" s="235">
        <f>IFERROR(_xlfn.XLOOKUP($C73,$D$3:$D$40,L$3:L$40)*$BD73,0)</f>
        <v/>
      </c>
      <c r="M73" s="235">
        <f>IFERROR(_xlfn.XLOOKUP($C73,$D$3:$D$40,M$3:M$40)*$BD73,0)</f>
        <v/>
      </c>
      <c r="N73" s="235">
        <f>IFERROR(_xlfn.XLOOKUP($C73,$D$3:$D$40,N$3:N$40)*$BD73,0)</f>
        <v/>
      </c>
      <c r="O73" s="235">
        <f>IFERROR(_xlfn.XLOOKUP($C73,$D$3:$D$40,O$3:O$40)*$BD73,0)</f>
        <v/>
      </c>
      <c r="P73" s="235">
        <f>IFERROR(_xlfn.XLOOKUP($C73,$D$3:$D$40,P$3:P$40)*$BD73,0)</f>
        <v/>
      </c>
      <c r="Q73" s="235">
        <f>IFERROR(_xlfn.XLOOKUP($C73,$D$3:$D$40,Q$3:Q$40)*$BD73,0)</f>
        <v/>
      </c>
      <c r="R73" s="235">
        <f>IFERROR(_xlfn.XLOOKUP($C73,$D$3:$D$40,R$3:R$40)*$BD73,0)</f>
        <v/>
      </c>
      <c r="S73" s="235">
        <f>IFERROR(_xlfn.XLOOKUP($C73,$D$3:$D$40,S$3:S$40)*$BD73,0)</f>
        <v/>
      </c>
      <c r="T73" s="235">
        <f>IFERROR(_xlfn.XLOOKUP($C73,$D$3:$D$40,T$3:T$40)*$BD73,0)</f>
        <v/>
      </c>
      <c r="U73" s="235">
        <f>IFERROR(_xlfn.XLOOKUP($C73,$D$3:$D$40,U$3:U$40)*$BD73,0)</f>
        <v/>
      </c>
      <c r="V73" s="235">
        <f>IFERROR(_xlfn.XLOOKUP($C73,$D$3:$D$40,V$3:V$40)*$BD73,0)</f>
        <v/>
      </c>
      <c r="W73" s="235">
        <f>IFERROR(_xlfn.XLOOKUP($C73,$D$3:$D$40,W$3:W$40)*$BD73,0)</f>
        <v/>
      </c>
      <c r="X73" s="235">
        <f>IFERROR(_xlfn.XLOOKUP($C73,$D$3:$D$40,X$3:X$40)*$BD73,0)</f>
        <v/>
      </c>
      <c r="Y73" s="235">
        <f>IFERROR(_xlfn.XLOOKUP($C73,$D$3:$D$40,Y$3:Y$40)*$BD73,0)</f>
        <v/>
      </c>
      <c r="Z73" s="235">
        <f>IFERROR(_xlfn.XLOOKUP($C73,$D$3:$D$40,Z$3:Z$40)*$BD73,0)</f>
        <v/>
      </c>
      <c r="AA73" s="235">
        <f>IFERROR(_xlfn.XLOOKUP($C73,$D$3:$D$40,AA$3:AA$40)*$BD73,0)</f>
        <v/>
      </c>
      <c r="AB73" s="235">
        <f>IFERROR(_xlfn.XLOOKUP($C73,$D$3:$D$40,AB$3:AB$40)*$BD73,0)</f>
        <v/>
      </c>
      <c r="AC73" s="235">
        <f>IFERROR(_xlfn.XLOOKUP($C73,$D$3:$D$40,AC$3:AC$40)*$BD73,0)</f>
        <v/>
      </c>
      <c r="AD73" s="235">
        <f>IFERROR(_xlfn.XLOOKUP($C73,$D$3:$D$40,AD$3:AD$40)*$BD73,0)</f>
        <v/>
      </c>
      <c r="AE73" s="235">
        <f>IFERROR(_xlfn.XLOOKUP($C73,$D$3:$D$40,AE$3:AE$40)*$BD73,0)</f>
        <v/>
      </c>
      <c r="AF73" s="235">
        <f>IFERROR(_xlfn.XLOOKUP($C73,$D$3:$D$40,AF$3:AF$40)*$BD73,0)</f>
        <v/>
      </c>
      <c r="AG73" s="235">
        <f>IFERROR(_xlfn.XLOOKUP($C73,$D$3:$D$40,AG$3:AG$40)*$BD73,0)</f>
        <v/>
      </c>
      <c r="AH73" s="235">
        <f>IFERROR(_xlfn.XLOOKUP($C73,$D$3:$D$40,AH$3:AH$40)*$BD73,0)</f>
        <v/>
      </c>
      <c r="AI73" s="235">
        <f>IFERROR(_xlfn.XLOOKUP($C73,$D$3:$D$40,AI$3:AI$40)*$BD73,0)</f>
        <v/>
      </c>
      <c r="AJ73" s="235">
        <f>IFERROR(_xlfn.XLOOKUP($C73,$D$3:$D$40,AJ$3:AJ$40)*$BD73,0)</f>
        <v/>
      </c>
      <c r="AK73" s="235">
        <f>IFERROR(_xlfn.XLOOKUP($C73,$D$3:$D$40,AK$3:AK$40)*$BD73,0)</f>
        <v/>
      </c>
      <c r="AL73" s="235">
        <f>IFERROR(_xlfn.XLOOKUP($C73,$D$3:$D$40,AL$3:AL$40)*$BD73,0)</f>
        <v/>
      </c>
      <c r="AM73" s="235">
        <f>IFERROR(_xlfn.XLOOKUP($C73,$D$3:$D$40,AM$3:AM$40)*$BD73,0)</f>
        <v/>
      </c>
      <c r="AN73" s="235">
        <f>IFERROR(_xlfn.XLOOKUP($C73,$D$3:$D$40,AN$3:AN$40)*$BD73,0)</f>
        <v/>
      </c>
      <c r="AO73" s="235">
        <f>IFERROR(_xlfn.XLOOKUP($C73,$D$3:$D$40,AO$3:AO$40)*$BD73,0)</f>
        <v/>
      </c>
      <c r="AP73" s="235">
        <f>IFERROR(_xlfn.XLOOKUP($C73,$D$3:$D$40,AP$3:AP$40)*$BD73,0)</f>
        <v/>
      </c>
      <c r="AQ73" s="235">
        <f>IFERROR(_xlfn.XLOOKUP($C73,$D$3:$D$40,AQ$3:AQ$40)*$BD73,0)</f>
        <v/>
      </c>
      <c r="AR73" s="235">
        <f>IFERROR(_xlfn.XLOOKUP($C73,$D$3:$D$40,AR$3:AR$40)*$BD73,0)</f>
        <v/>
      </c>
      <c r="AS73" s="235">
        <f>IFERROR(_xlfn.XLOOKUP($C73,$D$3:$D$40,AS$3:AS$40)*$BD73,0)</f>
        <v/>
      </c>
      <c r="AT73" s="235">
        <f>IFERROR(_xlfn.XLOOKUP($C73,$D$3:$D$40,AT$3:AT$40)*$BD73,0)</f>
        <v/>
      </c>
      <c r="AU73" s="235">
        <f>IFERROR(_xlfn.XLOOKUP($C73,$D$3:$D$40,AU$3:AU$40)*$BD73,0)</f>
        <v/>
      </c>
      <c r="AV73" s="235">
        <f>IFERROR(_xlfn.XLOOKUP($C73,$D$3:$D$40,AV$3:AV$40)*$BD73,0)</f>
        <v/>
      </c>
      <c r="AW73" s="235">
        <f>IFERROR(_xlfn.XLOOKUP($C73,$D$3:$D$40,AW$3:AW$40)*$BD73,0)</f>
        <v/>
      </c>
      <c r="AX73" s="235">
        <f>IFERROR(_xlfn.XLOOKUP($C73,$D$3:$D$40,AX$3:AX$40)*$BD73,0)</f>
        <v/>
      </c>
      <c r="AY73" s="235">
        <f>IFERROR(_xlfn.XLOOKUP($C73,$D$3:$D$40,AY$3:AY$40)*$BD73,0)</f>
        <v/>
      </c>
      <c r="AZ73" s="235">
        <f>IFERROR(_xlfn.XLOOKUP($C73,$D$3:$D$40,AZ$3:AZ$40)*$BD73,0)</f>
        <v/>
      </c>
      <c r="BA73" s="235">
        <f>IFERROR(_xlfn.XLOOKUP($C73,$D$3:$D$40,BA$3:BA$40)*$BD73,0)</f>
        <v/>
      </c>
      <c r="BB73" s="235">
        <f>IFERROR(_xlfn.XLOOKUP($C73,$D$3:$D$40,BB$3:BB$40)*$BD73,0)</f>
        <v/>
      </c>
      <c r="BC73" s="228">
        <f>IFERROR(_xlfn.XLOOKUP(D73,'2C 均值'!$A:$A,'2C 均值'!$E:$E),0)</f>
        <v/>
      </c>
      <c r="BD73" s="228">
        <f t="array" ref="BD73">IF(OR($D73=0,$D73=""),"",_xlfn.LET(
        _xlpm.channel,$D73,
        _xlpm.factorName,$C73,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4" ht="15.75" customHeight="1" s="179">
      <c r="C74" s="84">
        <f>IF(OR($D74=0,$D74=""),"",_xlfn.LET(
    _xlpm.channel,$D74,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4" s="119">
        <f>'2B RotationRule'!C19</f>
        <v/>
      </c>
      <c r="E74" s="227">
        <f>IFERROR(_xlfn.XLOOKUP($C74,$D$3:$D$40,E$3:E$40)*$BD74,0)</f>
        <v/>
      </c>
      <c r="F74" s="227">
        <f>IFERROR(_xlfn.XLOOKUP($C74,$D$3:$D$40,F$3:F$40)*$BD74,0)</f>
        <v/>
      </c>
      <c r="G74" s="227">
        <f>IFERROR(_xlfn.XLOOKUP($C74,$D$3:$D$40,G$3:G$40)*$BD74,0)</f>
        <v/>
      </c>
      <c r="H74" s="235">
        <f>IFERROR(_xlfn.XLOOKUP($C74,$D$3:$D$40,H$3:H$40)*$BD74,0)</f>
        <v/>
      </c>
      <c r="I74" s="235">
        <f>IFERROR(_xlfn.XLOOKUP($C74,$D$3:$D$40,I$3:I$40)*$BD74,0)</f>
        <v/>
      </c>
      <c r="J74" s="235">
        <f>IFERROR(_xlfn.XLOOKUP($C74,$D$3:$D$40,J$3:J$40)*$BD74,0)</f>
        <v/>
      </c>
      <c r="K74" s="235">
        <f>IFERROR(_xlfn.XLOOKUP($C74,$D$3:$D$40,K$3:K$40)*$BD74,0)</f>
        <v/>
      </c>
      <c r="L74" s="235">
        <f>IFERROR(_xlfn.XLOOKUP($C74,$D$3:$D$40,L$3:L$40)*$BD74,0)</f>
        <v/>
      </c>
      <c r="M74" s="235">
        <f>IFERROR(_xlfn.XLOOKUP($C74,$D$3:$D$40,M$3:M$40)*$BD74,0)</f>
        <v/>
      </c>
      <c r="N74" s="235">
        <f>IFERROR(_xlfn.XLOOKUP($C74,$D$3:$D$40,N$3:N$40)*$BD74,0)</f>
        <v/>
      </c>
      <c r="O74" s="235">
        <f>IFERROR(_xlfn.XLOOKUP($C74,$D$3:$D$40,O$3:O$40)*$BD74,0)</f>
        <v/>
      </c>
      <c r="P74" s="235">
        <f>IFERROR(_xlfn.XLOOKUP($C74,$D$3:$D$40,P$3:P$40)*$BD74,0)</f>
        <v/>
      </c>
      <c r="Q74" s="235">
        <f>IFERROR(_xlfn.XLOOKUP($C74,$D$3:$D$40,Q$3:Q$40)*$BD74,0)</f>
        <v/>
      </c>
      <c r="R74" s="235">
        <f>IFERROR(_xlfn.XLOOKUP($C74,$D$3:$D$40,R$3:R$40)*$BD74,0)</f>
        <v/>
      </c>
      <c r="S74" s="235">
        <f>IFERROR(_xlfn.XLOOKUP($C74,$D$3:$D$40,S$3:S$40)*$BD74,0)</f>
        <v/>
      </c>
      <c r="T74" s="235">
        <f>IFERROR(_xlfn.XLOOKUP($C74,$D$3:$D$40,T$3:T$40)*$BD74,0)</f>
        <v/>
      </c>
      <c r="U74" s="235">
        <f>IFERROR(_xlfn.XLOOKUP($C74,$D$3:$D$40,U$3:U$40)*$BD74,0)</f>
        <v/>
      </c>
      <c r="V74" s="235">
        <f>IFERROR(_xlfn.XLOOKUP($C74,$D$3:$D$40,V$3:V$40)*$BD74,0)</f>
        <v/>
      </c>
      <c r="W74" s="235">
        <f>IFERROR(_xlfn.XLOOKUP($C74,$D$3:$D$40,W$3:W$40)*$BD74,0)</f>
        <v/>
      </c>
      <c r="X74" s="235">
        <f>IFERROR(_xlfn.XLOOKUP($C74,$D$3:$D$40,X$3:X$40)*$BD74,0)</f>
        <v/>
      </c>
      <c r="Y74" s="235">
        <f>IFERROR(_xlfn.XLOOKUP($C74,$D$3:$D$40,Y$3:Y$40)*$BD74,0)</f>
        <v/>
      </c>
      <c r="Z74" s="235">
        <f>IFERROR(_xlfn.XLOOKUP($C74,$D$3:$D$40,Z$3:Z$40)*$BD74,0)</f>
        <v/>
      </c>
      <c r="AA74" s="235">
        <f>IFERROR(_xlfn.XLOOKUP($C74,$D$3:$D$40,AA$3:AA$40)*$BD74,0)</f>
        <v/>
      </c>
      <c r="AB74" s="235">
        <f>IFERROR(_xlfn.XLOOKUP($C74,$D$3:$D$40,AB$3:AB$40)*$BD74,0)</f>
        <v/>
      </c>
      <c r="AC74" s="235">
        <f>IFERROR(_xlfn.XLOOKUP($C74,$D$3:$D$40,AC$3:AC$40)*$BD74,0)</f>
        <v/>
      </c>
      <c r="AD74" s="235">
        <f>IFERROR(_xlfn.XLOOKUP($C74,$D$3:$D$40,AD$3:AD$40)*$BD74,0)</f>
        <v/>
      </c>
      <c r="AE74" s="235">
        <f>IFERROR(_xlfn.XLOOKUP($C74,$D$3:$D$40,AE$3:AE$40)*$BD74,0)</f>
        <v/>
      </c>
      <c r="AF74" s="235">
        <f>IFERROR(_xlfn.XLOOKUP($C74,$D$3:$D$40,AF$3:AF$40)*$BD74,0)</f>
        <v/>
      </c>
      <c r="AG74" s="235">
        <f>IFERROR(_xlfn.XLOOKUP($C74,$D$3:$D$40,AG$3:AG$40)*$BD74,0)</f>
        <v/>
      </c>
      <c r="AH74" s="235">
        <f>IFERROR(_xlfn.XLOOKUP($C74,$D$3:$D$40,AH$3:AH$40)*$BD74,0)</f>
        <v/>
      </c>
      <c r="AI74" s="235">
        <f>IFERROR(_xlfn.XLOOKUP($C74,$D$3:$D$40,AI$3:AI$40)*$BD74,0)</f>
        <v/>
      </c>
      <c r="AJ74" s="235">
        <f>IFERROR(_xlfn.XLOOKUP($C74,$D$3:$D$40,AJ$3:AJ$40)*$BD74,0)</f>
        <v/>
      </c>
      <c r="AK74" s="235">
        <f>IFERROR(_xlfn.XLOOKUP($C74,$D$3:$D$40,AK$3:AK$40)*$BD74,0)</f>
        <v/>
      </c>
      <c r="AL74" s="235">
        <f>IFERROR(_xlfn.XLOOKUP($C74,$D$3:$D$40,AL$3:AL$40)*$BD74,0)</f>
        <v/>
      </c>
      <c r="AM74" s="235">
        <f>IFERROR(_xlfn.XLOOKUP($C74,$D$3:$D$40,AM$3:AM$40)*$BD74,0)</f>
        <v/>
      </c>
      <c r="AN74" s="235">
        <f>IFERROR(_xlfn.XLOOKUP($C74,$D$3:$D$40,AN$3:AN$40)*$BD74,0)</f>
        <v/>
      </c>
      <c r="AO74" s="235">
        <f>IFERROR(_xlfn.XLOOKUP($C74,$D$3:$D$40,AO$3:AO$40)*$BD74,0)</f>
        <v/>
      </c>
      <c r="AP74" s="235">
        <f>IFERROR(_xlfn.XLOOKUP($C74,$D$3:$D$40,AP$3:AP$40)*$BD74,0)</f>
        <v/>
      </c>
      <c r="AQ74" s="235">
        <f>IFERROR(_xlfn.XLOOKUP($C74,$D$3:$D$40,AQ$3:AQ$40)*$BD74,0)</f>
        <v/>
      </c>
      <c r="AR74" s="235">
        <f>IFERROR(_xlfn.XLOOKUP($C74,$D$3:$D$40,AR$3:AR$40)*$BD74,0)</f>
        <v/>
      </c>
      <c r="AS74" s="235">
        <f>IFERROR(_xlfn.XLOOKUP($C74,$D$3:$D$40,AS$3:AS$40)*$BD74,0)</f>
        <v/>
      </c>
      <c r="AT74" s="235">
        <f>IFERROR(_xlfn.XLOOKUP($C74,$D$3:$D$40,AT$3:AT$40)*$BD74,0)</f>
        <v/>
      </c>
      <c r="AU74" s="235">
        <f>IFERROR(_xlfn.XLOOKUP($C74,$D$3:$D$40,AU$3:AU$40)*$BD74,0)</f>
        <v/>
      </c>
      <c r="AV74" s="235">
        <f>IFERROR(_xlfn.XLOOKUP($C74,$D$3:$D$40,AV$3:AV$40)*$BD74,0)</f>
        <v/>
      </c>
      <c r="AW74" s="235">
        <f>IFERROR(_xlfn.XLOOKUP($C74,$D$3:$D$40,AW$3:AW$40)*$BD74,0)</f>
        <v/>
      </c>
      <c r="AX74" s="235">
        <f>IFERROR(_xlfn.XLOOKUP($C74,$D$3:$D$40,AX$3:AX$40)*$BD74,0)</f>
        <v/>
      </c>
      <c r="AY74" s="235">
        <f>IFERROR(_xlfn.XLOOKUP($C74,$D$3:$D$40,AY$3:AY$40)*$BD74,0)</f>
        <v/>
      </c>
      <c r="AZ74" s="235">
        <f>IFERROR(_xlfn.XLOOKUP($C74,$D$3:$D$40,AZ$3:AZ$40)*$BD74,0)</f>
        <v/>
      </c>
      <c r="BA74" s="235">
        <f>IFERROR(_xlfn.XLOOKUP($C74,$D$3:$D$40,BA$3:BA$40)*$BD74,0)</f>
        <v/>
      </c>
      <c r="BB74" s="235">
        <f>IFERROR(_xlfn.XLOOKUP($C74,$D$3:$D$40,BB$3:BB$40)*$BD74,0)</f>
        <v/>
      </c>
      <c r="BC74" s="228">
        <f>IFERROR(_xlfn.XLOOKUP(D74,'2C 均值'!$A:$A,'2C 均值'!$E:$E),0)</f>
        <v/>
      </c>
      <c r="BD74" s="228">
        <f t="array" ref="BD74">IF(OR($D74=0,$D74=""),"",_xlfn.LET(
        _xlpm.channel,$D74,
        _xlpm.factorName,$C74,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5" ht="15.75" customHeight="1" s="179">
      <c r="C75" s="84">
        <f>IF(OR($D75=0,$D75=""),"",_xlfn.LET(
    _xlpm.channel,$D75,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5" s="119">
        <f>'2B RotationRule'!C20</f>
        <v/>
      </c>
      <c r="E75" s="227">
        <f>IFERROR(_xlfn.XLOOKUP($C75,$D$3:$D$40,E$3:E$40)*$BD75,0)</f>
        <v/>
      </c>
      <c r="F75" s="227">
        <f>IFERROR(_xlfn.XLOOKUP($C75,$D$3:$D$40,F$3:F$40)*$BD75,0)</f>
        <v/>
      </c>
      <c r="G75" s="227">
        <f>IFERROR(_xlfn.XLOOKUP($C75,$D$3:$D$40,G$3:G$40)*$BD75,0)</f>
        <v/>
      </c>
      <c r="H75" s="235">
        <f>IFERROR(_xlfn.XLOOKUP($C75,$D$3:$D$40,H$3:H$40)*$BD75,0)</f>
        <v/>
      </c>
      <c r="I75" s="235">
        <f>IFERROR(_xlfn.XLOOKUP($C75,$D$3:$D$40,I$3:I$40)*$BD75,0)</f>
        <v/>
      </c>
      <c r="J75" s="235">
        <f>IFERROR(_xlfn.XLOOKUP($C75,$D$3:$D$40,J$3:J$40)*$BD75,0)</f>
        <v/>
      </c>
      <c r="K75" s="235">
        <f>IFERROR(_xlfn.XLOOKUP($C75,$D$3:$D$40,K$3:K$40)*$BD75,0)</f>
        <v/>
      </c>
      <c r="L75" s="235">
        <f>IFERROR(_xlfn.XLOOKUP($C75,$D$3:$D$40,L$3:L$40)*$BD75,0)</f>
        <v/>
      </c>
      <c r="M75" s="235">
        <f>IFERROR(_xlfn.XLOOKUP($C75,$D$3:$D$40,M$3:M$40)*$BD75,0)</f>
        <v/>
      </c>
      <c r="N75" s="235">
        <f>IFERROR(_xlfn.XLOOKUP($C75,$D$3:$D$40,N$3:N$40)*$BD75,0)</f>
        <v/>
      </c>
      <c r="O75" s="235">
        <f>IFERROR(_xlfn.XLOOKUP($C75,$D$3:$D$40,O$3:O$40)*$BD75,0)</f>
        <v/>
      </c>
      <c r="P75" s="235">
        <f>IFERROR(_xlfn.XLOOKUP($C75,$D$3:$D$40,P$3:P$40)*$BD75,0)</f>
        <v/>
      </c>
      <c r="Q75" s="235">
        <f>IFERROR(_xlfn.XLOOKUP($C75,$D$3:$D$40,Q$3:Q$40)*$BD75,0)</f>
        <v/>
      </c>
      <c r="R75" s="235">
        <f>IFERROR(_xlfn.XLOOKUP($C75,$D$3:$D$40,R$3:R$40)*$BD75,0)</f>
        <v/>
      </c>
      <c r="S75" s="235">
        <f>IFERROR(_xlfn.XLOOKUP($C75,$D$3:$D$40,S$3:S$40)*$BD75,0)</f>
        <v/>
      </c>
      <c r="T75" s="235">
        <f>IFERROR(_xlfn.XLOOKUP($C75,$D$3:$D$40,T$3:T$40)*$BD75,0)</f>
        <v/>
      </c>
      <c r="U75" s="235">
        <f>IFERROR(_xlfn.XLOOKUP($C75,$D$3:$D$40,U$3:U$40)*$BD75,0)</f>
        <v/>
      </c>
      <c r="V75" s="235">
        <f>IFERROR(_xlfn.XLOOKUP($C75,$D$3:$D$40,V$3:V$40)*$BD75,0)</f>
        <v/>
      </c>
      <c r="W75" s="235">
        <f>IFERROR(_xlfn.XLOOKUP($C75,$D$3:$D$40,W$3:W$40)*$BD75,0)</f>
        <v/>
      </c>
      <c r="X75" s="235">
        <f>IFERROR(_xlfn.XLOOKUP($C75,$D$3:$D$40,X$3:X$40)*$BD75,0)</f>
        <v/>
      </c>
      <c r="Y75" s="235">
        <f>IFERROR(_xlfn.XLOOKUP($C75,$D$3:$D$40,Y$3:Y$40)*$BD75,0)</f>
        <v/>
      </c>
      <c r="Z75" s="235">
        <f>IFERROR(_xlfn.XLOOKUP($C75,$D$3:$D$40,Z$3:Z$40)*$BD75,0)</f>
        <v/>
      </c>
      <c r="AA75" s="235">
        <f>IFERROR(_xlfn.XLOOKUP($C75,$D$3:$D$40,AA$3:AA$40)*$BD75,0)</f>
        <v/>
      </c>
      <c r="AB75" s="235">
        <f>IFERROR(_xlfn.XLOOKUP($C75,$D$3:$D$40,AB$3:AB$40)*$BD75,0)</f>
        <v/>
      </c>
      <c r="AC75" s="235">
        <f>IFERROR(_xlfn.XLOOKUP($C75,$D$3:$D$40,AC$3:AC$40)*$BD75,0)</f>
        <v/>
      </c>
      <c r="AD75" s="235">
        <f>IFERROR(_xlfn.XLOOKUP($C75,$D$3:$D$40,AD$3:AD$40)*$BD75,0)</f>
        <v/>
      </c>
      <c r="AE75" s="235">
        <f>IFERROR(_xlfn.XLOOKUP($C75,$D$3:$D$40,AE$3:AE$40)*$BD75,0)</f>
        <v/>
      </c>
      <c r="AF75" s="235">
        <f>IFERROR(_xlfn.XLOOKUP($C75,$D$3:$D$40,AF$3:AF$40)*$BD75,0)</f>
        <v/>
      </c>
      <c r="AG75" s="235">
        <f>IFERROR(_xlfn.XLOOKUP($C75,$D$3:$D$40,AG$3:AG$40)*$BD75,0)</f>
        <v/>
      </c>
      <c r="AH75" s="235">
        <f>IFERROR(_xlfn.XLOOKUP($C75,$D$3:$D$40,AH$3:AH$40)*$BD75,0)</f>
        <v/>
      </c>
      <c r="AI75" s="235">
        <f>IFERROR(_xlfn.XLOOKUP($C75,$D$3:$D$40,AI$3:AI$40)*$BD75,0)</f>
        <v/>
      </c>
      <c r="AJ75" s="235">
        <f>IFERROR(_xlfn.XLOOKUP($C75,$D$3:$D$40,AJ$3:AJ$40)*$BD75,0)</f>
        <v/>
      </c>
      <c r="AK75" s="235">
        <f>IFERROR(_xlfn.XLOOKUP($C75,$D$3:$D$40,AK$3:AK$40)*$BD75,0)</f>
        <v/>
      </c>
      <c r="AL75" s="235">
        <f>IFERROR(_xlfn.XLOOKUP($C75,$D$3:$D$40,AL$3:AL$40)*$BD75,0)</f>
        <v/>
      </c>
      <c r="AM75" s="235">
        <f>IFERROR(_xlfn.XLOOKUP($C75,$D$3:$D$40,AM$3:AM$40)*$BD75,0)</f>
        <v/>
      </c>
      <c r="AN75" s="235">
        <f>IFERROR(_xlfn.XLOOKUP($C75,$D$3:$D$40,AN$3:AN$40)*$BD75,0)</f>
        <v/>
      </c>
      <c r="AO75" s="235">
        <f>IFERROR(_xlfn.XLOOKUP($C75,$D$3:$D$40,AO$3:AO$40)*$BD75,0)</f>
        <v/>
      </c>
      <c r="AP75" s="235">
        <f>IFERROR(_xlfn.XLOOKUP($C75,$D$3:$D$40,AP$3:AP$40)*$BD75,0)</f>
        <v/>
      </c>
      <c r="AQ75" s="235">
        <f>IFERROR(_xlfn.XLOOKUP($C75,$D$3:$D$40,AQ$3:AQ$40)*$BD75,0)</f>
        <v/>
      </c>
      <c r="AR75" s="235">
        <f>IFERROR(_xlfn.XLOOKUP($C75,$D$3:$D$40,AR$3:AR$40)*$BD75,0)</f>
        <v/>
      </c>
      <c r="AS75" s="235">
        <f>IFERROR(_xlfn.XLOOKUP($C75,$D$3:$D$40,AS$3:AS$40)*$BD75,0)</f>
        <v/>
      </c>
      <c r="AT75" s="235">
        <f>IFERROR(_xlfn.XLOOKUP($C75,$D$3:$D$40,AT$3:AT$40)*$BD75,0)</f>
        <v/>
      </c>
      <c r="AU75" s="235">
        <f>IFERROR(_xlfn.XLOOKUP($C75,$D$3:$D$40,AU$3:AU$40)*$BD75,0)</f>
        <v/>
      </c>
      <c r="AV75" s="235">
        <f>IFERROR(_xlfn.XLOOKUP($C75,$D$3:$D$40,AV$3:AV$40)*$BD75,0)</f>
        <v/>
      </c>
      <c r="AW75" s="235">
        <f>IFERROR(_xlfn.XLOOKUP($C75,$D$3:$D$40,AW$3:AW$40)*$BD75,0)</f>
        <v/>
      </c>
      <c r="AX75" s="235">
        <f>IFERROR(_xlfn.XLOOKUP($C75,$D$3:$D$40,AX$3:AX$40)*$BD75,0)</f>
        <v/>
      </c>
      <c r="AY75" s="235">
        <f>IFERROR(_xlfn.XLOOKUP($C75,$D$3:$D$40,AY$3:AY$40)*$BD75,0)</f>
        <v/>
      </c>
      <c r="AZ75" s="235">
        <f>IFERROR(_xlfn.XLOOKUP($C75,$D$3:$D$40,AZ$3:AZ$40)*$BD75,0)</f>
        <v/>
      </c>
      <c r="BA75" s="235">
        <f>IFERROR(_xlfn.XLOOKUP($C75,$D$3:$D$40,BA$3:BA$40)*$BD75,0)</f>
        <v/>
      </c>
      <c r="BB75" s="235">
        <f>IFERROR(_xlfn.XLOOKUP($C75,$D$3:$D$40,BB$3:BB$40)*$BD75,0)</f>
        <v/>
      </c>
      <c r="BC75" s="228">
        <f>IFERROR(_xlfn.XLOOKUP(D75,'2C 均值'!$A:$A,'2C 均值'!$E:$E),0)</f>
        <v/>
      </c>
      <c r="BD75" s="228">
        <f t="array" ref="BD75">IF(OR($D75=0,$D75=""),"",_xlfn.LET(
        _xlpm.channel,$D75,
        _xlpm.factorName,$C75,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6" ht="15.75" customHeight="1" s="179">
      <c r="C76" s="84">
        <f>IF(OR($D76=0,$D76=""),"",_xlfn.LET(
    _xlpm.channel,$D76,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6" s="119">
        <f>'2B RotationRule'!C21</f>
        <v/>
      </c>
      <c r="E76" s="227">
        <f>IFERROR(_xlfn.XLOOKUP($C76,$D$3:$D$40,E$3:E$40)*$BD76,0)</f>
        <v/>
      </c>
      <c r="F76" s="227">
        <f>IFERROR(_xlfn.XLOOKUP($C76,$D$3:$D$40,F$3:F$40)*$BD76,0)</f>
        <v/>
      </c>
      <c r="G76" s="227">
        <f>IFERROR(_xlfn.XLOOKUP($C76,$D$3:$D$40,G$3:G$40)*$BD76,0)</f>
        <v/>
      </c>
      <c r="H76" s="235">
        <f>IFERROR(_xlfn.XLOOKUP($C76,$D$3:$D$40,H$3:H$40)*$BD76,0)</f>
        <v/>
      </c>
      <c r="I76" s="235">
        <f>IFERROR(_xlfn.XLOOKUP($C76,$D$3:$D$40,I$3:I$40)*$BD76,0)</f>
        <v/>
      </c>
      <c r="J76" s="235">
        <f>IFERROR(_xlfn.XLOOKUP($C76,$D$3:$D$40,J$3:J$40)*$BD76,0)</f>
        <v/>
      </c>
      <c r="K76" s="235">
        <f>IFERROR(_xlfn.XLOOKUP($C76,$D$3:$D$40,K$3:K$40)*$BD76,0)</f>
        <v/>
      </c>
      <c r="L76" s="235">
        <f>IFERROR(_xlfn.XLOOKUP($C76,$D$3:$D$40,L$3:L$40)*$BD76,0)</f>
        <v/>
      </c>
      <c r="M76" s="235">
        <f>IFERROR(_xlfn.XLOOKUP($C76,$D$3:$D$40,M$3:M$40)*$BD76,0)</f>
        <v/>
      </c>
      <c r="N76" s="235">
        <f>IFERROR(_xlfn.XLOOKUP($C76,$D$3:$D$40,N$3:N$40)*$BD76,0)</f>
        <v/>
      </c>
      <c r="O76" s="235">
        <f>IFERROR(_xlfn.XLOOKUP($C76,$D$3:$D$40,O$3:O$40)*$BD76,0)</f>
        <v/>
      </c>
      <c r="P76" s="235">
        <f>IFERROR(_xlfn.XLOOKUP($C76,$D$3:$D$40,P$3:P$40)*$BD76,0)</f>
        <v/>
      </c>
      <c r="Q76" s="235">
        <f>IFERROR(_xlfn.XLOOKUP($C76,$D$3:$D$40,Q$3:Q$40)*$BD76,0)</f>
        <v/>
      </c>
      <c r="R76" s="235">
        <f>IFERROR(_xlfn.XLOOKUP($C76,$D$3:$D$40,R$3:R$40)*$BD76,0)</f>
        <v/>
      </c>
      <c r="S76" s="235">
        <f>IFERROR(_xlfn.XLOOKUP($C76,$D$3:$D$40,S$3:S$40)*$BD76,0)</f>
        <v/>
      </c>
      <c r="T76" s="235">
        <f>IFERROR(_xlfn.XLOOKUP($C76,$D$3:$D$40,T$3:T$40)*$BD76,0)</f>
        <v/>
      </c>
      <c r="U76" s="235">
        <f>IFERROR(_xlfn.XLOOKUP($C76,$D$3:$D$40,U$3:U$40)*$BD76,0)</f>
        <v/>
      </c>
      <c r="V76" s="235">
        <f>IFERROR(_xlfn.XLOOKUP($C76,$D$3:$D$40,V$3:V$40)*$BD76,0)</f>
        <v/>
      </c>
      <c r="W76" s="235">
        <f>IFERROR(_xlfn.XLOOKUP($C76,$D$3:$D$40,W$3:W$40)*$BD76,0)</f>
        <v/>
      </c>
      <c r="X76" s="235">
        <f>IFERROR(_xlfn.XLOOKUP($C76,$D$3:$D$40,X$3:X$40)*$BD76,0)</f>
        <v/>
      </c>
      <c r="Y76" s="235">
        <f>IFERROR(_xlfn.XLOOKUP($C76,$D$3:$D$40,Y$3:Y$40)*$BD76,0)</f>
        <v/>
      </c>
      <c r="Z76" s="235">
        <f>IFERROR(_xlfn.XLOOKUP($C76,$D$3:$D$40,Z$3:Z$40)*$BD76,0)</f>
        <v/>
      </c>
      <c r="AA76" s="235">
        <f>IFERROR(_xlfn.XLOOKUP($C76,$D$3:$D$40,AA$3:AA$40)*$BD76,0)</f>
        <v/>
      </c>
      <c r="AB76" s="235">
        <f>IFERROR(_xlfn.XLOOKUP($C76,$D$3:$D$40,AB$3:AB$40)*$BD76,0)</f>
        <v/>
      </c>
      <c r="AC76" s="235">
        <f>IFERROR(_xlfn.XLOOKUP($C76,$D$3:$D$40,AC$3:AC$40)*$BD76,0)</f>
        <v/>
      </c>
      <c r="AD76" s="235">
        <f>IFERROR(_xlfn.XLOOKUP($C76,$D$3:$D$40,AD$3:AD$40)*$BD76,0)</f>
        <v/>
      </c>
      <c r="AE76" s="235">
        <f>IFERROR(_xlfn.XLOOKUP($C76,$D$3:$D$40,AE$3:AE$40)*$BD76,0)</f>
        <v/>
      </c>
      <c r="AF76" s="235">
        <f>IFERROR(_xlfn.XLOOKUP($C76,$D$3:$D$40,AF$3:AF$40)*$BD76,0)</f>
        <v/>
      </c>
      <c r="AG76" s="235">
        <f>IFERROR(_xlfn.XLOOKUP($C76,$D$3:$D$40,AG$3:AG$40)*$BD76,0)</f>
        <v/>
      </c>
      <c r="AH76" s="235">
        <f>IFERROR(_xlfn.XLOOKUP($C76,$D$3:$D$40,AH$3:AH$40)*$BD76,0)</f>
        <v/>
      </c>
      <c r="AI76" s="235">
        <f>IFERROR(_xlfn.XLOOKUP($C76,$D$3:$D$40,AI$3:AI$40)*$BD76,0)</f>
        <v/>
      </c>
      <c r="AJ76" s="235">
        <f>IFERROR(_xlfn.XLOOKUP($C76,$D$3:$D$40,AJ$3:AJ$40)*$BD76,0)</f>
        <v/>
      </c>
      <c r="AK76" s="235">
        <f>IFERROR(_xlfn.XLOOKUP($C76,$D$3:$D$40,AK$3:AK$40)*$BD76,0)</f>
        <v/>
      </c>
      <c r="AL76" s="235">
        <f>IFERROR(_xlfn.XLOOKUP($C76,$D$3:$D$40,AL$3:AL$40)*$BD76,0)</f>
        <v/>
      </c>
      <c r="AM76" s="235">
        <f>IFERROR(_xlfn.XLOOKUP($C76,$D$3:$D$40,AM$3:AM$40)*$BD76,0)</f>
        <v/>
      </c>
      <c r="AN76" s="235">
        <f>IFERROR(_xlfn.XLOOKUP($C76,$D$3:$D$40,AN$3:AN$40)*$BD76,0)</f>
        <v/>
      </c>
      <c r="AO76" s="235">
        <f>IFERROR(_xlfn.XLOOKUP($C76,$D$3:$D$40,AO$3:AO$40)*$BD76,0)</f>
        <v/>
      </c>
      <c r="AP76" s="235">
        <f>IFERROR(_xlfn.XLOOKUP($C76,$D$3:$D$40,AP$3:AP$40)*$BD76,0)</f>
        <v/>
      </c>
      <c r="AQ76" s="235">
        <f>IFERROR(_xlfn.XLOOKUP($C76,$D$3:$D$40,AQ$3:AQ$40)*$BD76,0)</f>
        <v/>
      </c>
      <c r="AR76" s="235">
        <f>IFERROR(_xlfn.XLOOKUP($C76,$D$3:$D$40,AR$3:AR$40)*$BD76,0)</f>
        <v/>
      </c>
      <c r="AS76" s="235">
        <f>IFERROR(_xlfn.XLOOKUP($C76,$D$3:$D$40,AS$3:AS$40)*$BD76,0)</f>
        <v/>
      </c>
      <c r="AT76" s="235">
        <f>IFERROR(_xlfn.XLOOKUP($C76,$D$3:$D$40,AT$3:AT$40)*$BD76,0)</f>
        <v/>
      </c>
      <c r="AU76" s="235">
        <f>IFERROR(_xlfn.XLOOKUP($C76,$D$3:$D$40,AU$3:AU$40)*$BD76,0)</f>
        <v/>
      </c>
      <c r="AV76" s="235">
        <f>IFERROR(_xlfn.XLOOKUP($C76,$D$3:$D$40,AV$3:AV$40)*$BD76,0)</f>
        <v/>
      </c>
      <c r="AW76" s="235">
        <f>IFERROR(_xlfn.XLOOKUP($C76,$D$3:$D$40,AW$3:AW$40)*$BD76,0)</f>
        <v/>
      </c>
      <c r="AX76" s="235">
        <f>IFERROR(_xlfn.XLOOKUP($C76,$D$3:$D$40,AX$3:AX$40)*$BD76,0)</f>
        <v/>
      </c>
      <c r="AY76" s="235">
        <f>IFERROR(_xlfn.XLOOKUP($C76,$D$3:$D$40,AY$3:AY$40)*$BD76,0)</f>
        <v/>
      </c>
      <c r="AZ76" s="235">
        <f>IFERROR(_xlfn.XLOOKUP($C76,$D$3:$D$40,AZ$3:AZ$40)*$BD76,0)</f>
        <v/>
      </c>
      <c r="BA76" s="235">
        <f>IFERROR(_xlfn.XLOOKUP($C76,$D$3:$D$40,BA$3:BA$40)*$BD76,0)</f>
        <v/>
      </c>
      <c r="BB76" s="235">
        <f>IFERROR(_xlfn.XLOOKUP($C76,$D$3:$D$40,BB$3:BB$40)*$BD76,0)</f>
        <v/>
      </c>
      <c r="BC76" s="228">
        <f>IFERROR(_xlfn.XLOOKUP(D76,'2C 均值'!$A:$A,'2C 均值'!$E:$E),0)</f>
        <v/>
      </c>
      <c r="BD76" s="228">
        <f t="array" ref="BD76">IF(OR($D76=0,$D76=""),"",_xlfn.LET(
        _xlpm.channel,$D76,
        _xlpm.factorName,$C76,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7" ht="15.75" customHeight="1" s="179">
      <c r="C77" s="84">
        <f>IF(OR($D77=0,$D77=""),"",_xlfn.LET(
    _xlpm.channel,$D77,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7" s="119">
        <f>'2B RotationRule'!C22</f>
        <v/>
      </c>
      <c r="E77" s="227">
        <f>IFERROR(_xlfn.XLOOKUP($C77,$D$3:$D$40,E$3:E$40)*$BD77,0)</f>
        <v/>
      </c>
      <c r="F77" s="227">
        <f>IFERROR(_xlfn.XLOOKUP($C77,$D$3:$D$40,F$3:F$40)*$BD77,0)</f>
        <v/>
      </c>
      <c r="G77" s="227">
        <f>IFERROR(_xlfn.XLOOKUP($C77,$D$3:$D$40,G$3:G$40)*$BD77,0)</f>
        <v/>
      </c>
      <c r="H77" s="235">
        <f>IFERROR(_xlfn.XLOOKUP($C77,$D$3:$D$40,H$3:H$40)*$BD77,0)</f>
        <v/>
      </c>
      <c r="I77" s="235">
        <f>IFERROR(_xlfn.XLOOKUP($C77,$D$3:$D$40,I$3:I$40)*$BD77,0)</f>
        <v/>
      </c>
      <c r="J77" s="235">
        <f>IFERROR(_xlfn.XLOOKUP($C77,$D$3:$D$40,J$3:J$40)*$BD77,0)</f>
        <v/>
      </c>
      <c r="K77" s="235">
        <f>IFERROR(_xlfn.XLOOKUP($C77,$D$3:$D$40,K$3:K$40)*$BD77,0)</f>
        <v/>
      </c>
      <c r="L77" s="235">
        <f>IFERROR(_xlfn.XLOOKUP($C77,$D$3:$D$40,L$3:L$40)*$BD77,0)</f>
        <v/>
      </c>
      <c r="M77" s="235">
        <f>IFERROR(_xlfn.XLOOKUP($C77,$D$3:$D$40,M$3:M$40)*$BD77,0)</f>
        <v/>
      </c>
      <c r="N77" s="235">
        <f>IFERROR(_xlfn.XLOOKUP($C77,$D$3:$D$40,N$3:N$40)*$BD77,0)</f>
        <v/>
      </c>
      <c r="O77" s="235">
        <f>IFERROR(_xlfn.XLOOKUP($C77,$D$3:$D$40,O$3:O$40)*$BD77,0)</f>
        <v/>
      </c>
      <c r="P77" s="235">
        <f>IFERROR(_xlfn.XLOOKUP($C77,$D$3:$D$40,P$3:P$40)*$BD77,0)</f>
        <v/>
      </c>
      <c r="Q77" s="235">
        <f>IFERROR(_xlfn.XLOOKUP($C77,$D$3:$D$40,Q$3:Q$40)*$BD77,0)</f>
        <v/>
      </c>
      <c r="R77" s="235">
        <f>IFERROR(_xlfn.XLOOKUP($C77,$D$3:$D$40,R$3:R$40)*$BD77,0)</f>
        <v/>
      </c>
      <c r="S77" s="235">
        <f>IFERROR(_xlfn.XLOOKUP($C77,$D$3:$D$40,S$3:S$40)*$BD77,0)</f>
        <v/>
      </c>
      <c r="T77" s="235">
        <f>IFERROR(_xlfn.XLOOKUP($C77,$D$3:$D$40,T$3:T$40)*$BD77,0)</f>
        <v/>
      </c>
      <c r="U77" s="235">
        <f>IFERROR(_xlfn.XLOOKUP($C77,$D$3:$D$40,U$3:U$40)*$BD77,0)</f>
        <v/>
      </c>
      <c r="V77" s="235">
        <f>IFERROR(_xlfn.XLOOKUP($C77,$D$3:$D$40,V$3:V$40)*$BD77,0)</f>
        <v/>
      </c>
      <c r="W77" s="235">
        <f>IFERROR(_xlfn.XLOOKUP($C77,$D$3:$D$40,W$3:W$40)*$BD77,0)</f>
        <v/>
      </c>
      <c r="X77" s="235">
        <f>IFERROR(_xlfn.XLOOKUP($C77,$D$3:$D$40,X$3:X$40)*$BD77,0)</f>
        <v/>
      </c>
      <c r="Y77" s="235">
        <f>IFERROR(_xlfn.XLOOKUP($C77,$D$3:$D$40,Y$3:Y$40)*$BD77,0)</f>
        <v/>
      </c>
      <c r="Z77" s="235">
        <f>IFERROR(_xlfn.XLOOKUP($C77,$D$3:$D$40,Z$3:Z$40)*$BD77,0)</f>
        <v/>
      </c>
      <c r="AA77" s="235">
        <f>IFERROR(_xlfn.XLOOKUP($C77,$D$3:$D$40,AA$3:AA$40)*$BD77,0)</f>
        <v/>
      </c>
      <c r="AB77" s="235">
        <f>IFERROR(_xlfn.XLOOKUP($C77,$D$3:$D$40,AB$3:AB$40)*$BD77,0)</f>
        <v/>
      </c>
      <c r="AC77" s="235">
        <f>IFERROR(_xlfn.XLOOKUP($C77,$D$3:$D$40,AC$3:AC$40)*$BD77,0)</f>
        <v/>
      </c>
      <c r="AD77" s="235">
        <f>IFERROR(_xlfn.XLOOKUP($C77,$D$3:$D$40,AD$3:AD$40)*$BD77,0)</f>
        <v/>
      </c>
      <c r="AE77" s="235">
        <f>IFERROR(_xlfn.XLOOKUP($C77,$D$3:$D$40,AE$3:AE$40)*$BD77,0)</f>
        <v/>
      </c>
      <c r="AF77" s="235">
        <f>IFERROR(_xlfn.XLOOKUP($C77,$D$3:$D$40,AF$3:AF$40)*$BD77,0)</f>
        <v/>
      </c>
      <c r="AG77" s="235">
        <f>IFERROR(_xlfn.XLOOKUP($C77,$D$3:$D$40,AG$3:AG$40)*$BD77,0)</f>
        <v/>
      </c>
      <c r="AH77" s="235">
        <f>IFERROR(_xlfn.XLOOKUP($C77,$D$3:$D$40,AH$3:AH$40)*$BD77,0)</f>
        <v/>
      </c>
      <c r="AI77" s="235">
        <f>IFERROR(_xlfn.XLOOKUP($C77,$D$3:$D$40,AI$3:AI$40)*$BD77,0)</f>
        <v/>
      </c>
      <c r="AJ77" s="235">
        <f>IFERROR(_xlfn.XLOOKUP($C77,$D$3:$D$40,AJ$3:AJ$40)*$BD77,0)</f>
        <v/>
      </c>
      <c r="AK77" s="235">
        <f>IFERROR(_xlfn.XLOOKUP($C77,$D$3:$D$40,AK$3:AK$40)*$BD77,0)</f>
        <v/>
      </c>
      <c r="AL77" s="235">
        <f>IFERROR(_xlfn.XLOOKUP($C77,$D$3:$D$40,AL$3:AL$40)*$BD77,0)</f>
        <v/>
      </c>
      <c r="AM77" s="235">
        <f>IFERROR(_xlfn.XLOOKUP($C77,$D$3:$D$40,AM$3:AM$40)*$BD77,0)</f>
        <v/>
      </c>
      <c r="AN77" s="235">
        <f>IFERROR(_xlfn.XLOOKUP($C77,$D$3:$D$40,AN$3:AN$40)*$BD77,0)</f>
        <v/>
      </c>
      <c r="AO77" s="235">
        <f>IFERROR(_xlfn.XLOOKUP($C77,$D$3:$D$40,AO$3:AO$40)*$BD77,0)</f>
        <v/>
      </c>
      <c r="AP77" s="235">
        <f>IFERROR(_xlfn.XLOOKUP($C77,$D$3:$D$40,AP$3:AP$40)*$BD77,0)</f>
        <v/>
      </c>
      <c r="AQ77" s="235">
        <f>IFERROR(_xlfn.XLOOKUP($C77,$D$3:$D$40,AQ$3:AQ$40)*$BD77,0)</f>
        <v/>
      </c>
      <c r="AR77" s="235">
        <f>IFERROR(_xlfn.XLOOKUP($C77,$D$3:$D$40,AR$3:AR$40)*$BD77,0)</f>
        <v/>
      </c>
      <c r="AS77" s="235">
        <f>IFERROR(_xlfn.XLOOKUP($C77,$D$3:$D$40,AS$3:AS$40)*$BD77,0)</f>
        <v/>
      </c>
      <c r="AT77" s="235">
        <f>IFERROR(_xlfn.XLOOKUP($C77,$D$3:$D$40,AT$3:AT$40)*$BD77,0)</f>
        <v/>
      </c>
      <c r="AU77" s="235">
        <f>IFERROR(_xlfn.XLOOKUP($C77,$D$3:$D$40,AU$3:AU$40)*$BD77,0)</f>
        <v/>
      </c>
      <c r="AV77" s="235">
        <f>IFERROR(_xlfn.XLOOKUP($C77,$D$3:$D$40,AV$3:AV$40)*$BD77,0)</f>
        <v/>
      </c>
      <c r="AW77" s="235">
        <f>IFERROR(_xlfn.XLOOKUP($C77,$D$3:$D$40,AW$3:AW$40)*$BD77,0)</f>
        <v/>
      </c>
      <c r="AX77" s="235">
        <f>IFERROR(_xlfn.XLOOKUP($C77,$D$3:$D$40,AX$3:AX$40)*$BD77,0)</f>
        <v/>
      </c>
      <c r="AY77" s="235">
        <f>IFERROR(_xlfn.XLOOKUP($C77,$D$3:$D$40,AY$3:AY$40)*$BD77,0)</f>
        <v/>
      </c>
      <c r="AZ77" s="235">
        <f>IFERROR(_xlfn.XLOOKUP($C77,$D$3:$D$40,AZ$3:AZ$40)*$BD77,0)</f>
        <v/>
      </c>
      <c r="BA77" s="235">
        <f>IFERROR(_xlfn.XLOOKUP($C77,$D$3:$D$40,BA$3:BA$40)*$BD77,0)</f>
        <v/>
      </c>
      <c r="BB77" s="235">
        <f>IFERROR(_xlfn.XLOOKUP($C77,$D$3:$D$40,BB$3:BB$40)*$BD77,0)</f>
        <v/>
      </c>
      <c r="BC77" s="228">
        <f>IFERROR(_xlfn.XLOOKUP(D77,'2C 均值'!$A:$A,'2C 均值'!$E:$E),0)</f>
        <v/>
      </c>
      <c r="BD77" s="228">
        <f t="array" ref="BD77">IF(OR($D77=0,$D77=""),"",_xlfn.LET(
        _xlpm.channel,$D77,
        _xlpm.factorName,$C77,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8" ht="15.75" customHeight="1" s="179">
      <c r="C78" s="84">
        <f>IF(OR($D78=0,$D78=""),"",_xlfn.LET(
    _xlpm.channel,$D78,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8" s="119">
        <f>'2B RotationRule'!C23</f>
        <v/>
      </c>
      <c r="E78" s="227">
        <f>IFERROR(_xlfn.XLOOKUP($C78,$D$3:$D$40,E$3:E$40)*$BD78,0)</f>
        <v/>
      </c>
      <c r="F78" s="227">
        <f>IFERROR(_xlfn.XLOOKUP($C78,$D$3:$D$40,F$3:F$40)*$BD78,0)</f>
        <v/>
      </c>
      <c r="G78" s="227">
        <f>IFERROR(_xlfn.XLOOKUP($C78,$D$3:$D$40,G$3:G$40)*$BD78,0)</f>
        <v/>
      </c>
      <c r="H78" s="235">
        <f>IFERROR(_xlfn.XLOOKUP($C78,$D$3:$D$40,H$3:H$40)*$BD78,0)</f>
        <v/>
      </c>
      <c r="I78" s="235">
        <f>IFERROR(_xlfn.XLOOKUP($C78,$D$3:$D$40,I$3:I$40)*$BD78,0)</f>
        <v/>
      </c>
      <c r="J78" s="235">
        <f>IFERROR(_xlfn.XLOOKUP($C78,$D$3:$D$40,J$3:J$40)*$BD78,0)</f>
        <v/>
      </c>
      <c r="K78" s="235">
        <f>IFERROR(_xlfn.XLOOKUP($C78,$D$3:$D$40,K$3:K$40)*$BD78,0)</f>
        <v/>
      </c>
      <c r="L78" s="235">
        <f>IFERROR(_xlfn.XLOOKUP($C78,$D$3:$D$40,L$3:L$40)*$BD78,0)</f>
        <v/>
      </c>
      <c r="M78" s="235">
        <f>IFERROR(_xlfn.XLOOKUP($C78,$D$3:$D$40,M$3:M$40)*$BD78,0)</f>
        <v/>
      </c>
      <c r="N78" s="235">
        <f>IFERROR(_xlfn.XLOOKUP($C78,$D$3:$D$40,N$3:N$40)*$BD78,0)</f>
        <v/>
      </c>
      <c r="O78" s="235">
        <f>IFERROR(_xlfn.XLOOKUP($C78,$D$3:$D$40,O$3:O$40)*$BD78,0)</f>
        <v/>
      </c>
      <c r="P78" s="235">
        <f>IFERROR(_xlfn.XLOOKUP($C78,$D$3:$D$40,P$3:P$40)*$BD78,0)</f>
        <v/>
      </c>
      <c r="Q78" s="235">
        <f>IFERROR(_xlfn.XLOOKUP($C78,$D$3:$D$40,Q$3:Q$40)*$BD78,0)</f>
        <v/>
      </c>
      <c r="R78" s="235">
        <f>IFERROR(_xlfn.XLOOKUP($C78,$D$3:$D$40,R$3:R$40)*$BD78,0)</f>
        <v/>
      </c>
      <c r="S78" s="235">
        <f>IFERROR(_xlfn.XLOOKUP($C78,$D$3:$D$40,S$3:S$40)*$BD78,0)</f>
        <v/>
      </c>
      <c r="T78" s="235">
        <f>IFERROR(_xlfn.XLOOKUP($C78,$D$3:$D$40,T$3:T$40)*$BD78,0)</f>
        <v/>
      </c>
      <c r="U78" s="235">
        <f>IFERROR(_xlfn.XLOOKUP($C78,$D$3:$D$40,U$3:U$40)*$BD78,0)</f>
        <v/>
      </c>
      <c r="V78" s="235">
        <f>IFERROR(_xlfn.XLOOKUP($C78,$D$3:$D$40,V$3:V$40)*$BD78,0)</f>
        <v/>
      </c>
      <c r="W78" s="235">
        <f>IFERROR(_xlfn.XLOOKUP($C78,$D$3:$D$40,W$3:W$40)*$BD78,0)</f>
        <v/>
      </c>
      <c r="X78" s="235">
        <f>IFERROR(_xlfn.XLOOKUP($C78,$D$3:$D$40,X$3:X$40)*$BD78,0)</f>
        <v/>
      </c>
      <c r="Y78" s="235">
        <f>IFERROR(_xlfn.XLOOKUP($C78,$D$3:$D$40,Y$3:Y$40)*$BD78,0)</f>
        <v/>
      </c>
      <c r="Z78" s="235">
        <f>IFERROR(_xlfn.XLOOKUP($C78,$D$3:$D$40,Z$3:Z$40)*$BD78,0)</f>
        <v/>
      </c>
      <c r="AA78" s="235">
        <f>IFERROR(_xlfn.XLOOKUP($C78,$D$3:$D$40,AA$3:AA$40)*$BD78,0)</f>
        <v/>
      </c>
      <c r="AB78" s="235">
        <f>IFERROR(_xlfn.XLOOKUP($C78,$D$3:$D$40,AB$3:AB$40)*$BD78,0)</f>
        <v/>
      </c>
      <c r="AC78" s="235">
        <f>IFERROR(_xlfn.XLOOKUP($C78,$D$3:$D$40,AC$3:AC$40)*$BD78,0)</f>
        <v/>
      </c>
      <c r="AD78" s="235">
        <f>IFERROR(_xlfn.XLOOKUP($C78,$D$3:$D$40,AD$3:AD$40)*$BD78,0)</f>
        <v/>
      </c>
      <c r="AE78" s="235">
        <f>IFERROR(_xlfn.XLOOKUP($C78,$D$3:$D$40,AE$3:AE$40)*$BD78,0)</f>
        <v/>
      </c>
      <c r="AF78" s="235">
        <f>IFERROR(_xlfn.XLOOKUP($C78,$D$3:$D$40,AF$3:AF$40)*$BD78,0)</f>
        <v/>
      </c>
      <c r="AG78" s="235">
        <f>IFERROR(_xlfn.XLOOKUP($C78,$D$3:$D$40,AG$3:AG$40)*$BD78,0)</f>
        <v/>
      </c>
      <c r="AH78" s="235">
        <f>IFERROR(_xlfn.XLOOKUP($C78,$D$3:$D$40,AH$3:AH$40)*$BD78,0)</f>
        <v/>
      </c>
      <c r="AI78" s="235">
        <f>IFERROR(_xlfn.XLOOKUP($C78,$D$3:$D$40,AI$3:AI$40)*$BD78,0)</f>
        <v/>
      </c>
      <c r="AJ78" s="235">
        <f>IFERROR(_xlfn.XLOOKUP($C78,$D$3:$D$40,AJ$3:AJ$40)*$BD78,0)</f>
        <v/>
      </c>
      <c r="AK78" s="235">
        <f>IFERROR(_xlfn.XLOOKUP($C78,$D$3:$D$40,AK$3:AK$40)*$BD78,0)</f>
        <v/>
      </c>
      <c r="AL78" s="235">
        <f>IFERROR(_xlfn.XLOOKUP($C78,$D$3:$D$40,AL$3:AL$40)*$BD78,0)</f>
        <v/>
      </c>
      <c r="AM78" s="235">
        <f>IFERROR(_xlfn.XLOOKUP($C78,$D$3:$D$40,AM$3:AM$40)*$BD78,0)</f>
        <v/>
      </c>
      <c r="AN78" s="235">
        <f>IFERROR(_xlfn.XLOOKUP($C78,$D$3:$D$40,AN$3:AN$40)*$BD78,0)</f>
        <v/>
      </c>
      <c r="AO78" s="235">
        <f>IFERROR(_xlfn.XLOOKUP($C78,$D$3:$D$40,AO$3:AO$40)*$BD78,0)</f>
        <v/>
      </c>
      <c r="AP78" s="235">
        <f>IFERROR(_xlfn.XLOOKUP($C78,$D$3:$D$40,AP$3:AP$40)*$BD78,0)</f>
        <v/>
      </c>
      <c r="AQ78" s="235">
        <f>IFERROR(_xlfn.XLOOKUP($C78,$D$3:$D$40,AQ$3:AQ$40)*$BD78,0)</f>
        <v/>
      </c>
      <c r="AR78" s="235">
        <f>IFERROR(_xlfn.XLOOKUP($C78,$D$3:$D$40,AR$3:AR$40)*$BD78,0)</f>
        <v/>
      </c>
      <c r="AS78" s="235">
        <f>IFERROR(_xlfn.XLOOKUP($C78,$D$3:$D$40,AS$3:AS$40)*$BD78,0)</f>
        <v/>
      </c>
      <c r="AT78" s="235">
        <f>IFERROR(_xlfn.XLOOKUP($C78,$D$3:$D$40,AT$3:AT$40)*$BD78,0)</f>
        <v/>
      </c>
      <c r="AU78" s="235">
        <f>IFERROR(_xlfn.XLOOKUP($C78,$D$3:$D$40,AU$3:AU$40)*$BD78,0)</f>
        <v/>
      </c>
      <c r="AV78" s="235">
        <f>IFERROR(_xlfn.XLOOKUP($C78,$D$3:$D$40,AV$3:AV$40)*$BD78,0)</f>
        <v/>
      </c>
      <c r="AW78" s="235">
        <f>IFERROR(_xlfn.XLOOKUP($C78,$D$3:$D$40,AW$3:AW$40)*$BD78,0)</f>
        <v/>
      </c>
      <c r="AX78" s="235">
        <f>IFERROR(_xlfn.XLOOKUP($C78,$D$3:$D$40,AX$3:AX$40)*$BD78,0)</f>
        <v/>
      </c>
      <c r="AY78" s="235">
        <f>IFERROR(_xlfn.XLOOKUP($C78,$D$3:$D$40,AY$3:AY$40)*$BD78,0)</f>
        <v/>
      </c>
      <c r="AZ78" s="235">
        <f>IFERROR(_xlfn.XLOOKUP($C78,$D$3:$D$40,AZ$3:AZ$40)*$BD78,0)</f>
        <v/>
      </c>
      <c r="BA78" s="235">
        <f>IFERROR(_xlfn.XLOOKUP($C78,$D$3:$D$40,BA$3:BA$40)*$BD78,0)</f>
        <v/>
      </c>
      <c r="BB78" s="235">
        <f>IFERROR(_xlfn.XLOOKUP($C78,$D$3:$D$40,BB$3:BB$40)*$BD78,0)</f>
        <v/>
      </c>
      <c r="BC78" s="228">
        <f>IFERROR(_xlfn.XLOOKUP(D78,'2C 均值'!$A:$A,'2C 均值'!$E:$E),0)</f>
        <v/>
      </c>
      <c r="BD78" s="228">
        <f t="array" ref="BD78">IF(OR($D78=0,$D78=""),"",_xlfn.LET(
        _xlpm.channel,$D78,
        _xlpm.factorName,$C78,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79" ht="15.75" customHeight="1" s="179">
      <c r="C79" s="84">
        <f>IF(OR($D79=0,$D79=""),"",_xlfn.LET(
    _xlpm.channel,$D79,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79" s="119">
        <f>'2B RotationRule'!C24</f>
        <v/>
      </c>
      <c r="E79" s="227">
        <f>IFERROR(_xlfn.XLOOKUP($C79,$D$3:$D$40,E$3:E$40)*$BD79,0)</f>
        <v/>
      </c>
      <c r="F79" s="227">
        <f>IFERROR(_xlfn.XLOOKUP($C79,$D$3:$D$40,F$3:F$40)*$BD79,0)</f>
        <v/>
      </c>
      <c r="G79" s="227">
        <f>IFERROR(_xlfn.XLOOKUP($C79,$D$3:$D$40,G$3:G$40)*$BD79,0)</f>
        <v/>
      </c>
      <c r="H79" s="235">
        <f>IFERROR(_xlfn.XLOOKUP($C79,$D$3:$D$40,H$3:H$40)*$BD79,0)</f>
        <v/>
      </c>
      <c r="I79" s="235">
        <f>IFERROR(_xlfn.XLOOKUP($C79,$D$3:$D$40,I$3:I$40)*$BD79,0)</f>
        <v/>
      </c>
      <c r="J79" s="235">
        <f>IFERROR(_xlfn.XLOOKUP($C79,$D$3:$D$40,J$3:J$40)*$BD79,0)</f>
        <v/>
      </c>
      <c r="K79" s="235">
        <f>IFERROR(_xlfn.XLOOKUP($C79,$D$3:$D$40,K$3:K$40)*$BD79,0)</f>
        <v/>
      </c>
      <c r="L79" s="235">
        <f>IFERROR(_xlfn.XLOOKUP($C79,$D$3:$D$40,L$3:L$40)*$BD79,0)</f>
        <v/>
      </c>
      <c r="M79" s="235">
        <f>IFERROR(_xlfn.XLOOKUP($C79,$D$3:$D$40,M$3:M$40)*$BD79,0)</f>
        <v/>
      </c>
      <c r="N79" s="235">
        <f>IFERROR(_xlfn.XLOOKUP($C79,$D$3:$D$40,N$3:N$40)*$BD79,0)</f>
        <v/>
      </c>
      <c r="O79" s="235">
        <f>IFERROR(_xlfn.XLOOKUP($C79,$D$3:$D$40,O$3:O$40)*$BD79,0)</f>
        <v/>
      </c>
      <c r="P79" s="235">
        <f>IFERROR(_xlfn.XLOOKUP($C79,$D$3:$D$40,P$3:P$40)*$BD79,0)</f>
        <v/>
      </c>
      <c r="Q79" s="235">
        <f>IFERROR(_xlfn.XLOOKUP($C79,$D$3:$D$40,Q$3:Q$40)*$BD79,0)</f>
        <v/>
      </c>
      <c r="R79" s="235">
        <f>IFERROR(_xlfn.XLOOKUP($C79,$D$3:$D$40,R$3:R$40)*$BD79,0)</f>
        <v/>
      </c>
      <c r="S79" s="235">
        <f>IFERROR(_xlfn.XLOOKUP($C79,$D$3:$D$40,S$3:S$40)*$BD79,0)</f>
        <v/>
      </c>
      <c r="T79" s="235">
        <f>IFERROR(_xlfn.XLOOKUP($C79,$D$3:$D$40,T$3:T$40)*$BD79,0)</f>
        <v/>
      </c>
      <c r="U79" s="235">
        <f>IFERROR(_xlfn.XLOOKUP($C79,$D$3:$D$40,U$3:U$40)*$BD79,0)</f>
        <v/>
      </c>
      <c r="V79" s="235">
        <f>IFERROR(_xlfn.XLOOKUP($C79,$D$3:$D$40,V$3:V$40)*$BD79,0)</f>
        <v/>
      </c>
      <c r="W79" s="235">
        <f>IFERROR(_xlfn.XLOOKUP($C79,$D$3:$D$40,W$3:W$40)*$BD79,0)</f>
        <v/>
      </c>
      <c r="X79" s="235">
        <f>IFERROR(_xlfn.XLOOKUP($C79,$D$3:$D$40,X$3:X$40)*$BD79,0)</f>
        <v/>
      </c>
      <c r="Y79" s="235">
        <f>IFERROR(_xlfn.XLOOKUP($C79,$D$3:$D$40,Y$3:Y$40)*$BD79,0)</f>
        <v/>
      </c>
      <c r="Z79" s="235">
        <f>IFERROR(_xlfn.XLOOKUP($C79,$D$3:$D$40,Z$3:Z$40)*$BD79,0)</f>
        <v/>
      </c>
      <c r="AA79" s="235">
        <f>IFERROR(_xlfn.XLOOKUP($C79,$D$3:$D$40,AA$3:AA$40)*$BD79,0)</f>
        <v/>
      </c>
      <c r="AB79" s="235">
        <f>IFERROR(_xlfn.XLOOKUP($C79,$D$3:$D$40,AB$3:AB$40)*$BD79,0)</f>
        <v/>
      </c>
      <c r="AC79" s="235">
        <f>IFERROR(_xlfn.XLOOKUP($C79,$D$3:$D$40,AC$3:AC$40)*$BD79,0)</f>
        <v/>
      </c>
      <c r="AD79" s="235">
        <f>IFERROR(_xlfn.XLOOKUP($C79,$D$3:$D$40,AD$3:AD$40)*$BD79,0)</f>
        <v/>
      </c>
      <c r="AE79" s="235">
        <f>IFERROR(_xlfn.XLOOKUP($C79,$D$3:$D$40,AE$3:AE$40)*$BD79,0)</f>
        <v/>
      </c>
      <c r="AF79" s="235">
        <f>IFERROR(_xlfn.XLOOKUP($C79,$D$3:$D$40,AF$3:AF$40)*$BD79,0)</f>
        <v/>
      </c>
      <c r="AG79" s="235">
        <f>IFERROR(_xlfn.XLOOKUP($C79,$D$3:$D$40,AG$3:AG$40)*$BD79,0)</f>
        <v/>
      </c>
      <c r="AH79" s="235">
        <f>IFERROR(_xlfn.XLOOKUP($C79,$D$3:$D$40,AH$3:AH$40)*$BD79,0)</f>
        <v/>
      </c>
      <c r="AI79" s="235">
        <f>IFERROR(_xlfn.XLOOKUP($C79,$D$3:$D$40,AI$3:AI$40)*$BD79,0)</f>
        <v/>
      </c>
      <c r="AJ79" s="235">
        <f>IFERROR(_xlfn.XLOOKUP($C79,$D$3:$D$40,AJ$3:AJ$40)*$BD79,0)</f>
        <v/>
      </c>
      <c r="AK79" s="235">
        <f>IFERROR(_xlfn.XLOOKUP($C79,$D$3:$D$40,AK$3:AK$40)*$BD79,0)</f>
        <v/>
      </c>
      <c r="AL79" s="235">
        <f>IFERROR(_xlfn.XLOOKUP($C79,$D$3:$D$40,AL$3:AL$40)*$BD79,0)</f>
        <v/>
      </c>
      <c r="AM79" s="235">
        <f>IFERROR(_xlfn.XLOOKUP($C79,$D$3:$D$40,AM$3:AM$40)*$BD79,0)</f>
        <v/>
      </c>
      <c r="AN79" s="235">
        <f>IFERROR(_xlfn.XLOOKUP($C79,$D$3:$D$40,AN$3:AN$40)*$BD79,0)</f>
        <v/>
      </c>
      <c r="AO79" s="235">
        <f>IFERROR(_xlfn.XLOOKUP($C79,$D$3:$D$40,AO$3:AO$40)*$BD79,0)</f>
        <v/>
      </c>
      <c r="AP79" s="235">
        <f>IFERROR(_xlfn.XLOOKUP($C79,$D$3:$D$40,AP$3:AP$40)*$BD79,0)</f>
        <v/>
      </c>
      <c r="AQ79" s="235">
        <f>IFERROR(_xlfn.XLOOKUP($C79,$D$3:$D$40,AQ$3:AQ$40)*$BD79,0)</f>
        <v/>
      </c>
      <c r="AR79" s="235">
        <f>IFERROR(_xlfn.XLOOKUP($C79,$D$3:$D$40,AR$3:AR$40)*$BD79,0)</f>
        <v/>
      </c>
      <c r="AS79" s="235">
        <f>IFERROR(_xlfn.XLOOKUP($C79,$D$3:$D$40,AS$3:AS$40)*$BD79,0)</f>
        <v/>
      </c>
      <c r="AT79" s="235">
        <f>IFERROR(_xlfn.XLOOKUP($C79,$D$3:$D$40,AT$3:AT$40)*$BD79,0)</f>
        <v/>
      </c>
      <c r="AU79" s="235">
        <f>IFERROR(_xlfn.XLOOKUP($C79,$D$3:$D$40,AU$3:AU$40)*$BD79,0)</f>
        <v/>
      </c>
      <c r="AV79" s="235">
        <f>IFERROR(_xlfn.XLOOKUP($C79,$D$3:$D$40,AV$3:AV$40)*$BD79,0)</f>
        <v/>
      </c>
      <c r="AW79" s="235">
        <f>IFERROR(_xlfn.XLOOKUP($C79,$D$3:$D$40,AW$3:AW$40)*$BD79,0)</f>
        <v/>
      </c>
      <c r="AX79" s="235">
        <f>IFERROR(_xlfn.XLOOKUP($C79,$D$3:$D$40,AX$3:AX$40)*$BD79,0)</f>
        <v/>
      </c>
      <c r="AY79" s="235">
        <f>IFERROR(_xlfn.XLOOKUP($C79,$D$3:$D$40,AY$3:AY$40)*$BD79,0)</f>
        <v/>
      </c>
      <c r="AZ79" s="235">
        <f>IFERROR(_xlfn.XLOOKUP($C79,$D$3:$D$40,AZ$3:AZ$40)*$BD79,0)</f>
        <v/>
      </c>
      <c r="BA79" s="235">
        <f>IFERROR(_xlfn.XLOOKUP($C79,$D$3:$D$40,BA$3:BA$40)*$BD79,0)</f>
        <v/>
      </c>
      <c r="BB79" s="235">
        <f>IFERROR(_xlfn.XLOOKUP($C79,$D$3:$D$40,BB$3:BB$40)*$BD79,0)</f>
        <v/>
      </c>
      <c r="BC79" s="228">
        <f>IFERROR(_xlfn.XLOOKUP(D79,'2C 均值'!$A:$A,'2C 均值'!$E:$E),0)</f>
        <v/>
      </c>
      <c r="BD79" s="228">
        <f t="array" ref="BD79">IF(OR($D79=0,$D79=""),"",_xlfn.LET(
        _xlpm.channel,$D79,
        _xlpm.factorName,$C79,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0" ht="15.75" customHeight="1" s="179">
      <c r="C80" s="84">
        <f>IF(OR($D80=0,$D80=""),"",_xlfn.LET(
    _xlpm.channel,$D80,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0" s="119">
        <f>'2B RotationRule'!C25</f>
        <v/>
      </c>
      <c r="E80" s="227">
        <f>IFERROR(_xlfn.XLOOKUP($C80,$D$3:$D$40,E$3:E$40)*$BD80,0)</f>
        <v/>
      </c>
      <c r="F80" s="227">
        <f>IFERROR(_xlfn.XLOOKUP($C80,$D$3:$D$40,F$3:F$40)*$BD80,0)</f>
        <v/>
      </c>
      <c r="G80" s="227">
        <f>IFERROR(_xlfn.XLOOKUP($C80,$D$3:$D$40,G$3:G$40)*$BD80,0)</f>
        <v/>
      </c>
      <c r="H80" s="235">
        <f>IFERROR(_xlfn.XLOOKUP($C80,$D$3:$D$40,H$3:H$40)*$BD80,0)</f>
        <v/>
      </c>
      <c r="I80" s="235">
        <f>IFERROR(_xlfn.XLOOKUP($C80,$D$3:$D$40,I$3:I$40)*$BD80,0)</f>
        <v/>
      </c>
      <c r="J80" s="235">
        <f>IFERROR(_xlfn.XLOOKUP($C80,$D$3:$D$40,J$3:J$40)*$BD80,0)</f>
        <v/>
      </c>
      <c r="K80" s="235">
        <f>IFERROR(_xlfn.XLOOKUP($C80,$D$3:$D$40,K$3:K$40)*$BD80,0)</f>
        <v/>
      </c>
      <c r="L80" s="235">
        <f>IFERROR(_xlfn.XLOOKUP($C80,$D$3:$D$40,L$3:L$40)*$BD80,0)</f>
        <v/>
      </c>
      <c r="M80" s="235">
        <f>IFERROR(_xlfn.XLOOKUP($C80,$D$3:$D$40,M$3:M$40)*$BD80,0)</f>
        <v/>
      </c>
      <c r="N80" s="235">
        <f>IFERROR(_xlfn.XLOOKUP($C80,$D$3:$D$40,N$3:N$40)*$BD80,0)</f>
        <v/>
      </c>
      <c r="O80" s="235">
        <f>IFERROR(_xlfn.XLOOKUP($C80,$D$3:$D$40,O$3:O$40)*$BD80,0)</f>
        <v/>
      </c>
      <c r="P80" s="235">
        <f>IFERROR(_xlfn.XLOOKUP($C80,$D$3:$D$40,P$3:P$40)*$BD80,0)</f>
        <v/>
      </c>
      <c r="Q80" s="235">
        <f>IFERROR(_xlfn.XLOOKUP($C80,$D$3:$D$40,Q$3:Q$40)*$BD80,0)</f>
        <v/>
      </c>
      <c r="R80" s="235">
        <f>IFERROR(_xlfn.XLOOKUP($C80,$D$3:$D$40,R$3:R$40)*$BD80,0)</f>
        <v/>
      </c>
      <c r="S80" s="235">
        <f>IFERROR(_xlfn.XLOOKUP($C80,$D$3:$D$40,S$3:S$40)*$BD80,0)</f>
        <v/>
      </c>
      <c r="T80" s="235">
        <f>IFERROR(_xlfn.XLOOKUP($C80,$D$3:$D$40,T$3:T$40)*$BD80,0)</f>
        <v/>
      </c>
      <c r="U80" s="235">
        <f>IFERROR(_xlfn.XLOOKUP($C80,$D$3:$D$40,U$3:U$40)*$BD80,0)</f>
        <v/>
      </c>
      <c r="V80" s="235">
        <f>IFERROR(_xlfn.XLOOKUP($C80,$D$3:$D$40,V$3:V$40)*$BD80,0)</f>
        <v/>
      </c>
      <c r="W80" s="235">
        <f>IFERROR(_xlfn.XLOOKUP($C80,$D$3:$D$40,W$3:W$40)*$BD80,0)</f>
        <v/>
      </c>
      <c r="X80" s="235">
        <f>IFERROR(_xlfn.XLOOKUP($C80,$D$3:$D$40,X$3:X$40)*$BD80,0)</f>
        <v/>
      </c>
      <c r="Y80" s="235">
        <f>IFERROR(_xlfn.XLOOKUP($C80,$D$3:$D$40,Y$3:Y$40)*$BD80,0)</f>
        <v/>
      </c>
      <c r="Z80" s="235">
        <f>IFERROR(_xlfn.XLOOKUP($C80,$D$3:$D$40,Z$3:Z$40)*$BD80,0)</f>
        <v/>
      </c>
      <c r="AA80" s="235">
        <f>IFERROR(_xlfn.XLOOKUP($C80,$D$3:$D$40,AA$3:AA$40)*$BD80,0)</f>
        <v/>
      </c>
      <c r="AB80" s="235">
        <f>IFERROR(_xlfn.XLOOKUP($C80,$D$3:$D$40,AB$3:AB$40)*$BD80,0)</f>
        <v/>
      </c>
      <c r="AC80" s="235">
        <f>IFERROR(_xlfn.XLOOKUP($C80,$D$3:$D$40,AC$3:AC$40)*$BD80,0)</f>
        <v/>
      </c>
      <c r="AD80" s="235">
        <f>IFERROR(_xlfn.XLOOKUP($C80,$D$3:$D$40,AD$3:AD$40)*$BD80,0)</f>
        <v/>
      </c>
      <c r="AE80" s="235">
        <f>IFERROR(_xlfn.XLOOKUP($C80,$D$3:$D$40,AE$3:AE$40)*$BD80,0)</f>
        <v/>
      </c>
      <c r="AF80" s="235">
        <f>IFERROR(_xlfn.XLOOKUP($C80,$D$3:$D$40,AF$3:AF$40)*$BD80,0)</f>
        <v/>
      </c>
      <c r="AG80" s="235">
        <f>IFERROR(_xlfn.XLOOKUP($C80,$D$3:$D$40,AG$3:AG$40)*$BD80,0)</f>
        <v/>
      </c>
      <c r="AH80" s="235">
        <f>IFERROR(_xlfn.XLOOKUP($C80,$D$3:$D$40,AH$3:AH$40)*$BD80,0)</f>
        <v/>
      </c>
      <c r="AI80" s="235">
        <f>IFERROR(_xlfn.XLOOKUP($C80,$D$3:$D$40,AI$3:AI$40)*$BD80,0)</f>
        <v/>
      </c>
      <c r="AJ80" s="235">
        <f>IFERROR(_xlfn.XLOOKUP($C80,$D$3:$D$40,AJ$3:AJ$40)*$BD80,0)</f>
        <v/>
      </c>
      <c r="AK80" s="235">
        <f>IFERROR(_xlfn.XLOOKUP($C80,$D$3:$D$40,AK$3:AK$40)*$BD80,0)</f>
        <v/>
      </c>
      <c r="AL80" s="235">
        <f>IFERROR(_xlfn.XLOOKUP($C80,$D$3:$D$40,AL$3:AL$40)*$BD80,0)</f>
        <v/>
      </c>
      <c r="AM80" s="235">
        <f>IFERROR(_xlfn.XLOOKUP($C80,$D$3:$D$40,AM$3:AM$40)*$BD80,0)</f>
        <v/>
      </c>
      <c r="AN80" s="235">
        <f>IFERROR(_xlfn.XLOOKUP($C80,$D$3:$D$40,AN$3:AN$40)*$BD80,0)</f>
        <v/>
      </c>
      <c r="AO80" s="235">
        <f>IFERROR(_xlfn.XLOOKUP($C80,$D$3:$D$40,AO$3:AO$40)*$BD80,0)</f>
        <v/>
      </c>
      <c r="AP80" s="235">
        <f>IFERROR(_xlfn.XLOOKUP($C80,$D$3:$D$40,AP$3:AP$40)*$BD80,0)</f>
        <v/>
      </c>
      <c r="AQ80" s="235">
        <f>IFERROR(_xlfn.XLOOKUP($C80,$D$3:$D$40,AQ$3:AQ$40)*$BD80,0)</f>
        <v/>
      </c>
      <c r="AR80" s="235">
        <f>IFERROR(_xlfn.XLOOKUP($C80,$D$3:$D$40,AR$3:AR$40)*$BD80,0)</f>
        <v/>
      </c>
      <c r="AS80" s="235">
        <f>IFERROR(_xlfn.XLOOKUP($C80,$D$3:$D$40,AS$3:AS$40)*$BD80,0)</f>
        <v/>
      </c>
      <c r="AT80" s="235">
        <f>IFERROR(_xlfn.XLOOKUP($C80,$D$3:$D$40,AT$3:AT$40)*$BD80,0)</f>
        <v/>
      </c>
      <c r="AU80" s="235">
        <f>IFERROR(_xlfn.XLOOKUP($C80,$D$3:$D$40,AU$3:AU$40)*$BD80,0)</f>
        <v/>
      </c>
      <c r="AV80" s="235">
        <f>IFERROR(_xlfn.XLOOKUP($C80,$D$3:$D$40,AV$3:AV$40)*$BD80,0)</f>
        <v/>
      </c>
      <c r="AW80" s="235">
        <f>IFERROR(_xlfn.XLOOKUP($C80,$D$3:$D$40,AW$3:AW$40)*$BD80,0)</f>
        <v/>
      </c>
      <c r="AX80" s="235">
        <f>IFERROR(_xlfn.XLOOKUP($C80,$D$3:$D$40,AX$3:AX$40)*$BD80,0)</f>
        <v/>
      </c>
      <c r="AY80" s="235">
        <f>IFERROR(_xlfn.XLOOKUP($C80,$D$3:$D$40,AY$3:AY$40)*$BD80,0)</f>
        <v/>
      </c>
      <c r="AZ80" s="235">
        <f>IFERROR(_xlfn.XLOOKUP($C80,$D$3:$D$40,AZ$3:AZ$40)*$BD80,0)</f>
        <v/>
      </c>
      <c r="BA80" s="235">
        <f>IFERROR(_xlfn.XLOOKUP($C80,$D$3:$D$40,BA$3:BA$40)*$BD80,0)</f>
        <v/>
      </c>
      <c r="BB80" s="235">
        <f>IFERROR(_xlfn.XLOOKUP($C80,$D$3:$D$40,BB$3:BB$40)*$BD80,0)</f>
        <v/>
      </c>
      <c r="BC80" s="228">
        <f>IFERROR(_xlfn.XLOOKUP(D80,'2C 均值'!$A:$A,'2C 均值'!$E:$E),0)</f>
        <v/>
      </c>
      <c r="BD80" s="228">
        <f t="array" ref="BD80">IF(OR($D80=0,$D80=""),"",_xlfn.LET(
        _xlpm.channel,$D80,
        _xlpm.factorName,$C80,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1" ht="15.75" customHeight="1" s="179">
      <c r="C81" s="84">
        <f>IF(OR($D81=0,$D81=""),"",_xlfn.LET(
    _xlpm.channel,$D81,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1" s="119">
        <f>'2B RotationRule'!C26</f>
        <v/>
      </c>
      <c r="E81" s="227">
        <f>IFERROR(_xlfn.XLOOKUP($C81,$D$3:$D$40,E$3:E$40)*$BD81,0)</f>
        <v/>
      </c>
      <c r="F81" s="227">
        <f>IFERROR(_xlfn.XLOOKUP($C81,$D$3:$D$40,F$3:F$40)*$BD81,0)</f>
        <v/>
      </c>
      <c r="G81" s="227">
        <f>IFERROR(_xlfn.XLOOKUP($C81,$D$3:$D$40,G$3:G$40)*$BD81,0)</f>
        <v/>
      </c>
      <c r="H81" s="235">
        <f>IFERROR(_xlfn.XLOOKUP($C81,$D$3:$D$40,H$3:H$40)*$BD81,0)</f>
        <v/>
      </c>
      <c r="I81" s="235">
        <f>IFERROR(_xlfn.XLOOKUP($C81,$D$3:$D$40,I$3:I$40)*$BD81,0)</f>
        <v/>
      </c>
      <c r="J81" s="235">
        <f>IFERROR(_xlfn.XLOOKUP($C81,$D$3:$D$40,J$3:J$40)*$BD81,0)</f>
        <v/>
      </c>
      <c r="K81" s="235">
        <f>IFERROR(_xlfn.XLOOKUP($C81,$D$3:$D$40,K$3:K$40)*$BD81,0)</f>
        <v/>
      </c>
      <c r="L81" s="235">
        <f>IFERROR(_xlfn.XLOOKUP($C81,$D$3:$D$40,L$3:L$40)*$BD81,0)</f>
        <v/>
      </c>
      <c r="M81" s="235">
        <f>IFERROR(_xlfn.XLOOKUP($C81,$D$3:$D$40,M$3:M$40)*$BD81,0)</f>
        <v/>
      </c>
      <c r="N81" s="235">
        <f>IFERROR(_xlfn.XLOOKUP($C81,$D$3:$D$40,N$3:N$40)*$BD81,0)</f>
        <v/>
      </c>
      <c r="O81" s="235">
        <f>IFERROR(_xlfn.XLOOKUP($C81,$D$3:$D$40,O$3:O$40)*$BD81,0)</f>
        <v/>
      </c>
      <c r="P81" s="235">
        <f>IFERROR(_xlfn.XLOOKUP($C81,$D$3:$D$40,P$3:P$40)*$BD81,0)</f>
        <v/>
      </c>
      <c r="Q81" s="235">
        <f>IFERROR(_xlfn.XLOOKUP($C81,$D$3:$D$40,Q$3:Q$40)*$BD81,0)</f>
        <v/>
      </c>
      <c r="R81" s="235">
        <f>IFERROR(_xlfn.XLOOKUP($C81,$D$3:$D$40,R$3:R$40)*$BD81,0)</f>
        <v/>
      </c>
      <c r="S81" s="235">
        <f>IFERROR(_xlfn.XLOOKUP($C81,$D$3:$D$40,S$3:S$40)*$BD81,0)</f>
        <v/>
      </c>
      <c r="T81" s="235">
        <f>IFERROR(_xlfn.XLOOKUP($C81,$D$3:$D$40,T$3:T$40)*$BD81,0)</f>
        <v/>
      </c>
      <c r="U81" s="235">
        <f>IFERROR(_xlfn.XLOOKUP($C81,$D$3:$D$40,U$3:U$40)*$BD81,0)</f>
        <v/>
      </c>
      <c r="V81" s="235">
        <f>IFERROR(_xlfn.XLOOKUP($C81,$D$3:$D$40,V$3:V$40)*$BD81,0)</f>
        <v/>
      </c>
      <c r="W81" s="235">
        <f>IFERROR(_xlfn.XLOOKUP($C81,$D$3:$D$40,W$3:W$40)*$BD81,0)</f>
        <v/>
      </c>
      <c r="X81" s="235">
        <f>IFERROR(_xlfn.XLOOKUP($C81,$D$3:$D$40,X$3:X$40)*$BD81,0)</f>
        <v/>
      </c>
      <c r="Y81" s="235">
        <f>IFERROR(_xlfn.XLOOKUP($C81,$D$3:$D$40,Y$3:Y$40)*$BD81,0)</f>
        <v/>
      </c>
      <c r="Z81" s="235">
        <f>IFERROR(_xlfn.XLOOKUP($C81,$D$3:$D$40,Z$3:Z$40)*$BD81,0)</f>
        <v/>
      </c>
      <c r="AA81" s="235">
        <f>IFERROR(_xlfn.XLOOKUP($C81,$D$3:$D$40,AA$3:AA$40)*$BD81,0)</f>
        <v/>
      </c>
      <c r="AB81" s="235">
        <f>IFERROR(_xlfn.XLOOKUP($C81,$D$3:$D$40,AB$3:AB$40)*$BD81,0)</f>
        <v/>
      </c>
      <c r="AC81" s="235">
        <f>IFERROR(_xlfn.XLOOKUP($C81,$D$3:$D$40,AC$3:AC$40)*$BD81,0)</f>
        <v/>
      </c>
      <c r="AD81" s="235">
        <f>IFERROR(_xlfn.XLOOKUP($C81,$D$3:$D$40,AD$3:AD$40)*$BD81,0)</f>
        <v/>
      </c>
      <c r="AE81" s="235">
        <f>IFERROR(_xlfn.XLOOKUP($C81,$D$3:$D$40,AE$3:AE$40)*$BD81,0)</f>
        <v/>
      </c>
      <c r="AF81" s="235">
        <f>IFERROR(_xlfn.XLOOKUP($C81,$D$3:$D$40,AF$3:AF$40)*$BD81,0)</f>
        <v/>
      </c>
      <c r="AG81" s="235">
        <f>IFERROR(_xlfn.XLOOKUP($C81,$D$3:$D$40,AG$3:AG$40)*$BD81,0)</f>
        <v/>
      </c>
      <c r="AH81" s="235">
        <f>IFERROR(_xlfn.XLOOKUP($C81,$D$3:$D$40,AH$3:AH$40)*$BD81,0)</f>
        <v/>
      </c>
      <c r="AI81" s="235">
        <f>IFERROR(_xlfn.XLOOKUP($C81,$D$3:$D$40,AI$3:AI$40)*$BD81,0)</f>
        <v/>
      </c>
      <c r="AJ81" s="235">
        <f>IFERROR(_xlfn.XLOOKUP($C81,$D$3:$D$40,AJ$3:AJ$40)*$BD81,0)</f>
        <v/>
      </c>
      <c r="AK81" s="235">
        <f>IFERROR(_xlfn.XLOOKUP($C81,$D$3:$D$40,AK$3:AK$40)*$BD81,0)</f>
        <v/>
      </c>
      <c r="AL81" s="235">
        <f>IFERROR(_xlfn.XLOOKUP($C81,$D$3:$D$40,AL$3:AL$40)*$BD81,0)</f>
        <v/>
      </c>
      <c r="AM81" s="235">
        <f>IFERROR(_xlfn.XLOOKUP($C81,$D$3:$D$40,AM$3:AM$40)*$BD81,0)</f>
        <v/>
      </c>
      <c r="AN81" s="235">
        <f>IFERROR(_xlfn.XLOOKUP($C81,$D$3:$D$40,AN$3:AN$40)*$BD81,0)</f>
        <v/>
      </c>
      <c r="AO81" s="235">
        <f>IFERROR(_xlfn.XLOOKUP($C81,$D$3:$D$40,AO$3:AO$40)*$BD81,0)</f>
        <v/>
      </c>
      <c r="AP81" s="235">
        <f>IFERROR(_xlfn.XLOOKUP($C81,$D$3:$D$40,AP$3:AP$40)*$BD81,0)</f>
        <v/>
      </c>
      <c r="AQ81" s="235">
        <f>IFERROR(_xlfn.XLOOKUP($C81,$D$3:$D$40,AQ$3:AQ$40)*$BD81,0)</f>
        <v/>
      </c>
      <c r="AR81" s="235">
        <f>IFERROR(_xlfn.XLOOKUP($C81,$D$3:$D$40,AR$3:AR$40)*$BD81,0)</f>
        <v/>
      </c>
      <c r="AS81" s="235">
        <f>IFERROR(_xlfn.XLOOKUP($C81,$D$3:$D$40,AS$3:AS$40)*$BD81,0)</f>
        <v/>
      </c>
      <c r="AT81" s="235">
        <f>IFERROR(_xlfn.XLOOKUP($C81,$D$3:$D$40,AT$3:AT$40)*$BD81,0)</f>
        <v/>
      </c>
      <c r="AU81" s="235">
        <f>IFERROR(_xlfn.XLOOKUP($C81,$D$3:$D$40,AU$3:AU$40)*$BD81,0)</f>
        <v/>
      </c>
      <c r="AV81" s="235">
        <f>IFERROR(_xlfn.XLOOKUP($C81,$D$3:$D$40,AV$3:AV$40)*$BD81,0)</f>
        <v/>
      </c>
      <c r="AW81" s="235">
        <f>IFERROR(_xlfn.XLOOKUP($C81,$D$3:$D$40,AW$3:AW$40)*$BD81,0)</f>
        <v/>
      </c>
      <c r="AX81" s="235">
        <f>IFERROR(_xlfn.XLOOKUP($C81,$D$3:$D$40,AX$3:AX$40)*$BD81,0)</f>
        <v/>
      </c>
      <c r="AY81" s="235">
        <f>IFERROR(_xlfn.XLOOKUP($C81,$D$3:$D$40,AY$3:AY$40)*$BD81,0)</f>
        <v/>
      </c>
      <c r="AZ81" s="235">
        <f>IFERROR(_xlfn.XLOOKUP($C81,$D$3:$D$40,AZ$3:AZ$40)*$BD81,0)</f>
        <v/>
      </c>
      <c r="BA81" s="235">
        <f>IFERROR(_xlfn.XLOOKUP($C81,$D$3:$D$40,BA$3:BA$40)*$BD81,0)</f>
        <v/>
      </c>
      <c r="BB81" s="235">
        <f>IFERROR(_xlfn.XLOOKUP($C81,$D$3:$D$40,BB$3:BB$40)*$BD81,0)</f>
        <v/>
      </c>
      <c r="BC81" s="228">
        <f>IFERROR(_xlfn.XLOOKUP(D81,'2C 均值'!$A:$A,'2C 均值'!$E:$E),0)</f>
        <v/>
      </c>
      <c r="BD81" s="228">
        <f t="array" ref="BD81">IF(OR($D81=0,$D81=""),"",_xlfn.LET(
        _xlpm.channel,$D81,
        _xlpm.factorName,$C81,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2" ht="15.75" customHeight="1" s="179">
      <c r="C82" s="84">
        <f>IF(OR($D82=0,$D82=""),"",_xlfn.LET(
    _xlpm.channel,$D82,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2" s="119">
        <f>'2B RotationRule'!C27</f>
        <v/>
      </c>
      <c r="E82" s="227">
        <f>IFERROR(_xlfn.XLOOKUP($C82,$D$3:$D$40,E$3:E$40)*$BD82,0)</f>
        <v/>
      </c>
      <c r="F82" s="227">
        <f>IFERROR(_xlfn.XLOOKUP($C82,$D$3:$D$40,F$3:F$40)*$BD82,0)</f>
        <v/>
      </c>
      <c r="G82" s="227">
        <f>IFERROR(_xlfn.XLOOKUP($C82,$D$3:$D$40,G$3:G$40)*$BD82,0)</f>
        <v/>
      </c>
      <c r="H82" s="235">
        <f>IFERROR(_xlfn.XLOOKUP($C82,$D$3:$D$40,H$3:H$40)*$BD82,0)</f>
        <v/>
      </c>
      <c r="I82" s="235">
        <f>IFERROR(_xlfn.XLOOKUP($C82,$D$3:$D$40,I$3:I$40)*$BD82,0)</f>
        <v/>
      </c>
      <c r="J82" s="235">
        <f>IFERROR(_xlfn.XLOOKUP($C82,$D$3:$D$40,J$3:J$40)*$BD82,0)</f>
        <v/>
      </c>
      <c r="K82" s="235">
        <f>IFERROR(_xlfn.XLOOKUP($C82,$D$3:$D$40,K$3:K$40)*$BD82,0)</f>
        <v/>
      </c>
      <c r="L82" s="235">
        <f>IFERROR(_xlfn.XLOOKUP($C82,$D$3:$D$40,L$3:L$40)*$BD82,0)</f>
        <v/>
      </c>
      <c r="M82" s="235">
        <f>IFERROR(_xlfn.XLOOKUP($C82,$D$3:$D$40,M$3:M$40)*$BD82,0)</f>
        <v/>
      </c>
      <c r="N82" s="235">
        <f>IFERROR(_xlfn.XLOOKUP($C82,$D$3:$D$40,N$3:N$40)*$BD82,0)</f>
        <v/>
      </c>
      <c r="O82" s="235">
        <f>IFERROR(_xlfn.XLOOKUP($C82,$D$3:$D$40,O$3:O$40)*$BD82,0)</f>
        <v/>
      </c>
      <c r="P82" s="235">
        <f>IFERROR(_xlfn.XLOOKUP($C82,$D$3:$D$40,P$3:P$40)*$BD82,0)</f>
        <v/>
      </c>
      <c r="Q82" s="235">
        <f>IFERROR(_xlfn.XLOOKUP($C82,$D$3:$D$40,Q$3:Q$40)*$BD82,0)</f>
        <v/>
      </c>
      <c r="R82" s="235">
        <f>IFERROR(_xlfn.XLOOKUP($C82,$D$3:$D$40,R$3:R$40)*$BD82,0)</f>
        <v/>
      </c>
      <c r="S82" s="235">
        <f>IFERROR(_xlfn.XLOOKUP($C82,$D$3:$D$40,S$3:S$40)*$BD82,0)</f>
        <v/>
      </c>
      <c r="T82" s="235">
        <f>IFERROR(_xlfn.XLOOKUP($C82,$D$3:$D$40,T$3:T$40)*$BD82,0)</f>
        <v/>
      </c>
      <c r="U82" s="235">
        <f>IFERROR(_xlfn.XLOOKUP($C82,$D$3:$D$40,U$3:U$40)*$BD82,0)</f>
        <v/>
      </c>
      <c r="V82" s="235">
        <f>IFERROR(_xlfn.XLOOKUP($C82,$D$3:$D$40,V$3:V$40)*$BD82,0)</f>
        <v/>
      </c>
      <c r="W82" s="235">
        <f>IFERROR(_xlfn.XLOOKUP($C82,$D$3:$D$40,W$3:W$40)*$BD82,0)</f>
        <v/>
      </c>
      <c r="X82" s="235">
        <f>IFERROR(_xlfn.XLOOKUP($C82,$D$3:$D$40,X$3:X$40)*$BD82,0)</f>
        <v/>
      </c>
      <c r="Y82" s="235">
        <f>IFERROR(_xlfn.XLOOKUP($C82,$D$3:$D$40,Y$3:Y$40)*$BD82,0)</f>
        <v/>
      </c>
      <c r="Z82" s="235">
        <f>IFERROR(_xlfn.XLOOKUP($C82,$D$3:$D$40,Z$3:Z$40)*$BD82,0)</f>
        <v/>
      </c>
      <c r="AA82" s="235">
        <f>IFERROR(_xlfn.XLOOKUP($C82,$D$3:$D$40,AA$3:AA$40)*$BD82,0)</f>
        <v/>
      </c>
      <c r="AB82" s="235">
        <f>IFERROR(_xlfn.XLOOKUP($C82,$D$3:$D$40,AB$3:AB$40)*$BD82,0)</f>
        <v/>
      </c>
      <c r="AC82" s="235">
        <f>IFERROR(_xlfn.XLOOKUP($C82,$D$3:$D$40,AC$3:AC$40)*$BD82,0)</f>
        <v/>
      </c>
      <c r="AD82" s="235">
        <f>IFERROR(_xlfn.XLOOKUP($C82,$D$3:$D$40,AD$3:AD$40)*$BD82,0)</f>
        <v/>
      </c>
      <c r="AE82" s="235">
        <f>IFERROR(_xlfn.XLOOKUP($C82,$D$3:$D$40,AE$3:AE$40)*$BD82,0)</f>
        <v/>
      </c>
      <c r="AF82" s="235">
        <f>IFERROR(_xlfn.XLOOKUP($C82,$D$3:$D$40,AF$3:AF$40)*$BD82,0)</f>
        <v/>
      </c>
      <c r="AG82" s="235">
        <f>IFERROR(_xlfn.XLOOKUP($C82,$D$3:$D$40,AG$3:AG$40)*$BD82,0)</f>
        <v/>
      </c>
      <c r="AH82" s="235">
        <f>IFERROR(_xlfn.XLOOKUP($C82,$D$3:$D$40,AH$3:AH$40)*$BD82,0)</f>
        <v/>
      </c>
      <c r="AI82" s="235">
        <f>IFERROR(_xlfn.XLOOKUP($C82,$D$3:$D$40,AI$3:AI$40)*$BD82,0)</f>
        <v/>
      </c>
      <c r="AJ82" s="235">
        <f>IFERROR(_xlfn.XLOOKUP($C82,$D$3:$D$40,AJ$3:AJ$40)*$BD82,0)</f>
        <v/>
      </c>
      <c r="AK82" s="235">
        <f>IFERROR(_xlfn.XLOOKUP($C82,$D$3:$D$40,AK$3:AK$40)*$BD82,0)</f>
        <v/>
      </c>
      <c r="AL82" s="235">
        <f>IFERROR(_xlfn.XLOOKUP($C82,$D$3:$D$40,AL$3:AL$40)*$BD82,0)</f>
        <v/>
      </c>
      <c r="AM82" s="235">
        <f>IFERROR(_xlfn.XLOOKUP($C82,$D$3:$D$40,AM$3:AM$40)*$BD82,0)</f>
        <v/>
      </c>
      <c r="AN82" s="235">
        <f>IFERROR(_xlfn.XLOOKUP($C82,$D$3:$D$40,AN$3:AN$40)*$BD82,0)</f>
        <v/>
      </c>
      <c r="AO82" s="235">
        <f>IFERROR(_xlfn.XLOOKUP($C82,$D$3:$D$40,AO$3:AO$40)*$BD82,0)</f>
        <v/>
      </c>
      <c r="AP82" s="235">
        <f>IFERROR(_xlfn.XLOOKUP($C82,$D$3:$D$40,AP$3:AP$40)*$BD82,0)</f>
        <v/>
      </c>
      <c r="AQ82" s="235">
        <f>IFERROR(_xlfn.XLOOKUP($C82,$D$3:$D$40,AQ$3:AQ$40)*$BD82,0)</f>
        <v/>
      </c>
      <c r="AR82" s="235">
        <f>IFERROR(_xlfn.XLOOKUP($C82,$D$3:$D$40,AR$3:AR$40)*$BD82,0)</f>
        <v/>
      </c>
      <c r="AS82" s="235">
        <f>IFERROR(_xlfn.XLOOKUP($C82,$D$3:$D$40,AS$3:AS$40)*$BD82,0)</f>
        <v/>
      </c>
      <c r="AT82" s="235">
        <f>IFERROR(_xlfn.XLOOKUP($C82,$D$3:$D$40,AT$3:AT$40)*$BD82,0)</f>
        <v/>
      </c>
      <c r="AU82" s="235">
        <f>IFERROR(_xlfn.XLOOKUP($C82,$D$3:$D$40,AU$3:AU$40)*$BD82,0)</f>
        <v/>
      </c>
      <c r="AV82" s="235">
        <f>IFERROR(_xlfn.XLOOKUP($C82,$D$3:$D$40,AV$3:AV$40)*$BD82,0)</f>
        <v/>
      </c>
      <c r="AW82" s="235">
        <f>IFERROR(_xlfn.XLOOKUP($C82,$D$3:$D$40,AW$3:AW$40)*$BD82,0)</f>
        <v/>
      </c>
      <c r="AX82" s="235">
        <f>IFERROR(_xlfn.XLOOKUP($C82,$D$3:$D$40,AX$3:AX$40)*$BD82,0)</f>
        <v/>
      </c>
      <c r="AY82" s="235">
        <f>IFERROR(_xlfn.XLOOKUP($C82,$D$3:$D$40,AY$3:AY$40)*$BD82,0)</f>
        <v/>
      </c>
      <c r="AZ82" s="235">
        <f>IFERROR(_xlfn.XLOOKUP($C82,$D$3:$D$40,AZ$3:AZ$40)*$BD82,0)</f>
        <v/>
      </c>
      <c r="BA82" s="235">
        <f>IFERROR(_xlfn.XLOOKUP($C82,$D$3:$D$40,BA$3:BA$40)*$BD82,0)</f>
        <v/>
      </c>
      <c r="BB82" s="235">
        <f>IFERROR(_xlfn.XLOOKUP($C82,$D$3:$D$40,BB$3:BB$40)*$BD82,0)</f>
        <v/>
      </c>
      <c r="BC82" s="228">
        <f>IFERROR(_xlfn.XLOOKUP(D82,'2C 均值'!$A:$A,'2C 均值'!$E:$E),0)</f>
        <v/>
      </c>
      <c r="BD82" s="228">
        <f t="array" ref="BD82">IF(OR($D82=0,$D82=""),"",_xlfn.LET(
        _xlpm.channel,$D82,
        _xlpm.factorName,$C82,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3" ht="15.75" customHeight="1" s="179">
      <c r="C83" s="84">
        <f>IF(OR($D83=0,$D83=""),"",_xlfn.LET(
    _xlpm.channel,$D83,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3" s="119">
        <f>'2B RotationRule'!C28</f>
        <v/>
      </c>
      <c r="E83" s="227">
        <f>IFERROR(_xlfn.XLOOKUP($C83,$D$3:$D$40,E$3:E$40)*$BD83,0)</f>
        <v/>
      </c>
      <c r="F83" s="227">
        <f>IFERROR(_xlfn.XLOOKUP($C83,$D$3:$D$40,F$3:F$40)*$BD83,0)</f>
        <v/>
      </c>
      <c r="G83" s="227">
        <f>IFERROR(_xlfn.XLOOKUP($C83,$D$3:$D$40,G$3:G$40)*$BD83,0)</f>
        <v/>
      </c>
      <c r="H83" s="235">
        <f>IFERROR(_xlfn.XLOOKUP($C83,$D$3:$D$40,H$3:H$40)*$BD83,0)</f>
        <v/>
      </c>
      <c r="I83" s="235">
        <f>IFERROR(_xlfn.XLOOKUP($C83,$D$3:$D$40,I$3:I$40)*$BD83,0)</f>
        <v/>
      </c>
      <c r="J83" s="235">
        <f>IFERROR(_xlfn.XLOOKUP($C83,$D$3:$D$40,J$3:J$40)*$BD83,0)</f>
        <v/>
      </c>
      <c r="K83" s="235">
        <f>IFERROR(_xlfn.XLOOKUP($C83,$D$3:$D$40,K$3:K$40)*$BD83,0)</f>
        <v/>
      </c>
      <c r="L83" s="235">
        <f>IFERROR(_xlfn.XLOOKUP($C83,$D$3:$D$40,L$3:L$40)*$BD83,0)</f>
        <v/>
      </c>
      <c r="M83" s="235">
        <f>IFERROR(_xlfn.XLOOKUP($C83,$D$3:$D$40,M$3:M$40)*$BD83,0)</f>
        <v/>
      </c>
      <c r="N83" s="235">
        <f>IFERROR(_xlfn.XLOOKUP($C83,$D$3:$D$40,N$3:N$40)*$BD83,0)</f>
        <v/>
      </c>
      <c r="O83" s="235">
        <f>IFERROR(_xlfn.XLOOKUP($C83,$D$3:$D$40,O$3:O$40)*$BD83,0)</f>
        <v/>
      </c>
      <c r="P83" s="235">
        <f>IFERROR(_xlfn.XLOOKUP($C83,$D$3:$D$40,P$3:P$40)*$BD83,0)</f>
        <v/>
      </c>
      <c r="Q83" s="235">
        <f>IFERROR(_xlfn.XLOOKUP($C83,$D$3:$D$40,Q$3:Q$40)*$BD83,0)</f>
        <v/>
      </c>
      <c r="R83" s="235">
        <f>IFERROR(_xlfn.XLOOKUP($C83,$D$3:$D$40,R$3:R$40)*$BD83,0)</f>
        <v/>
      </c>
      <c r="S83" s="235">
        <f>IFERROR(_xlfn.XLOOKUP($C83,$D$3:$D$40,S$3:S$40)*$BD83,0)</f>
        <v/>
      </c>
      <c r="T83" s="235">
        <f>IFERROR(_xlfn.XLOOKUP($C83,$D$3:$D$40,T$3:T$40)*$BD83,0)</f>
        <v/>
      </c>
      <c r="U83" s="235">
        <f>IFERROR(_xlfn.XLOOKUP($C83,$D$3:$D$40,U$3:U$40)*$BD83,0)</f>
        <v/>
      </c>
      <c r="V83" s="235">
        <f>IFERROR(_xlfn.XLOOKUP($C83,$D$3:$D$40,V$3:V$40)*$BD83,0)</f>
        <v/>
      </c>
      <c r="W83" s="235">
        <f>IFERROR(_xlfn.XLOOKUP($C83,$D$3:$D$40,W$3:W$40)*$BD83,0)</f>
        <v/>
      </c>
      <c r="X83" s="235">
        <f>IFERROR(_xlfn.XLOOKUP($C83,$D$3:$D$40,X$3:X$40)*$BD83,0)</f>
        <v/>
      </c>
      <c r="Y83" s="235">
        <f>IFERROR(_xlfn.XLOOKUP($C83,$D$3:$D$40,Y$3:Y$40)*$BD83,0)</f>
        <v/>
      </c>
      <c r="Z83" s="235">
        <f>IFERROR(_xlfn.XLOOKUP($C83,$D$3:$D$40,Z$3:Z$40)*$BD83,0)</f>
        <v/>
      </c>
      <c r="AA83" s="235">
        <f>IFERROR(_xlfn.XLOOKUP($C83,$D$3:$D$40,AA$3:AA$40)*$BD83,0)</f>
        <v/>
      </c>
      <c r="AB83" s="235">
        <f>IFERROR(_xlfn.XLOOKUP($C83,$D$3:$D$40,AB$3:AB$40)*$BD83,0)</f>
        <v/>
      </c>
      <c r="AC83" s="235">
        <f>IFERROR(_xlfn.XLOOKUP($C83,$D$3:$D$40,AC$3:AC$40)*$BD83,0)</f>
        <v/>
      </c>
      <c r="AD83" s="235">
        <f>IFERROR(_xlfn.XLOOKUP($C83,$D$3:$D$40,AD$3:AD$40)*$BD83,0)</f>
        <v/>
      </c>
      <c r="AE83" s="235">
        <f>IFERROR(_xlfn.XLOOKUP($C83,$D$3:$D$40,AE$3:AE$40)*$BD83,0)</f>
        <v/>
      </c>
      <c r="AF83" s="235">
        <f>IFERROR(_xlfn.XLOOKUP($C83,$D$3:$D$40,AF$3:AF$40)*$BD83,0)</f>
        <v/>
      </c>
      <c r="AG83" s="235">
        <f>IFERROR(_xlfn.XLOOKUP($C83,$D$3:$D$40,AG$3:AG$40)*$BD83,0)</f>
        <v/>
      </c>
      <c r="AH83" s="235">
        <f>IFERROR(_xlfn.XLOOKUP($C83,$D$3:$D$40,AH$3:AH$40)*$BD83,0)</f>
        <v/>
      </c>
      <c r="AI83" s="235">
        <f>IFERROR(_xlfn.XLOOKUP($C83,$D$3:$D$40,AI$3:AI$40)*$BD83,0)</f>
        <v/>
      </c>
      <c r="AJ83" s="235">
        <f>IFERROR(_xlfn.XLOOKUP($C83,$D$3:$D$40,AJ$3:AJ$40)*$BD83,0)</f>
        <v/>
      </c>
      <c r="AK83" s="235">
        <f>IFERROR(_xlfn.XLOOKUP($C83,$D$3:$D$40,AK$3:AK$40)*$BD83,0)</f>
        <v/>
      </c>
      <c r="AL83" s="235">
        <f>IFERROR(_xlfn.XLOOKUP($C83,$D$3:$D$40,AL$3:AL$40)*$BD83,0)</f>
        <v/>
      </c>
      <c r="AM83" s="235">
        <f>IFERROR(_xlfn.XLOOKUP($C83,$D$3:$D$40,AM$3:AM$40)*$BD83,0)</f>
        <v/>
      </c>
      <c r="AN83" s="235">
        <f>IFERROR(_xlfn.XLOOKUP($C83,$D$3:$D$40,AN$3:AN$40)*$BD83,0)</f>
        <v/>
      </c>
      <c r="AO83" s="235">
        <f>IFERROR(_xlfn.XLOOKUP($C83,$D$3:$D$40,AO$3:AO$40)*$BD83,0)</f>
        <v/>
      </c>
      <c r="AP83" s="235">
        <f>IFERROR(_xlfn.XLOOKUP($C83,$D$3:$D$40,AP$3:AP$40)*$BD83,0)</f>
        <v/>
      </c>
      <c r="AQ83" s="235">
        <f>IFERROR(_xlfn.XLOOKUP($C83,$D$3:$D$40,AQ$3:AQ$40)*$BD83,0)</f>
        <v/>
      </c>
      <c r="AR83" s="235">
        <f>IFERROR(_xlfn.XLOOKUP($C83,$D$3:$D$40,AR$3:AR$40)*$BD83,0)</f>
        <v/>
      </c>
      <c r="AS83" s="235">
        <f>IFERROR(_xlfn.XLOOKUP($C83,$D$3:$D$40,AS$3:AS$40)*$BD83,0)</f>
        <v/>
      </c>
      <c r="AT83" s="235">
        <f>IFERROR(_xlfn.XLOOKUP($C83,$D$3:$D$40,AT$3:AT$40)*$BD83,0)</f>
        <v/>
      </c>
      <c r="AU83" s="235">
        <f>IFERROR(_xlfn.XLOOKUP($C83,$D$3:$D$40,AU$3:AU$40)*$BD83,0)</f>
        <v/>
      </c>
      <c r="AV83" s="235">
        <f>IFERROR(_xlfn.XLOOKUP($C83,$D$3:$D$40,AV$3:AV$40)*$BD83,0)</f>
        <v/>
      </c>
      <c r="AW83" s="235">
        <f>IFERROR(_xlfn.XLOOKUP($C83,$D$3:$D$40,AW$3:AW$40)*$BD83,0)</f>
        <v/>
      </c>
      <c r="AX83" s="235">
        <f>IFERROR(_xlfn.XLOOKUP($C83,$D$3:$D$40,AX$3:AX$40)*$BD83,0)</f>
        <v/>
      </c>
      <c r="AY83" s="235">
        <f>IFERROR(_xlfn.XLOOKUP($C83,$D$3:$D$40,AY$3:AY$40)*$BD83,0)</f>
        <v/>
      </c>
      <c r="AZ83" s="235">
        <f>IFERROR(_xlfn.XLOOKUP($C83,$D$3:$D$40,AZ$3:AZ$40)*$BD83,0)</f>
        <v/>
      </c>
      <c r="BA83" s="235">
        <f>IFERROR(_xlfn.XLOOKUP($C83,$D$3:$D$40,BA$3:BA$40)*$BD83,0)</f>
        <v/>
      </c>
      <c r="BB83" s="235">
        <f>IFERROR(_xlfn.XLOOKUP($C83,$D$3:$D$40,BB$3:BB$40)*$BD83,0)</f>
        <v/>
      </c>
      <c r="BC83" s="228">
        <f>IFERROR(_xlfn.XLOOKUP(D83,'2C 均值'!$A:$A,'2C 均值'!$E:$E),0)</f>
        <v/>
      </c>
      <c r="BD83" s="228">
        <f t="array" ref="BD83">IF(OR($D83=0,$D83=""),"",_xlfn.LET(
        _xlpm.channel,$D83,
        _xlpm.factorName,$C83,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4" ht="15.75" customHeight="1" s="179">
      <c r="C84" s="84">
        <f>IF(OR($D84=0,$D84=""),"",_xlfn.LET(
    _xlpm.channel,$D84,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4" s="119">
        <f>'2B RotationRule'!C29</f>
        <v/>
      </c>
      <c r="E84" s="227">
        <f>IFERROR(_xlfn.XLOOKUP($C84,$D$3:$D$40,E$3:E$40)*$BD84,0)</f>
        <v/>
      </c>
      <c r="F84" s="227">
        <f>IFERROR(_xlfn.XLOOKUP($C84,$D$3:$D$40,F$3:F$40)*$BD84,0)</f>
        <v/>
      </c>
      <c r="G84" s="227">
        <f>IFERROR(_xlfn.XLOOKUP($C84,$D$3:$D$40,G$3:G$40)*$BD84,0)</f>
        <v/>
      </c>
      <c r="H84" s="235">
        <f>IFERROR(_xlfn.XLOOKUP($C84,$D$3:$D$40,H$3:H$40)*$BD84,0)</f>
        <v/>
      </c>
      <c r="I84" s="235">
        <f>IFERROR(_xlfn.XLOOKUP($C84,$D$3:$D$40,I$3:I$40)*$BD84,0)</f>
        <v/>
      </c>
      <c r="J84" s="235">
        <f>IFERROR(_xlfn.XLOOKUP($C84,$D$3:$D$40,J$3:J$40)*$BD84,0)</f>
        <v/>
      </c>
      <c r="K84" s="235">
        <f>IFERROR(_xlfn.XLOOKUP($C84,$D$3:$D$40,K$3:K$40)*$BD84,0)</f>
        <v/>
      </c>
      <c r="L84" s="235">
        <f>IFERROR(_xlfn.XLOOKUP($C84,$D$3:$D$40,L$3:L$40)*$BD84,0)</f>
        <v/>
      </c>
      <c r="M84" s="235">
        <f>IFERROR(_xlfn.XLOOKUP($C84,$D$3:$D$40,M$3:M$40)*$BD84,0)</f>
        <v/>
      </c>
      <c r="N84" s="235">
        <f>IFERROR(_xlfn.XLOOKUP($C84,$D$3:$D$40,N$3:N$40)*$BD84,0)</f>
        <v/>
      </c>
      <c r="O84" s="235">
        <f>IFERROR(_xlfn.XLOOKUP($C84,$D$3:$D$40,O$3:O$40)*$BD84,0)</f>
        <v/>
      </c>
      <c r="P84" s="235">
        <f>IFERROR(_xlfn.XLOOKUP($C84,$D$3:$D$40,P$3:P$40)*$BD84,0)</f>
        <v/>
      </c>
      <c r="Q84" s="235">
        <f>IFERROR(_xlfn.XLOOKUP($C84,$D$3:$D$40,Q$3:Q$40)*$BD84,0)</f>
        <v/>
      </c>
      <c r="R84" s="235">
        <f>IFERROR(_xlfn.XLOOKUP($C84,$D$3:$D$40,R$3:R$40)*$BD84,0)</f>
        <v/>
      </c>
      <c r="S84" s="235">
        <f>IFERROR(_xlfn.XLOOKUP($C84,$D$3:$D$40,S$3:S$40)*$BD84,0)</f>
        <v/>
      </c>
      <c r="T84" s="235">
        <f>IFERROR(_xlfn.XLOOKUP($C84,$D$3:$D$40,T$3:T$40)*$BD84,0)</f>
        <v/>
      </c>
      <c r="U84" s="235">
        <f>IFERROR(_xlfn.XLOOKUP($C84,$D$3:$D$40,U$3:U$40)*$BD84,0)</f>
        <v/>
      </c>
      <c r="V84" s="235">
        <f>IFERROR(_xlfn.XLOOKUP($C84,$D$3:$D$40,V$3:V$40)*$BD84,0)</f>
        <v/>
      </c>
      <c r="W84" s="235">
        <f>IFERROR(_xlfn.XLOOKUP($C84,$D$3:$D$40,W$3:W$40)*$BD84,0)</f>
        <v/>
      </c>
      <c r="X84" s="235">
        <f>IFERROR(_xlfn.XLOOKUP($C84,$D$3:$D$40,X$3:X$40)*$BD84,0)</f>
        <v/>
      </c>
      <c r="Y84" s="235">
        <f>IFERROR(_xlfn.XLOOKUP($C84,$D$3:$D$40,Y$3:Y$40)*$BD84,0)</f>
        <v/>
      </c>
      <c r="Z84" s="235">
        <f>IFERROR(_xlfn.XLOOKUP($C84,$D$3:$D$40,Z$3:Z$40)*$BD84,0)</f>
        <v/>
      </c>
      <c r="AA84" s="235">
        <f>IFERROR(_xlfn.XLOOKUP($C84,$D$3:$D$40,AA$3:AA$40)*$BD84,0)</f>
        <v/>
      </c>
      <c r="AB84" s="235">
        <f>IFERROR(_xlfn.XLOOKUP($C84,$D$3:$D$40,AB$3:AB$40)*$BD84,0)</f>
        <v/>
      </c>
      <c r="AC84" s="235">
        <f>IFERROR(_xlfn.XLOOKUP($C84,$D$3:$D$40,AC$3:AC$40)*$BD84,0)</f>
        <v/>
      </c>
      <c r="AD84" s="235">
        <f>IFERROR(_xlfn.XLOOKUP($C84,$D$3:$D$40,AD$3:AD$40)*$BD84,0)</f>
        <v/>
      </c>
      <c r="AE84" s="235">
        <f>IFERROR(_xlfn.XLOOKUP($C84,$D$3:$D$40,AE$3:AE$40)*$BD84,0)</f>
        <v/>
      </c>
      <c r="AF84" s="235">
        <f>IFERROR(_xlfn.XLOOKUP($C84,$D$3:$D$40,AF$3:AF$40)*$BD84,0)</f>
        <v/>
      </c>
      <c r="AG84" s="235">
        <f>IFERROR(_xlfn.XLOOKUP($C84,$D$3:$D$40,AG$3:AG$40)*$BD84,0)</f>
        <v/>
      </c>
      <c r="AH84" s="235">
        <f>IFERROR(_xlfn.XLOOKUP($C84,$D$3:$D$40,AH$3:AH$40)*$BD84,0)</f>
        <v/>
      </c>
      <c r="AI84" s="235">
        <f>IFERROR(_xlfn.XLOOKUP($C84,$D$3:$D$40,AI$3:AI$40)*$BD84,0)</f>
        <v/>
      </c>
      <c r="AJ84" s="235">
        <f>IFERROR(_xlfn.XLOOKUP($C84,$D$3:$D$40,AJ$3:AJ$40)*$BD84,0)</f>
        <v/>
      </c>
      <c r="AK84" s="235">
        <f>IFERROR(_xlfn.XLOOKUP($C84,$D$3:$D$40,AK$3:AK$40)*$BD84,0)</f>
        <v/>
      </c>
      <c r="AL84" s="235">
        <f>IFERROR(_xlfn.XLOOKUP($C84,$D$3:$D$40,AL$3:AL$40)*$BD84,0)</f>
        <v/>
      </c>
      <c r="AM84" s="235">
        <f>IFERROR(_xlfn.XLOOKUP($C84,$D$3:$D$40,AM$3:AM$40)*$BD84,0)</f>
        <v/>
      </c>
      <c r="AN84" s="235">
        <f>IFERROR(_xlfn.XLOOKUP($C84,$D$3:$D$40,AN$3:AN$40)*$BD84,0)</f>
        <v/>
      </c>
      <c r="AO84" s="235">
        <f>IFERROR(_xlfn.XLOOKUP($C84,$D$3:$D$40,AO$3:AO$40)*$BD84,0)</f>
        <v/>
      </c>
      <c r="AP84" s="235">
        <f>IFERROR(_xlfn.XLOOKUP($C84,$D$3:$D$40,AP$3:AP$40)*$BD84,0)</f>
        <v/>
      </c>
      <c r="AQ84" s="235">
        <f>IFERROR(_xlfn.XLOOKUP($C84,$D$3:$D$40,AQ$3:AQ$40)*$BD84,0)</f>
        <v/>
      </c>
      <c r="AR84" s="235">
        <f>IFERROR(_xlfn.XLOOKUP($C84,$D$3:$D$40,AR$3:AR$40)*$BD84,0)</f>
        <v/>
      </c>
      <c r="AS84" s="235">
        <f>IFERROR(_xlfn.XLOOKUP($C84,$D$3:$D$40,AS$3:AS$40)*$BD84,0)</f>
        <v/>
      </c>
      <c r="AT84" s="235">
        <f>IFERROR(_xlfn.XLOOKUP($C84,$D$3:$D$40,AT$3:AT$40)*$BD84,0)</f>
        <v/>
      </c>
      <c r="AU84" s="235">
        <f>IFERROR(_xlfn.XLOOKUP($C84,$D$3:$D$40,AU$3:AU$40)*$BD84,0)</f>
        <v/>
      </c>
      <c r="AV84" s="235">
        <f>IFERROR(_xlfn.XLOOKUP($C84,$D$3:$D$40,AV$3:AV$40)*$BD84,0)</f>
        <v/>
      </c>
      <c r="AW84" s="235">
        <f>IFERROR(_xlfn.XLOOKUP($C84,$D$3:$D$40,AW$3:AW$40)*$BD84,0)</f>
        <v/>
      </c>
      <c r="AX84" s="235">
        <f>IFERROR(_xlfn.XLOOKUP($C84,$D$3:$D$40,AX$3:AX$40)*$BD84,0)</f>
        <v/>
      </c>
      <c r="AY84" s="235">
        <f>IFERROR(_xlfn.XLOOKUP($C84,$D$3:$D$40,AY$3:AY$40)*$BD84,0)</f>
        <v/>
      </c>
      <c r="AZ84" s="235">
        <f>IFERROR(_xlfn.XLOOKUP($C84,$D$3:$D$40,AZ$3:AZ$40)*$BD84,0)</f>
        <v/>
      </c>
      <c r="BA84" s="235">
        <f>IFERROR(_xlfn.XLOOKUP($C84,$D$3:$D$40,BA$3:BA$40)*$BD84,0)</f>
        <v/>
      </c>
      <c r="BB84" s="235">
        <f>IFERROR(_xlfn.XLOOKUP($C84,$D$3:$D$40,BB$3:BB$40)*$BD84,0)</f>
        <v/>
      </c>
      <c r="BC84" s="228">
        <f>IFERROR(_xlfn.XLOOKUP(D84,'2C 均值'!$A:$A,'2C 均值'!$E:$E),0)</f>
        <v/>
      </c>
      <c r="BD84" s="228">
        <f t="array" ref="BD84">IF(OR($D84=0,$D84=""),"",_xlfn.LET(
        _xlpm.channel,$D84,
        _xlpm.factorName,$C84,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5" ht="15.75" customHeight="1" s="179">
      <c r="C85" s="84">
        <f>IF(OR($D85=0,$D85=""),"",_xlfn.LET(
    _xlpm.channel,$D85,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5" s="119">
        <f>'2B RotationRule'!C30</f>
        <v/>
      </c>
      <c r="E85" s="227">
        <f>IFERROR(_xlfn.XLOOKUP($C85,$D$3:$D$40,E$3:E$40)*$BD85,0)</f>
        <v/>
      </c>
      <c r="F85" s="227">
        <f>IFERROR(_xlfn.XLOOKUP($C85,$D$3:$D$40,F$3:F$40)*$BD85,0)</f>
        <v/>
      </c>
      <c r="G85" s="227">
        <f>IFERROR(_xlfn.XLOOKUP($C85,$D$3:$D$40,G$3:G$40)*$BD85,0)</f>
        <v/>
      </c>
      <c r="H85" s="235">
        <f>IFERROR(_xlfn.XLOOKUP($C85,$D$3:$D$40,H$3:H$40)*$BD85,0)</f>
        <v/>
      </c>
      <c r="I85" s="235">
        <f>IFERROR(_xlfn.XLOOKUP($C85,$D$3:$D$40,I$3:I$40)*$BD85,0)</f>
        <v/>
      </c>
      <c r="J85" s="235">
        <f>IFERROR(_xlfn.XLOOKUP($C85,$D$3:$D$40,J$3:J$40)*$BD85,0)</f>
        <v/>
      </c>
      <c r="K85" s="235">
        <f>IFERROR(_xlfn.XLOOKUP($C85,$D$3:$D$40,K$3:K$40)*$BD85,0)</f>
        <v/>
      </c>
      <c r="L85" s="235">
        <f>IFERROR(_xlfn.XLOOKUP($C85,$D$3:$D$40,L$3:L$40)*$BD85,0)</f>
        <v/>
      </c>
      <c r="M85" s="235">
        <f>IFERROR(_xlfn.XLOOKUP($C85,$D$3:$D$40,M$3:M$40)*$BD85,0)</f>
        <v/>
      </c>
      <c r="N85" s="235">
        <f>IFERROR(_xlfn.XLOOKUP($C85,$D$3:$D$40,N$3:N$40)*$BD85,0)</f>
        <v/>
      </c>
      <c r="O85" s="235">
        <f>IFERROR(_xlfn.XLOOKUP($C85,$D$3:$D$40,O$3:O$40)*$BD85,0)</f>
        <v/>
      </c>
      <c r="P85" s="235">
        <f>IFERROR(_xlfn.XLOOKUP($C85,$D$3:$D$40,P$3:P$40)*$BD85,0)</f>
        <v/>
      </c>
      <c r="Q85" s="235">
        <f>IFERROR(_xlfn.XLOOKUP($C85,$D$3:$D$40,Q$3:Q$40)*$BD85,0)</f>
        <v/>
      </c>
      <c r="R85" s="235">
        <f>IFERROR(_xlfn.XLOOKUP($C85,$D$3:$D$40,R$3:R$40)*$BD85,0)</f>
        <v/>
      </c>
      <c r="S85" s="235">
        <f>IFERROR(_xlfn.XLOOKUP($C85,$D$3:$D$40,S$3:S$40)*$BD85,0)</f>
        <v/>
      </c>
      <c r="T85" s="235">
        <f>IFERROR(_xlfn.XLOOKUP($C85,$D$3:$D$40,T$3:T$40)*$BD85,0)</f>
        <v/>
      </c>
      <c r="U85" s="235">
        <f>IFERROR(_xlfn.XLOOKUP($C85,$D$3:$D$40,U$3:U$40)*$BD85,0)</f>
        <v/>
      </c>
      <c r="V85" s="235">
        <f>IFERROR(_xlfn.XLOOKUP($C85,$D$3:$D$40,V$3:V$40)*$BD85,0)</f>
        <v/>
      </c>
      <c r="W85" s="235">
        <f>IFERROR(_xlfn.XLOOKUP($C85,$D$3:$D$40,W$3:W$40)*$BD85,0)</f>
        <v/>
      </c>
      <c r="X85" s="235">
        <f>IFERROR(_xlfn.XLOOKUP($C85,$D$3:$D$40,X$3:X$40)*$BD85,0)</f>
        <v/>
      </c>
      <c r="Y85" s="235">
        <f>IFERROR(_xlfn.XLOOKUP($C85,$D$3:$D$40,Y$3:Y$40)*$BD85,0)</f>
        <v/>
      </c>
      <c r="Z85" s="235">
        <f>IFERROR(_xlfn.XLOOKUP($C85,$D$3:$D$40,Z$3:Z$40)*$BD85,0)</f>
        <v/>
      </c>
      <c r="AA85" s="235">
        <f>IFERROR(_xlfn.XLOOKUP($C85,$D$3:$D$40,AA$3:AA$40)*$BD85,0)</f>
        <v/>
      </c>
      <c r="AB85" s="235">
        <f>IFERROR(_xlfn.XLOOKUP($C85,$D$3:$D$40,AB$3:AB$40)*$BD85,0)</f>
        <v/>
      </c>
      <c r="AC85" s="235">
        <f>IFERROR(_xlfn.XLOOKUP($C85,$D$3:$D$40,AC$3:AC$40)*$BD85,0)</f>
        <v/>
      </c>
      <c r="AD85" s="235">
        <f>IFERROR(_xlfn.XLOOKUP($C85,$D$3:$D$40,AD$3:AD$40)*$BD85,0)</f>
        <v/>
      </c>
      <c r="AE85" s="235">
        <f>IFERROR(_xlfn.XLOOKUP($C85,$D$3:$D$40,AE$3:AE$40)*$BD85,0)</f>
        <v/>
      </c>
      <c r="AF85" s="235">
        <f>IFERROR(_xlfn.XLOOKUP($C85,$D$3:$D$40,AF$3:AF$40)*$BD85,0)</f>
        <v/>
      </c>
      <c r="AG85" s="235">
        <f>IFERROR(_xlfn.XLOOKUP($C85,$D$3:$D$40,AG$3:AG$40)*$BD85,0)</f>
        <v/>
      </c>
      <c r="AH85" s="235">
        <f>IFERROR(_xlfn.XLOOKUP($C85,$D$3:$D$40,AH$3:AH$40)*$BD85,0)</f>
        <v/>
      </c>
      <c r="AI85" s="235">
        <f>IFERROR(_xlfn.XLOOKUP($C85,$D$3:$D$40,AI$3:AI$40)*$BD85,0)</f>
        <v/>
      </c>
      <c r="AJ85" s="235">
        <f>IFERROR(_xlfn.XLOOKUP($C85,$D$3:$D$40,AJ$3:AJ$40)*$BD85,0)</f>
        <v/>
      </c>
      <c r="AK85" s="235">
        <f>IFERROR(_xlfn.XLOOKUP($C85,$D$3:$D$40,AK$3:AK$40)*$BD85,0)</f>
        <v/>
      </c>
      <c r="AL85" s="235">
        <f>IFERROR(_xlfn.XLOOKUP($C85,$D$3:$D$40,AL$3:AL$40)*$BD85,0)</f>
        <v/>
      </c>
      <c r="AM85" s="235">
        <f>IFERROR(_xlfn.XLOOKUP($C85,$D$3:$D$40,AM$3:AM$40)*$BD85,0)</f>
        <v/>
      </c>
      <c r="AN85" s="235">
        <f>IFERROR(_xlfn.XLOOKUP($C85,$D$3:$D$40,AN$3:AN$40)*$BD85,0)</f>
        <v/>
      </c>
      <c r="AO85" s="235">
        <f>IFERROR(_xlfn.XLOOKUP($C85,$D$3:$D$40,AO$3:AO$40)*$BD85,0)</f>
        <v/>
      </c>
      <c r="AP85" s="235">
        <f>IFERROR(_xlfn.XLOOKUP($C85,$D$3:$D$40,AP$3:AP$40)*$BD85,0)</f>
        <v/>
      </c>
      <c r="AQ85" s="235">
        <f>IFERROR(_xlfn.XLOOKUP($C85,$D$3:$D$40,AQ$3:AQ$40)*$BD85,0)</f>
        <v/>
      </c>
      <c r="AR85" s="235">
        <f>IFERROR(_xlfn.XLOOKUP($C85,$D$3:$D$40,AR$3:AR$40)*$BD85,0)</f>
        <v/>
      </c>
      <c r="AS85" s="235">
        <f>IFERROR(_xlfn.XLOOKUP($C85,$D$3:$D$40,AS$3:AS$40)*$BD85,0)</f>
        <v/>
      </c>
      <c r="AT85" s="235">
        <f>IFERROR(_xlfn.XLOOKUP($C85,$D$3:$D$40,AT$3:AT$40)*$BD85,0)</f>
        <v/>
      </c>
      <c r="AU85" s="235">
        <f>IFERROR(_xlfn.XLOOKUP($C85,$D$3:$D$40,AU$3:AU$40)*$BD85,0)</f>
        <v/>
      </c>
      <c r="AV85" s="235">
        <f>IFERROR(_xlfn.XLOOKUP($C85,$D$3:$D$40,AV$3:AV$40)*$BD85,0)</f>
        <v/>
      </c>
      <c r="AW85" s="235">
        <f>IFERROR(_xlfn.XLOOKUP($C85,$D$3:$D$40,AW$3:AW$40)*$BD85,0)</f>
        <v/>
      </c>
      <c r="AX85" s="235">
        <f>IFERROR(_xlfn.XLOOKUP($C85,$D$3:$D$40,AX$3:AX$40)*$BD85,0)</f>
        <v/>
      </c>
      <c r="AY85" s="235">
        <f>IFERROR(_xlfn.XLOOKUP($C85,$D$3:$D$40,AY$3:AY$40)*$BD85,0)</f>
        <v/>
      </c>
      <c r="AZ85" s="235">
        <f>IFERROR(_xlfn.XLOOKUP($C85,$D$3:$D$40,AZ$3:AZ$40)*$BD85,0)</f>
        <v/>
      </c>
      <c r="BA85" s="235">
        <f>IFERROR(_xlfn.XLOOKUP($C85,$D$3:$D$40,BA$3:BA$40)*$BD85,0)</f>
        <v/>
      </c>
      <c r="BB85" s="235">
        <f>IFERROR(_xlfn.XLOOKUP($C85,$D$3:$D$40,BB$3:BB$40)*$BD85,0)</f>
        <v/>
      </c>
      <c r="BC85" s="228">
        <f>IFERROR(_xlfn.XLOOKUP(D85,'2C 均值'!$A:$A,'2C 均值'!$E:$E),0)</f>
        <v/>
      </c>
      <c r="BD85" s="228">
        <f t="array" ref="BD85">IF(OR($D85=0,$D85=""),"",_xlfn.LET(
        _xlpm.channel,$D85,
        _xlpm.factorName,$C85,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6" ht="15.75" customHeight="1" s="179">
      <c r="C86" s="84">
        <f>IF(OR($D86=0,$D86=""),"",_xlfn.LET(
    _xlpm.channel,$D86,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6" s="119">
        <f>'2B RotationRule'!C31</f>
        <v/>
      </c>
      <c r="E86" s="227">
        <f>IFERROR(_xlfn.XLOOKUP($C86,$D$3:$D$40,E$3:E$40)*$BD86,0)</f>
        <v/>
      </c>
      <c r="F86" s="227">
        <f>IFERROR(_xlfn.XLOOKUP($C86,$D$3:$D$40,F$3:F$40)*$BD86,0)</f>
        <v/>
      </c>
      <c r="G86" s="227">
        <f>IFERROR(_xlfn.XLOOKUP($C86,$D$3:$D$40,G$3:G$40)*$BD86,0)</f>
        <v/>
      </c>
      <c r="H86" s="235">
        <f>IFERROR(_xlfn.XLOOKUP($C86,$D$3:$D$40,H$3:H$40)*$BD86,0)</f>
        <v/>
      </c>
      <c r="I86" s="235">
        <f>IFERROR(_xlfn.XLOOKUP($C86,$D$3:$D$40,I$3:I$40)*$BD86,0)</f>
        <v/>
      </c>
      <c r="J86" s="235">
        <f>IFERROR(_xlfn.XLOOKUP($C86,$D$3:$D$40,J$3:J$40)*$BD86,0)</f>
        <v/>
      </c>
      <c r="K86" s="235">
        <f>IFERROR(_xlfn.XLOOKUP($C86,$D$3:$D$40,K$3:K$40)*$BD86,0)</f>
        <v/>
      </c>
      <c r="L86" s="235">
        <f>IFERROR(_xlfn.XLOOKUP($C86,$D$3:$D$40,L$3:L$40)*$BD86,0)</f>
        <v/>
      </c>
      <c r="M86" s="235">
        <f>IFERROR(_xlfn.XLOOKUP($C86,$D$3:$D$40,M$3:M$40)*$BD86,0)</f>
        <v/>
      </c>
      <c r="N86" s="235">
        <f>IFERROR(_xlfn.XLOOKUP($C86,$D$3:$D$40,N$3:N$40)*$BD86,0)</f>
        <v/>
      </c>
      <c r="O86" s="235">
        <f>IFERROR(_xlfn.XLOOKUP($C86,$D$3:$D$40,O$3:O$40)*$BD86,0)</f>
        <v/>
      </c>
      <c r="P86" s="235">
        <f>IFERROR(_xlfn.XLOOKUP($C86,$D$3:$D$40,P$3:P$40)*$BD86,0)</f>
        <v/>
      </c>
      <c r="Q86" s="235">
        <f>IFERROR(_xlfn.XLOOKUP($C86,$D$3:$D$40,Q$3:Q$40)*$BD86,0)</f>
        <v/>
      </c>
      <c r="R86" s="235">
        <f>IFERROR(_xlfn.XLOOKUP($C86,$D$3:$D$40,R$3:R$40)*$BD86,0)</f>
        <v/>
      </c>
      <c r="S86" s="235">
        <f>IFERROR(_xlfn.XLOOKUP($C86,$D$3:$D$40,S$3:S$40)*$BD86,0)</f>
        <v/>
      </c>
      <c r="T86" s="235">
        <f>IFERROR(_xlfn.XLOOKUP($C86,$D$3:$D$40,T$3:T$40)*$BD86,0)</f>
        <v/>
      </c>
      <c r="U86" s="235">
        <f>IFERROR(_xlfn.XLOOKUP($C86,$D$3:$D$40,U$3:U$40)*$BD86,0)</f>
        <v/>
      </c>
      <c r="V86" s="235">
        <f>IFERROR(_xlfn.XLOOKUP($C86,$D$3:$D$40,V$3:V$40)*$BD86,0)</f>
        <v/>
      </c>
      <c r="W86" s="235">
        <f>IFERROR(_xlfn.XLOOKUP($C86,$D$3:$D$40,W$3:W$40)*$BD86,0)</f>
        <v/>
      </c>
      <c r="X86" s="235">
        <f>IFERROR(_xlfn.XLOOKUP($C86,$D$3:$D$40,X$3:X$40)*$BD86,0)</f>
        <v/>
      </c>
      <c r="Y86" s="235">
        <f>IFERROR(_xlfn.XLOOKUP($C86,$D$3:$D$40,Y$3:Y$40)*$BD86,0)</f>
        <v/>
      </c>
      <c r="Z86" s="235">
        <f>IFERROR(_xlfn.XLOOKUP($C86,$D$3:$D$40,Z$3:Z$40)*$BD86,0)</f>
        <v/>
      </c>
      <c r="AA86" s="235">
        <f>IFERROR(_xlfn.XLOOKUP($C86,$D$3:$D$40,AA$3:AA$40)*$BD86,0)</f>
        <v/>
      </c>
      <c r="AB86" s="235">
        <f>IFERROR(_xlfn.XLOOKUP($C86,$D$3:$D$40,AB$3:AB$40)*$BD86,0)</f>
        <v/>
      </c>
      <c r="AC86" s="235">
        <f>IFERROR(_xlfn.XLOOKUP($C86,$D$3:$D$40,AC$3:AC$40)*$BD86,0)</f>
        <v/>
      </c>
      <c r="AD86" s="235">
        <f>IFERROR(_xlfn.XLOOKUP($C86,$D$3:$D$40,AD$3:AD$40)*$BD86,0)</f>
        <v/>
      </c>
      <c r="AE86" s="235">
        <f>IFERROR(_xlfn.XLOOKUP($C86,$D$3:$D$40,AE$3:AE$40)*$BD86,0)</f>
        <v/>
      </c>
      <c r="AF86" s="235">
        <f>IFERROR(_xlfn.XLOOKUP($C86,$D$3:$D$40,AF$3:AF$40)*$BD86,0)</f>
        <v/>
      </c>
      <c r="AG86" s="235">
        <f>IFERROR(_xlfn.XLOOKUP($C86,$D$3:$D$40,AG$3:AG$40)*$BD86,0)</f>
        <v/>
      </c>
      <c r="AH86" s="235">
        <f>IFERROR(_xlfn.XLOOKUP($C86,$D$3:$D$40,AH$3:AH$40)*$BD86,0)</f>
        <v/>
      </c>
      <c r="AI86" s="235">
        <f>IFERROR(_xlfn.XLOOKUP($C86,$D$3:$D$40,AI$3:AI$40)*$BD86,0)</f>
        <v/>
      </c>
      <c r="AJ86" s="235">
        <f>IFERROR(_xlfn.XLOOKUP($C86,$D$3:$D$40,AJ$3:AJ$40)*$BD86,0)</f>
        <v/>
      </c>
      <c r="AK86" s="235">
        <f>IFERROR(_xlfn.XLOOKUP($C86,$D$3:$D$40,AK$3:AK$40)*$BD86,0)</f>
        <v/>
      </c>
      <c r="AL86" s="235">
        <f>IFERROR(_xlfn.XLOOKUP($C86,$D$3:$D$40,AL$3:AL$40)*$BD86,0)</f>
        <v/>
      </c>
      <c r="AM86" s="235">
        <f>IFERROR(_xlfn.XLOOKUP($C86,$D$3:$D$40,AM$3:AM$40)*$BD86,0)</f>
        <v/>
      </c>
      <c r="AN86" s="235">
        <f>IFERROR(_xlfn.XLOOKUP($C86,$D$3:$D$40,AN$3:AN$40)*$BD86,0)</f>
        <v/>
      </c>
      <c r="AO86" s="235">
        <f>IFERROR(_xlfn.XLOOKUP($C86,$D$3:$D$40,AO$3:AO$40)*$BD86,0)</f>
        <v/>
      </c>
      <c r="AP86" s="235">
        <f>IFERROR(_xlfn.XLOOKUP($C86,$D$3:$D$40,AP$3:AP$40)*$BD86,0)</f>
        <v/>
      </c>
      <c r="AQ86" s="235">
        <f>IFERROR(_xlfn.XLOOKUP($C86,$D$3:$D$40,AQ$3:AQ$40)*$BD86,0)</f>
        <v/>
      </c>
      <c r="AR86" s="235">
        <f>IFERROR(_xlfn.XLOOKUP($C86,$D$3:$D$40,AR$3:AR$40)*$BD86,0)</f>
        <v/>
      </c>
      <c r="AS86" s="235">
        <f>IFERROR(_xlfn.XLOOKUP($C86,$D$3:$D$40,AS$3:AS$40)*$BD86,0)</f>
        <v/>
      </c>
      <c r="AT86" s="235">
        <f>IFERROR(_xlfn.XLOOKUP($C86,$D$3:$D$40,AT$3:AT$40)*$BD86,0)</f>
        <v/>
      </c>
      <c r="AU86" s="235">
        <f>IFERROR(_xlfn.XLOOKUP($C86,$D$3:$D$40,AU$3:AU$40)*$BD86,0)</f>
        <v/>
      </c>
      <c r="AV86" s="235">
        <f>IFERROR(_xlfn.XLOOKUP($C86,$D$3:$D$40,AV$3:AV$40)*$BD86,0)</f>
        <v/>
      </c>
      <c r="AW86" s="235">
        <f>IFERROR(_xlfn.XLOOKUP($C86,$D$3:$D$40,AW$3:AW$40)*$BD86,0)</f>
        <v/>
      </c>
      <c r="AX86" s="235">
        <f>IFERROR(_xlfn.XLOOKUP($C86,$D$3:$D$40,AX$3:AX$40)*$BD86,0)</f>
        <v/>
      </c>
      <c r="AY86" s="235">
        <f>IFERROR(_xlfn.XLOOKUP($C86,$D$3:$D$40,AY$3:AY$40)*$BD86,0)</f>
        <v/>
      </c>
      <c r="AZ86" s="235">
        <f>IFERROR(_xlfn.XLOOKUP($C86,$D$3:$D$40,AZ$3:AZ$40)*$BD86,0)</f>
        <v/>
      </c>
      <c r="BA86" s="235">
        <f>IFERROR(_xlfn.XLOOKUP($C86,$D$3:$D$40,BA$3:BA$40)*$BD86,0)</f>
        <v/>
      </c>
      <c r="BB86" s="235">
        <f>IFERROR(_xlfn.XLOOKUP($C86,$D$3:$D$40,BB$3:BB$40)*$BD86,0)</f>
        <v/>
      </c>
      <c r="BC86" s="228">
        <f>IFERROR(_xlfn.XLOOKUP(D86,'2C 均值'!$A:$A,'2C 均值'!$E:$E),0)</f>
        <v/>
      </c>
      <c r="BD86" s="228">
        <f t="array" ref="BD86">IF(OR($D86=0,$D86=""),"",_xlfn.LET(
        _xlpm.channel,$D86,
        _xlpm.factorName,$C86,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7" ht="15.75" customHeight="1" s="179">
      <c r="C87" s="84">
        <f>IF(OR($D87=0,$D87=""),"",_xlfn.LET(
    _xlpm.channel,$D87,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7" s="119">
        <f>'2B RotationRule'!C32</f>
        <v/>
      </c>
      <c r="E87" s="227">
        <f>IFERROR(_xlfn.XLOOKUP($C87,$D$3:$D$40,E$3:E$40)*$BD87,0)</f>
        <v/>
      </c>
      <c r="F87" s="227">
        <f>IFERROR(_xlfn.XLOOKUP($C87,$D$3:$D$40,F$3:F$40)*$BD87,0)</f>
        <v/>
      </c>
      <c r="G87" s="227">
        <f>IFERROR(_xlfn.XLOOKUP($C87,$D$3:$D$40,G$3:G$40)*$BD87,0)</f>
        <v/>
      </c>
      <c r="H87" s="235">
        <f>IFERROR(_xlfn.XLOOKUP($C87,$D$3:$D$40,H$3:H$40)*$BD87,0)</f>
        <v/>
      </c>
      <c r="I87" s="235">
        <f>IFERROR(_xlfn.XLOOKUP($C87,$D$3:$D$40,I$3:I$40)*$BD87,0)</f>
        <v/>
      </c>
      <c r="J87" s="235">
        <f>IFERROR(_xlfn.XLOOKUP($C87,$D$3:$D$40,J$3:J$40)*$BD87,0)</f>
        <v/>
      </c>
      <c r="K87" s="235">
        <f>IFERROR(_xlfn.XLOOKUP($C87,$D$3:$D$40,K$3:K$40)*$BD87,0)</f>
        <v/>
      </c>
      <c r="L87" s="235">
        <f>IFERROR(_xlfn.XLOOKUP($C87,$D$3:$D$40,L$3:L$40)*$BD87,0)</f>
        <v/>
      </c>
      <c r="M87" s="235">
        <f>IFERROR(_xlfn.XLOOKUP($C87,$D$3:$D$40,M$3:M$40)*$BD87,0)</f>
        <v/>
      </c>
      <c r="N87" s="235">
        <f>IFERROR(_xlfn.XLOOKUP($C87,$D$3:$D$40,N$3:N$40)*$BD87,0)</f>
        <v/>
      </c>
      <c r="O87" s="235">
        <f>IFERROR(_xlfn.XLOOKUP($C87,$D$3:$D$40,O$3:O$40)*$BD87,0)</f>
        <v/>
      </c>
      <c r="P87" s="235">
        <f>IFERROR(_xlfn.XLOOKUP($C87,$D$3:$D$40,P$3:P$40)*$BD87,0)</f>
        <v/>
      </c>
      <c r="Q87" s="235">
        <f>IFERROR(_xlfn.XLOOKUP($C87,$D$3:$D$40,Q$3:Q$40)*$BD87,0)</f>
        <v/>
      </c>
      <c r="R87" s="235">
        <f>IFERROR(_xlfn.XLOOKUP($C87,$D$3:$D$40,R$3:R$40)*$BD87,0)</f>
        <v/>
      </c>
      <c r="S87" s="235">
        <f>IFERROR(_xlfn.XLOOKUP($C87,$D$3:$D$40,S$3:S$40)*$BD87,0)</f>
        <v/>
      </c>
      <c r="T87" s="235">
        <f>IFERROR(_xlfn.XLOOKUP($C87,$D$3:$D$40,T$3:T$40)*$BD87,0)</f>
        <v/>
      </c>
      <c r="U87" s="235">
        <f>IFERROR(_xlfn.XLOOKUP($C87,$D$3:$D$40,U$3:U$40)*$BD87,0)</f>
        <v/>
      </c>
      <c r="V87" s="235">
        <f>IFERROR(_xlfn.XLOOKUP($C87,$D$3:$D$40,V$3:V$40)*$BD87,0)</f>
        <v/>
      </c>
      <c r="W87" s="235">
        <f>IFERROR(_xlfn.XLOOKUP($C87,$D$3:$D$40,W$3:W$40)*$BD87,0)</f>
        <v/>
      </c>
      <c r="X87" s="235">
        <f>IFERROR(_xlfn.XLOOKUP($C87,$D$3:$D$40,X$3:X$40)*$BD87,0)</f>
        <v/>
      </c>
      <c r="Y87" s="235">
        <f>IFERROR(_xlfn.XLOOKUP($C87,$D$3:$D$40,Y$3:Y$40)*$BD87,0)</f>
        <v/>
      </c>
      <c r="Z87" s="235">
        <f>IFERROR(_xlfn.XLOOKUP($C87,$D$3:$D$40,Z$3:Z$40)*$BD87,0)</f>
        <v/>
      </c>
      <c r="AA87" s="235">
        <f>IFERROR(_xlfn.XLOOKUP($C87,$D$3:$D$40,AA$3:AA$40)*$BD87,0)</f>
        <v/>
      </c>
      <c r="AB87" s="235">
        <f>IFERROR(_xlfn.XLOOKUP($C87,$D$3:$D$40,AB$3:AB$40)*$BD87,0)</f>
        <v/>
      </c>
      <c r="AC87" s="235">
        <f>IFERROR(_xlfn.XLOOKUP($C87,$D$3:$D$40,AC$3:AC$40)*$BD87,0)</f>
        <v/>
      </c>
      <c r="AD87" s="235">
        <f>IFERROR(_xlfn.XLOOKUP($C87,$D$3:$D$40,AD$3:AD$40)*$BD87,0)</f>
        <v/>
      </c>
      <c r="AE87" s="235">
        <f>IFERROR(_xlfn.XLOOKUP($C87,$D$3:$D$40,AE$3:AE$40)*$BD87,0)</f>
        <v/>
      </c>
      <c r="AF87" s="235">
        <f>IFERROR(_xlfn.XLOOKUP($C87,$D$3:$D$40,AF$3:AF$40)*$BD87,0)</f>
        <v/>
      </c>
      <c r="AG87" s="235">
        <f>IFERROR(_xlfn.XLOOKUP($C87,$D$3:$D$40,AG$3:AG$40)*$BD87,0)</f>
        <v/>
      </c>
      <c r="AH87" s="235">
        <f>IFERROR(_xlfn.XLOOKUP($C87,$D$3:$D$40,AH$3:AH$40)*$BD87,0)</f>
        <v/>
      </c>
      <c r="AI87" s="235">
        <f>IFERROR(_xlfn.XLOOKUP($C87,$D$3:$D$40,AI$3:AI$40)*$BD87,0)</f>
        <v/>
      </c>
      <c r="AJ87" s="235">
        <f>IFERROR(_xlfn.XLOOKUP($C87,$D$3:$D$40,AJ$3:AJ$40)*$BD87,0)</f>
        <v/>
      </c>
      <c r="AK87" s="235">
        <f>IFERROR(_xlfn.XLOOKUP($C87,$D$3:$D$40,AK$3:AK$40)*$BD87,0)</f>
        <v/>
      </c>
      <c r="AL87" s="235">
        <f>IFERROR(_xlfn.XLOOKUP($C87,$D$3:$D$40,AL$3:AL$40)*$BD87,0)</f>
        <v/>
      </c>
      <c r="AM87" s="235">
        <f>IFERROR(_xlfn.XLOOKUP($C87,$D$3:$D$40,AM$3:AM$40)*$BD87,0)</f>
        <v/>
      </c>
      <c r="AN87" s="235">
        <f>IFERROR(_xlfn.XLOOKUP($C87,$D$3:$D$40,AN$3:AN$40)*$BD87,0)</f>
        <v/>
      </c>
      <c r="AO87" s="235">
        <f>IFERROR(_xlfn.XLOOKUP($C87,$D$3:$D$40,AO$3:AO$40)*$BD87,0)</f>
        <v/>
      </c>
      <c r="AP87" s="235">
        <f>IFERROR(_xlfn.XLOOKUP($C87,$D$3:$D$40,AP$3:AP$40)*$BD87,0)</f>
        <v/>
      </c>
      <c r="AQ87" s="235">
        <f>IFERROR(_xlfn.XLOOKUP($C87,$D$3:$D$40,AQ$3:AQ$40)*$BD87,0)</f>
        <v/>
      </c>
      <c r="AR87" s="235">
        <f>IFERROR(_xlfn.XLOOKUP($C87,$D$3:$D$40,AR$3:AR$40)*$BD87,0)</f>
        <v/>
      </c>
      <c r="AS87" s="235">
        <f>IFERROR(_xlfn.XLOOKUP($C87,$D$3:$D$40,AS$3:AS$40)*$BD87,0)</f>
        <v/>
      </c>
      <c r="AT87" s="235">
        <f>IFERROR(_xlfn.XLOOKUP($C87,$D$3:$D$40,AT$3:AT$40)*$BD87,0)</f>
        <v/>
      </c>
      <c r="AU87" s="235">
        <f>IFERROR(_xlfn.XLOOKUP($C87,$D$3:$D$40,AU$3:AU$40)*$BD87,0)</f>
        <v/>
      </c>
      <c r="AV87" s="235">
        <f>IFERROR(_xlfn.XLOOKUP($C87,$D$3:$D$40,AV$3:AV$40)*$BD87,0)</f>
        <v/>
      </c>
      <c r="AW87" s="235">
        <f>IFERROR(_xlfn.XLOOKUP($C87,$D$3:$D$40,AW$3:AW$40)*$BD87,0)</f>
        <v/>
      </c>
      <c r="AX87" s="235">
        <f>IFERROR(_xlfn.XLOOKUP($C87,$D$3:$D$40,AX$3:AX$40)*$BD87,0)</f>
        <v/>
      </c>
      <c r="AY87" s="235">
        <f>IFERROR(_xlfn.XLOOKUP($C87,$D$3:$D$40,AY$3:AY$40)*$BD87,0)</f>
        <v/>
      </c>
      <c r="AZ87" s="235">
        <f>IFERROR(_xlfn.XLOOKUP($C87,$D$3:$D$40,AZ$3:AZ$40)*$BD87,0)</f>
        <v/>
      </c>
      <c r="BA87" s="235">
        <f>IFERROR(_xlfn.XLOOKUP($C87,$D$3:$D$40,BA$3:BA$40)*$BD87,0)</f>
        <v/>
      </c>
      <c r="BB87" s="235">
        <f>IFERROR(_xlfn.XLOOKUP($C87,$D$3:$D$40,BB$3:BB$40)*$BD87,0)</f>
        <v/>
      </c>
      <c r="BC87" s="228">
        <f>IFERROR(_xlfn.XLOOKUP(D87,'2C 均值'!$A:$A,'2C 均值'!$E:$E),0)</f>
        <v/>
      </c>
      <c r="BD87" s="228">
        <f t="array" ref="BD87">IF(OR($D87=0,$D87=""),"",_xlfn.LET(
        _xlpm.channel,$D87,
        _xlpm.factorName,$C87,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8" ht="15.75" customHeight="1" s="179">
      <c r="C88" s="84">
        <f>IF(OR($D88=0,$D88=""),"",_xlfn.LET(
    _xlpm.channel,$D88,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8" s="119">
        <f>'2B RotationRule'!C33</f>
        <v/>
      </c>
      <c r="E88" s="227">
        <f>IFERROR(_xlfn.XLOOKUP($C88,$D$3:$D$40,E$3:E$40)*$BD88,0)</f>
        <v/>
      </c>
      <c r="F88" s="227">
        <f>IFERROR(_xlfn.XLOOKUP($C88,$D$3:$D$40,F$3:F$40)*$BD88,0)</f>
        <v/>
      </c>
      <c r="G88" s="227">
        <f>IFERROR(_xlfn.XLOOKUP($C88,$D$3:$D$40,G$3:G$40)*$BD88,0)</f>
        <v/>
      </c>
      <c r="H88" s="235">
        <f>IFERROR(_xlfn.XLOOKUP($C88,$D$3:$D$40,H$3:H$40)*$BD88,0)</f>
        <v/>
      </c>
      <c r="I88" s="235">
        <f>IFERROR(_xlfn.XLOOKUP($C88,$D$3:$D$40,I$3:I$40)*$BD88,0)</f>
        <v/>
      </c>
      <c r="J88" s="235">
        <f>IFERROR(_xlfn.XLOOKUP($C88,$D$3:$D$40,J$3:J$40)*$BD88,0)</f>
        <v/>
      </c>
      <c r="K88" s="235">
        <f>IFERROR(_xlfn.XLOOKUP($C88,$D$3:$D$40,K$3:K$40)*$BD88,0)</f>
        <v/>
      </c>
      <c r="L88" s="235">
        <f>IFERROR(_xlfn.XLOOKUP($C88,$D$3:$D$40,L$3:L$40)*$BD88,0)</f>
        <v/>
      </c>
      <c r="M88" s="235">
        <f>IFERROR(_xlfn.XLOOKUP($C88,$D$3:$D$40,M$3:M$40)*$BD88,0)</f>
        <v/>
      </c>
      <c r="N88" s="235">
        <f>IFERROR(_xlfn.XLOOKUP($C88,$D$3:$D$40,N$3:N$40)*$BD88,0)</f>
        <v/>
      </c>
      <c r="O88" s="235">
        <f>IFERROR(_xlfn.XLOOKUP($C88,$D$3:$D$40,O$3:O$40)*$BD88,0)</f>
        <v/>
      </c>
      <c r="P88" s="235">
        <f>IFERROR(_xlfn.XLOOKUP($C88,$D$3:$D$40,P$3:P$40)*$BD88,0)</f>
        <v/>
      </c>
      <c r="Q88" s="235">
        <f>IFERROR(_xlfn.XLOOKUP($C88,$D$3:$D$40,Q$3:Q$40)*$BD88,0)</f>
        <v/>
      </c>
      <c r="R88" s="235">
        <f>IFERROR(_xlfn.XLOOKUP($C88,$D$3:$D$40,R$3:R$40)*$BD88,0)</f>
        <v/>
      </c>
      <c r="S88" s="235">
        <f>IFERROR(_xlfn.XLOOKUP($C88,$D$3:$D$40,S$3:S$40)*$BD88,0)</f>
        <v/>
      </c>
      <c r="T88" s="235">
        <f>IFERROR(_xlfn.XLOOKUP($C88,$D$3:$D$40,T$3:T$40)*$BD88,0)</f>
        <v/>
      </c>
      <c r="U88" s="235">
        <f>IFERROR(_xlfn.XLOOKUP($C88,$D$3:$D$40,U$3:U$40)*$BD88,0)</f>
        <v/>
      </c>
      <c r="V88" s="235">
        <f>IFERROR(_xlfn.XLOOKUP($C88,$D$3:$D$40,V$3:V$40)*$BD88,0)</f>
        <v/>
      </c>
      <c r="W88" s="235">
        <f>IFERROR(_xlfn.XLOOKUP($C88,$D$3:$D$40,W$3:W$40)*$BD88,0)</f>
        <v/>
      </c>
      <c r="X88" s="235">
        <f>IFERROR(_xlfn.XLOOKUP($C88,$D$3:$D$40,X$3:X$40)*$BD88,0)</f>
        <v/>
      </c>
      <c r="Y88" s="235">
        <f>IFERROR(_xlfn.XLOOKUP($C88,$D$3:$D$40,Y$3:Y$40)*$BD88,0)</f>
        <v/>
      </c>
      <c r="Z88" s="235">
        <f>IFERROR(_xlfn.XLOOKUP($C88,$D$3:$D$40,Z$3:Z$40)*$BD88,0)</f>
        <v/>
      </c>
      <c r="AA88" s="235">
        <f>IFERROR(_xlfn.XLOOKUP($C88,$D$3:$D$40,AA$3:AA$40)*$BD88,0)</f>
        <v/>
      </c>
      <c r="AB88" s="235">
        <f>IFERROR(_xlfn.XLOOKUP($C88,$D$3:$D$40,AB$3:AB$40)*$BD88,0)</f>
        <v/>
      </c>
      <c r="AC88" s="235">
        <f>IFERROR(_xlfn.XLOOKUP($C88,$D$3:$D$40,AC$3:AC$40)*$BD88,0)</f>
        <v/>
      </c>
      <c r="AD88" s="235">
        <f>IFERROR(_xlfn.XLOOKUP($C88,$D$3:$D$40,AD$3:AD$40)*$BD88,0)</f>
        <v/>
      </c>
      <c r="AE88" s="235">
        <f>IFERROR(_xlfn.XLOOKUP($C88,$D$3:$D$40,AE$3:AE$40)*$BD88,0)</f>
        <v/>
      </c>
      <c r="AF88" s="235">
        <f>IFERROR(_xlfn.XLOOKUP($C88,$D$3:$D$40,AF$3:AF$40)*$BD88,0)</f>
        <v/>
      </c>
      <c r="AG88" s="235">
        <f>IFERROR(_xlfn.XLOOKUP($C88,$D$3:$D$40,AG$3:AG$40)*$BD88,0)</f>
        <v/>
      </c>
      <c r="AH88" s="235">
        <f>IFERROR(_xlfn.XLOOKUP($C88,$D$3:$D$40,AH$3:AH$40)*$BD88,0)</f>
        <v/>
      </c>
      <c r="AI88" s="235">
        <f>IFERROR(_xlfn.XLOOKUP($C88,$D$3:$D$40,AI$3:AI$40)*$BD88,0)</f>
        <v/>
      </c>
      <c r="AJ88" s="235">
        <f>IFERROR(_xlfn.XLOOKUP($C88,$D$3:$D$40,AJ$3:AJ$40)*$BD88,0)</f>
        <v/>
      </c>
      <c r="AK88" s="235">
        <f>IFERROR(_xlfn.XLOOKUP($C88,$D$3:$D$40,AK$3:AK$40)*$BD88,0)</f>
        <v/>
      </c>
      <c r="AL88" s="235">
        <f>IFERROR(_xlfn.XLOOKUP($C88,$D$3:$D$40,AL$3:AL$40)*$BD88,0)</f>
        <v/>
      </c>
      <c r="AM88" s="235">
        <f>IFERROR(_xlfn.XLOOKUP($C88,$D$3:$D$40,AM$3:AM$40)*$BD88,0)</f>
        <v/>
      </c>
      <c r="AN88" s="235">
        <f>IFERROR(_xlfn.XLOOKUP($C88,$D$3:$D$40,AN$3:AN$40)*$BD88,0)</f>
        <v/>
      </c>
      <c r="AO88" s="235">
        <f>IFERROR(_xlfn.XLOOKUP($C88,$D$3:$D$40,AO$3:AO$40)*$BD88,0)</f>
        <v/>
      </c>
      <c r="AP88" s="235">
        <f>IFERROR(_xlfn.XLOOKUP($C88,$D$3:$D$40,AP$3:AP$40)*$BD88,0)</f>
        <v/>
      </c>
      <c r="AQ88" s="235">
        <f>IFERROR(_xlfn.XLOOKUP($C88,$D$3:$D$40,AQ$3:AQ$40)*$BD88,0)</f>
        <v/>
      </c>
      <c r="AR88" s="235">
        <f>IFERROR(_xlfn.XLOOKUP($C88,$D$3:$D$40,AR$3:AR$40)*$BD88,0)</f>
        <v/>
      </c>
      <c r="AS88" s="235">
        <f>IFERROR(_xlfn.XLOOKUP($C88,$D$3:$D$40,AS$3:AS$40)*$BD88,0)</f>
        <v/>
      </c>
      <c r="AT88" s="235">
        <f>IFERROR(_xlfn.XLOOKUP($C88,$D$3:$D$40,AT$3:AT$40)*$BD88,0)</f>
        <v/>
      </c>
      <c r="AU88" s="235">
        <f>IFERROR(_xlfn.XLOOKUP($C88,$D$3:$D$40,AU$3:AU$40)*$BD88,0)</f>
        <v/>
      </c>
      <c r="AV88" s="235">
        <f>IFERROR(_xlfn.XLOOKUP($C88,$D$3:$D$40,AV$3:AV$40)*$BD88,0)</f>
        <v/>
      </c>
      <c r="AW88" s="235">
        <f>IFERROR(_xlfn.XLOOKUP($C88,$D$3:$D$40,AW$3:AW$40)*$BD88,0)</f>
        <v/>
      </c>
      <c r="AX88" s="235">
        <f>IFERROR(_xlfn.XLOOKUP($C88,$D$3:$D$40,AX$3:AX$40)*$BD88,0)</f>
        <v/>
      </c>
      <c r="AY88" s="235">
        <f>IFERROR(_xlfn.XLOOKUP($C88,$D$3:$D$40,AY$3:AY$40)*$BD88,0)</f>
        <v/>
      </c>
      <c r="AZ88" s="235">
        <f>IFERROR(_xlfn.XLOOKUP($C88,$D$3:$D$40,AZ$3:AZ$40)*$BD88,0)</f>
        <v/>
      </c>
      <c r="BA88" s="235">
        <f>IFERROR(_xlfn.XLOOKUP($C88,$D$3:$D$40,BA$3:BA$40)*$BD88,0)</f>
        <v/>
      </c>
      <c r="BB88" s="235">
        <f>IFERROR(_xlfn.XLOOKUP($C88,$D$3:$D$40,BB$3:BB$40)*$BD88,0)</f>
        <v/>
      </c>
      <c r="BC88" s="228">
        <f>IFERROR(_xlfn.XLOOKUP(D88,'2C 均值'!$A:$A,'2C 均值'!$E:$E),0)</f>
        <v/>
      </c>
      <c r="BD88" s="228">
        <f t="array" ref="BD88">IF(OR($D88=0,$D88=""),"",_xlfn.LET(
        _xlpm.channel,$D88,
        _xlpm.factorName,$C88,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89" ht="15.75" customHeight="1" s="179">
      <c r="C89" s="84">
        <f>IF(OR($D89=0,$D89=""),"",_xlfn.LET(
    _xlpm.channel,$D89,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89" s="119">
        <f>'2B RotationRule'!C34</f>
        <v/>
      </c>
      <c r="E89" s="227">
        <f>IFERROR(_xlfn.XLOOKUP($C89,$D$3:$D$40,E$3:E$40)*$BD89,0)</f>
        <v/>
      </c>
      <c r="F89" s="227">
        <f>IFERROR(_xlfn.XLOOKUP($C89,$D$3:$D$40,F$3:F$40)*$BD89,0)</f>
        <v/>
      </c>
      <c r="G89" s="227">
        <f>IFERROR(_xlfn.XLOOKUP($C89,$D$3:$D$40,G$3:G$40)*$BD89,0)</f>
        <v/>
      </c>
      <c r="H89" s="235">
        <f>IFERROR(_xlfn.XLOOKUP($C89,$D$3:$D$40,H$3:H$40)*$BD89,0)</f>
        <v/>
      </c>
      <c r="I89" s="235">
        <f>IFERROR(_xlfn.XLOOKUP($C89,$D$3:$D$40,I$3:I$40)*$BD89,0)</f>
        <v/>
      </c>
      <c r="J89" s="235">
        <f>IFERROR(_xlfn.XLOOKUP($C89,$D$3:$D$40,J$3:J$40)*$BD89,0)</f>
        <v/>
      </c>
      <c r="K89" s="235">
        <f>IFERROR(_xlfn.XLOOKUP($C89,$D$3:$D$40,K$3:K$40)*$BD89,0)</f>
        <v/>
      </c>
      <c r="L89" s="235">
        <f>IFERROR(_xlfn.XLOOKUP($C89,$D$3:$D$40,L$3:L$40)*$BD89,0)</f>
        <v/>
      </c>
      <c r="M89" s="235">
        <f>IFERROR(_xlfn.XLOOKUP($C89,$D$3:$D$40,M$3:M$40)*$BD89,0)</f>
        <v/>
      </c>
      <c r="N89" s="235">
        <f>IFERROR(_xlfn.XLOOKUP($C89,$D$3:$D$40,N$3:N$40)*$BD89,0)</f>
        <v/>
      </c>
      <c r="O89" s="235">
        <f>IFERROR(_xlfn.XLOOKUP($C89,$D$3:$D$40,O$3:O$40)*$BD89,0)</f>
        <v/>
      </c>
      <c r="P89" s="235">
        <f>IFERROR(_xlfn.XLOOKUP($C89,$D$3:$D$40,P$3:P$40)*$BD89,0)</f>
        <v/>
      </c>
      <c r="Q89" s="235">
        <f>IFERROR(_xlfn.XLOOKUP($C89,$D$3:$D$40,Q$3:Q$40)*$BD89,0)</f>
        <v/>
      </c>
      <c r="R89" s="235">
        <f>IFERROR(_xlfn.XLOOKUP($C89,$D$3:$D$40,R$3:R$40)*$BD89,0)</f>
        <v/>
      </c>
      <c r="S89" s="235">
        <f>IFERROR(_xlfn.XLOOKUP($C89,$D$3:$D$40,S$3:S$40)*$BD89,0)</f>
        <v/>
      </c>
      <c r="T89" s="235">
        <f>IFERROR(_xlfn.XLOOKUP($C89,$D$3:$D$40,T$3:T$40)*$BD89,0)</f>
        <v/>
      </c>
      <c r="U89" s="235">
        <f>IFERROR(_xlfn.XLOOKUP($C89,$D$3:$D$40,U$3:U$40)*$BD89,0)</f>
        <v/>
      </c>
      <c r="V89" s="235">
        <f>IFERROR(_xlfn.XLOOKUP($C89,$D$3:$D$40,V$3:V$40)*$BD89,0)</f>
        <v/>
      </c>
      <c r="W89" s="235">
        <f>IFERROR(_xlfn.XLOOKUP($C89,$D$3:$D$40,W$3:W$40)*$BD89,0)</f>
        <v/>
      </c>
      <c r="X89" s="235">
        <f>IFERROR(_xlfn.XLOOKUP($C89,$D$3:$D$40,X$3:X$40)*$BD89,0)</f>
        <v/>
      </c>
      <c r="Y89" s="235">
        <f>IFERROR(_xlfn.XLOOKUP($C89,$D$3:$D$40,Y$3:Y$40)*$BD89,0)</f>
        <v/>
      </c>
      <c r="Z89" s="235">
        <f>IFERROR(_xlfn.XLOOKUP($C89,$D$3:$D$40,Z$3:Z$40)*$BD89,0)</f>
        <v/>
      </c>
      <c r="AA89" s="235">
        <f>IFERROR(_xlfn.XLOOKUP($C89,$D$3:$D$40,AA$3:AA$40)*$BD89,0)</f>
        <v/>
      </c>
      <c r="AB89" s="235">
        <f>IFERROR(_xlfn.XLOOKUP($C89,$D$3:$D$40,AB$3:AB$40)*$BD89,0)</f>
        <v/>
      </c>
      <c r="AC89" s="235">
        <f>IFERROR(_xlfn.XLOOKUP($C89,$D$3:$D$40,AC$3:AC$40)*$BD89,0)</f>
        <v/>
      </c>
      <c r="AD89" s="235">
        <f>IFERROR(_xlfn.XLOOKUP($C89,$D$3:$D$40,AD$3:AD$40)*$BD89,0)</f>
        <v/>
      </c>
      <c r="AE89" s="235">
        <f>IFERROR(_xlfn.XLOOKUP($C89,$D$3:$D$40,AE$3:AE$40)*$BD89,0)</f>
        <v/>
      </c>
      <c r="AF89" s="235">
        <f>IFERROR(_xlfn.XLOOKUP($C89,$D$3:$D$40,AF$3:AF$40)*$BD89,0)</f>
        <v/>
      </c>
      <c r="AG89" s="235">
        <f>IFERROR(_xlfn.XLOOKUP($C89,$D$3:$D$40,AG$3:AG$40)*$BD89,0)</f>
        <v/>
      </c>
      <c r="AH89" s="235">
        <f>IFERROR(_xlfn.XLOOKUP($C89,$D$3:$D$40,AH$3:AH$40)*$BD89,0)</f>
        <v/>
      </c>
      <c r="AI89" s="235">
        <f>IFERROR(_xlfn.XLOOKUP($C89,$D$3:$D$40,AI$3:AI$40)*$BD89,0)</f>
        <v/>
      </c>
      <c r="AJ89" s="235">
        <f>IFERROR(_xlfn.XLOOKUP($C89,$D$3:$D$40,AJ$3:AJ$40)*$BD89,0)</f>
        <v/>
      </c>
      <c r="AK89" s="235">
        <f>IFERROR(_xlfn.XLOOKUP($C89,$D$3:$D$40,AK$3:AK$40)*$BD89,0)</f>
        <v/>
      </c>
      <c r="AL89" s="235">
        <f>IFERROR(_xlfn.XLOOKUP($C89,$D$3:$D$40,AL$3:AL$40)*$BD89,0)</f>
        <v/>
      </c>
      <c r="AM89" s="235">
        <f>IFERROR(_xlfn.XLOOKUP($C89,$D$3:$D$40,AM$3:AM$40)*$BD89,0)</f>
        <v/>
      </c>
      <c r="AN89" s="235">
        <f>IFERROR(_xlfn.XLOOKUP($C89,$D$3:$D$40,AN$3:AN$40)*$BD89,0)</f>
        <v/>
      </c>
      <c r="AO89" s="235">
        <f>IFERROR(_xlfn.XLOOKUP($C89,$D$3:$D$40,AO$3:AO$40)*$BD89,0)</f>
        <v/>
      </c>
      <c r="AP89" s="235">
        <f>IFERROR(_xlfn.XLOOKUP($C89,$D$3:$D$40,AP$3:AP$40)*$BD89,0)</f>
        <v/>
      </c>
      <c r="AQ89" s="235">
        <f>IFERROR(_xlfn.XLOOKUP($C89,$D$3:$D$40,AQ$3:AQ$40)*$BD89,0)</f>
        <v/>
      </c>
      <c r="AR89" s="235">
        <f>IFERROR(_xlfn.XLOOKUP($C89,$D$3:$D$40,AR$3:AR$40)*$BD89,0)</f>
        <v/>
      </c>
      <c r="AS89" s="235">
        <f>IFERROR(_xlfn.XLOOKUP($C89,$D$3:$D$40,AS$3:AS$40)*$BD89,0)</f>
        <v/>
      </c>
      <c r="AT89" s="235">
        <f>IFERROR(_xlfn.XLOOKUP($C89,$D$3:$D$40,AT$3:AT$40)*$BD89,0)</f>
        <v/>
      </c>
      <c r="AU89" s="235">
        <f>IFERROR(_xlfn.XLOOKUP($C89,$D$3:$D$40,AU$3:AU$40)*$BD89,0)</f>
        <v/>
      </c>
      <c r="AV89" s="235">
        <f>IFERROR(_xlfn.XLOOKUP($C89,$D$3:$D$40,AV$3:AV$40)*$BD89,0)</f>
        <v/>
      </c>
      <c r="AW89" s="235">
        <f>IFERROR(_xlfn.XLOOKUP($C89,$D$3:$D$40,AW$3:AW$40)*$BD89,0)</f>
        <v/>
      </c>
      <c r="AX89" s="235">
        <f>IFERROR(_xlfn.XLOOKUP($C89,$D$3:$D$40,AX$3:AX$40)*$BD89,0)</f>
        <v/>
      </c>
      <c r="AY89" s="235">
        <f>IFERROR(_xlfn.XLOOKUP($C89,$D$3:$D$40,AY$3:AY$40)*$BD89,0)</f>
        <v/>
      </c>
      <c r="AZ89" s="235">
        <f>IFERROR(_xlfn.XLOOKUP($C89,$D$3:$D$40,AZ$3:AZ$40)*$BD89,0)</f>
        <v/>
      </c>
      <c r="BA89" s="235">
        <f>IFERROR(_xlfn.XLOOKUP($C89,$D$3:$D$40,BA$3:BA$40)*$BD89,0)</f>
        <v/>
      </c>
      <c r="BB89" s="235">
        <f>IFERROR(_xlfn.XLOOKUP($C89,$D$3:$D$40,BB$3:BB$40)*$BD89,0)</f>
        <v/>
      </c>
      <c r="BC89" s="228">
        <f>IFERROR(_xlfn.XLOOKUP(D89,'2C 均值'!$A:$A,'2C 均值'!$E:$E),0)</f>
        <v/>
      </c>
      <c r="BD89" s="228">
        <f t="array" ref="BD89">IF(OR($D89=0,$D89=""),"",_xlfn.LET(
        _xlpm.channel,$D89,
        _xlpm.factorName,$C89,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90" ht="15.75" customHeight="1" s="179">
      <c r="C90" s="84">
        <f>IF(OR($D90=0,$D90=""),"",_xlfn.LET(
    _xlpm.channel,$D90,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90" s="119">
        <f>'2B RotationRule'!C35</f>
        <v/>
      </c>
      <c r="E90" s="227">
        <f>IFERROR(_xlfn.XLOOKUP($C90,$D$3:$D$40,E$3:E$40)*$BD90,0)</f>
        <v/>
      </c>
      <c r="F90" s="227">
        <f>IFERROR(_xlfn.XLOOKUP($C90,$D$3:$D$40,F$3:F$40)*$BD90,0)</f>
        <v/>
      </c>
      <c r="G90" s="227">
        <f>IFERROR(_xlfn.XLOOKUP($C90,$D$3:$D$40,G$3:G$40)*$BD90,0)</f>
        <v/>
      </c>
      <c r="H90" s="235">
        <f>IFERROR(_xlfn.XLOOKUP($C90,$D$3:$D$40,H$3:H$40)*$BD90,0)</f>
        <v/>
      </c>
      <c r="I90" s="235">
        <f>IFERROR(_xlfn.XLOOKUP($C90,$D$3:$D$40,I$3:I$40)*$BD90,0)</f>
        <v/>
      </c>
      <c r="J90" s="235">
        <f>IFERROR(_xlfn.XLOOKUP($C90,$D$3:$D$40,J$3:J$40)*$BD90,0)</f>
        <v/>
      </c>
      <c r="K90" s="235">
        <f>IFERROR(_xlfn.XLOOKUP($C90,$D$3:$D$40,K$3:K$40)*$BD90,0)</f>
        <v/>
      </c>
      <c r="L90" s="235">
        <f>IFERROR(_xlfn.XLOOKUP($C90,$D$3:$D$40,L$3:L$40)*$BD90,0)</f>
        <v/>
      </c>
      <c r="M90" s="235">
        <f>IFERROR(_xlfn.XLOOKUP($C90,$D$3:$D$40,M$3:M$40)*$BD90,0)</f>
        <v/>
      </c>
      <c r="N90" s="235">
        <f>IFERROR(_xlfn.XLOOKUP($C90,$D$3:$D$40,N$3:N$40)*$BD90,0)</f>
        <v/>
      </c>
      <c r="O90" s="235">
        <f>IFERROR(_xlfn.XLOOKUP($C90,$D$3:$D$40,O$3:O$40)*$BD90,0)</f>
        <v/>
      </c>
      <c r="P90" s="235">
        <f>IFERROR(_xlfn.XLOOKUP($C90,$D$3:$D$40,P$3:P$40)*$BD90,0)</f>
        <v/>
      </c>
      <c r="Q90" s="235">
        <f>IFERROR(_xlfn.XLOOKUP($C90,$D$3:$D$40,Q$3:Q$40)*$BD90,0)</f>
        <v/>
      </c>
      <c r="R90" s="235">
        <f>IFERROR(_xlfn.XLOOKUP($C90,$D$3:$D$40,R$3:R$40)*$BD90,0)</f>
        <v/>
      </c>
      <c r="S90" s="235">
        <f>IFERROR(_xlfn.XLOOKUP($C90,$D$3:$D$40,S$3:S$40)*$BD90,0)</f>
        <v/>
      </c>
      <c r="T90" s="235">
        <f>IFERROR(_xlfn.XLOOKUP($C90,$D$3:$D$40,T$3:T$40)*$BD90,0)</f>
        <v/>
      </c>
      <c r="U90" s="235">
        <f>IFERROR(_xlfn.XLOOKUP($C90,$D$3:$D$40,U$3:U$40)*$BD90,0)</f>
        <v/>
      </c>
      <c r="V90" s="235">
        <f>IFERROR(_xlfn.XLOOKUP($C90,$D$3:$D$40,V$3:V$40)*$BD90,0)</f>
        <v/>
      </c>
      <c r="W90" s="235">
        <f>IFERROR(_xlfn.XLOOKUP($C90,$D$3:$D$40,W$3:W$40)*$BD90,0)</f>
        <v/>
      </c>
      <c r="X90" s="235">
        <f>IFERROR(_xlfn.XLOOKUP($C90,$D$3:$D$40,X$3:X$40)*$BD90,0)</f>
        <v/>
      </c>
      <c r="Y90" s="235">
        <f>IFERROR(_xlfn.XLOOKUP($C90,$D$3:$D$40,Y$3:Y$40)*$BD90,0)</f>
        <v/>
      </c>
      <c r="Z90" s="235">
        <f>IFERROR(_xlfn.XLOOKUP($C90,$D$3:$D$40,Z$3:Z$40)*$BD90,0)</f>
        <v/>
      </c>
      <c r="AA90" s="235">
        <f>IFERROR(_xlfn.XLOOKUP($C90,$D$3:$D$40,AA$3:AA$40)*$BD90,0)</f>
        <v/>
      </c>
      <c r="AB90" s="235">
        <f>IFERROR(_xlfn.XLOOKUP($C90,$D$3:$D$40,AB$3:AB$40)*$BD90,0)</f>
        <v/>
      </c>
      <c r="AC90" s="235">
        <f>IFERROR(_xlfn.XLOOKUP($C90,$D$3:$D$40,AC$3:AC$40)*$BD90,0)</f>
        <v/>
      </c>
      <c r="AD90" s="235">
        <f>IFERROR(_xlfn.XLOOKUP($C90,$D$3:$D$40,AD$3:AD$40)*$BD90,0)</f>
        <v/>
      </c>
      <c r="AE90" s="235">
        <f>IFERROR(_xlfn.XLOOKUP($C90,$D$3:$D$40,AE$3:AE$40)*$BD90,0)</f>
        <v/>
      </c>
      <c r="AF90" s="235">
        <f>IFERROR(_xlfn.XLOOKUP($C90,$D$3:$D$40,AF$3:AF$40)*$BD90,0)</f>
        <v/>
      </c>
      <c r="AG90" s="235">
        <f>IFERROR(_xlfn.XLOOKUP($C90,$D$3:$D$40,AG$3:AG$40)*$BD90,0)</f>
        <v/>
      </c>
      <c r="AH90" s="235">
        <f>IFERROR(_xlfn.XLOOKUP($C90,$D$3:$D$40,AH$3:AH$40)*$BD90,0)</f>
        <v/>
      </c>
      <c r="AI90" s="235">
        <f>IFERROR(_xlfn.XLOOKUP($C90,$D$3:$D$40,AI$3:AI$40)*$BD90,0)</f>
        <v/>
      </c>
      <c r="AJ90" s="235">
        <f>IFERROR(_xlfn.XLOOKUP($C90,$D$3:$D$40,AJ$3:AJ$40)*$BD90,0)</f>
        <v/>
      </c>
      <c r="AK90" s="235">
        <f>IFERROR(_xlfn.XLOOKUP($C90,$D$3:$D$40,AK$3:AK$40)*$BD90,0)</f>
        <v/>
      </c>
      <c r="AL90" s="235">
        <f>IFERROR(_xlfn.XLOOKUP($C90,$D$3:$D$40,AL$3:AL$40)*$BD90,0)</f>
        <v/>
      </c>
      <c r="AM90" s="235">
        <f>IFERROR(_xlfn.XLOOKUP($C90,$D$3:$D$40,AM$3:AM$40)*$BD90,0)</f>
        <v/>
      </c>
      <c r="AN90" s="235">
        <f>IFERROR(_xlfn.XLOOKUP($C90,$D$3:$D$40,AN$3:AN$40)*$BD90,0)</f>
        <v/>
      </c>
      <c r="AO90" s="235">
        <f>IFERROR(_xlfn.XLOOKUP($C90,$D$3:$D$40,AO$3:AO$40)*$BD90,0)</f>
        <v/>
      </c>
      <c r="AP90" s="235">
        <f>IFERROR(_xlfn.XLOOKUP($C90,$D$3:$D$40,AP$3:AP$40)*$BD90,0)</f>
        <v/>
      </c>
      <c r="AQ90" s="235">
        <f>IFERROR(_xlfn.XLOOKUP($C90,$D$3:$D$40,AQ$3:AQ$40)*$BD90,0)</f>
        <v/>
      </c>
      <c r="AR90" s="235">
        <f>IFERROR(_xlfn.XLOOKUP($C90,$D$3:$D$40,AR$3:AR$40)*$BD90,0)</f>
        <v/>
      </c>
      <c r="AS90" s="235">
        <f>IFERROR(_xlfn.XLOOKUP($C90,$D$3:$D$40,AS$3:AS$40)*$BD90,0)</f>
        <v/>
      </c>
      <c r="AT90" s="235">
        <f>IFERROR(_xlfn.XLOOKUP($C90,$D$3:$D$40,AT$3:AT$40)*$BD90,0)</f>
        <v/>
      </c>
      <c r="AU90" s="235">
        <f>IFERROR(_xlfn.XLOOKUP($C90,$D$3:$D$40,AU$3:AU$40)*$BD90,0)</f>
        <v/>
      </c>
      <c r="AV90" s="235">
        <f>IFERROR(_xlfn.XLOOKUP($C90,$D$3:$D$40,AV$3:AV$40)*$BD90,0)</f>
        <v/>
      </c>
      <c r="AW90" s="235">
        <f>IFERROR(_xlfn.XLOOKUP($C90,$D$3:$D$40,AW$3:AW$40)*$BD90,0)</f>
        <v/>
      </c>
      <c r="AX90" s="235">
        <f>IFERROR(_xlfn.XLOOKUP($C90,$D$3:$D$40,AX$3:AX$40)*$BD90,0)</f>
        <v/>
      </c>
      <c r="AY90" s="235">
        <f>IFERROR(_xlfn.XLOOKUP($C90,$D$3:$D$40,AY$3:AY$40)*$BD90,0)</f>
        <v/>
      </c>
      <c r="AZ90" s="235">
        <f>IFERROR(_xlfn.XLOOKUP($C90,$D$3:$D$40,AZ$3:AZ$40)*$BD90,0)</f>
        <v/>
      </c>
      <c r="BA90" s="235">
        <f>IFERROR(_xlfn.XLOOKUP($C90,$D$3:$D$40,BA$3:BA$40)*$BD90,0)</f>
        <v/>
      </c>
      <c r="BB90" s="235">
        <f>IFERROR(_xlfn.XLOOKUP($C90,$D$3:$D$40,BB$3:BB$40)*$BD90,0)</f>
        <v/>
      </c>
      <c r="BC90" s="228">
        <f>IFERROR(_xlfn.XLOOKUP(D90,'2C 均值'!$A:$A,'2C 均值'!$E:$E),0)</f>
        <v/>
      </c>
      <c r="BD90" s="228">
        <f t="array" ref="BD90">IF(OR($D90=0,$D90=""),"",_xlfn.LET(
        _xlpm.channel,$D90,
        _xlpm.factorName,$C90,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91" ht="15.75" customHeight="1" s="179">
      <c r="C91" s="84">
        <f>IF(OR($D91=0,$D91=""),"",_xlfn.LET(
    _xlpm.channel,$D91,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91" s="119">
        <f>'2B RotationRule'!C36</f>
        <v/>
      </c>
      <c r="E91" s="227">
        <f>IFERROR(_xlfn.XLOOKUP($C91,$D$3:$D$40,E$3:E$40)*$BD91,0)</f>
        <v/>
      </c>
      <c r="F91" s="227">
        <f>IFERROR(_xlfn.XLOOKUP($C91,$D$3:$D$40,F$3:F$40)*$BD91,0)</f>
        <v/>
      </c>
      <c r="G91" s="227">
        <f>IFERROR(_xlfn.XLOOKUP($C91,$D$3:$D$40,G$3:G$40)*$BD91,0)</f>
        <v/>
      </c>
      <c r="H91" s="235">
        <f>IFERROR(_xlfn.XLOOKUP($C91,$D$3:$D$40,H$3:H$40)*$BD91,0)</f>
        <v/>
      </c>
      <c r="I91" s="235">
        <f>IFERROR(_xlfn.XLOOKUP($C91,$D$3:$D$40,I$3:I$40)*$BD91,0)</f>
        <v/>
      </c>
      <c r="J91" s="235">
        <f>IFERROR(_xlfn.XLOOKUP($C91,$D$3:$D$40,J$3:J$40)*$BD91,0)</f>
        <v/>
      </c>
      <c r="K91" s="235">
        <f>IFERROR(_xlfn.XLOOKUP($C91,$D$3:$D$40,K$3:K$40)*$BD91,0)</f>
        <v/>
      </c>
      <c r="L91" s="235">
        <f>IFERROR(_xlfn.XLOOKUP($C91,$D$3:$D$40,L$3:L$40)*$BD91,0)</f>
        <v/>
      </c>
      <c r="M91" s="235">
        <f>IFERROR(_xlfn.XLOOKUP($C91,$D$3:$D$40,M$3:M$40)*$BD91,0)</f>
        <v/>
      </c>
      <c r="N91" s="235">
        <f>IFERROR(_xlfn.XLOOKUP($C91,$D$3:$D$40,N$3:N$40)*$BD91,0)</f>
        <v/>
      </c>
      <c r="O91" s="235">
        <f>IFERROR(_xlfn.XLOOKUP($C91,$D$3:$D$40,O$3:O$40)*$BD91,0)</f>
        <v/>
      </c>
      <c r="P91" s="235">
        <f>IFERROR(_xlfn.XLOOKUP($C91,$D$3:$D$40,P$3:P$40)*$BD91,0)</f>
        <v/>
      </c>
      <c r="Q91" s="235">
        <f>IFERROR(_xlfn.XLOOKUP($C91,$D$3:$D$40,Q$3:Q$40)*$BD91,0)</f>
        <v/>
      </c>
      <c r="R91" s="235">
        <f>IFERROR(_xlfn.XLOOKUP($C91,$D$3:$D$40,R$3:R$40)*$BD91,0)</f>
        <v/>
      </c>
      <c r="S91" s="235">
        <f>IFERROR(_xlfn.XLOOKUP($C91,$D$3:$D$40,S$3:S$40)*$BD91,0)</f>
        <v/>
      </c>
      <c r="T91" s="235">
        <f>IFERROR(_xlfn.XLOOKUP($C91,$D$3:$D$40,T$3:T$40)*$BD91,0)</f>
        <v/>
      </c>
      <c r="U91" s="235">
        <f>IFERROR(_xlfn.XLOOKUP($C91,$D$3:$D$40,U$3:U$40)*$BD91,0)</f>
        <v/>
      </c>
      <c r="V91" s="235">
        <f>IFERROR(_xlfn.XLOOKUP($C91,$D$3:$D$40,V$3:V$40)*$BD91,0)</f>
        <v/>
      </c>
      <c r="W91" s="235">
        <f>IFERROR(_xlfn.XLOOKUP($C91,$D$3:$D$40,W$3:W$40)*$BD91,0)</f>
        <v/>
      </c>
      <c r="X91" s="235">
        <f>IFERROR(_xlfn.XLOOKUP($C91,$D$3:$D$40,X$3:X$40)*$BD91,0)</f>
        <v/>
      </c>
      <c r="Y91" s="235">
        <f>IFERROR(_xlfn.XLOOKUP($C91,$D$3:$D$40,Y$3:Y$40)*$BD91,0)</f>
        <v/>
      </c>
      <c r="Z91" s="235">
        <f>IFERROR(_xlfn.XLOOKUP($C91,$D$3:$D$40,Z$3:Z$40)*$BD91,0)</f>
        <v/>
      </c>
      <c r="AA91" s="235">
        <f>IFERROR(_xlfn.XLOOKUP($C91,$D$3:$D$40,AA$3:AA$40)*$BD91,0)</f>
        <v/>
      </c>
      <c r="AB91" s="235">
        <f>IFERROR(_xlfn.XLOOKUP($C91,$D$3:$D$40,AB$3:AB$40)*$BD91,0)</f>
        <v/>
      </c>
      <c r="AC91" s="235">
        <f>IFERROR(_xlfn.XLOOKUP($C91,$D$3:$D$40,AC$3:AC$40)*$BD91,0)</f>
        <v/>
      </c>
      <c r="AD91" s="235">
        <f>IFERROR(_xlfn.XLOOKUP($C91,$D$3:$D$40,AD$3:AD$40)*$BD91,0)</f>
        <v/>
      </c>
      <c r="AE91" s="235">
        <f>IFERROR(_xlfn.XLOOKUP($C91,$D$3:$D$40,AE$3:AE$40)*$BD91,0)</f>
        <v/>
      </c>
      <c r="AF91" s="235">
        <f>IFERROR(_xlfn.XLOOKUP($C91,$D$3:$D$40,AF$3:AF$40)*$BD91,0)</f>
        <v/>
      </c>
      <c r="AG91" s="235">
        <f>IFERROR(_xlfn.XLOOKUP($C91,$D$3:$D$40,AG$3:AG$40)*$BD91,0)</f>
        <v/>
      </c>
      <c r="AH91" s="235">
        <f>IFERROR(_xlfn.XLOOKUP($C91,$D$3:$D$40,AH$3:AH$40)*$BD91,0)</f>
        <v/>
      </c>
      <c r="AI91" s="235">
        <f>IFERROR(_xlfn.XLOOKUP($C91,$D$3:$D$40,AI$3:AI$40)*$BD91,0)</f>
        <v/>
      </c>
      <c r="AJ91" s="235">
        <f>IFERROR(_xlfn.XLOOKUP($C91,$D$3:$D$40,AJ$3:AJ$40)*$BD91,0)</f>
        <v/>
      </c>
      <c r="AK91" s="235">
        <f>IFERROR(_xlfn.XLOOKUP($C91,$D$3:$D$40,AK$3:AK$40)*$BD91,0)</f>
        <v/>
      </c>
      <c r="AL91" s="235">
        <f>IFERROR(_xlfn.XLOOKUP($C91,$D$3:$D$40,AL$3:AL$40)*$BD91,0)</f>
        <v/>
      </c>
      <c r="AM91" s="235">
        <f>IFERROR(_xlfn.XLOOKUP($C91,$D$3:$D$40,AM$3:AM$40)*$BD91,0)</f>
        <v/>
      </c>
      <c r="AN91" s="235">
        <f>IFERROR(_xlfn.XLOOKUP($C91,$D$3:$D$40,AN$3:AN$40)*$BD91,0)</f>
        <v/>
      </c>
      <c r="AO91" s="235">
        <f>IFERROR(_xlfn.XLOOKUP($C91,$D$3:$D$40,AO$3:AO$40)*$BD91,0)</f>
        <v/>
      </c>
      <c r="AP91" s="235">
        <f>IFERROR(_xlfn.XLOOKUP($C91,$D$3:$D$40,AP$3:AP$40)*$BD91,0)</f>
        <v/>
      </c>
      <c r="AQ91" s="235">
        <f>IFERROR(_xlfn.XLOOKUP($C91,$D$3:$D$40,AQ$3:AQ$40)*$BD91,0)</f>
        <v/>
      </c>
      <c r="AR91" s="235">
        <f>IFERROR(_xlfn.XLOOKUP($C91,$D$3:$D$40,AR$3:AR$40)*$BD91,0)</f>
        <v/>
      </c>
      <c r="AS91" s="235">
        <f>IFERROR(_xlfn.XLOOKUP($C91,$D$3:$D$40,AS$3:AS$40)*$BD91,0)</f>
        <v/>
      </c>
      <c r="AT91" s="235">
        <f>IFERROR(_xlfn.XLOOKUP($C91,$D$3:$D$40,AT$3:AT$40)*$BD91,0)</f>
        <v/>
      </c>
      <c r="AU91" s="235">
        <f>IFERROR(_xlfn.XLOOKUP($C91,$D$3:$D$40,AU$3:AU$40)*$BD91,0)</f>
        <v/>
      </c>
      <c r="AV91" s="235">
        <f>IFERROR(_xlfn.XLOOKUP($C91,$D$3:$D$40,AV$3:AV$40)*$BD91,0)</f>
        <v/>
      </c>
      <c r="AW91" s="235">
        <f>IFERROR(_xlfn.XLOOKUP($C91,$D$3:$D$40,AW$3:AW$40)*$BD91,0)</f>
        <v/>
      </c>
      <c r="AX91" s="235">
        <f>IFERROR(_xlfn.XLOOKUP($C91,$D$3:$D$40,AX$3:AX$40)*$BD91,0)</f>
        <v/>
      </c>
      <c r="AY91" s="235">
        <f>IFERROR(_xlfn.XLOOKUP($C91,$D$3:$D$40,AY$3:AY$40)*$BD91,0)</f>
        <v/>
      </c>
      <c r="AZ91" s="235">
        <f>IFERROR(_xlfn.XLOOKUP($C91,$D$3:$D$40,AZ$3:AZ$40)*$BD91,0)</f>
        <v/>
      </c>
      <c r="BA91" s="235">
        <f>IFERROR(_xlfn.XLOOKUP($C91,$D$3:$D$40,BA$3:BA$40)*$BD91,0)</f>
        <v/>
      </c>
      <c r="BB91" s="235">
        <f>IFERROR(_xlfn.XLOOKUP($C91,$D$3:$D$40,BB$3:BB$40)*$BD91,0)</f>
        <v/>
      </c>
      <c r="BC91" s="228">
        <f>IFERROR(_xlfn.XLOOKUP(D91,'2C 均值'!$A:$A,'2C 均值'!$E:$E),0)</f>
        <v/>
      </c>
      <c r="BD91" s="228">
        <f t="array" ref="BD91">IF(OR($D91=0,$D91=""),"",_xlfn.LET(
        _xlpm.channel,$D91,
        _xlpm.factorName,$C91,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92" ht="15.75" customHeight="1" s="179">
      <c r="C92" s="84">
        <f>IF(OR($D92=0,$D92=""),"",_xlfn.LET(
    _xlpm.channel,$D92,
    _xlpm.rowNum,_xlfn.XMATCH(_xlpm.channel,'2B RotationRule'!$C:$C,0),
    _xlpm.factorRow,INDEX('2B RotationRule'!$E:$AE,_xlpm.rowNum,0),
    _xlpm.factorNum,_xlfn.XMATCH(1,_xlpm.factorRow,0),
    IF(ISERROR(_xlpm.factorNum),"","Factor"&amp;_xlpm.factorNum)
))</f>
        <v/>
      </c>
      <c r="D92" s="119">
        <f>'2B RotationRule'!C37</f>
        <v/>
      </c>
      <c r="E92" s="227">
        <f>IFERROR(_xlfn.XLOOKUP($C92,$D$3:$D$40,E$3:E$40)*$BD92,0)</f>
        <v/>
      </c>
      <c r="F92" s="227">
        <f>IFERROR(_xlfn.XLOOKUP($C92,$D$3:$D$40,F$3:F$40)*$BD92,0)</f>
        <v/>
      </c>
      <c r="G92" s="227">
        <f>IFERROR(_xlfn.XLOOKUP($C92,$D$3:$D$40,G$3:G$40)*$BD92,0)</f>
        <v/>
      </c>
      <c r="H92" s="235">
        <f>IFERROR(_xlfn.XLOOKUP($C92,$D$3:$D$40,H$3:H$40)*$BD92,0)</f>
        <v/>
      </c>
      <c r="I92" s="235">
        <f>IFERROR(_xlfn.XLOOKUP($C92,$D$3:$D$40,I$3:I$40)*$BD92,0)</f>
        <v/>
      </c>
      <c r="J92" s="235">
        <f>IFERROR(_xlfn.XLOOKUP($C92,$D$3:$D$40,J$3:J$40)*$BD92,0)</f>
        <v/>
      </c>
      <c r="K92" s="235">
        <f>IFERROR(_xlfn.XLOOKUP($C92,$D$3:$D$40,K$3:K$40)*$BD92,0)</f>
        <v/>
      </c>
      <c r="L92" s="235">
        <f>IFERROR(_xlfn.XLOOKUP($C92,$D$3:$D$40,L$3:L$40)*$BD92,0)</f>
        <v/>
      </c>
      <c r="M92" s="235">
        <f>IFERROR(_xlfn.XLOOKUP($C92,$D$3:$D$40,M$3:M$40)*$BD92,0)</f>
        <v/>
      </c>
      <c r="N92" s="235">
        <f>IFERROR(_xlfn.XLOOKUP($C92,$D$3:$D$40,N$3:N$40)*$BD92,0)</f>
        <v/>
      </c>
      <c r="O92" s="235">
        <f>IFERROR(_xlfn.XLOOKUP($C92,$D$3:$D$40,O$3:O$40)*$BD92,0)</f>
        <v/>
      </c>
      <c r="P92" s="235">
        <f>IFERROR(_xlfn.XLOOKUP($C92,$D$3:$D$40,P$3:P$40)*$BD92,0)</f>
        <v/>
      </c>
      <c r="Q92" s="235">
        <f>IFERROR(_xlfn.XLOOKUP($C92,$D$3:$D$40,Q$3:Q$40)*$BD92,0)</f>
        <v/>
      </c>
      <c r="R92" s="235">
        <f>IFERROR(_xlfn.XLOOKUP($C92,$D$3:$D$40,R$3:R$40)*$BD92,0)</f>
        <v/>
      </c>
      <c r="S92" s="235">
        <f>IFERROR(_xlfn.XLOOKUP($C92,$D$3:$D$40,S$3:S$40)*$BD92,0)</f>
        <v/>
      </c>
      <c r="T92" s="235">
        <f>IFERROR(_xlfn.XLOOKUP($C92,$D$3:$D$40,T$3:T$40)*$BD92,0)</f>
        <v/>
      </c>
      <c r="U92" s="235">
        <f>IFERROR(_xlfn.XLOOKUP($C92,$D$3:$D$40,U$3:U$40)*$BD92,0)</f>
        <v/>
      </c>
      <c r="V92" s="235">
        <f>IFERROR(_xlfn.XLOOKUP($C92,$D$3:$D$40,V$3:V$40)*$BD92,0)</f>
        <v/>
      </c>
      <c r="W92" s="235">
        <f>IFERROR(_xlfn.XLOOKUP($C92,$D$3:$D$40,W$3:W$40)*$BD92,0)</f>
        <v/>
      </c>
      <c r="X92" s="235">
        <f>IFERROR(_xlfn.XLOOKUP($C92,$D$3:$D$40,X$3:X$40)*$BD92,0)</f>
        <v/>
      </c>
      <c r="Y92" s="235">
        <f>IFERROR(_xlfn.XLOOKUP($C92,$D$3:$D$40,Y$3:Y$40)*$BD92,0)</f>
        <v/>
      </c>
      <c r="Z92" s="235">
        <f>IFERROR(_xlfn.XLOOKUP($C92,$D$3:$D$40,Z$3:Z$40)*$BD92,0)</f>
        <v/>
      </c>
      <c r="AA92" s="235">
        <f>IFERROR(_xlfn.XLOOKUP($C92,$D$3:$D$40,AA$3:AA$40)*$BD92,0)</f>
        <v/>
      </c>
      <c r="AB92" s="235">
        <f>IFERROR(_xlfn.XLOOKUP($C92,$D$3:$D$40,AB$3:AB$40)*$BD92,0)</f>
        <v/>
      </c>
      <c r="AC92" s="235">
        <f>IFERROR(_xlfn.XLOOKUP($C92,$D$3:$D$40,AC$3:AC$40)*$BD92,0)</f>
        <v/>
      </c>
      <c r="AD92" s="235">
        <f>IFERROR(_xlfn.XLOOKUP($C92,$D$3:$D$40,AD$3:AD$40)*$BD92,0)</f>
        <v/>
      </c>
      <c r="AE92" s="235">
        <f>IFERROR(_xlfn.XLOOKUP($C92,$D$3:$D$40,AE$3:AE$40)*$BD92,0)</f>
        <v/>
      </c>
      <c r="AF92" s="235">
        <f>IFERROR(_xlfn.XLOOKUP($C92,$D$3:$D$40,AF$3:AF$40)*$BD92,0)</f>
        <v/>
      </c>
      <c r="AG92" s="235">
        <f>IFERROR(_xlfn.XLOOKUP($C92,$D$3:$D$40,AG$3:AG$40)*$BD92,0)</f>
        <v/>
      </c>
      <c r="AH92" s="235">
        <f>IFERROR(_xlfn.XLOOKUP($C92,$D$3:$D$40,AH$3:AH$40)*$BD92,0)</f>
        <v/>
      </c>
      <c r="AI92" s="235">
        <f>IFERROR(_xlfn.XLOOKUP($C92,$D$3:$D$40,AI$3:AI$40)*$BD92,0)</f>
        <v/>
      </c>
      <c r="AJ92" s="235">
        <f>IFERROR(_xlfn.XLOOKUP($C92,$D$3:$D$40,AJ$3:AJ$40)*$BD92,0)</f>
        <v/>
      </c>
      <c r="AK92" s="235">
        <f>IFERROR(_xlfn.XLOOKUP($C92,$D$3:$D$40,AK$3:AK$40)*$BD92,0)</f>
        <v/>
      </c>
      <c r="AL92" s="235">
        <f>IFERROR(_xlfn.XLOOKUP($C92,$D$3:$D$40,AL$3:AL$40)*$BD92,0)</f>
        <v/>
      </c>
      <c r="AM92" s="235">
        <f>IFERROR(_xlfn.XLOOKUP($C92,$D$3:$D$40,AM$3:AM$40)*$BD92,0)</f>
        <v/>
      </c>
      <c r="AN92" s="235">
        <f>IFERROR(_xlfn.XLOOKUP($C92,$D$3:$D$40,AN$3:AN$40)*$BD92,0)</f>
        <v/>
      </c>
      <c r="AO92" s="235">
        <f>IFERROR(_xlfn.XLOOKUP($C92,$D$3:$D$40,AO$3:AO$40)*$BD92,0)</f>
        <v/>
      </c>
      <c r="AP92" s="235">
        <f>IFERROR(_xlfn.XLOOKUP($C92,$D$3:$D$40,AP$3:AP$40)*$BD92,0)</f>
        <v/>
      </c>
      <c r="AQ92" s="235">
        <f>IFERROR(_xlfn.XLOOKUP($C92,$D$3:$D$40,AQ$3:AQ$40)*$BD92,0)</f>
        <v/>
      </c>
      <c r="AR92" s="235">
        <f>IFERROR(_xlfn.XLOOKUP($C92,$D$3:$D$40,AR$3:AR$40)*$BD92,0)</f>
        <v/>
      </c>
      <c r="AS92" s="235">
        <f>IFERROR(_xlfn.XLOOKUP($C92,$D$3:$D$40,AS$3:AS$40)*$BD92,0)</f>
        <v/>
      </c>
      <c r="AT92" s="235">
        <f>IFERROR(_xlfn.XLOOKUP($C92,$D$3:$D$40,AT$3:AT$40)*$BD92,0)</f>
        <v/>
      </c>
      <c r="AU92" s="235">
        <f>IFERROR(_xlfn.XLOOKUP($C92,$D$3:$D$40,AU$3:AU$40)*$BD92,0)</f>
        <v/>
      </c>
      <c r="AV92" s="235">
        <f>IFERROR(_xlfn.XLOOKUP($C92,$D$3:$D$40,AV$3:AV$40)*$BD92,0)</f>
        <v/>
      </c>
      <c r="AW92" s="235">
        <f>IFERROR(_xlfn.XLOOKUP($C92,$D$3:$D$40,AW$3:AW$40)*$BD92,0)</f>
        <v/>
      </c>
      <c r="AX92" s="235">
        <f>IFERROR(_xlfn.XLOOKUP($C92,$D$3:$D$40,AX$3:AX$40)*$BD92,0)</f>
        <v/>
      </c>
      <c r="AY92" s="235">
        <f>IFERROR(_xlfn.XLOOKUP($C92,$D$3:$D$40,AY$3:AY$40)*$BD92,0)</f>
        <v/>
      </c>
      <c r="AZ92" s="235">
        <f>IFERROR(_xlfn.XLOOKUP($C92,$D$3:$D$40,AZ$3:AZ$40)*$BD92,0)</f>
        <v/>
      </c>
      <c r="BA92" s="235">
        <f>IFERROR(_xlfn.XLOOKUP($C92,$D$3:$D$40,BA$3:BA$40)*$BD92,0)</f>
        <v/>
      </c>
      <c r="BB92" s="235">
        <f>IFERROR(_xlfn.XLOOKUP($C92,$D$3:$D$40,BB$3:BB$40)*$BD92,0)</f>
        <v/>
      </c>
      <c r="BC92" s="228">
        <f>IFERROR(_xlfn.XLOOKUP(D92,'2C 均值'!$A:$A,'2C 均值'!$E:$E),0)</f>
        <v/>
      </c>
      <c r="BD92" s="228">
        <f t="array" ref="BD92">IF(OR($D92=0,$D92=""),"",_xlfn.LET(
        _xlpm.channel,$D92,
        _xlpm.factorName,$C92,
        _xlpm.factorNum,IF(_xlpm.factorName="","",VALUE(RIGHT(_xlpm.factorName,LEN(_xlpm.factorName)-6))),
        _xlpm.flMatrixStart,_xlfn.XMATCH("Rotation Method: Procrustes with Kaiser Normalization.",'2B FL'!$A:$A,0),
        _xlpm.channelRow,IFERROR(_xlfn.XMATCH(_xlpm.channel,OFFSET('2B FL'!$B$1,_xlpm.flMatrixStart+2,0,100,1),0),0),
        IF(OR(_xlpm.channelRow=0,_xlpm.factorNum=""),"",INDEX(OFFSET('2B FL'!$D$1,_xlpm.flMatrixStart+2,0,100,27),_xlpm.channelRow,_xlpm.factorNum))
    ))</f>
        <v/>
      </c>
    </row>
    <row r="93">
      <c r="D93" s="27" t="n"/>
      <c r="E93" s="227" t="n"/>
      <c r="F93" s="227" t="n"/>
      <c r="G93" s="227" t="n"/>
      <c r="H93" s="227" t="n"/>
      <c r="I93" s="227" t="n"/>
      <c r="J93" s="227" t="n"/>
      <c r="K93" s="227" t="n"/>
      <c r="L93" s="227" t="n"/>
      <c r="M93" s="227" t="n"/>
      <c r="N93" s="227" t="n"/>
      <c r="O93" s="227" t="n"/>
      <c r="P93" s="227" t="n"/>
      <c r="Q93" s="227" t="n"/>
      <c r="R93" s="227" t="n"/>
      <c r="S93" s="227" t="n"/>
      <c r="T93" s="227" t="n"/>
      <c r="U93" s="227" t="n"/>
      <c r="V93" s="227" t="n"/>
      <c r="W93" s="227" t="n"/>
      <c r="X93" s="227" t="n"/>
      <c r="Y93" s="227" t="n"/>
      <c r="Z93" s="227" t="n"/>
      <c r="AA93" s="227" t="n"/>
      <c r="AB93" s="227" t="n"/>
      <c r="AC93" s="227" t="n"/>
      <c r="AD93" s="227" t="n"/>
      <c r="AE93" s="227" t="n"/>
      <c r="AF93" s="227" t="n"/>
      <c r="AG93" s="227" t="n"/>
      <c r="AH93" s="227" t="n"/>
      <c r="AI93" s="227" t="n"/>
      <c r="AJ93" s="227" t="n"/>
      <c r="AK93" s="227" t="n"/>
      <c r="AL93" s="227" t="n"/>
      <c r="AM93" s="227" t="n"/>
      <c r="AN93" s="227" t="n"/>
      <c r="AO93" s="227" t="n"/>
      <c r="AP93" s="227" t="n"/>
      <c r="AQ93" s="227" t="n"/>
      <c r="AR93" s="227" t="n"/>
      <c r="AS93" s="227" t="n"/>
      <c r="AT93" s="227" t="n"/>
      <c r="AU93" s="227" t="n"/>
      <c r="AV93" s="227" t="n"/>
      <c r="AW93" s="227" t="n"/>
      <c r="AX93" s="227" t="n"/>
      <c r="AY93" s="227" t="n"/>
      <c r="AZ93" s="227" t="n"/>
      <c r="BA93" s="227" t="n"/>
      <c r="BB93" s="227" t="n"/>
    </row>
    <row r="94">
      <c r="D94" s="27" t="n"/>
      <c r="E94" s="227" t="n"/>
      <c r="F94" s="227" t="n"/>
      <c r="G94" s="227" t="n"/>
      <c r="H94" s="227" t="n"/>
      <c r="I94" s="227" t="n"/>
      <c r="J94" s="227" t="n"/>
      <c r="K94" s="227" t="n"/>
      <c r="L94" s="227" t="n"/>
      <c r="M94" s="227" t="n"/>
      <c r="N94" s="227" t="n"/>
      <c r="O94" s="227" t="n"/>
      <c r="P94" s="227" t="n"/>
      <c r="Q94" s="227" t="n"/>
      <c r="R94" s="227" t="n"/>
      <c r="S94" s="227" t="n"/>
      <c r="T94" s="227" t="n"/>
      <c r="U94" s="227" t="n"/>
      <c r="V94" s="227" t="n"/>
      <c r="W94" s="227" t="n"/>
      <c r="X94" s="227" t="n"/>
      <c r="Y94" s="227" t="n"/>
      <c r="Z94" s="227" t="n"/>
      <c r="AA94" s="227" t="n"/>
      <c r="AB94" s="227" t="n"/>
      <c r="AC94" s="227" t="n"/>
      <c r="AD94" s="227" t="n"/>
      <c r="AE94" s="227" t="n"/>
      <c r="AF94" s="227" t="n"/>
      <c r="AG94" s="227" t="n"/>
      <c r="AH94" s="227" t="n"/>
      <c r="AI94" s="227" t="n"/>
      <c r="AJ94" s="227" t="n"/>
      <c r="AK94" s="227" t="n"/>
      <c r="AL94" s="227" t="n"/>
      <c r="AM94" s="227" t="n"/>
      <c r="AN94" s="227" t="n"/>
      <c r="AO94" s="227" t="n"/>
      <c r="AP94" s="227" t="n"/>
      <c r="AQ94" s="227" t="n"/>
      <c r="AR94" s="227" t="n"/>
      <c r="AS94" s="227" t="n"/>
      <c r="AT94" s="227" t="n"/>
      <c r="AU94" s="227" t="n"/>
      <c r="AV94" s="227" t="n"/>
      <c r="AW94" s="227" t="n"/>
      <c r="AX94" s="227" t="n"/>
      <c r="AY94" s="227" t="n"/>
      <c r="AZ94" s="227" t="n"/>
      <c r="BA94" s="227" t="n"/>
      <c r="BB94" s="227" t="n"/>
    </row>
    <row r="95">
      <c r="D95" s="236" t="n"/>
      <c r="E95" s="227" t="n"/>
      <c r="F95" s="227" t="n"/>
      <c r="G95" s="227" t="n"/>
      <c r="H95" s="227" t="n"/>
      <c r="I95" s="227" t="n"/>
      <c r="J95" s="227" t="n"/>
      <c r="K95" s="227" t="n"/>
      <c r="L95" s="227" t="n"/>
      <c r="M95" s="227" t="n"/>
      <c r="N95" s="227" t="n"/>
      <c r="O95" s="227" t="n"/>
      <c r="P95" s="227" t="n"/>
      <c r="Q95" s="227" t="n"/>
      <c r="R95" s="227" t="n"/>
      <c r="S95" s="227" t="n"/>
      <c r="T95" s="227" t="n"/>
      <c r="U95" s="227" t="n"/>
      <c r="V95" s="227" t="n"/>
      <c r="W95" s="227" t="n"/>
      <c r="X95" s="227" t="n"/>
      <c r="Y95" s="227" t="n"/>
      <c r="Z95" s="227" t="n"/>
      <c r="AA95" s="227" t="n"/>
      <c r="AB95" s="227" t="n"/>
      <c r="AC95" s="227" t="n"/>
      <c r="AD95" s="227" t="n"/>
      <c r="AE95" s="227" t="n"/>
      <c r="AF95" s="227" t="n"/>
      <c r="AG95" s="227" t="n"/>
      <c r="AH95" s="227" t="n"/>
      <c r="AI95" s="227" t="n"/>
      <c r="AJ95" s="227" t="n"/>
      <c r="AK95" s="227" t="n"/>
      <c r="AL95" s="227" t="n"/>
      <c r="AM95" s="227" t="n"/>
      <c r="AN95" s="227" t="n"/>
      <c r="AO95" s="227" t="n"/>
      <c r="AP95" s="227" t="n"/>
      <c r="AQ95" s="227" t="n"/>
      <c r="AR95" s="227" t="n"/>
      <c r="AS95" s="227" t="n"/>
      <c r="AT95" s="227" t="n"/>
      <c r="AU95" s="227" t="n"/>
      <c r="AV95" s="227" t="n"/>
      <c r="AW95" s="227" t="n"/>
      <c r="AX95" s="227" t="n"/>
      <c r="AY95" s="227" t="n"/>
      <c r="AZ95" s="227" t="n"/>
      <c r="BA95" s="227" t="n"/>
      <c r="BB95" s="227" t="n"/>
    </row>
    <row r="96" ht="48.75" customFormat="1" customHeight="1" s="175">
      <c r="A96" s="174" t="inlineStr">
        <is>
          <t>将负系数的标准化系数替换成一个很小的数值(最小正数的1/3），确保结果合理</t>
        </is>
      </c>
      <c r="D96" s="19" t="inlineStr">
        <is>
          <t>Channel Adjusted Coefficient</t>
        </is>
      </c>
      <c r="E96" s="12">
        <f>E57</f>
        <v/>
      </c>
      <c r="F96" s="12">
        <f>F57</f>
        <v/>
      </c>
      <c r="G96" s="12">
        <f>G57</f>
        <v/>
      </c>
      <c r="H96" s="12">
        <f>H57</f>
        <v/>
      </c>
      <c r="I96" s="12">
        <f>I57</f>
        <v/>
      </c>
      <c r="J96" s="12">
        <f>J57</f>
        <v/>
      </c>
      <c r="K96" s="12">
        <f>K57</f>
        <v/>
      </c>
      <c r="L96" s="12">
        <f>L57</f>
        <v/>
      </c>
      <c r="M96" s="12">
        <f>M57</f>
        <v/>
      </c>
      <c r="N96" s="12">
        <f>N57</f>
        <v/>
      </c>
      <c r="O96" s="12">
        <f>O57</f>
        <v/>
      </c>
      <c r="P96" s="12">
        <f>P57</f>
        <v/>
      </c>
      <c r="Q96" s="12">
        <f>Q57</f>
        <v/>
      </c>
      <c r="R96" s="12">
        <f>R57</f>
        <v/>
      </c>
      <c r="S96" s="12">
        <f>S57</f>
        <v/>
      </c>
      <c r="T96" s="12">
        <f>T57</f>
        <v/>
      </c>
      <c r="U96" s="12">
        <f>U57</f>
        <v/>
      </c>
      <c r="V96" s="12">
        <f>V57</f>
        <v/>
      </c>
      <c r="W96" s="12">
        <f>W57</f>
        <v/>
      </c>
      <c r="X96" s="12">
        <f>X57</f>
        <v/>
      </c>
      <c r="Y96" s="12">
        <f>Y57</f>
        <v/>
      </c>
      <c r="Z96" s="12">
        <f>Z57</f>
        <v/>
      </c>
      <c r="AA96" s="12">
        <f>AA57</f>
        <v/>
      </c>
      <c r="AB96" s="12">
        <f>AB57</f>
        <v/>
      </c>
      <c r="AC96" s="12">
        <f>AC57</f>
        <v/>
      </c>
      <c r="AD96" s="12">
        <f>AD57</f>
        <v/>
      </c>
      <c r="AE96" s="12">
        <f>AE57</f>
        <v/>
      </c>
      <c r="AF96" s="12">
        <f>AF57</f>
        <v/>
      </c>
      <c r="AG96" s="12">
        <f>AG57</f>
        <v/>
      </c>
      <c r="AH96" s="12">
        <f>AH57</f>
        <v/>
      </c>
      <c r="AI96" s="12">
        <f>AI57</f>
        <v/>
      </c>
      <c r="AJ96" s="12">
        <f>AJ57</f>
        <v/>
      </c>
      <c r="AK96" s="12">
        <f>AK57</f>
        <v/>
      </c>
      <c r="AL96" s="12">
        <f>AL57</f>
        <v/>
      </c>
      <c r="AM96" s="12">
        <f>AM57</f>
        <v/>
      </c>
      <c r="AN96" s="12">
        <f>AN57</f>
        <v/>
      </c>
      <c r="AO96" s="12">
        <f>AO57</f>
        <v/>
      </c>
      <c r="AP96" s="12">
        <f>AP57</f>
        <v/>
      </c>
      <c r="AQ96" s="12">
        <f>AQ57</f>
        <v/>
      </c>
      <c r="AR96" s="12">
        <f>AR57</f>
        <v/>
      </c>
      <c r="AS96" s="12">
        <f>AS57</f>
        <v/>
      </c>
      <c r="AT96" s="12">
        <f>AT57</f>
        <v/>
      </c>
      <c r="AU96" s="12">
        <f>AU57</f>
        <v/>
      </c>
      <c r="AV96" s="12">
        <f>AV57</f>
        <v/>
      </c>
      <c r="AW96" s="12">
        <f>AW57</f>
        <v/>
      </c>
      <c r="AX96" s="12">
        <f>AX57</f>
        <v/>
      </c>
      <c r="AY96" s="12">
        <f>AY57</f>
        <v/>
      </c>
      <c r="AZ96" s="12">
        <f>AZ57</f>
        <v/>
      </c>
      <c r="BA96" s="12">
        <f>BA57</f>
        <v/>
      </c>
      <c r="BB96" s="12">
        <f>BB57</f>
        <v/>
      </c>
    </row>
    <row r="97" ht="16.5" customHeight="1" s="179">
      <c r="C97" s="66" t="n"/>
      <c r="D97" s="237">
        <f>D58</f>
        <v/>
      </c>
      <c r="E97" s="238">
        <f>IF(ABS(E58)&gt;0,IF(E58&gt;0.001,E58,_xlfn.MINIFS(E$58:E$92,E$58:E$92,"&gt;0")/3),0)</f>
        <v/>
      </c>
      <c r="F97" s="238">
        <f>IF(ABS(F58)&gt;0,IF(F58&gt;0.001,F58,_xlfn.MINIFS(F$58:F$92,F$58:F$92,"&gt;0")/3),0)</f>
        <v/>
      </c>
      <c r="G97" s="238">
        <f>IF(ABS(G58)&gt;0,IF(G58&gt;0.001,G58,_xlfn.MINIFS(G$58:G$92,G$58:G$92,"&gt;0")/3),0)</f>
        <v/>
      </c>
      <c r="H97" s="238">
        <f>IF(ABS(H58)&gt;0,IF(H58&gt;0.001,H58,_xlfn.MINIFS(H$58:H$92,H$58:H$92,"&gt;0")/3),0)</f>
        <v/>
      </c>
      <c r="I97" s="238">
        <f>IF(ABS(I58)&gt;0,IF(I58&gt;0.001,I58,_xlfn.MINIFS(I$58:I$92,I$58:I$92,"&gt;0")/3),0)</f>
        <v/>
      </c>
      <c r="J97" s="238">
        <f>IF(ABS(J58)&gt;0,IF(J58&gt;0.001,J58,_xlfn.MINIFS(J$58:J$92,J$58:J$92,"&gt;0")/3),0)</f>
        <v/>
      </c>
      <c r="K97" s="238">
        <f>IF(ABS(K58)&gt;0,IF(K58&gt;0.001,K58,_xlfn.MINIFS(K$58:K$92,K$58:K$92,"&gt;0")/3),0)</f>
        <v/>
      </c>
      <c r="L97" s="238">
        <f>IF(ABS(L58)&gt;0,IF(L58&gt;0.001,L58,_xlfn.MINIFS(L$58:L$92,L$58:L$92,"&gt;0")/3),0)</f>
        <v/>
      </c>
      <c r="M97" s="238">
        <f>IF(ABS(M58)&gt;0,IF(M58&gt;0.001,M58,_xlfn.MINIFS(M$58:M$92,M$58:M$92,"&gt;0")/3),0)</f>
        <v/>
      </c>
      <c r="N97" s="238">
        <f>IF(ABS(N58)&gt;0,IF(N58&gt;0.001,N58,_xlfn.MINIFS(N$58:N$92,N$58:N$92,"&gt;0")/3),0)</f>
        <v/>
      </c>
      <c r="O97" s="238">
        <f>IF(ABS(O58)&gt;0,IF(O58&gt;0.001,O58,_xlfn.MINIFS(O$58:O$92,O$58:O$92,"&gt;0")/3),0)</f>
        <v/>
      </c>
      <c r="P97" s="238">
        <f>IF(ABS(P58)&gt;0,IF(P58&gt;0.001,P58,_xlfn.MINIFS(P$58:P$92,P$58:P$92,"&gt;0")/3),0)</f>
        <v/>
      </c>
      <c r="Q97" s="238">
        <f>IF(ABS(Q58)&gt;0,IF(Q58&gt;0.001,Q58,_xlfn.MINIFS(Q$58:Q$92,Q$58:Q$92,"&gt;0")/3),0)</f>
        <v/>
      </c>
      <c r="R97" s="238">
        <f>IF(ABS(R58)&gt;0,IF(R58&gt;0.001,R58,_xlfn.MINIFS(R$58:R$92,R$58:R$92,"&gt;0")/3),0)</f>
        <v/>
      </c>
      <c r="S97" s="238">
        <f>IF(ABS(S58)&gt;0,IF(S58&gt;0.001,S58,_xlfn.MINIFS(S$58:S$92,S$58:S$92,"&gt;0")/3),0)</f>
        <v/>
      </c>
      <c r="T97" s="238">
        <f>IF(ABS(T58)&gt;0,IF(T58&gt;0.001,T58,_xlfn.MINIFS(T$58:T$92,T$58:T$92,"&gt;0")/3),0)</f>
        <v/>
      </c>
      <c r="U97" s="238">
        <f>IF(ABS(U58)&gt;0,IF(U58&gt;0.001,U58,_xlfn.MINIFS(U$58:U$92,U$58:U$92,"&gt;0")/3),0)</f>
        <v/>
      </c>
      <c r="V97" s="238">
        <f>IF(ABS(V58)&gt;0,IF(V58&gt;0.001,V58,_xlfn.MINIFS(V$58:V$92,V$58:V$92,"&gt;0")/3),0)</f>
        <v/>
      </c>
      <c r="W97" s="238">
        <f>IF(ABS(W58)&gt;0,IF(W58&gt;0.001,W58,_xlfn.MINIFS(W$58:W$92,W$58:W$92,"&gt;0")/3),0)</f>
        <v/>
      </c>
      <c r="X97" s="238">
        <f>IF(ABS(X58)&gt;0,IF(X58&gt;0.001,X58,_xlfn.MINIFS(X$58:X$92,X$58:X$92,"&gt;0")/3),0)</f>
        <v/>
      </c>
      <c r="Y97" s="238">
        <f>IF(ABS(Y58)&gt;0,IF(Y58&gt;0.001,Y58,_xlfn.MINIFS(Y$58:Y$92,Y$58:Y$92,"&gt;0")/3),0)</f>
        <v/>
      </c>
      <c r="Z97" s="238">
        <f>IF(ABS(Z58)&gt;0,IF(Z58&gt;0.001,Z58,_xlfn.MINIFS(Z$58:Z$92,Z$58:Z$92,"&gt;0")/3),0)</f>
        <v/>
      </c>
      <c r="AA97" s="238">
        <f>IF(ABS(AA58)&gt;0,IF(AA58&gt;0.001,AA58,_xlfn.MINIFS(AA$58:AA$92,AA$58:AA$92,"&gt;0")/3),0)</f>
        <v/>
      </c>
      <c r="AB97" s="238">
        <f>IF(ABS(AB58)&gt;0,IF(AB58&gt;0.001,AB58,_xlfn.MINIFS(AB$58:AB$92,AB$58:AB$92,"&gt;0")/3),0)</f>
        <v/>
      </c>
      <c r="AC97" s="238">
        <f>IF(ABS(AC58)&gt;0,IF(AC58&gt;0.001,AC58,_xlfn.MINIFS(AC$58:AC$92,AC$58:AC$92,"&gt;0")/3),0)</f>
        <v/>
      </c>
      <c r="AD97" s="238">
        <f>IF(ABS(AD58)&gt;0,IF(AD58&gt;0.001,AD58,_xlfn.MINIFS(AD$58:AD$92,AD$58:AD$92,"&gt;0")/3),0)</f>
        <v/>
      </c>
      <c r="AE97" s="238">
        <f>IF(ABS(AE58)&gt;0,IF(AE58&gt;0.001,AE58,_xlfn.MINIFS(AE$58:AE$92,AE$58:AE$92,"&gt;0")/3),0)</f>
        <v/>
      </c>
      <c r="AF97" s="238">
        <f>IF(ABS(AF58)&gt;0,IF(AF58&gt;0.001,AF58,_xlfn.MINIFS(AF$58:AF$92,AF$58:AF$92,"&gt;0")/3),0)</f>
        <v/>
      </c>
      <c r="AG97" s="238">
        <f>IF(ABS(AG58)&gt;0,IF(AG58&gt;0.001,AG58,_xlfn.MINIFS(AG$58:AG$92,AG$58:AG$92,"&gt;0")/3),0)</f>
        <v/>
      </c>
      <c r="AH97" s="238">
        <f>IF(ABS(AH58)&gt;0,IF(AH58&gt;0.001,AH58,_xlfn.MINIFS(AH$58:AH$92,AH$58:AH$92,"&gt;0")/3),0)</f>
        <v/>
      </c>
      <c r="AI97" s="238">
        <f>IF(ABS(AI58)&gt;0,IF(AI58&gt;0.001,AI58,_xlfn.MINIFS(AI$58:AI$92,AI$58:AI$92,"&gt;0")/3),0)</f>
        <v/>
      </c>
      <c r="AJ97" s="238">
        <f>IF(ABS(AJ58)&gt;0,IF(AJ58&gt;0.001,AJ58,_xlfn.MINIFS(AJ$58:AJ$92,AJ$58:AJ$92,"&gt;0")/3),0)</f>
        <v/>
      </c>
      <c r="AK97" s="238">
        <f>IF(ABS(AK58)&gt;0,IF(AK58&gt;0.001,AK58,_xlfn.MINIFS(AK$58:AK$92,AK$58:AK$92,"&gt;0")/3),0)</f>
        <v/>
      </c>
      <c r="AL97" s="238">
        <f>IF(ABS(AL58)&gt;0,IF(AL58&gt;0.001,AL58,_xlfn.MINIFS(AL$58:AL$92,AL$58:AL$92,"&gt;0")/3),0)</f>
        <v/>
      </c>
      <c r="AM97" s="238">
        <f>IF(ABS(AM58)&gt;0,IF(AM58&gt;0.001,AM58,_xlfn.MINIFS(AM$58:AM$92,AM$58:AM$92,"&gt;0")/3),0)</f>
        <v/>
      </c>
      <c r="AN97" s="238">
        <f>IF(ABS(AN58)&gt;0,IF(AN58&gt;0.001,AN58,_xlfn.MINIFS(AN$58:AN$92,AN$58:AN$92,"&gt;0")/3),0)</f>
        <v/>
      </c>
      <c r="AO97" s="238">
        <f>IF(ABS(AO58)&gt;0,IF(AO58&gt;0.001,AO58,_xlfn.MINIFS(AO$58:AO$92,AO$58:AO$92,"&gt;0")/3),0)</f>
        <v/>
      </c>
      <c r="AP97" s="238">
        <f>IF(ABS(AP58)&gt;0,IF(AP58&gt;0.001,AP58,_xlfn.MINIFS(AP$58:AP$92,AP$58:AP$92,"&gt;0")/3),0)</f>
        <v/>
      </c>
      <c r="AQ97" s="238">
        <f>IF(ABS(AQ58)&gt;0,IF(AQ58&gt;0.001,AQ58,_xlfn.MINIFS(AQ$58:AQ$92,AQ$58:AQ$92,"&gt;0")/3),0)</f>
        <v/>
      </c>
      <c r="AR97" s="238">
        <f>IF(ABS(AR58)&gt;0,IF(AR58&gt;0.001,AR58,_xlfn.MINIFS(AR$58:AR$92,AR$58:AR$92,"&gt;0")/3),0)</f>
        <v/>
      </c>
      <c r="AS97" s="238">
        <f>IF(ABS(AS58)&gt;0,IF(AS58&gt;0.001,AS58,_xlfn.MINIFS(AS$58:AS$92,AS$58:AS$92,"&gt;0")/3),0)</f>
        <v/>
      </c>
      <c r="AT97" s="238">
        <f>IF(ABS(AT58)&gt;0,IF(AT58&gt;0.001,AT58,_xlfn.MINIFS(AT$58:AT$92,AT$58:AT$92,"&gt;0")/3),0)</f>
        <v/>
      </c>
      <c r="AU97" s="238">
        <f>IF(ABS(AU58)&gt;0,IF(AU58&gt;0.001,AU58,_xlfn.MINIFS(AU$58:AU$92,AU$58:AU$92,"&gt;0")/3),0)</f>
        <v/>
      </c>
      <c r="AV97" s="238">
        <f>IF(ABS(AV58)&gt;0,IF(AV58&gt;0.001,AV58,_xlfn.MINIFS(AV$58:AV$92,AV$58:AV$92,"&gt;0")/3),0)</f>
        <v/>
      </c>
      <c r="AW97" s="238">
        <f>IF(ABS(AW58)&gt;0,IF(AW58&gt;0.001,AW58,_xlfn.MINIFS(AW$58:AW$92,AW$58:AW$92,"&gt;0")/3),0)</f>
        <v/>
      </c>
      <c r="AX97" s="238">
        <f>IF(ABS(AX58)&gt;0,IF(AX58&gt;0.001,AX58,_xlfn.MINIFS(AX$58:AX$92,AX$58:AX$92,"&gt;0")/3),0)</f>
        <v/>
      </c>
      <c r="AY97" s="238">
        <f>IF(ABS(AY58)&gt;0,IF(AY58&gt;0.001,AY58,_xlfn.MINIFS(AY$58:AY$92,AY$58:AY$92,"&gt;0")/3),0)</f>
        <v/>
      </c>
      <c r="AZ97" s="238">
        <f>IF(ABS(AZ58)&gt;0,IF(AZ58&gt;0.001,AZ58,_xlfn.MINIFS(AZ$58:AZ$92,AZ$58:AZ$92,"&gt;0")/3),0)</f>
        <v/>
      </c>
      <c r="BA97" s="238">
        <f>IF(ABS(BA58)&gt;0,IF(BA58&gt;0.001,BA58,_xlfn.MINIFS(BA$58:BA$92,BA$58:BA$92,"&gt;0")/3),0)</f>
        <v/>
      </c>
      <c r="BB97" s="238">
        <f>IF(ABS(BB58)&gt;0,IF(BB58&gt;0.001,BB58,_xlfn.MINIFS(BB$58:BB$92,BB$58:BB$92,"&gt;0")/3),0)</f>
        <v/>
      </c>
    </row>
    <row r="98" ht="16.5" customHeight="1" s="179">
      <c r="C98" s="66" t="n"/>
      <c r="D98" s="237">
        <f>D59</f>
        <v/>
      </c>
      <c r="E98" s="238">
        <f>IF(ABS(E59)&gt;0,IF(E59&gt;0.001,E59,_xlfn.MINIFS(E$58:E$92,E$58:E$92,"&gt;0")/3),0)</f>
        <v/>
      </c>
      <c r="F98" s="238">
        <f>IF(ABS(F59)&gt;0,IF(F59&gt;0.001,F59,_xlfn.MINIFS(F$58:F$92,F$58:F$92,"&gt;0")/3),0)</f>
        <v/>
      </c>
      <c r="G98" s="238">
        <f>IF(ABS(G59)&gt;0,IF(G59&gt;0.001,G59,_xlfn.MINIFS(G$58:G$92,G$58:G$92,"&gt;0")/3),0)</f>
        <v/>
      </c>
      <c r="H98" s="238">
        <f>IF(ABS(H59)&gt;0,IF(H59&gt;0.001,H59,_xlfn.MINIFS(H$58:H$92,H$58:H$92,"&gt;0")/3),0)</f>
        <v/>
      </c>
      <c r="I98" s="238">
        <f>IF(ABS(I59)&gt;0,IF(I59&gt;0.001,I59,_xlfn.MINIFS(I$58:I$92,I$58:I$92,"&gt;0")/3),0)</f>
        <v/>
      </c>
      <c r="J98" s="238">
        <f>IF(ABS(J59)&gt;0,IF(J59&gt;0.001,J59,_xlfn.MINIFS(J$58:J$92,J$58:J$92,"&gt;0")/3),0)</f>
        <v/>
      </c>
      <c r="K98" s="238">
        <f>IF(ABS(K59)&gt;0,IF(K59&gt;0.001,K59,_xlfn.MINIFS(K$58:K$92,K$58:K$92,"&gt;0")/3),0)</f>
        <v/>
      </c>
      <c r="L98" s="238">
        <f>IF(ABS(L59)&gt;0,IF(L59&gt;0.001,L59,_xlfn.MINIFS(L$58:L$92,L$58:L$92,"&gt;0")/3),0)</f>
        <v/>
      </c>
      <c r="M98" s="238">
        <f>IF(ABS(M59)&gt;0,IF(M59&gt;0.001,M59,_xlfn.MINIFS(M$58:M$92,M$58:M$92,"&gt;0")/3),0)</f>
        <v/>
      </c>
      <c r="N98" s="238">
        <f>IF(ABS(N59)&gt;0,IF(N59&gt;0.001,N59,_xlfn.MINIFS(N$58:N$92,N$58:N$92,"&gt;0")/3),0)</f>
        <v/>
      </c>
      <c r="O98" s="238">
        <f>IF(ABS(O59)&gt;0,IF(O59&gt;0.001,O59,_xlfn.MINIFS(O$58:O$92,O$58:O$92,"&gt;0")/3),0)</f>
        <v/>
      </c>
      <c r="P98" s="238">
        <f>IF(ABS(P59)&gt;0,IF(P59&gt;0.001,P59,_xlfn.MINIFS(P$58:P$92,P$58:P$92,"&gt;0")/3),0)</f>
        <v/>
      </c>
      <c r="Q98" s="238">
        <f>IF(ABS(Q59)&gt;0,IF(Q59&gt;0.001,Q59,_xlfn.MINIFS(Q$58:Q$92,Q$58:Q$92,"&gt;0")/3),0)</f>
        <v/>
      </c>
      <c r="R98" s="238">
        <f>IF(ABS(R59)&gt;0,IF(R59&gt;0.001,R59,_xlfn.MINIFS(R$58:R$92,R$58:R$92,"&gt;0")/3),0)</f>
        <v/>
      </c>
      <c r="S98" s="238">
        <f>IF(ABS(S59)&gt;0,IF(S59&gt;0.001,S59,_xlfn.MINIFS(S$58:S$92,S$58:S$92,"&gt;0")/3),0)</f>
        <v/>
      </c>
      <c r="T98" s="238">
        <f>IF(ABS(T59)&gt;0,IF(T59&gt;0.001,T59,_xlfn.MINIFS(T$58:T$92,T$58:T$92,"&gt;0")/3),0)</f>
        <v/>
      </c>
      <c r="U98" s="238">
        <f>IF(ABS(U59)&gt;0,IF(U59&gt;0.001,U59,_xlfn.MINIFS(U$58:U$92,U$58:U$92,"&gt;0")/3),0)</f>
        <v/>
      </c>
      <c r="V98" s="238">
        <f>IF(ABS(V59)&gt;0,IF(V59&gt;0.001,V59,_xlfn.MINIFS(V$58:V$92,V$58:V$92,"&gt;0")/3),0)</f>
        <v/>
      </c>
      <c r="W98" s="238">
        <f>IF(ABS(W59)&gt;0,IF(W59&gt;0.001,W59,_xlfn.MINIFS(W$58:W$92,W$58:W$92,"&gt;0")/3),0)</f>
        <v/>
      </c>
      <c r="X98" s="238">
        <f>IF(ABS(X59)&gt;0,IF(X59&gt;0.001,X59,_xlfn.MINIFS(X$58:X$92,X$58:X$92,"&gt;0")/3),0)</f>
        <v/>
      </c>
      <c r="Y98" s="238">
        <f>IF(ABS(Y59)&gt;0,IF(Y59&gt;0.001,Y59,_xlfn.MINIFS(Y$58:Y$92,Y$58:Y$92,"&gt;0")/3),0)</f>
        <v/>
      </c>
      <c r="Z98" s="238">
        <f>IF(ABS(Z59)&gt;0,IF(Z59&gt;0.001,Z59,_xlfn.MINIFS(Z$58:Z$92,Z$58:Z$92,"&gt;0")/3),0)</f>
        <v/>
      </c>
      <c r="AA98" s="238">
        <f>IF(ABS(AA59)&gt;0,IF(AA59&gt;0.001,AA59,_xlfn.MINIFS(AA$58:AA$92,AA$58:AA$92,"&gt;0")/3),0)</f>
        <v/>
      </c>
      <c r="AB98" s="238">
        <f>IF(ABS(AB59)&gt;0,IF(AB59&gt;0.001,AB59,_xlfn.MINIFS(AB$58:AB$92,AB$58:AB$92,"&gt;0")/3),0)</f>
        <v/>
      </c>
      <c r="AC98" s="238">
        <f>IF(ABS(AC59)&gt;0,IF(AC59&gt;0.001,AC59,_xlfn.MINIFS(AC$58:AC$92,AC$58:AC$92,"&gt;0")/3),0)</f>
        <v/>
      </c>
      <c r="AD98" s="238">
        <f>IF(ABS(AD59)&gt;0,IF(AD59&gt;0.001,AD59,_xlfn.MINIFS(AD$58:AD$92,AD$58:AD$92,"&gt;0")/3),0)</f>
        <v/>
      </c>
      <c r="AE98" s="238">
        <f>IF(ABS(AE59)&gt;0,IF(AE59&gt;0.001,AE59,_xlfn.MINIFS(AE$58:AE$92,AE$58:AE$92,"&gt;0")/3),0)</f>
        <v/>
      </c>
      <c r="AF98" s="238">
        <f>IF(ABS(AF59)&gt;0,IF(AF59&gt;0.001,AF59,_xlfn.MINIFS(AF$58:AF$92,AF$58:AF$92,"&gt;0")/3),0)</f>
        <v/>
      </c>
      <c r="AG98" s="238">
        <f>IF(ABS(AG59)&gt;0,IF(AG59&gt;0.001,AG59,_xlfn.MINIFS(AG$58:AG$92,AG$58:AG$92,"&gt;0")/3),0)</f>
        <v/>
      </c>
      <c r="AH98" s="238">
        <f>IF(ABS(AH59)&gt;0,IF(AH59&gt;0.001,AH59,_xlfn.MINIFS(AH$58:AH$92,AH$58:AH$92,"&gt;0")/3),0)</f>
        <v/>
      </c>
      <c r="AI98" s="238">
        <f>IF(ABS(AI59)&gt;0,IF(AI59&gt;0.001,AI59,_xlfn.MINIFS(AI$58:AI$92,AI$58:AI$92,"&gt;0")/3),0)</f>
        <v/>
      </c>
      <c r="AJ98" s="238">
        <f>IF(ABS(AJ59)&gt;0,IF(AJ59&gt;0.001,AJ59,_xlfn.MINIFS(AJ$58:AJ$92,AJ$58:AJ$92,"&gt;0")/3),0)</f>
        <v/>
      </c>
      <c r="AK98" s="238">
        <f>IF(ABS(AK59)&gt;0,IF(AK59&gt;0.001,AK59,_xlfn.MINIFS(AK$58:AK$92,AK$58:AK$92,"&gt;0")/3),0)</f>
        <v/>
      </c>
      <c r="AL98" s="238">
        <f>IF(ABS(AL59)&gt;0,IF(AL59&gt;0.001,AL59,_xlfn.MINIFS(AL$58:AL$92,AL$58:AL$92,"&gt;0")/3),0)</f>
        <v/>
      </c>
      <c r="AM98" s="238">
        <f>IF(ABS(AM59)&gt;0,IF(AM59&gt;0.001,AM59,_xlfn.MINIFS(AM$58:AM$92,AM$58:AM$92,"&gt;0")/3),0)</f>
        <v/>
      </c>
      <c r="AN98" s="238">
        <f>IF(ABS(AN59)&gt;0,IF(AN59&gt;0.001,AN59,_xlfn.MINIFS(AN$58:AN$92,AN$58:AN$92,"&gt;0")/3),0)</f>
        <v/>
      </c>
      <c r="AO98" s="238">
        <f>IF(ABS(AO59)&gt;0,IF(AO59&gt;0.001,AO59,_xlfn.MINIFS(AO$58:AO$92,AO$58:AO$92,"&gt;0")/3),0)</f>
        <v/>
      </c>
      <c r="AP98" s="238">
        <f>IF(ABS(AP59)&gt;0,IF(AP59&gt;0.001,AP59,_xlfn.MINIFS(AP$58:AP$92,AP$58:AP$92,"&gt;0")/3),0)</f>
        <v/>
      </c>
      <c r="AQ98" s="238">
        <f>IF(ABS(AQ59)&gt;0,IF(AQ59&gt;0.001,AQ59,_xlfn.MINIFS(AQ$58:AQ$92,AQ$58:AQ$92,"&gt;0")/3),0)</f>
        <v/>
      </c>
      <c r="AR98" s="238">
        <f>IF(ABS(AR59)&gt;0,IF(AR59&gt;0.001,AR59,_xlfn.MINIFS(AR$58:AR$92,AR$58:AR$92,"&gt;0")/3),0)</f>
        <v/>
      </c>
      <c r="AS98" s="238">
        <f>IF(ABS(AS59)&gt;0,IF(AS59&gt;0.001,AS59,_xlfn.MINIFS(AS$58:AS$92,AS$58:AS$92,"&gt;0")/3),0)</f>
        <v/>
      </c>
      <c r="AT98" s="238">
        <f>IF(ABS(AT59)&gt;0,IF(AT59&gt;0.001,AT59,_xlfn.MINIFS(AT$58:AT$92,AT$58:AT$92,"&gt;0")/3),0)</f>
        <v/>
      </c>
      <c r="AU98" s="238">
        <f>IF(ABS(AU59)&gt;0,IF(AU59&gt;0.001,AU59,_xlfn.MINIFS(AU$58:AU$92,AU$58:AU$92,"&gt;0")/3),0)</f>
        <v/>
      </c>
      <c r="AV98" s="238">
        <f>IF(ABS(AV59)&gt;0,IF(AV59&gt;0.001,AV59,_xlfn.MINIFS(AV$58:AV$92,AV$58:AV$92,"&gt;0")/3),0)</f>
        <v/>
      </c>
      <c r="AW98" s="238">
        <f>IF(ABS(AW59)&gt;0,IF(AW59&gt;0.001,AW59,_xlfn.MINIFS(AW$58:AW$92,AW$58:AW$92,"&gt;0")/3),0)</f>
        <v/>
      </c>
      <c r="AX98" s="238">
        <f>IF(ABS(AX59)&gt;0,IF(AX59&gt;0.001,AX59,_xlfn.MINIFS(AX$58:AX$92,AX$58:AX$92,"&gt;0")/3),0)</f>
        <v/>
      </c>
      <c r="AY98" s="238">
        <f>IF(ABS(AY59)&gt;0,IF(AY59&gt;0.001,AY59,_xlfn.MINIFS(AY$58:AY$92,AY$58:AY$92,"&gt;0")/3),0)</f>
        <v/>
      </c>
      <c r="AZ98" s="238">
        <f>IF(ABS(AZ59)&gt;0,IF(AZ59&gt;0.001,AZ59,_xlfn.MINIFS(AZ$58:AZ$92,AZ$58:AZ$92,"&gt;0")/3),0)</f>
        <v/>
      </c>
      <c r="BA98" s="238">
        <f>IF(ABS(BA59)&gt;0,IF(BA59&gt;0.001,BA59,_xlfn.MINIFS(BA$58:BA$92,BA$58:BA$92,"&gt;0")/3),0)</f>
        <v/>
      </c>
      <c r="BB98" s="238">
        <f>IF(ABS(BB59)&gt;0,IF(BB59&gt;0.001,BB59,_xlfn.MINIFS(BB$58:BB$92,BB$58:BB$92,"&gt;0")/3),0)</f>
        <v/>
      </c>
    </row>
    <row r="99" ht="16.5" customHeight="1" s="179">
      <c r="C99" s="66" t="n"/>
      <c r="D99" s="237">
        <f>D60</f>
        <v/>
      </c>
      <c r="E99" s="238">
        <f>IF(ABS(E60)&gt;0,IF(E60&gt;0.001,E60,_xlfn.MINIFS(E$58:E$92,E$58:E$92,"&gt;0")/3),0)</f>
        <v/>
      </c>
      <c r="F99" s="238">
        <f>IF(ABS(F60)&gt;0,IF(F60&gt;0.001,F60,_xlfn.MINIFS(F$58:F$92,F$58:F$92,"&gt;0")/3),0)</f>
        <v/>
      </c>
      <c r="G99" s="238">
        <f>IF(ABS(G60)&gt;0,IF(G60&gt;0.001,G60,_xlfn.MINIFS(G$58:G$92,G$58:G$92,"&gt;0")/3),0)</f>
        <v/>
      </c>
      <c r="H99" s="238">
        <f>IF(ABS(H60)&gt;0,IF(H60&gt;0.001,H60,_xlfn.MINIFS(H$58:H$92,H$58:H$92,"&gt;0")/3),0)</f>
        <v/>
      </c>
      <c r="I99" s="238">
        <f>IF(ABS(I60)&gt;0,IF(I60&gt;0.001,I60,_xlfn.MINIFS(I$58:I$92,I$58:I$92,"&gt;0")/3),0)</f>
        <v/>
      </c>
      <c r="J99" s="238">
        <f>IF(ABS(J60)&gt;0,IF(J60&gt;0.001,J60,_xlfn.MINIFS(J$58:J$92,J$58:J$92,"&gt;0")/3),0)</f>
        <v/>
      </c>
      <c r="K99" s="238">
        <f>IF(ABS(K60)&gt;0,IF(K60&gt;0.001,K60,_xlfn.MINIFS(K$58:K$92,K$58:K$92,"&gt;0")/3),0)</f>
        <v/>
      </c>
      <c r="L99" s="238">
        <f>IF(ABS(L60)&gt;0,IF(L60&gt;0.001,L60,_xlfn.MINIFS(L$58:L$92,L$58:L$92,"&gt;0")/3),0)</f>
        <v/>
      </c>
      <c r="M99" s="238">
        <f>IF(ABS(M60)&gt;0,IF(M60&gt;0.001,M60,_xlfn.MINIFS(M$58:M$92,M$58:M$92,"&gt;0")/3),0)</f>
        <v/>
      </c>
      <c r="N99" s="238">
        <f>IF(ABS(N60)&gt;0,IF(N60&gt;0.001,N60,_xlfn.MINIFS(N$58:N$92,N$58:N$92,"&gt;0")/3),0)</f>
        <v/>
      </c>
      <c r="O99" s="238">
        <f>IF(ABS(O60)&gt;0,IF(O60&gt;0.001,O60,_xlfn.MINIFS(O$58:O$92,O$58:O$92,"&gt;0")/3),0)</f>
        <v/>
      </c>
      <c r="P99" s="238">
        <f>IF(ABS(P60)&gt;0,IF(P60&gt;0.001,P60,_xlfn.MINIFS(P$58:P$92,P$58:P$92,"&gt;0")/3),0)</f>
        <v/>
      </c>
      <c r="Q99" s="238">
        <f>IF(ABS(Q60)&gt;0,IF(Q60&gt;0.001,Q60,_xlfn.MINIFS(Q$58:Q$92,Q$58:Q$92,"&gt;0")/3),0)</f>
        <v/>
      </c>
      <c r="R99" s="238">
        <f>IF(ABS(R60)&gt;0,IF(R60&gt;0.001,R60,_xlfn.MINIFS(R$58:R$92,R$58:R$92,"&gt;0")/3),0)</f>
        <v/>
      </c>
      <c r="S99" s="238">
        <f>IF(ABS(S60)&gt;0,IF(S60&gt;0.001,S60,_xlfn.MINIFS(S$58:S$92,S$58:S$92,"&gt;0")/3),0)</f>
        <v/>
      </c>
      <c r="T99" s="238">
        <f>IF(ABS(T60)&gt;0,IF(T60&gt;0.001,T60,_xlfn.MINIFS(T$58:T$92,T$58:T$92,"&gt;0")/3),0)</f>
        <v/>
      </c>
      <c r="U99" s="238">
        <f>IF(ABS(U60)&gt;0,IF(U60&gt;0.001,U60,_xlfn.MINIFS(U$58:U$92,U$58:U$92,"&gt;0")/3),0)</f>
        <v/>
      </c>
      <c r="V99" s="238">
        <f>IF(ABS(V60)&gt;0,IF(V60&gt;0.001,V60,_xlfn.MINIFS(V$58:V$92,V$58:V$92,"&gt;0")/3),0)</f>
        <v/>
      </c>
      <c r="W99" s="238">
        <f>IF(ABS(W60)&gt;0,IF(W60&gt;0.001,W60,_xlfn.MINIFS(W$58:W$92,W$58:W$92,"&gt;0")/3),0)</f>
        <v/>
      </c>
      <c r="X99" s="238">
        <f>IF(ABS(X60)&gt;0,IF(X60&gt;0.001,X60,_xlfn.MINIFS(X$58:X$92,X$58:X$92,"&gt;0")/3),0)</f>
        <v/>
      </c>
      <c r="Y99" s="238">
        <f>IF(ABS(Y60)&gt;0,IF(Y60&gt;0.001,Y60,_xlfn.MINIFS(Y$58:Y$92,Y$58:Y$92,"&gt;0")/3),0)</f>
        <v/>
      </c>
      <c r="Z99" s="238">
        <f>IF(ABS(Z60)&gt;0,IF(Z60&gt;0.001,Z60,_xlfn.MINIFS(Z$58:Z$92,Z$58:Z$92,"&gt;0")/3),0)</f>
        <v/>
      </c>
      <c r="AA99" s="238">
        <f>IF(ABS(AA60)&gt;0,IF(AA60&gt;0.001,AA60,_xlfn.MINIFS(AA$58:AA$92,AA$58:AA$92,"&gt;0")/3),0)</f>
        <v/>
      </c>
      <c r="AB99" s="238">
        <f>IF(ABS(AB60)&gt;0,IF(AB60&gt;0.001,AB60,_xlfn.MINIFS(AB$58:AB$92,AB$58:AB$92,"&gt;0")/3),0)</f>
        <v/>
      </c>
      <c r="AC99" s="238">
        <f>IF(ABS(AC60)&gt;0,IF(AC60&gt;0.001,AC60,_xlfn.MINIFS(AC$58:AC$92,AC$58:AC$92,"&gt;0")/3),0)</f>
        <v/>
      </c>
      <c r="AD99" s="238">
        <f>IF(ABS(AD60)&gt;0,IF(AD60&gt;0.001,AD60,_xlfn.MINIFS(AD$58:AD$92,AD$58:AD$92,"&gt;0")/3),0)</f>
        <v/>
      </c>
      <c r="AE99" s="238">
        <f>IF(ABS(AE60)&gt;0,IF(AE60&gt;0.001,AE60,_xlfn.MINIFS(AE$58:AE$92,AE$58:AE$92,"&gt;0")/3),0)</f>
        <v/>
      </c>
      <c r="AF99" s="238">
        <f>IF(ABS(AF60)&gt;0,IF(AF60&gt;0.001,AF60,_xlfn.MINIFS(AF$58:AF$92,AF$58:AF$92,"&gt;0")/3),0)</f>
        <v/>
      </c>
      <c r="AG99" s="238">
        <f>IF(ABS(AG60)&gt;0,IF(AG60&gt;0.001,AG60,_xlfn.MINIFS(AG$58:AG$92,AG$58:AG$92,"&gt;0")/3),0)</f>
        <v/>
      </c>
      <c r="AH99" s="238">
        <f>IF(ABS(AH60)&gt;0,IF(AH60&gt;0.001,AH60,_xlfn.MINIFS(AH$58:AH$92,AH$58:AH$92,"&gt;0")/3),0)</f>
        <v/>
      </c>
      <c r="AI99" s="238">
        <f>IF(ABS(AI60)&gt;0,IF(AI60&gt;0.001,AI60,_xlfn.MINIFS(AI$58:AI$92,AI$58:AI$92,"&gt;0")/3),0)</f>
        <v/>
      </c>
      <c r="AJ99" s="238">
        <f>IF(ABS(AJ60)&gt;0,IF(AJ60&gt;0.001,AJ60,_xlfn.MINIFS(AJ$58:AJ$92,AJ$58:AJ$92,"&gt;0")/3),0)</f>
        <v/>
      </c>
      <c r="AK99" s="238">
        <f>IF(ABS(AK60)&gt;0,IF(AK60&gt;0.001,AK60,_xlfn.MINIFS(AK$58:AK$92,AK$58:AK$92,"&gt;0")/3),0)</f>
        <v/>
      </c>
      <c r="AL99" s="238">
        <f>IF(ABS(AL60)&gt;0,IF(AL60&gt;0.001,AL60,_xlfn.MINIFS(AL$58:AL$92,AL$58:AL$92,"&gt;0")/3),0)</f>
        <v/>
      </c>
      <c r="AM99" s="238">
        <f>IF(ABS(AM60)&gt;0,IF(AM60&gt;0.001,AM60,_xlfn.MINIFS(AM$58:AM$92,AM$58:AM$92,"&gt;0")/3),0)</f>
        <v/>
      </c>
      <c r="AN99" s="238">
        <f>IF(ABS(AN60)&gt;0,IF(AN60&gt;0.001,AN60,_xlfn.MINIFS(AN$58:AN$92,AN$58:AN$92,"&gt;0")/3),0)</f>
        <v/>
      </c>
      <c r="AO99" s="238">
        <f>IF(ABS(AO60)&gt;0,IF(AO60&gt;0.001,AO60,_xlfn.MINIFS(AO$58:AO$92,AO$58:AO$92,"&gt;0")/3),0)</f>
        <v/>
      </c>
      <c r="AP99" s="238">
        <f>IF(ABS(AP60)&gt;0,IF(AP60&gt;0.001,AP60,_xlfn.MINIFS(AP$58:AP$92,AP$58:AP$92,"&gt;0")/3),0)</f>
        <v/>
      </c>
      <c r="AQ99" s="238">
        <f>IF(ABS(AQ60)&gt;0,IF(AQ60&gt;0.001,AQ60,_xlfn.MINIFS(AQ$58:AQ$92,AQ$58:AQ$92,"&gt;0")/3),0)</f>
        <v/>
      </c>
      <c r="AR99" s="238">
        <f>IF(ABS(AR60)&gt;0,IF(AR60&gt;0.001,AR60,_xlfn.MINIFS(AR$58:AR$92,AR$58:AR$92,"&gt;0")/3),0)</f>
        <v/>
      </c>
      <c r="AS99" s="238">
        <f>IF(ABS(AS60)&gt;0,IF(AS60&gt;0.001,AS60,_xlfn.MINIFS(AS$58:AS$92,AS$58:AS$92,"&gt;0")/3),0)</f>
        <v/>
      </c>
      <c r="AT99" s="238">
        <f>IF(ABS(AT60)&gt;0,IF(AT60&gt;0.001,AT60,_xlfn.MINIFS(AT$58:AT$92,AT$58:AT$92,"&gt;0")/3),0)</f>
        <v/>
      </c>
      <c r="AU99" s="238">
        <f>IF(ABS(AU60)&gt;0,IF(AU60&gt;0.001,AU60,_xlfn.MINIFS(AU$58:AU$92,AU$58:AU$92,"&gt;0")/3),0)</f>
        <v/>
      </c>
      <c r="AV99" s="238">
        <f>IF(ABS(AV60)&gt;0,IF(AV60&gt;0.001,AV60,_xlfn.MINIFS(AV$58:AV$92,AV$58:AV$92,"&gt;0")/3),0)</f>
        <v/>
      </c>
      <c r="AW99" s="238">
        <f>IF(ABS(AW60)&gt;0,IF(AW60&gt;0.001,AW60,_xlfn.MINIFS(AW$58:AW$92,AW$58:AW$92,"&gt;0")/3),0)</f>
        <v/>
      </c>
      <c r="AX99" s="238">
        <f>IF(ABS(AX60)&gt;0,IF(AX60&gt;0.001,AX60,_xlfn.MINIFS(AX$58:AX$92,AX$58:AX$92,"&gt;0")/3),0)</f>
        <v/>
      </c>
      <c r="AY99" s="238">
        <f>IF(ABS(AY60)&gt;0,IF(AY60&gt;0.001,AY60,_xlfn.MINIFS(AY$58:AY$92,AY$58:AY$92,"&gt;0")/3),0)</f>
        <v/>
      </c>
      <c r="AZ99" s="238">
        <f>IF(ABS(AZ60)&gt;0,IF(AZ60&gt;0.001,AZ60,_xlfn.MINIFS(AZ$58:AZ$92,AZ$58:AZ$92,"&gt;0")/3),0)</f>
        <v/>
      </c>
      <c r="BA99" s="238">
        <f>IF(ABS(BA60)&gt;0,IF(BA60&gt;0.001,BA60,_xlfn.MINIFS(BA$58:BA$92,BA$58:BA$92,"&gt;0")/3),0)</f>
        <v/>
      </c>
      <c r="BB99" s="238">
        <f>IF(ABS(BB60)&gt;0,IF(BB60&gt;0.001,BB60,_xlfn.MINIFS(BB$58:BB$92,BB$58:BB$92,"&gt;0")/3),0)</f>
        <v/>
      </c>
    </row>
    <row r="100" ht="16.5" customHeight="1" s="179">
      <c r="C100" s="66" t="n"/>
      <c r="D100" s="237">
        <f>D61</f>
        <v/>
      </c>
      <c r="E100" s="238">
        <f>IF(ABS(E61)&gt;0,IF(E61&gt;0.001,E61,_xlfn.MINIFS(E$58:E$92,E$58:E$92,"&gt;0")/3),0)</f>
        <v/>
      </c>
      <c r="F100" s="238">
        <f>IF(ABS(F61)&gt;0,IF(F61&gt;0.001,F61,_xlfn.MINIFS(F$58:F$92,F$58:F$92,"&gt;0")/3),0)</f>
        <v/>
      </c>
      <c r="G100" s="238">
        <f>IF(ABS(G61)&gt;0,IF(G61&gt;0.001,G61,_xlfn.MINIFS(G$58:G$92,G$58:G$92,"&gt;0")/3),0)</f>
        <v/>
      </c>
      <c r="H100" s="238">
        <f>IF(ABS(H61)&gt;0,IF(H61&gt;0.001,H61,_xlfn.MINIFS(H$58:H$92,H$58:H$92,"&gt;0")/3),0)</f>
        <v/>
      </c>
      <c r="I100" s="238">
        <f>IF(ABS(I61)&gt;0,IF(I61&gt;0.001,I61,_xlfn.MINIFS(I$58:I$92,I$58:I$92,"&gt;0")/3),0)</f>
        <v/>
      </c>
      <c r="J100" s="238">
        <f>IF(ABS(J61)&gt;0,IF(J61&gt;0.001,J61,_xlfn.MINIFS(J$58:J$92,J$58:J$92,"&gt;0")/3),0)</f>
        <v/>
      </c>
      <c r="K100" s="238">
        <f>IF(ABS(K61)&gt;0,IF(K61&gt;0.001,K61,_xlfn.MINIFS(K$58:K$92,K$58:K$92,"&gt;0")/3),0)</f>
        <v/>
      </c>
      <c r="L100" s="238">
        <f>IF(ABS(L61)&gt;0,IF(L61&gt;0.001,L61,_xlfn.MINIFS(L$58:L$92,L$58:L$92,"&gt;0")/3),0)</f>
        <v/>
      </c>
      <c r="M100" s="238">
        <f>IF(ABS(M61)&gt;0,IF(M61&gt;0.001,M61,_xlfn.MINIFS(M$58:M$92,M$58:M$92,"&gt;0")/3),0)</f>
        <v/>
      </c>
      <c r="N100" s="238">
        <f>IF(ABS(N61)&gt;0,IF(N61&gt;0.001,N61,_xlfn.MINIFS(N$58:N$92,N$58:N$92,"&gt;0")/3),0)</f>
        <v/>
      </c>
      <c r="O100" s="238">
        <f>IF(ABS(O61)&gt;0,IF(O61&gt;0.001,O61,_xlfn.MINIFS(O$58:O$92,O$58:O$92,"&gt;0")/3),0)</f>
        <v/>
      </c>
      <c r="P100" s="238">
        <f>IF(ABS(P61)&gt;0,IF(P61&gt;0.001,P61,_xlfn.MINIFS(P$58:P$92,P$58:P$92,"&gt;0")/3),0)</f>
        <v/>
      </c>
      <c r="Q100" s="238">
        <f>IF(ABS(Q61)&gt;0,IF(Q61&gt;0.001,Q61,_xlfn.MINIFS(Q$58:Q$92,Q$58:Q$92,"&gt;0")/3),0)</f>
        <v/>
      </c>
      <c r="R100" s="238">
        <f>IF(ABS(R61)&gt;0,IF(R61&gt;0.001,R61,_xlfn.MINIFS(R$58:R$92,R$58:R$92,"&gt;0")/3),0)</f>
        <v/>
      </c>
      <c r="S100" s="238">
        <f>IF(ABS(S61)&gt;0,IF(S61&gt;0.001,S61,_xlfn.MINIFS(S$58:S$92,S$58:S$92,"&gt;0")/3),0)</f>
        <v/>
      </c>
      <c r="T100" s="238">
        <f>IF(ABS(T61)&gt;0,IF(T61&gt;0.001,T61,_xlfn.MINIFS(T$58:T$92,T$58:T$92,"&gt;0")/3),0)</f>
        <v/>
      </c>
      <c r="U100" s="238">
        <f>IF(ABS(U61)&gt;0,IF(U61&gt;0.001,U61,_xlfn.MINIFS(U$58:U$92,U$58:U$92,"&gt;0")/3),0)</f>
        <v/>
      </c>
      <c r="V100" s="238">
        <f>IF(ABS(V61)&gt;0,IF(V61&gt;0.001,V61,_xlfn.MINIFS(V$58:V$92,V$58:V$92,"&gt;0")/3),0)</f>
        <v/>
      </c>
      <c r="W100" s="238">
        <f>IF(ABS(W61)&gt;0,IF(W61&gt;0.001,W61,_xlfn.MINIFS(W$58:W$92,W$58:W$92,"&gt;0")/3),0)</f>
        <v/>
      </c>
      <c r="X100" s="238">
        <f>IF(ABS(X61)&gt;0,IF(X61&gt;0.001,X61,_xlfn.MINIFS(X$58:X$92,X$58:X$92,"&gt;0")/3),0)</f>
        <v/>
      </c>
      <c r="Y100" s="238">
        <f>IF(ABS(Y61)&gt;0,IF(Y61&gt;0.001,Y61,_xlfn.MINIFS(Y$58:Y$92,Y$58:Y$92,"&gt;0")/3),0)</f>
        <v/>
      </c>
      <c r="Z100" s="238">
        <f>IF(ABS(Z61)&gt;0,IF(Z61&gt;0.001,Z61,_xlfn.MINIFS(Z$58:Z$92,Z$58:Z$92,"&gt;0")/3),0)</f>
        <v/>
      </c>
      <c r="AA100" s="238">
        <f>IF(ABS(AA61)&gt;0,IF(AA61&gt;0.001,AA61,_xlfn.MINIFS(AA$58:AA$92,AA$58:AA$92,"&gt;0")/3),0)</f>
        <v/>
      </c>
      <c r="AB100" s="238">
        <f>IF(ABS(AB61)&gt;0,IF(AB61&gt;0.001,AB61,_xlfn.MINIFS(AB$58:AB$92,AB$58:AB$92,"&gt;0")/3),0)</f>
        <v/>
      </c>
      <c r="AC100" s="238">
        <f>IF(ABS(AC61)&gt;0,IF(AC61&gt;0.001,AC61,_xlfn.MINIFS(AC$58:AC$92,AC$58:AC$92,"&gt;0")/3),0)</f>
        <v/>
      </c>
      <c r="AD100" s="238">
        <f>IF(ABS(AD61)&gt;0,IF(AD61&gt;0.001,AD61,_xlfn.MINIFS(AD$58:AD$92,AD$58:AD$92,"&gt;0")/3),0)</f>
        <v/>
      </c>
      <c r="AE100" s="238">
        <f>IF(ABS(AE61)&gt;0,IF(AE61&gt;0.001,AE61,_xlfn.MINIFS(AE$58:AE$92,AE$58:AE$92,"&gt;0")/3),0)</f>
        <v/>
      </c>
      <c r="AF100" s="238">
        <f>IF(ABS(AF61)&gt;0,IF(AF61&gt;0.001,AF61,_xlfn.MINIFS(AF$58:AF$92,AF$58:AF$92,"&gt;0")/3),0)</f>
        <v/>
      </c>
      <c r="AG100" s="238">
        <f>IF(ABS(AG61)&gt;0,IF(AG61&gt;0.001,AG61,_xlfn.MINIFS(AG$58:AG$92,AG$58:AG$92,"&gt;0")/3),0)</f>
        <v/>
      </c>
      <c r="AH100" s="238">
        <f>IF(ABS(AH61)&gt;0,IF(AH61&gt;0.001,AH61,_xlfn.MINIFS(AH$58:AH$92,AH$58:AH$92,"&gt;0")/3),0)</f>
        <v/>
      </c>
      <c r="AI100" s="238">
        <f>IF(ABS(AI61)&gt;0,IF(AI61&gt;0.001,AI61,_xlfn.MINIFS(AI$58:AI$92,AI$58:AI$92,"&gt;0")/3),0)</f>
        <v/>
      </c>
      <c r="AJ100" s="238">
        <f>IF(ABS(AJ61)&gt;0,IF(AJ61&gt;0.001,AJ61,_xlfn.MINIFS(AJ$58:AJ$92,AJ$58:AJ$92,"&gt;0")/3),0)</f>
        <v/>
      </c>
      <c r="AK100" s="238">
        <f>IF(ABS(AK61)&gt;0,IF(AK61&gt;0.001,AK61,_xlfn.MINIFS(AK$58:AK$92,AK$58:AK$92,"&gt;0")/3),0)</f>
        <v/>
      </c>
      <c r="AL100" s="238">
        <f>IF(ABS(AL61)&gt;0,IF(AL61&gt;0.001,AL61,_xlfn.MINIFS(AL$58:AL$92,AL$58:AL$92,"&gt;0")/3),0)</f>
        <v/>
      </c>
      <c r="AM100" s="238">
        <f>IF(ABS(AM61)&gt;0,IF(AM61&gt;0.001,AM61,_xlfn.MINIFS(AM$58:AM$92,AM$58:AM$92,"&gt;0")/3),0)</f>
        <v/>
      </c>
      <c r="AN100" s="238">
        <f>IF(ABS(AN61)&gt;0,IF(AN61&gt;0.001,AN61,_xlfn.MINIFS(AN$58:AN$92,AN$58:AN$92,"&gt;0")/3),0)</f>
        <v/>
      </c>
      <c r="AO100" s="238">
        <f>IF(ABS(AO61)&gt;0,IF(AO61&gt;0.001,AO61,_xlfn.MINIFS(AO$58:AO$92,AO$58:AO$92,"&gt;0")/3),0)</f>
        <v/>
      </c>
      <c r="AP100" s="238">
        <f>IF(ABS(AP61)&gt;0,IF(AP61&gt;0.001,AP61,_xlfn.MINIFS(AP$58:AP$92,AP$58:AP$92,"&gt;0")/3),0)</f>
        <v/>
      </c>
      <c r="AQ100" s="238">
        <f>IF(ABS(AQ61)&gt;0,IF(AQ61&gt;0.001,AQ61,_xlfn.MINIFS(AQ$58:AQ$92,AQ$58:AQ$92,"&gt;0")/3),0)</f>
        <v/>
      </c>
      <c r="AR100" s="238">
        <f>IF(ABS(AR61)&gt;0,IF(AR61&gt;0.001,AR61,_xlfn.MINIFS(AR$58:AR$92,AR$58:AR$92,"&gt;0")/3),0)</f>
        <v/>
      </c>
      <c r="AS100" s="238">
        <f>IF(ABS(AS61)&gt;0,IF(AS61&gt;0.001,AS61,_xlfn.MINIFS(AS$58:AS$92,AS$58:AS$92,"&gt;0")/3),0)</f>
        <v/>
      </c>
      <c r="AT100" s="238">
        <f>IF(ABS(AT61)&gt;0,IF(AT61&gt;0.001,AT61,_xlfn.MINIFS(AT$58:AT$92,AT$58:AT$92,"&gt;0")/3),0)</f>
        <v/>
      </c>
      <c r="AU100" s="238">
        <f>IF(ABS(AU61)&gt;0,IF(AU61&gt;0.001,AU61,_xlfn.MINIFS(AU$58:AU$92,AU$58:AU$92,"&gt;0")/3),0)</f>
        <v/>
      </c>
      <c r="AV100" s="238">
        <f>IF(ABS(AV61)&gt;0,IF(AV61&gt;0.001,AV61,_xlfn.MINIFS(AV$58:AV$92,AV$58:AV$92,"&gt;0")/3),0)</f>
        <v/>
      </c>
      <c r="AW100" s="238">
        <f>IF(ABS(AW61)&gt;0,IF(AW61&gt;0.001,AW61,_xlfn.MINIFS(AW$58:AW$92,AW$58:AW$92,"&gt;0")/3),0)</f>
        <v/>
      </c>
      <c r="AX100" s="238">
        <f>IF(ABS(AX61)&gt;0,IF(AX61&gt;0.001,AX61,_xlfn.MINIFS(AX$58:AX$92,AX$58:AX$92,"&gt;0")/3),0)</f>
        <v/>
      </c>
      <c r="AY100" s="238">
        <f>IF(ABS(AY61)&gt;0,IF(AY61&gt;0.001,AY61,_xlfn.MINIFS(AY$58:AY$92,AY$58:AY$92,"&gt;0")/3),0)</f>
        <v/>
      </c>
      <c r="AZ100" s="238">
        <f>IF(ABS(AZ61)&gt;0,IF(AZ61&gt;0.001,AZ61,_xlfn.MINIFS(AZ$58:AZ$92,AZ$58:AZ$92,"&gt;0")/3),0)</f>
        <v/>
      </c>
      <c r="BA100" s="238">
        <f>IF(ABS(BA61)&gt;0,IF(BA61&gt;0.001,BA61,_xlfn.MINIFS(BA$58:BA$92,BA$58:BA$92,"&gt;0")/3),0)</f>
        <v/>
      </c>
      <c r="BB100" s="238">
        <f>IF(ABS(BB61)&gt;0,IF(BB61&gt;0.001,BB61,_xlfn.MINIFS(BB$58:BB$92,BB$58:BB$92,"&gt;0")/3),0)</f>
        <v/>
      </c>
    </row>
    <row r="101" ht="16.5" customHeight="1" s="179">
      <c r="C101" s="66" t="n"/>
      <c r="D101" s="237">
        <f>D62</f>
        <v/>
      </c>
      <c r="E101" s="238">
        <f>IF(ABS(E62)&gt;0,IF(E62&gt;0.001,E62,_xlfn.MINIFS(E$58:E$92,E$58:E$92,"&gt;0")/3),0)</f>
        <v/>
      </c>
      <c r="F101" s="238">
        <f>IF(ABS(F62)&gt;0,IF(F62&gt;0.001,F62,_xlfn.MINIFS(F$58:F$92,F$58:F$92,"&gt;0")/3),0)</f>
        <v/>
      </c>
      <c r="G101" s="238">
        <f>IF(ABS(G62)&gt;0,IF(G62&gt;0.001,G62,_xlfn.MINIFS(G$58:G$92,G$58:G$92,"&gt;0")/3),0)</f>
        <v/>
      </c>
      <c r="H101" s="238">
        <f>IF(ABS(H62)&gt;0,IF(H62&gt;0.001,H62,_xlfn.MINIFS(H$58:H$92,H$58:H$92,"&gt;0")/3),0)</f>
        <v/>
      </c>
      <c r="I101" s="238">
        <f>IF(ABS(I62)&gt;0,IF(I62&gt;0.001,I62,_xlfn.MINIFS(I$58:I$92,I$58:I$92,"&gt;0")/3),0)</f>
        <v/>
      </c>
      <c r="J101" s="238">
        <f>IF(ABS(J62)&gt;0,IF(J62&gt;0.001,J62,_xlfn.MINIFS(J$58:J$92,J$58:J$92,"&gt;0")/3),0)</f>
        <v/>
      </c>
      <c r="K101" s="238">
        <f>IF(ABS(K62)&gt;0,IF(K62&gt;0.001,K62,_xlfn.MINIFS(K$58:K$92,K$58:K$92,"&gt;0")/3),0)</f>
        <v/>
      </c>
      <c r="L101" s="238">
        <f>IF(ABS(L62)&gt;0,IF(L62&gt;0.001,L62,_xlfn.MINIFS(L$58:L$92,L$58:L$92,"&gt;0")/3),0)</f>
        <v/>
      </c>
      <c r="M101" s="238">
        <f>IF(ABS(M62)&gt;0,IF(M62&gt;0.001,M62,_xlfn.MINIFS(M$58:M$92,M$58:M$92,"&gt;0")/3),0)</f>
        <v/>
      </c>
      <c r="N101" s="238">
        <f>IF(ABS(N62)&gt;0,IF(N62&gt;0.001,N62,_xlfn.MINIFS(N$58:N$92,N$58:N$92,"&gt;0")/3),0)</f>
        <v/>
      </c>
      <c r="O101" s="238">
        <f>IF(ABS(O62)&gt;0,IF(O62&gt;0.001,O62,_xlfn.MINIFS(O$58:O$92,O$58:O$92,"&gt;0")/3),0)</f>
        <v/>
      </c>
      <c r="P101" s="238">
        <f>IF(ABS(P62)&gt;0,IF(P62&gt;0.001,P62,_xlfn.MINIFS(P$58:P$92,P$58:P$92,"&gt;0")/3),0)</f>
        <v/>
      </c>
      <c r="Q101" s="238">
        <f>IF(ABS(Q62)&gt;0,IF(Q62&gt;0.001,Q62,_xlfn.MINIFS(Q$58:Q$92,Q$58:Q$92,"&gt;0")/3),0)</f>
        <v/>
      </c>
      <c r="R101" s="238">
        <f>IF(ABS(R62)&gt;0,IF(R62&gt;0.001,R62,_xlfn.MINIFS(R$58:R$92,R$58:R$92,"&gt;0")/3),0)</f>
        <v/>
      </c>
      <c r="S101" s="238">
        <f>IF(ABS(S62)&gt;0,IF(S62&gt;0.001,S62,_xlfn.MINIFS(S$58:S$92,S$58:S$92,"&gt;0")/3),0)</f>
        <v/>
      </c>
      <c r="T101" s="238">
        <f>IF(ABS(T62)&gt;0,IF(T62&gt;0.001,T62,_xlfn.MINIFS(T$58:T$92,T$58:T$92,"&gt;0")/3),0)</f>
        <v/>
      </c>
      <c r="U101" s="238">
        <f>IF(ABS(U62)&gt;0,IF(U62&gt;0.001,U62,_xlfn.MINIFS(U$58:U$92,U$58:U$92,"&gt;0")/3),0)</f>
        <v/>
      </c>
      <c r="V101" s="238">
        <f>IF(ABS(V62)&gt;0,IF(V62&gt;0.001,V62,_xlfn.MINIFS(V$58:V$92,V$58:V$92,"&gt;0")/3),0)</f>
        <v/>
      </c>
      <c r="W101" s="238">
        <f>IF(ABS(W62)&gt;0,IF(W62&gt;0.001,W62,_xlfn.MINIFS(W$58:W$92,W$58:W$92,"&gt;0")/3),0)</f>
        <v/>
      </c>
      <c r="X101" s="238">
        <f>IF(ABS(X62)&gt;0,IF(X62&gt;0.001,X62,_xlfn.MINIFS(X$58:X$92,X$58:X$92,"&gt;0")/3),0)</f>
        <v/>
      </c>
      <c r="Y101" s="238">
        <f>IF(ABS(Y62)&gt;0,IF(Y62&gt;0.001,Y62,_xlfn.MINIFS(Y$58:Y$92,Y$58:Y$92,"&gt;0")/3),0)</f>
        <v/>
      </c>
      <c r="Z101" s="238">
        <f>IF(ABS(Z62)&gt;0,IF(Z62&gt;0.001,Z62,_xlfn.MINIFS(Z$58:Z$92,Z$58:Z$92,"&gt;0")/3),0)</f>
        <v/>
      </c>
      <c r="AA101" s="238">
        <f>IF(ABS(AA62)&gt;0,IF(AA62&gt;0.001,AA62,_xlfn.MINIFS(AA$58:AA$92,AA$58:AA$92,"&gt;0")/3),0)</f>
        <v/>
      </c>
      <c r="AB101" s="238">
        <f>IF(ABS(AB62)&gt;0,IF(AB62&gt;0.001,AB62,_xlfn.MINIFS(AB$58:AB$92,AB$58:AB$92,"&gt;0")/3),0)</f>
        <v/>
      </c>
      <c r="AC101" s="238">
        <f>IF(ABS(AC62)&gt;0,IF(AC62&gt;0.001,AC62,_xlfn.MINIFS(AC$58:AC$92,AC$58:AC$92,"&gt;0")/3),0)</f>
        <v/>
      </c>
      <c r="AD101" s="238">
        <f>IF(ABS(AD62)&gt;0,IF(AD62&gt;0.001,AD62,_xlfn.MINIFS(AD$58:AD$92,AD$58:AD$92,"&gt;0")/3),0)</f>
        <v/>
      </c>
      <c r="AE101" s="238">
        <f>IF(ABS(AE62)&gt;0,IF(AE62&gt;0.001,AE62,_xlfn.MINIFS(AE$58:AE$92,AE$58:AE$92,"&gt;0")/3),0)</f>
        <v/>
      </c>
      <c r="AF101" s="238">
        <f>IF(ABS(AF62)&gt;0,IF(AF62&gt;0.001,AF62,_xlfn.MINIFS(AF$58:AF$92,AF$58:AF$92,"&gt;0")/3),0)</f>
        <v/>
      </c>
      <c r="AG101" s="238">
        <f>IF(ABS(AG62)&gt;0,IF(AG62&gt;0.001,AG62,_xlfn.MINIFS(AG$58:AG$92,AG$58:AG$92,"&gt;0")/3),0)</f>
        <v/>
      </c>
      <c r="AH101" s="238">
        <f>IF(ABS(AH62)&gt;0,IF(AH62&gt;0.001,AH62,_xlfn.MINIFS(AH$58:AH$92,AH$58:AH$92,"&gt;0")/3),0)</f>
        <v/>
      </c>
      <c r="AI101" s="238">
        <f>IF(ABS(AI62)&gt;0,IF(AI62&gt;0.001,AI62,_xlfn.MINIFS(AI$58:AI$92,AI$58:AI$92,"&gt;0")/3),0)</f>
        <v/>
      </c>
      <c r="AJ101" s="238">
        <f>IF(ABS(AJ62)&gt;0,IF(AJ62&gt;0.001,AJ62,_xlfn.MINIFS(AJ$58:AJ$92,AJ$58:AJ$92,"&gt;0")/3),0)</f>
        <v/>
      </c>
      <c r="AK101" s="238">
        <f>IF(ABS(AK62)&gt;0,IF(AK62&gt;0.001,AK62,_xlfn.MINIFS(AK$58:AK$92,AK$58:AK$92,"&gt;0")/3),0)</f>
        <v/>
      </c>
      <c r="AL101" s="238">
        <f>IF(ABS(AL62)&gt;0,IF(AL62&gt;0.001,AL62,_xlfn.MINIFS(AL$58:AL$92,AL$58:AL$92,"&gt;0")/3),0)</f>
        <v/>
      </c>
      <c r="AM101" s="238">
        <f>IF(ABS(AM62)&gt;0,IF(AM62&gt;0.001,AM62,_xlfn.MINIFS(AM$58:AM$92,AM$58:AM$92,"&gt;0")/3),0)</f>
        <v/>
      </c>
      <c r="AN101" s="238">
        <f>IF(ABS(AN62)&gt;0,IF(AN62&gt;0.001,AN62,_xlfn.MINIFS(AN$58:AN$92,AN$58:AN$92,"&gt;0")/3),0)</f>
        <v/>
      </c>
      <c r="AO101" s="238">
        <f>IF(ABS(AO62)&gt;0,IF(AO62&gt;0.001,AO62,_xlfn.MINIFS(AO$58:AO$92,AO$58:AO$92,"&gt;0")/3),0)</f>
        <v/>
      </c>
      <c r="AP101" s="238">
        <f>IF(ABS(AP62)&gt;0,IF(AP62&gt;0.001,AP62,_xlfn.MINIFS(AP$58:AP$92,AP$58:AP$92,"&gt;0")/3),0)</f>
        <v/>
      </c>
      <c r="AQ101" s="238">
        <f>IF(ABS(AQ62)&gt;0,IF(AQ62&gt;0.001,AQ62,_xlfn.MINIFS(AQ$58:AQ$92,AQ$58:AQ$92,"&gt;0")/3),0)</f>
        <v/>
      </c>
      <c r="AR101" s="238">
        <f>IF(ABS(AR62)&gt;0,IF(AR62&gt;0.001,AR62,_xlfn.MINIFS(AR$58:AR$92,AR$58:AR$92,"&gt;0")/3),0)</f>
        <v/>
      </c>
      <c r="AS101" s="238">
        <f>IF(ABS(AS62)&gt;0,IF(AS62&gt;0.001,AS62,_xlfn.MINIFS(AS$58:AS$92,AS$58:AS$92,"&gt;0")/3),0)</f>
        <v/>
      </c>
      <c r="AT101" s="238">
        <f>IF(ABS(AT62)&gt;0,IF(AT62&gt;0.001,AT62,_xlfn.MINIFS(AT$58:AT$92,AT$58:AT$92,"&gt;0")/3),0)</f>
        <v/>
      </c>
      <c r="AU101" s="238">
        <f>IF(ABS(AU62)&gt;0,IF(AU62&gt;0.001,AU62,_xlfn.MINIFS(AU$58:AU$92,AU$58:AU$92,"&gt;0")/3),0)</f>
        <v/>
      </c>
      <c r="AV101" s="238">
        <f>IF(ABS(AV62)&gt;0,IF(AV62&gt;0.001,AV62,_xlfn.MINIFS(AV$58:AV$92,AV$58:AV$92,"&gt;0")/3),0)</f>
        <v/>
      </c>
      <c r="AW101" s="238">
        <f>IF(ABS(AW62)&gt;0,IF(AW62&gt;0.001,AW62,_xlfn.MINIFS(AW$58:AW$92,AW$58:AW$92,"&gt;0")/3),0)</f>
        <v/>
      </c>
      <c r="AX101" s="238">
        <f>IF(ABS(AX62)&gt;0,IF(AX62&gt;0.001,AX62,_xlfn.MINIFS(AX$58:AX$92,AX$58:AX$92,"&gt;0")/3),0)</f>
        <v/>
      </c>
      <c r="AY101" s="238">
        <f>IF(ABS(AY62)&gt;0,IF(AY62&gt;0.001,AY62,_xlfn.MINIFS(AY$58:AY$92,AY$58:AY$92,"&gt;0")/3),0)</f>
        <v/>
      </c>
      <c r="AZ101" s="238">
        <f>IF(ABS(AZ62)&gt;0,IF(AZ62&gt;0.001,AZ62,_xlfn.MINIFS(AZ$58:AZ$92,AZ$58:AZ$92,"&gt;0")/3),0)</f>
        <v/>
      </c>
      <c r="BA101" s="238">
        <f>IF(ABS(BA62)&gt;0,IF(BA62&gt;0.001,BA62,_xlfn.MINIFS(BA$58:BA$92,BA$58:BA$92,"&gt;0")/3),0)</f>
        <v/>
      </c>
      <c r="BB101" s="238">
        <f>IF(ABS(BB62)&gt;0,IF(BB62&gt;0.001,BB62,_xlfn.MINIFS(BB$58:BB$92,BB$58:BB$92,"&gt;0")/3),0)</f>
        <v/>
      </c>
    </row>
    <row r="102" ht="16.5" customHeight="1" s="179">
      <c r="C102" s="66" t="n"/>
      <c r="D102" s="237">
        <f>D63</f>
        <v/>
      </c>
      <c r="E102" s="238">
        <f>IF(ABS(E63)&gt;0,IF(E63&gt;0.001,E63,_xlfn.MINIFS(E$58:E$92,E$58:E$92,"&gt;0")/3),0)</f>
        <v/>
      </c>
      <c r="F102" s="238">
        <f>IF(ABS(F63)&gt;0,IF(F63&gt;0.001,F63,_xlfn.MINIFS(F$58:F$92,F$58:F$92,"&gt;0")/3),0)</f>
        <v/>
      </c>
      <c r="G102" s="238">
        <f>IF(ABS(G63)&gt;0,IF(G63&gt;0.001,G63,_xlfn.MINIFS(G$58:G$92,G$58:G$92,"&gt;0")/3),0)</f>
        <v/>
      </c>
      <c r="H102" s="238">
        <f>IF(ABS(H63)&gt;0,IF(H63&gt;0.001,H63,_xlfn.MINIFS(H$58:H$92,H$58:H$92,"&gt;0")/3),0)</f>
        <v/>
      </c>
      <c r="I102" s="238">
        <f>IF(ABS(I63)&gt;0,IF(I63&gt;0.001,I63,_xlfn.MINIFS(I$58:I$92,I$58:I$92,"&gt;0")/3),0)</f>
        <v/>
      </c>
      <c r="J102" s="238">
        <f>IF(ABS(J63)&gt;0,IF(J63&gt;0.001,J63,_xlfn.MINIFS(J$58:J$92,J$58:J$92,"&gt;0")/3),0)</f>
        <v/>
      </c>
      <c r="K102" s="238">
        <f>IF(ABS(K63)&gt;0,IF(K63&gt;0.001,K63,_xlfn.MINIFS(K$58:K$92,K$58:K$92,"&gt;0")/3),0)</f>
        <v/>
      </c>
      <c r="L102" s="238">
        <f>IF(ABS(L63)&gt;0,IF(L63&gt;0.001,L63,_xlfn.MINIFS(L$58:L$92,L$58:L$92,"&gt;0")/3),0)</f>
        <v/>
      </c>
      <c r="M102" s="238">
        <f>IF(ABS(M63)&gt;0,IF(M63&gt;0.001,M63,_xlfn.MINIFS(M$58:M$92,M$58:M$92,"&gt;0")/3),0)</f>
        <v/>
      </c>
      <c r="N102" s="238">
        <f>IF(ABS(N63)&gt;0,IF(N63&gt;0.001,N63,_xlfn.MINIFS(N$58:N$92,N$58:N$92,"&gt;0")/3),0)</f>
        <v/>
      </c>
      <c r="O102" s="238">
        <f>IF(ABS(O63)&gt;0,IF(O63&gt;0.001,O63,_xlfn.MINIFS(O$58:O$92,O$58:O$92,"&gt;0")/3),0)</f>
        <v/>
      </c>
      <c r="P102" s="238">
        <f>IF(ABS(P63)&gt;0,IF(P63&gt;0.001,P63,_xlfn.MINIFS(P$58:P$92,P$58:P$92,"&gt;0")/3),0)</f>
        <v/>
      </c>
      <c r="Q102" s="238">
        <f>IF(ABS(Q63)&gt;0,IF(Q63&gt;0.001,Q63,_xlfn.MINIFS(Q$58:Q$92,Q$58:Q$92,"&gt;0")/3),0)</f>
        <v/>
      </c>
      <c r="R102" s="238">
        <f>IF(ABS(R63)&gt;0,IF(R63&gt;0.001,R63,_xlfn.MINIFS(R$58:R$92,R$58:R$92,"&gt;0")/3),0)</f>
        <v/>
      </c>
      <c r="S102" s="238">
        <f>IF(ABS(S63)&gt;0,IF(S63&gt;0.001,S63,_xlfn.MINIFS(S$58:S$92,S$58:S$92,"&gt;0")/3),0)</f>
        <v/>
      </c>
      <c r="T102" s="238">
        <f>IF(ABS(T63)&gt;0,IF(T63&gt;0.001,T63,_xlfn.MINIFS(T$58:T$92,T$58:T$92,"&gt;0")/3),0)</f>
        <v/>
      </c>
      <c r="U102" s="238">
        <f>IF(ABS(U63)&gt;0,IF(U63&gt;0.001,U63,_xlfn.MINIFS(U$58:U$92,U$58:U$92,"&gt;0")/3),0)</f>
        <v/>
      </c>
      <c r="V102" s="238">
        <f>IF(ABS(V63)&gt;0,IF(V63&gt;0.001,V63,_xlfn.MINIFS(V$58:V$92,V$58:V$92,"&gt;0")/3),0)</f>
        <v/>
      </c>
      <c r="W102" s="238">
        <f>IF(ABS(W63)&gt;0,IF(W63&gt;0.001,W63,_xlfn.MINIFS(W$58:W$92,W$58:W$92,"&gt;0")/3),0)</f>
        <v/>
      </c>
      <c r="X102" s="238">
        <f>IF(ABS(X63)&gt;0,IF(X63&gt;0.001,X63,_xlfn.MINIFS(X$58:X$92,X$58:X$92,"&gt;0")/3),0)</f>
        <v/>
      </c>
      <c r="Y102" s="238">
        <f>IF(ABS(Y63)&gt;0,IF(Y63&gt;0.001,Y63,_xlfn.MINIFS(Y$58:Y$92,Y$58:Y$92,"&gt;0")/3),0)</f>
        <v/>
      </c>
      <c r="Z102" s="238">
        <f>IF(ABS(Z63)&gt;0,IF(Z63&gt;0.001,Z63,_xlfn.MINIFS(Z$58:Z$92,Z$58:Z$92,"&gt;0")/3),0)</f>
        <v/>
      </c>
      <c r="AA102" s="238">
        <f>IF(ABS(AA63)&gt;0,IF(AA63&gt;0.001,AA63,_xlfn.MINIFS(AA$58:AA$92,AA$58:AA$92,"&gt;0")/3),0)</f>
        <v/>
      </c>
      <c r="AB102" s="238">
        <f>IF(ABS(AB63)&gt;0,IF(AB63&gt;0.001,AB63,_xlfn.MINIFS(AB$58:AB$92,AB$58:AB$92,"&gt;0")/3),0)</f>
        <v/>
      </c>
      <c r="AC102" s="238">
        <f>IF(ABS(AC63)&gt;0,IF(AC63&gt;0.001,AC63,_xlfn.MINIFS(AC$58:AC$92,AC$58:AC$92,"&gt;0")/3),0)</f>
        <v/>
      </c>
      <c r="AD102" s="238">
        <f>IF(ABS(AD63)&gt;0,IF(AD63&gt;0.001,AD63,_xlfn.MINIFS(AD$58:AD$92,AD$58:AD$92,"&gt;0")/3),0)</f>
        <v/>
      </c>
      <c r="AE102" s="238">
        <f>IF(ABS(AE63)&gt;0,IF(AE63&gt;0.001,AE63,_xlfn.MINIFS(AE$58:AE$92,AE$58:AE$92,"&gt;0")/3),0)</f>
        <v/>
      </c>
      <c r="AF102" s="238">
        <f>IF(ABS(AF63)&gt;0,IF(AF63&gt;0.001,AF63,_xlfn.MINIFS(AF$58:AF$92,AF$58:AF$92,"&gt;0")/3),0)</f>
        <v/>
      </c>
      <c r="AG102" s="238">
        <f>IF(ABS(AG63)&gt;0,IF(AG63&gt;0.001,AG63,_xlfn.MINIFS(AG$58:AG$92,AG$58:AG$92,"&gt;0")/3),0)</f>
        <v/>
      </c>
      <c r="AH102" s="238">
        <f>IF(ABS(AH63)&gt;0,IF(AH63&gt;0.001,AH63,_xlfn.MINIFS(AH$58:AH$92,AH$58:AH$92,"&gt;0")/3),0)</f>
        <v/>
      </c>
      <c r="AI102" s="238">
        <f>IF(ABS(AI63)&gt;0,IF(AI63&gt;0.001,AI63,_xlfn.MINIFS(AI$58:AI$92,AI$58:AI$92,"&gt;0")/3),0)</f>
        <v/>
      </c>
      <c r="AJ102" s="238">
        <f>IF(ABS(AJ63)&gt;0,IF(AJ63&gt;0.001,AJ63,_xlfn.MINIFS(AJ$58:AJ$92,AJ$58:AJ$92,"&gt;0")/3),0)</f>
        <v/>
      </c>
      <c r="AK102" s="238">
        <f>IF(ABS(AK63)&gt;0,IF(AK63&gt;0.001,AK63,_xlfn.MINIFS(AK$58:AK$92,AK$58:AK$92,"&gt;0")/3),0)</f>
        <v/>
      </c>
      <c r="AL102" s="238">
        <f>IF(ABS(AL63)&gt;0,IF(AL63&gt;0.001,AL63,_xlfn.MINIFS(AL$58:AL$92,AL$58:AL$92,"&gt;0")/3),0)</f>
        <v/>
      </c>
      <c r="AM102" s="238">
        <f>IF(ABS(AM63)&gt;0,IF(AM63&gt;0.001,AM63,_xlfn.MINIFS(AM$58:AM$92,AM$58:AM$92,"&gt;0")/3),0)</f>
        <v/>
      </c>
      <c r="AN102" s="238">
        <f>IF(ABS(AN63)&gt;0,IF(AN63&gt;0.001,AN63,_xlfn.MINIFS(AN$58:AN$92,AN$58:AN$92,"&gt;0")/3),0)</f>
        <v/>
      </c>
      <c r="AO102" s="238">
        <f>IF(ABS(AO63)&gt;0,IF(AO63&gt;0.001,AO63,_xlfn.MINIFS(AO$58:AO$92,AO$58:AO$92,"&gt;0")/3),0)</f>
        <v/>
      </c>
      <c r="AP102" s="238">
        <f>IF(ABS(AP63)&gt;0,IF(AP63&gt;0.001,AP63,_xlfn.MINIFS(AP$58:AP$92,AP$58:AP$92,"&gt;0")/3),0)</f>
        <v/>
      </c>
      <c r="AQ102" s="238">
        <f>IF(ABS(AQ63)&gt;0,IF(AQ63&gt;0.001,AQ63,_xlfn.MINIFS(AQ$58:AQ$92,AQ$58:AQ$92,"&gt;0")/3),0)</f>
        <v/>
      </c>
      <c r="AR102" s="238">
        <f>IF(ABS(AR63)&gt;0,IF(AR63&gt;0.001,AR63,_xlfn.MINIFS(AR$58:AR$92,AR$58:AR$92,"&gt;0")/3),0)</f>
        <v/>
      </c>
      <c r="AS102" s="238">
        <f>IF(ABS(AS63)&gt;0,IF(AS63&gt;0.001,AS63,_xlfn.MINIFS(AS$58:AS$92,AS$58:AS$92,"&gt;0")/3),0)</f>
        <v/>
      </c>
      <c r="AT102" s="238">
        <f>IF(ABS(AT63)&gt;0,IF(AT63&gt;0.001,AT63,_xlfn.MINIFS(AT$58:AT$92,AT$58:AT$92,"&gt;0")/3),0)</f>
        <v/>
      </c>
      <c r="AU102" s="238">
        <f>IF(ABS(AU63)&gt;0,IF(AU63&gt;0.001,AU63,_xlfn.MINIFS(AU$58:AU$92,AU$58:AU$92,"&gt;0")/3),0)</f>
        <v/>
      </c>
      <c r="AV102" s="238">
        <f>IF(ABS(AV63)&gt;0,IF(AV63&gt;0.001,AV63,_xlfn.MINIFS(AV$58:AV$92,AV$58:AV$92,"&gt;0")/3),0)</f>
        <v/>
      </c>
      <c r="AW102" s="238">
        <f>IF(ABS(AW63)&gt;0,IF(AW63&gt;0.001,AW63,_xlfn.MINIFS(AW$58:AW$92,AW$58:AW$92,"&gt;0")/3),0)</f>
        <v/>
      </c>
      <c r="AX102" s="238">
        <f>IF(ABS(AX63)&gt;0,IF(AX63&gt;0.001,AX63,_xlfn.MINIFS(AX$58:AX$92,AX$58:AX$92,"&gt;0")/3),0)</f>
        <v/>
      </c>
      <c r="AY102" s="238">
        <f>IF(ABS(AY63)&gt;0,IF(AY63&gt;0.001,AY63,_xlfn.MINIFS(AY$58:AY$92,AY$58:AY$92,"&gt;0")/3),0)</f>
        <v/>
      </c>
      <c r="AZ102" s="238">
        <f>IF(ABS(AZ63)&gt;0,IF(AZ63&gt;0.001,AZ63,_xlfn.MINIFS(AZ$58:AZ$92,AZ$58:AZ$92,"&gt;0")/3),0)</f>
        <v/>
      </c>
      <c r="BA102" s="238">
        <f>IF(ABS(BA63)&gt;0,IF(BA63&gt;0.001,BA63,_xlfn.MINIFS(BA$58:BA$92,BA$58:BA$92,"&gt;0")/3),0)</f>
        <v/>
      </c>
      <c r="BB102" s="238">
        <f>IF(ABS(BB63)&gt;0,IF(BB63&gt;0.001,BB63,_xlfn.MINIFS(BB$58:BB$92,BB$58:BB$92,"&gt;0")/3),0)</f>
        <v/>
      </c>
    </row>
    <row r="103">
      <c r="C103" s="1" t="n"/>
      <c r="D103" s="237">
        <f>D64</f>
        <v/>
      </c>
      <c r="E103" s="238">
        <f>IF(ABS(E64)&gt;0,IF(E64&gt;0.001,E64,_xlfn.MINIFS(E$58:E$92,E$58:E$92,"&gt;0")/3),0)</f>
        <v/>
      </c>
      <c r="F103" s="238">
        <f>IF(ABS(F64)&gt;0,IF(F64&gt;0.001,F64,_xlfn.MINIFS(F$58:F$92,F$58:F$92,"&gt;0")/3),0)</f>
        <v/>
      </c>
      <c r="G103" s="238">
        <f>IF(ABS(G64)&gt;0,IF(G64&gt;0.001,G64,_xlfn.MINIFS(G$58:G$92,G$58:G$92,"&gt;0")/3),0)</f>
        <v/>
      </c>
      <c r="H103" s="238">
        <f>IF(ABS(H64)&gt;0,IF(H64&gt;0.001,H64,_xlfn.MINIFS(H$58:H$92,H$58:H$92,"&gt;0")/3),0)</f>
        <v/>
      </c>
      <c r="I103" s="238">
        <f>IF(ABS(I64)&gt;0,IF(I64&gt;0.001,I64,_xlfn.MINIFS(I$58:I$92,I$58:I$92,"&gt;0")/3),0)</f>
        <v/>
      </c>
      <c r="J103" s="238">
        <f>IF(ABS(J64)&gt;0,IF(J64&gt;0.001,J64,_xlfn.MINIFS(J$58:J$92,J$58:J$92,"&gt;0")/3),0)</f>
        <v/>
      </c>
      <c r="K103" s="238">
        <f>IF(ABS(K64)&gt;0,IF(K64&gt;0.001,K64,_xlfn.MINIFS(K$58:K$92,K$58:K$92,"&gt;0")/3),0)</f>
        <v/>
      </c>
      <c r="L103" s="238">
        <f>IF(ABS(L64)&gt;0,IF(L64&gt;0.001,L64,_xlfn.MINIFS(L$58:L$92,L$58:L$92,"&gt;0")/3),0)</f>
        <v/>
      </c>
      <c r="M103" s="238">
        <f>IF(ABS(M64)&gt;0,IF(M64&gt;0.001,M64,_xlfn.MINIFS(M$58:M$92,M$58:M$92,"&gt;0")/3),0)</f>
        <v/>
      </c>
      <c r="N103" s="238">
        <f>IF(ABS(N64)&gt;0,IF(N64&gt;0.001,N64,_xlfn.MINIFS(N$58:N$92,N$58:N$92,"&gt;0")/3),0)</f>
        <v/>
      </c>
      <c r="O103" s="238">
        <f>IF(ABS(O64)&gt;0,IF(O64&gt;0.001,O64,_xlfn.MINIFS(O$58:O$92,O$58:O$92,"&gt;0")/3),0)</f>
        <v/>
      </c>
      <c r="P103" s="238">
        <f>IF(ABS(P64)&gt;0,IF(P64&gt;0.001,P64,_xlfn.MINIFS(P$58:P$92,P$58:P$92,"&gt;0")/3),0)</f>
        <v/>
      </c>
      <c r="Q103" s="238">
        <f>IF(ABS(Q64)&gt;0,IF(Q64&gt;0.001,Q64,_xlfn.MINIFS(Q$58:Q$92,Q$58:Q$92,"&gt;0")/3),0)</f>
        <v/>
      </c>
      <c r="R103" s="238">
        <f>IF(ABS(R64)&gt;0,IF(R64&gt;0.001,R64,_xlfn.MINIFS(R$58:R$92,R$58:R$92,"&gt;0")/3),0)</f>
        <v/>
      </c>
      <c r="S103" s="238">
        <f>IF(ABS(S64)&gt;0,IF(S64&gt;0.001,S64,_xlfn.MINIFS(S$58:S$92,S$58:S$92,"&gt;0")/3),0)</f>
        <v/>
      </c>
      <c r="T103" s="238">
        <f>IF(ABS(T64)&gt;0,IF(T64&gt;0.001,T64,_xlfn.MINIFS(T$58:T$92,T$58:T$92,"&gt;0")/3),0)</f>
        <v/>
      </c>
      <c r="U103" s="238">
        <f>IF(ABS(U64)&gt;0,IF(U64&gt;0.001,U64,_xlfn.MINIFS(U$58:U$92,U$58:U$92,"&gt;0")/3),0)</f>
        <v/>
      </c>
      <c r="V103" s="238">
        <f>IF(ABS(V64)&gt;0,IF(V64&gt;0.001,V64,_xlfn.MINIFS(V$58:V$92,V$58:V$92,"&gt;0")/3),0)</f>
        <v/>
      </c>
      <c r="W103" s="238">
        <f>IF(ABS(W64)&gt;0,IF(W64&gt;0.001,W64,_xlfn.MINIFS(W$58:W$92,W$58:W$92,"&gt;0")/3),0)</f>
        <v/>
      </c>
      <c r="X103" s="238">
        <f>IF(ABS(X64)&gt;0,IF(X64&gt;0.001,X64,_xlfn.MINIFS(X$58:X$92,X$58:X$92,"&gt;0")/3),0)</f>
        <v/>
      </c>
      <c r="Y103" s="238">
        <f>IF(ABS(Y64)&gt;0,IF(Y64&gt;0.001,Y64,_xlfn.MINIFS(Y$58:Y$92,Y$58:Y$92,"&gt;0")/3),0)</f>
        <v/>
      </c>
      <c r="Z103" s="238">
        <f>IF(ABS(Z64)&gt;0,IF(Z64&gt;0.001,Z64,_xlfn.MINIFS(Z$58:Z$92,Z$58:Z$92,"&gt;0")/3),0)</f>
        <v/>
      </c>
      <c r="AA103" s="238">
        <f>IF(ABS(AA64)&gt;0,IF(AA64&gt;0.001,AA64,_xlfn.MINIFS(AA$58:AA$92,AA$58:AA$92,"&gt;0")/3),0)</f>
        <v/>
      </c>
      <c r="AB103" s="238">
        <f>IF(ABS(AB64)&gt;0,IF(AB64&gt;0.001,AB64,_xlfn.MINIFS(AB$58:AB$92,AB$58:AB$92,"&gt;0")/3),0)</f>
        <v/>
      </c>
      <c r="AC103" s="238">
        <f>IF(ABS(AC64)&gt;0,IF(AC64&gt;0.001,AC64,_xlfn.MINIFS(AC$58:AC$92,AC$58:AC$92,"&gt;0")/3),0)</f>
        <v/>
      </c>
      <c r="AD103" s="238">
        <f>IF(ABS(AD64)&gt;0,IF(AD64&gt;0.001,AD64,_xlfn.MINIFS(AD$58:AD$92,AD$58:AD$92,"&gt;0")/3),0)</f>
        <v/>
      </c>
      <c r="AE103" s="238">
        <f>IF(ABS(AE64)&gt;0,IF(AE64&gt;0.001,AE64,_xlfn.MINIFS(AE$58:AE$92,AE$58:AE$92,"&gt;0")/3),0)</f>
        <v/>
      </c>
      <c r="AF103" s="238">
        <f>IF(ABS(AF64)&gt;0,IF(AF64&gt;0.001,AF64,_xlfn.MINIFS(AF$58:AF$92,AF$58:AF$92,"&gt;0")/3),0)</f>
        <v/>
      </c>
      <c r="AG103" s="238">
        <f>IF(ABS(AG64)&gt;0,IF(AG64&gt;0.001,AG64,_xlfn.MINIFS(AG$58:AG$92,AG$58:AG$92,"&gt;0")/3),0)</f>
        <v/>
      </c>
      <c r="AH103" s="238">
        <f>IF(ABS(AH64)&gt;0,IF(AH64&gt;0.001,AH64,_xlfn.MINIFS(AH$58:AH$92,AH$58:AH$92,"&gt;0")/3),0)</f>
        <v/>
      </c>
      <c r="AI103" s="238">
        <f>IF(ABS(AI64)&gt;0,IF(AI64&gt;0.001,AI64,_xlfn.MINIFS(AI$58:AI$92,AI$58:AI$92,"&gt;0")/3),0)</f>
        <v/>
      </c>
      <c r="AJ103" s="238">
        <f>IF(ABS(AJ64)&gt;0,IF(AJ64&gt;0.001,AJ64,_xlfn.MINIFS(AJ$58:AJ$92,AJ$58:AJ$92,"&gt;0")/3),0)</f>
        <v/>
      </c>
      <c r="AK103" s="238">
        <f>IF(ABS(AK64)&gt;0,IF(AK64&gt;0.001,AK64,_xlfn.MINIFS(AK$58:AK$92,AK$58:AK$92,"&gt;0")/3),0)</f>
        <v/>
      </c>
      <c r="AL103" s="238">
        <f>IF(ABS(AL64)&gt;0,IF(AL64&gt;0.001,AL64,_xlfn.MINIFS(AL$58:AL$92,AL$58:AL$92,"&gt;0")/3),0)</f>
        <v/>
      </c>
      <c r="AM103" s="238">
        <f>IF(ABS(AM64)&gt;0,IF(AM64&gt;0.001,AM64,_xlfn.MINIFS(AM$58:AM$92,AM$58:AM$92,"&gt;0")/3),0)</f>
        <v/>
      </c>
      <c r="AN103" s="238">
        <f>IF(ABS(AN64)&gt;0,IF(AN64&gt;0.001,AN64,_xlfn.MINIFS(AN$58:AN$92,AN$58:AN$92,"&gt;0")/3),0)</f>
        <v/>
      </c>
      <c r="AO103" s="238">
        <f>IF(ABS(AO64)&gt;0,IF(AO64&gt;0.001,AO64,_xlfn.MINIFS(AO$58:AO$92,AO$58:AO$92,"&gt;0")/3),0)</f>
        <v/>
      </c>
      <c r="AP103" s="238">
        <f>IF(ABS(AP64)&gt;0,IF(AP64&gt;0.001,AP64,_xlfn.MINIFS(AP$58:AP$92,AP$58:AP$92,"&gt;0")/3),0)</f>
        <v/>
      </c>
      <c r="AQ103" s="238">
        <f>IF(ABS(AQ64)&gt;0,IF(AQ64&gt;0.001,AQ64,_xlfn.MINIFS(AQ$58:AQ$92,AQ$58:AQ$92,"&gt;0")/3),0)</f>
        <v/>
      </c>
      <c r="AR103" s="238">
        <f>IF(ABS(AR64)&gt;0,IF(AR64&gt;0.001,AR64,_xlfn.MINIFS(AR$58:AR$92,AR$58:AR$92,"&gt;0")/3),0)</f>
        <v/>
      </c>
      <c r="AS103" s="238">
        <f>IF(ABS(AS64)&gt;0,IF(AS64&gt;0.001,AS64,_xlfn.MINIFS(AS$58:AS$92,AS$58:AS$92,"&gt;0")/3),0)</f>
        <v/>
      </c>
      <c r="AT103" s="238">
        <f>IF(ABS(AT64)&gt;0,IF(AT64&gt;0.001,AT64,_xlfn.MINIFS(AT$58:AT$92,AT$58:AT$92,"&gt;0")/3),0)</f>
        <v/>
      </c>
      <c r="AU103" s="238">
        <f>IF(ABS(AU64)&gt;0,IF(AU64&gt;0.001,AU64,_xlfn.MINIFS(AU$58:AU$92,AU$58:AU$92,"&gt;0")/3),0)</f>
        <v/>
      </c>
      <c r="AV103" s="238">
        <f>IF(ABS(AV64)&gt;0,IF(AV64&gt;0.001,AV64,_xlfn.MINIFS(AV$58:AV$92,AV$58:AV$92,"&gt;0")/3),0)</f>
        <v/>
      </c>
      <c r="AW103" s="238">
        <f>IF(ABS(AW64)&gt;0,IF(AW64&gt;0.001,AW64,_xlfn.MINIFS(AW$58:AW$92,AW$58:AW$92,"&gt;0")/3),0)</f>
        <v/>
      </c>
      <c r="AX103" s="238">
        <f>IF(ABS(AX64)&gt;0,IF(AX64&gt;0.001,AX64,_xlfn.MINIFS(AX$58:AX$92,AX$58:AX$92,"&gt;0")/3),0)</f>
        <v/>
      </c>
      <c r="AY103" s="238">
        <f>IF(ABS(AY64)&gt;0,IF(AY64&gt;0.001,AY64,_xlfn.MINIFS(AY$58:AY$92,AY$58:AY$92,"&gt;0")/3),0)</f>
        <v/>
      </c>
      <c r="AZ103" s="238">
        <f>IF(ABS(AZ64)&gt;0,IF(AZ64&gt;0.001,AZ64,_xlfn.MINIFS(AZ$58:AZ$92,AZ$58:AZ$92,"&gt;0")/3),0)</f>
        <v/>
      </c>
      <c r="BA103" s="238">
        <f>IF(ABS(BA64)&gt;0,IF(BA64&gt;0.001,BA64,_xlfn.MINIFS(BA$58:BA$92,BA$58:BA$92,"&gt;0")/3),0)</f>
        <v/>
      </c>
      <c r="BB103" s="238">
        <f>IF(ABS(BB64)&gt;0,IF(BB64&gt;0.001,BB64,_xlfn.MINIFS(BB$58:BB$92,BB$58:BB$92,"&gt;0")/3),0)</f>
        <v/>
      </c>
    </row>
    <row r="104">
      <c r="C104" s="1" t="n"/>
      <c r="D104" s="237">
        <f>D65</f>
        <v/>
      </c>
      <c r="E104" s="238">
        <f>IF(ABS(E65)&gt;0,IF(E65&gt;0.001,E65,_xlfn.MINIFS(E$58:E$92,E$58:E$92,"&gt;0")/3),0)</f>
        <v/>
      </c>
      <c r="F104" s="238">
        <f>IF(ABS(F65)&gt;0,IF(F65&gt;0.001,F65,_xlfn.MINIFS(F$58:F$92,F$58:F$92,"&gt;0")/3),0)</f>
        <v/>
      </c>
      <c r="G104" s="238">
        <f>IF(ABS(G65)&gt;0,IF(G65&gt;0.001,G65,_xlfn.MINIFS(G$58:G$92,G$58:G$92,"&gt;0")/3),0)</f>
        <v/>
      </c>
      <c r="H104" s="238">
        <f>IF(ABS(H65)&gt;0,IF(H65&gt;0.001,H65,_xlfn.MINIFS(H$58:H$92,H$58:H$92,"&gt;0")/3),0)</f>
        <v/>
      </c>
      <c r="I104" s="238">
        <f>IF(ABS(I65)&gt;0,IF(I65&gt;0.001,I65,_xlfn.MINIFS(I$58:I$92,I$58:I$92,"&gt;0")/3),0)</f>
        <v/>
      </c>
      <c r="J104" s="238">
        <f>IF(ABS(J65)&gt;0,IF(J65&gt;0.001,J65,_xlfn.MINIFS(J$58:J$92,J$58:J$92,"&gt;0")/3),0)</f>
        <v/>
      </c>
      <c r="K104" s="238">
        <f>IF(ABS(K65)&gt;0,IF(K65&gt;0.001,K65,_xlfn.MINIFS(K$58:K$92,K$58:K$92,"&gt;0")/3),0)</f>
        <v/>
      </c>
      <c r="L104" s="238">
        <f>IF(ABS(L65)&gt;0,IF(L65&gt;0.001,L65,_xlfn.MINIFS(L$58:L$92,L$58:L$92,"&gt;0")/3),0)</f>
        <v/>
      </c>
      <c r="M104" s="238">
        <f>IF(ABS(M65)&gt;0,IF(M65&gt;0.001,M65,_xlfn.MINIFS(M$58:M$92,M$58:M$92,"&gt;0")/3),0)</f>
        <v/>
      </c>
      <c r="N104" s="238">
        <f>IF(ABS(N65)&gt;0,IF(N65&gt;0.001,N65,_xlfn.MINIFS(N$58:N$92,N$58:N$92,"&gt;0")/3),0)</f>
        <v/>
      </c>
      <c r="O104" s="238">
        <f>IF(ABS(O65)&gt;0,IF(O65&gt;0.001,O65,_xlfn.MINIFS(O$58:O$92,O$58:O$92,"&gt;0")/3),0)</f>
        <v/>
      </c>
      <c r="P104" s="238">
        <f>IF(ABS(P65)&gt;0,IF(P65&gt;0.001,P65,_xlfn.MINIFS(P$58:P$92,P$58:P$92,"&gt;0")/3),0)</f>
        <v/>
      </c>
      <c r="Q104" s="238">
        <f>IF(ABS(Q65)&gt;0,IF(Q65&gt;0.001,Q65,_xlfn.MINIFS(Q$58:Q$92,Q$58:Q$92,"&gt;0")/3),0)</f>
        <v/>
      </c>
      <c r="R104" s="238">
        <f>IF(ABS(R65)&gt;0,IF(R65&gt;0.001,R65,_xlfn.MINIFS(R$58:R$92,R$58:R$92,"&gt;0")/3),0)</f>
        <v/>
      </c>
      <c r="S104" s="238">
        <f>IF(ABS(S65)&gt;0,IF(S65&gt;0.001,S65,_xlfn.MINIFS(S$58:S$92,S$58:S$92,"&gt;0")/3),0)</f>
        <v/>
      </c>
      <c r="T104" s="238">
        <f>IF(ABS(T65)&gt;0,IF(T65&gt;0.001,T65,_xlfn.MINIFS(T$58:T$92,T$58:T$92,"&gt;0")/3),0)</f>
        <v/>
      </c>
      <c r="U104" s="238">
        <f>IF(ABS(U65)&gt;0,IF(U65&gt;0.001,U65,_xlfn.MINIFS(U$58:U$92,U$58:U$92,"&gt;0")/3),0)</f>
        <v/>
      </c>
      <c r="V104" s="238">
        <f>IF(ABS(V65)&gt;0,IF(V65&gt;0.001,V65,_xlfn.MINIFS(V$58:V$92,V$58:V$92,"&gt;0")/3),0)</f>
        <v/>
      </c>
      <c r="W104" s="238">
        <f>IF(ABS(W65)&gt;0,IF(W65&gt;0.001,W65,_xlfn.MINIFS(W$58:W$92,W$58:W$92,"&gt;0")/3),0)</f>
        <v/>
      </c>
      <c r="X104" s="238">
        <f>IF(ABS(X65)&gt;0,IF(X65&gt;0.001,X65,_xlfn.MINIFS(X$58:X$92,X$58:X$92,"&gt;0")/3),0)</f>
        <v/>
      </c>
      <c r="Y104" s="238">
        <f>IF(ABS(Y65)&gt;0,IF(Y65&gt;0.001,Y65,_xlfn.MINIFS(Y$58:Y$92,Y$58:Y$92,"&gt;0")/3),0)</f>
        <v/>
      </c>
      <c r="Z104" s="238">
        <f>IF(ABS(Z65)&gt;0,IF(Z65&gt;0.001,Z65,_xlfn.MINIFS(Z$58:Z$92,Z$58:Z$92,"&gt;0")/3),0)</f>
        <v/>
      </c>
      <c r="AA104" s="238">
        <f>IF(ABS(AA65)&gt;0,IF(AA65&gt;0.001,AA65,_xlfn.MINIFS(AA$58:AA$92,AA$58:AA$92,"&gt;0")/3),0)</f>
        <v/>
      </c>
      <c r="AB104" s="238">
        <f>IF(ABS(AB65)&gt;0,IF(AB65&gt;0.001,AB65,_xlfn.MINIFS(AB$58:AB$92,AB$58:AB$92,"&gt;0")/3),0)</f>
        <v/>
      </c>
      <c r="AC104" s="238">
        <f>IF(ABS(AC65)&gt;0,IF(AC65&gt;0.001,AC65,_xlfn.MINIFS(AC$58:AC$92,AC$58:AC$92,"&gt;0")/3),0)</f>
        <v/>
      </c>
      <c r="AD104" s="238">
        <f>IF(ABS(AD65)&gt;0,IF(AD65&gt;0.001,AD65,_xlfn.MINIFS(AD$58:AD$92,AD$58:AD$92,"&gt;0")/3),0)</f>
        <v/>
      </c>
      <c r="AE104" s="238">
        <f>IF(ABS(AE65)&gt;0,IF(AE65&gt;0.001,AE65,_xlfn.MINIFS(AE$58:AE$92,AE$58:AE$92,"&gt;0")/3),0)</f>
        <v/>
      </c>
      <c r="AF104" s="238">
        <f>IF(ABS(AF65)&gt;0,IF(AF65&gt;0.001,AF65,_xlfn.MINIFS(AF$58:AF$92,AF$58:AF$92,"&gt;0")/3),0)</f>
        <v/>
      </c>
      <c r="AG104" s="238">
        <f>IF(ABS(AG65)&gt;0,IF(AG65&gt;0.001,AG65,_xlfn.MINIFS(AG$58:AG$92,AG$58:AG$92,"&gt;0")/3),0)</f>
        <v/>
      </c>
      <c r="AH104" s="238">
        <f>IF(ABS(AH65)&gt;0,IF(AH65&gt;0.001,AH65,_xlfn.MINIFS(AH$58:AH$92,AH$58:AH$92,"&gt;0")/3),0)</f>
        <v/>
      </c>
      <c r="AI104" s="238">
        <f>IF(ABS(AI65)&gt;0,IF(AI65&gt;0.001,AI65,_xlfn.MINIFS(AI$58:AI$92,AI$58:AI$92,"&gt;0")/3),0)</f>
        <v/>
      </c>
      <c r="AJ104" s="238">
        <f>IF(ABS(AJ65)&gt;0,IF(AJ65&gt;0.001,AJ65,_xlfn.MINIFS(AJ$58:AJ$92,AJ$58:AJ$92,"&gt;0")/3),0)</f>
        <v/>
      </c>
      <c r="AK104" s="238">
        <f>IF(ABS(AK65)&gt;0,IF(AK65&gt;0.001,AK65,_xlfn.MINIFS(AK$58:AK$92,AK$58:AK$92,"&gt;0")/3),0)</f>
        <v/>
      </c>
      <c r="AL104" s="238">
        <f>IF(ABS(AL65)&gt;0,IF(AL65&gt;0.001,AL65,_xlfn.MINIFS(AL$58:AL$92,AL$58:AL$92,"&gt;0")/3),0)</f>
        <v/>
      </c>
      <c r="AM104" s="238">
        <f>IF(ABS(AM65)&gt;0,IF(AM65&gt;0.001,AM65,_xlfn.MINIFS(AM$58:AM$92,AM$58:AM$92,"&gt;0")/3),0)</f>
        <v/>
      </c>
      <c r="AN104" s="238">
        <f>IF(ABS(AN65)&gt;0,IF(AN65&gt;0.001,AN65,_xlfn.MINIFS(AN$58:AN$92,AN$58:AN$92,"&gt;0")/3),0)</f>
        <v/>
      </c>
      <c r="AO104" s="238">
        <f>IF(ABS(AO65)&gt;0,IF(AO65&gt;0.001,AO65,_xlfn.MINIFS(AO$58:AO$92,AO$58:AO$92,"&gt;0")/3),0)</f>
        <v/>
      </c>
      <c r="AP104" s="238">
        <f>IF(ABS(AP65)&gt;0,IF(AP65&gt;0.001,AP65,_xlfn.MINIFS(AP$58:AP$92,AP$58:AP$92,"&gt;0")/3),0)</f>
        <v/>
      </c>
      <c r="AQ104" s="238">
        <f>IF(ABS(AQ65)&gt;0,IF(AQ65&gt;0.001,AQ65,_xlfn.MINIFS(AQ$58:AQ$92,AQ$58:AQ$92,"&gt;0")/3),0)</f>
        <v/>
      </c>
      <c r="AR104" s="238">
        <f>IF(ABS(AR65)&gt;0,IF(AR65&gt;0.001,AR65,_xlfn.MINIFS(AR$58:AR$92,AR$58:AR$92,"&gt;0")/3),0)</f>
        <v/>
      </c>
      <c r="AS104" s="238">
        <f>IF(ABS(AS65)&gt;0,IF(AS65&gt;0.001,AS65,_xlfn.MINIFS(AS$58:AS$92,AS$58:AS$92,"&gt;0")/3),0)</f>
        <v/>
      </c>
      <c r="AT104" s="238">
        <f>IF(ABS(AT65)&gt;0,IF(AT65&gt;0.001,AT65,_xlfn.MINIFS(AT$58:AT$92,AT$58:AT$92,"&gt;0")/3),0)</f>
        <v/>
      </c>
      <c r="AU104" s="238">
        <f>IF(ABS(AU65)&gt;0,IF(AU65&gt;0.001,AU65,_xlfn.MINIFS(AU$58:AU$92,AU$58:AU$92,"&gt;0")/3),0)</f>
        <v/>
      </c>
      <c r="AV104" s="238">
        <f>IF(ABS(AV65)&gt;0,IF(AV65&gt;0.001,AV65,_xlfn.MINIFS(AV$58:AV$92,AV$58:AV$92,"&gt;0")/3),0)</f>
        <v/>
      </c>
      <c r="AW104" s="238">
        <f>IF(ABS(AW65)&gt;0,IF(AW65&gt;0.001,AW65,_xlfn.MINIFS(AW$58:AW$92,AW$58:AW$92,"&gt;0")/3),0)</f>
        <v/>
      </c>
      <c r="AX104" s="238">
        <f>IF(ABS(AX65)&gt;0,IF(AX65&gt;0.001,AX65,_xlfn.MINIFS(AX$58:AX$92,AX$58:AX$92,"&gt;0")/3),0)</f>
        <v/>
      </c>
      <c r="AY104" s="238">
        <f>IF(ABS(AY65)&gt;0,IF(AY65&gt;0.001,AY65,_xlfn.MINIFS(AY$58:AY$92,AY$58:AY$92,"&gt;0")/3),0)</f>
        <v/>
      </c>
      <c r="AZ104" s="238">
        <f>IF(ABS(AZ65)&gt;0,IF(AZ65&gt;0.001,AZ65,_xlfn.MINIFS(AZ$58:AZ$92,AZ$58:AZ$92,"&gt;0")/3),0)</f>
        <v/>
      </c>
      <c r="BA104" s="238">
        <f>IF(ABS(BA65)&gt;0,IF(BA65&gt;0.001,BA65,_xlfn.MINIFS(BA$58:BA$92,BA$58:BA$92,"&gt;0")/3),0)</f>
        <v/>
      </c>
      <c r="BB104" s="238">
        <f>IF(ABS(BB65)&gt;0,IF(BB65&gt;0.001,BB65,_xlfn.MINIFS(BB$58:BB$92,BB$58:BB$92,"&gt;0")/3),0)</f>
        <v/>
      </c>
    </row>
    <row r="105">
      <c r="C105" s="1" t="n"/>
      <c r="D105" s="237">
        <f>D66</f>
        <v/>
      </c>
      <c r="E105" s="238">
        <f>IF(ABS(E66)&gt;0,IF(E66&gt;0.001,E66,_xlfn.MINIFS(E$58:E$92,E$58:E$92,"&gt;0")/3),0)</f>
        <v/>
      </c>
      <c r="F105" s="238">
        <f>IF(ABS(F66)&gt;0,IF(F66&gt;0.001,F66,_xlfn.MINIFS(F$58:F$92,F$58:F$92,"&gt;0")/3),0)</f>
        <v/>
      </c>
      <c r="G105" s="238">
        <f>IF(ABS(G66)&gt;0,IF(G66&gt;0.001,G66,_xlfn.MINIFS(G$58:G$92,G$58:G$92,"&gt;0")/3),0)</f>
        <v/>
      </c>
      <c r="H105" s="238">
        <f>IF(ABS(H66)&gt;0,IF(H66&gt;0.001,H66,_xlfn.MINIFS(H$58:H$92,H$58:H$92,"&gt;0")/3),0)</f>
        <v/>
      </c>
      <c r="I105" s="238">
        <f>IF(ABS(I66)&gt;0,IF(I66&gt;0.001,I66,_xlfn.MINIFS(I$58:I$92,I$58:I$92,"&gt;0")/3),0)</f>
        <v/>
      </c>
      <c r="J105" s="238">
        <f>IF(ABS(J66)&gt;0,IF(J66&gt;0.001,J66,_xlfn.MINIFS(J$58:J$92,J$58:J$92,"&gt;0")/3),0)</f>
        <v/>
      </c>
      <c r="K105" s="238">
        <f>IF(ABS(K66)&gt;0,IF(K66&gt;0.001,K66,_xlfn.MINIFS(K$58:K$92,K$58:K$92,"&gt;0")/3),0)</f>
        <v/>
      </c>
      <c r="L105" s="238">
        <f>IF(ABS(L66)&gt;0,IF(L66&gt;0.001,L66,_xlfn.MINIFS(L$58:L$92,L$58:L$92,"&gt;0")/3),0)</f>
        <v/>
      </c>
      <c r="M105" s="238">
        <f>IF(ABS(M66)&gt;0,IF(M66&gt;0.001,M66,_xlfn.MINIFS(M$58:M$92,M$58:M$92,"&gt;0")/3),0)</f>
        <v/>
      </c>
      <c r="N105" s="238">
        <f>IF(ABS(N66)&gt;0,IF(N66&gt;0.001,N66,_xlfn.MINIFS(N$58:N$92,N$58:N$92,"&gt;0")/3),0)</f>
        <v/>
      </c>
      <c r="O105" s="238">
        <f>IF(ABS(O66)&gt;0,IF(O66&gt;0.001,O66,_xlfn.MINIFS(O$58:O$92,O$58:O$92,"&gt;0")/3),0)</f>
        <v/>
      </c>
      <c r="P105" s="238">
        <f>IF(ABS(P66)&gt;0,IF(P66&gt;0.001,P66,_xlfn.MINIFS(P$58:P$92,P$58:P$92,"&gt;0")/3),0)</f>
        <v/>
      </c>
      <c r="Q105" s="238">
        <f>IF(ABS(Q66)&gt;0,IF(Q66&gt;0.001,Q66,_xlfn.MINIFS(Q$58:Q$92,Q$58:Q$92,"&gt;0")/3),0)</f>
        <v/>
      </c>
      <c r="R105" s="238">
        <f>IF(ABS(R66)&gt;0,IF(R66&gt;0.001,R66,_xlfn.MINIFS(R$58:R$92,R$58:R$92,"&gt;0")/3),0)</f>
        <v/>
      </c>
      <c r="S105" s="238">
        <f>IF(ABS(S66)&gt;0,IF(S66&gt;0.001,S66,_xlfn.MINIFS(S$58:S$92,S$58:S$92,"&gt;0")/3),0)</f>
        <v/>
      </c>
      <c r="T105" s="238">
        <f>IF(ABS(T66)&gt;0,IF(T66&gt;0.001,T66,_xlfn.MINIFS(T$58:T$92,T$58:T$92,"&gt;0")/3),0)</f>
        <v/>
      </c>
      <c r="U105" s="238">
        <f>IF(ABS(U66)&gt;0,IF(U66&gt;0.001,U66,_xlfn.MINIFS(U$58:U$92,U$58:U$92,"&gt;0")/3),0)</f>
        <v/>
      </c>
      <c r="V105" s="238">
        <f>IF(ABS(V66)&gt;0,IF(V66&gt;0.001,V66,_xlfn.MINIFS(V$58:V$92,V$58:V$92,"&gt;0")/3),0)</f>
        <v/>
      </c>
      <c r="W105" s="238">
        <f>IF(ABS(W66)&gt;0,IF(W66&gt;0.001,W66,_xlfn.MINIFS(W$58:W$92,W$58:W$92,"&gt;0")/3),0)</f>
        <v/>
      </c>
      <c r="X105" s="238">
        <f>IF(ABS(X66)&gt;0,IF(X66&gt;0.001,X66,_xlfn.MINIFS(X$58:X$92,X$58:X$92,"&gt;0")/3),0)</f>
        <v/>
      </c>
      <c r="Y105" s="238">
        <f>IF(ABS(Y66)&gt;0,IF(Y66&gt;0.001,Y66,_xlfn.MINIFS(Y$58:Y$92,Y$58:Y$92,"&gt;0")/3),0)</f>
        <v/>
      </c>
      <c r="Z105" s="238">
        <f>IF(ABS(Z66)&gt;0,IF(Z66&gt;0.001,Z66,_xlfn.MINIFS(Z$58:Z$92,Z$58:Z$92,"&gt;0")/3),0)</f>
        <v/>
      </c>
      <c r="AA105" s="238">
        <f>IF(ABS(AA66)&gt;0,IF(AA66&gt;0.001,AA66,_xlfn.MINIFS(AA$58:AA$92,AA$58:AA$92,"&gt;0")/3),0)</f>
        <v/>
      </c>
      <c r="AB105" s="238">
        <f>IF(ABS(AB66)&gt;0,IF(AB66&gt;0.001,AB66,_xlfn.MINIFS(AB$58:AB$92,AB$58:AB$92,"&gt;0")/3),0)</f>
        <v/>
      </c>
      <c r="AC105" s="238">
        <f>IF(ABS(AC66)&gt;0,IF(AC66&gt;0.001,AC66,_xlfn.MINIFS(AC$58:AC$92,AC$58:AC$92,"&gt;0")/3),0)</f>
        <v/>
      </c>
      <c r="AD105" s="238">
        <f>IF(ABS(AD66)&gt;0,IF(AD66&gt;0.001,AD66,_xlfn.MINIFS(AD$58:AD$92,AD$58:AD$92,"&gt;0")/3),0)</f>
        <v/>
      </c>
      <c r="AE105" s="238">
        <f>IF(ABS(AE66)&gt;0,IF(AE66&gt;0.001,AE66,_xlfn.MINIFS(AE$58:AE$92,AE$58:AE$92,"&gt;0")/3),0)</f>
        <v/>
      </c>
      <c r="AF105" s="238">
        <f>IF(ABS(AF66)&gt;0,IF(AF66&gt;0.001,AF66,_xlfn.MINIFS(AF$58:AF$92,AF$58:AF$92,"&gt;0")/3),0)</f>
        <v/>
      </c>
      <c r="AG105" s="238">
        <f>IF(ABS(AG66)&gt;0,IF(AG66&gt;0.001,AG66,_xlfn.MINIFS(AG$58:AG$92,AG$58:AG$92,"&gt;0")/3),0)</f>
        <v/>
      </c>
      <c r="AH105" s="238">
        <f>IF(ABS(AH66)&gt;0,IF(AH66&gt;0.001,AH66,_xlfn.MINIFS(AH$58:AH$92,AH$58:AH$92,"&gt;0")/3),0)</f>
        <v/>
      </c>
      <c r="AI105" s="238">
        <f>IF(ABS(AI66)&gt;0,IF(AI66&gt;0.001,AI66,_xlfn.MINIFS(AI$58:AI$92,AI$58:AI$92,"&gt;0")/3),0)</f>
        <v/>
      </c>
      <c r="AJ105" s="238">
        <f>IF(ABS(AJ66)&gt;0,IF(AJ66&gt;0.001,AJ66,_xlfn.MINIFS(AJ$58:AJ$92,AJ$58:AJ$92,"&gt;0")/3),0)</f>
        <v/>
      </c>
      <c r="AK105" s="238">
        <f>IF(ABS(AK66)&gt;0,IF(AK66&gt;0.001,AK66,_xlfn.MINIFS(AK$58:AK$92,AK$58:AK$92,"&gt;0")/3),0)</f>
        <v/>
      </c>
      <c r="AL105" s="238">
        <f>IF(ABS(AL66)&gt;0,IF(AL66&gt;0.001,AL66,_xlfn.MINIFS(AL$58:AL$92,AL$58:AL$92,"&gt;0")/3),0)</f>
        <v/>
      </c>
      <c r="AM105" s="238">
        <f>IF(ABS(AM66)&gt;0,IF(AM66&gt;0.001,AM66,_xlfn.MINIFS(AM$58:AM$92,AM$58:AM$92,"&gt;0")/3),0)</f>
        <v/>
      </c>
      <c r="AN105" s="238">
        <f>IF(ABS(AN66)&gt;0,IF(AN66&gt;0.001,AN66,_xlfn.MINIFS(AN$58:AN$92,AN$58:AN$92,"&gt;0")/3),0)</f>
        <v/>
      </c>
      <c r="AO105" s="238">
        <f>IF(ABS(AO66)&gt;0,IF(AO66&gt;0.001,AO66,_xlfn.MINIFS(AO$58:AO$92,AO$58:AO$92,"&gt;0")/3),0)</f>
        <v/>
      </c>
      <c r="AP105" s="238">
        <f>IF(ABS(AP66)&gt;0,IF(AP66&gt;0.001,AP66,_xlfn.MINIFS(AP$58:AP$92,AP$58:AP$92,"&gt;0")/3),0)</f>
        <v/>
      </c>
      <c r="AQ105" s="238">
        <f>IF(ABS(AQ66)&gt;0,IF(AQ66&gt;0.001,AQ66,_xlfn.MINIFS(AQ$58:AQ$92,AQ$58:AQ$92,"&gt;0")/3),0)</f>
        <v/>
      </c>
      <c r="AR105" s="238">
        <f>IF(ABS(AR66)&gt;0,IF(AR66&gt;0.001,AR66,_xlfn.MINIFS(AR$58:AR$92,AR$58:AR$92,"&gt;0")/3),0)</f>
        <v/>
      </c>
      <c r="AS105" s="238">
        <f>IF(ABS(AS66)&gt;0,IF(AS66&gt;0.001,AS66,_xlfn.MINIFS(AS$58:AS$92,AS$58:AS$92,"&gt;0")/3),0)</f>
        <v/>
      </c>
      <c r="AT105" s="238">
        <f>IF(ABS(AT66)&gt;0,IF(AT66&gt;0.001,AT66,_xlfn.MINIFS(AT$58:AT$92,AT$58:AT$92,"&gt;0")/3),0)</f>
        <v/>
      </c>
      <c r="AU105" s="238">
        <f>IF(ABS(AU66)&gt;0,IF(AU66&gt;0.001,AU66,_xlfn.MINIFS(AU$58:AU$92,AU$58:AU$92,"&gt;0")/3),0)</f>
        <v/>
      </c>
      <c r="AV105" s="238">
        <f>IF(ABS(AV66)&gt;0,IF(AV66&gt;0.001,AV66,_xlfn.MINIFS(AV$58:AV$92,AV$58:AV$92,"&gt;0")/3),0)</f>
        <v/>
      </c>
      <c r="AW105" s="238">
        <f>IF(ABS(AW66)&gt;0,IF(AW66&gt;0.001,AW66,_xlfn.MINIFS(AW$58:AW$92,AW$58:AW$92,"&gt;0")/3),0)</f>
        <v/>
      </c>
      <c r="AX105" s="238">
        <f>IF(ABS(AX66)&gt;0,IF(AX66&gt;0.001,AX66,_xlfn.MINIFS(AX$58:AX$92,AX$58:AX$92,"&gt;0")/3),0)</f>
        <v/>
      </c>
      <c r="AY105" s="238">
        <f>IF(ABS(AY66)&gt;0,IF(AY66&gt;0.001,AY66,_xlfn.MINIFS(AY$58:AY$92,AY$58:AY$92,"&gt;0")/3),0)</f>
        <v/>
      </c>
      <c r="AZ105" s="238">
        <f>IF(ABS(AZ66)&gt;0,IF(AZ66&gt;0.001,AZ66,_xlfn.MINIFS(AZ$58:AZ$92,AZ$58:AZ$92,"&gt;0")/3),0)</f>
        <v/>
      </c>
      <c r="BA105" s="238">
        <f>IF(ABS(BA66)&gt;0,IF(BA66&gt;0.001,BA66,_xlfn.MINIFS(BA$58:BA$92,BA$58:BA$92,"&gt;0")/3),0)</f>
        <v/>
      </c>
      <c r="BB105" s="238">
        <f>IF(ABS(BB66)&gt;0,IF(BB66&gt;0.001,BB66,_xlfn.MINIFS(BB$58:BB$92,BB$58:BB$92,"&gt;0")/3),0)</f>
        <v/>
      </c>
    </row>
    <row r="106">
      <c r="C106" s="1" t="n"/>
      <c r="D106" s="237">
        <f>D67</f>
        <v/>
      </c>
      <c r="E106" s="238">
        <f>IF(ABS(E67)&gt;0,IF(E67&gt;0.001,E67,_xlfn.MINIFS(E$58:E$92,E$58:E$92,"&gt;0")/3),0)</f>
        <v/>
      </c>
      <c r="F106" s="238">
        <f>IF(ABS(F67)&gt;0,IF(F67&gt;0.001,F67,_xlfn.MINIFS(F$58:F$92,F$58:F$92,"&gt;0")/3),0)</f>
        <v/>
      </c>
      <c r="G106" s="238">
        <f>IF(ABS(G67)&gt;0,IF(G67&gt;0.001,G67,_xlfn.MINIFS(G$58:G$92,G$58:G$92,"&gt;0")/3),0)</f>
        <v/>
      </c>
      <c r="H106" s="238">
        <f>IF(ABS(H67)&gt;0,IF(H67&gt;0.001,H67,_xlfn.MINIFS(H$58:H$92,H$58:H$92,"&gt;0")/3),0)</f>
        <v/>
      </c>
      <c r="I106" s="238">
        <f>IF(ABS(I67)&gt;0,IF(I67&gt;0.001,I67,_xlfn.MINIFS(I$58:I$92,I$58:I$92,"&gt;0")/3),0)</f>
        <v/>
      </c>
      <c r="J106" s="238">
        <f>IF(ABS(J67)&gt;0,IF(J67&gt;0.001,J67,_xlfn.MINIFS(J$58:J$92,J$58:J$92,"&gt;0")/3),0)</f>
        <v/>
      </c>
      <c r="K106" s="238">
        <f>IF(ABS(K67)&gt;0,IF(K67&gt;0.001,K67,_xlfn.MINIFS(K$58:K$92,K$58:K$92,"&gt;0")/3),0)</f>
        <v/>
      </c>
      <c r="L106" s="238">
        <f>IF(ABS(L67)&gt;0,IF(L67&gt;0.001,L67,_xlfn.MINIFS(L$58:L$92,L$58:L$92,"&gt;0")/3),0)</f>
        <v/>
      </c>
      <c r="M106" s="238">
        <f>IF(ABS(M67)&gt;0,IF(M67&gt;0.001,M67,_xlfn.MINIFS(M$58:M$92,M$58:M$92,"&gt;0")/3),0)</f>
        <v/>
      </c>
      <c r="N106" s="238">
        <f>IF(ABS(N67)&gt;0,IF(N67&gt;0.001,N67,_xlfn.MINIFS(N$58:N$92,N$58:N$92,"&gt;0")/3),0)</f>
        <v/>
      </c>
      <c r="O106" s="238">
        <f>IF(ABS(O67)&gt;0,IF(O67&gt;0.001,O67,_xlfn.MINIFS(O$58:O$92,O$58:O$92,"&gt;0")/3),0)</f>
        <v/>
      </c>
      <c r="P106" s="238">
        <f>IF(ABS(P67)&gt;0,IF(P67&gt;0.001,P67,_xlfn.MINIFS(P$58:P$92,P$58:P$92,"&gt;0")/3),0)</f>
        <v/>
      </c>
      <c r="Q106" s="238">
        <f>IF(ABS(Q67)&gt;0,IF(Q67&gt;0.001,Q67,_xlfn.MINIFS(Q$58:Q$92,Q$58:Q$92,"&gt;0")/3),0)</f>
        <v/>
      </c>
      <c r="R106" s="238">
        <f>IF(ABS(R67)&gt;0,IF(R67&gt;0.001,R67,_xlfn.MINIFS(R$58:R$92,R$58:R$92,"&gt;0")/3),0)</f>
        <v/>
      </c>
      <c r="S106" s="238">
        <f>IF(ABS(S67)&gt;0,IF(S67&gt;0.001,S67,_xlfn.MINIFS(S$58:S$92,S$58:S$92,"&gt;0")/3),0)</f>
        <v/>
      </c>
      <c r="T106" s="238">
        <f>IF(ABS(T67)&gt;0,IF(T67&gt;0.001,T67,_xlfn.MINIFS(T$58:T$92,T$58:T$92,"&gt;0")/3),0)</f>
        <v/>
      </c>
      <c r="U106" s="238">
        <f>IF(ABS(U67)&gt;0,IF(U67&gt;0.001,U67,_xlfn.MINIFS(U$58:U$92,U$58:U$92,"&gt;0")/3),0)</f>
        <v/>
      </c>
      <c r="V106" s="238">
        <f>IF(ABS(V67)&gt;0,IF(V67&gt;0.001,V67,_xlfn.MINIFS(V$58:V$92,V$58:V$92,"&gt;0")/3),0)</f>
        <v/>
      </c>
      <c r="W106" s="238">
        <f>IF(ABS(W67)&gt;0,IF(W67&gt;0.001,W67,_xlfn.MINIFS(W$58:W$92,W$58:W$92,"&gt;0")/3),0)</f>
        <v/>
      </c>
      <c r="X106" s="238">
        <f>IF(ABS(X67)&gt;0,IF(X67&gt;0.001,X67,_xlfn.MINIFS(X$58:X$92,X$58:X$92,"&gt;0")/3),0)</f>
        <v/>
      </c>
      <c r="Y106" s="238">
        <f>IF(ABS(Y67)&gt;0,IF(Y67&gt;0.001,Y67,_xlfn.MINIFS(Y$58:Y$92,Y$58:Y$92,"&gt;0")/3),0)</f>
        <v/>
      </c>
      <c r="Z106" s="238">
        <f>IF(ABS(Z67)&gt;0,IF(Z67&gt;0.001,Z67,_xlfn.MINIFS(Z$58:Z$92,Z$58:Z$92,"&gt;0")/3),0)</f>
        <v/>
      </c>
      <c r="AA106" s="238">
        <f>IF(ABS(AA67)&gt;0,IF(AA67&gt;0.001,AA67,_xlfn.MINIFS(AA$58:AA$92,AA$58:AA$92,"&gt;0")/3),0)</f>
        <v/>
      </c>
      <c r="AB106" s="238">
        <f>IF(ABS(AB67)&gt;0,IF(AB67&gt;0.001,AB67,_xlfn.MINIFS(AB$58:AB$92,AB$58:AB$92,"&gt;0")/3),0)</f>
        <v/>
      </c>
      <c r="AC106" s="238">
        <f>IF(ABS(AC67)&gt;0,IF(AC67&gt;0.001,AC67,_xlfn.MINIFS(AC$58:AC$92,AC$58:AC$92,"&gt;0")/3),0)</f>
        <v/>
      </c>
      <c r="AD106" s="238">
        <f>IF(ABS(AD67)&gt;0,IF(AD67&gt;0.001,AD67,_xlfn.MINIFS(AD$58:AD$92,AD$58:AD$92,"&gt;0")/3),0)</f>
        <v/>
      </c>
      <c r="AE106" s="238">
        <f>IF(ABS(AE67)&gt;0,IF(AE67&gt;0.001,AE67,_xlfn.MINIFS(AE$58:AE$92,AE$58:AE$92,"&gt;0")/3),0)</f>
        <v/>
      </c>
      <c r="AF106" s="238">
        <f>IF(ABS(AF67)&gt;0,IF(AF67&gt;0.001,AF67,_xlfn.MINIFS(AF$58:AF$92,AF$58:AF$92,"&gt;0")/3),0)</f>
        <v/>
      </c>
      <c r="AG106" s="238">
        <f>IF(ABS(AG67)&gt;0,IF(AG67&gt;0.001,AG67,_xlfn.MINIFS(AG$58:AG$92,AG$58:AG$92,"&gt;0")/3),0)</f>
        <v/>
      </c>
      <c r="AH106" s="238">
        <f>IF(ABS(AH67)&gt;0,IF(AH67&gt;0.001,AH67,_xlfn.MINIFS(AH$58:AH$92,AH$58:AH$92,"&gt;0")/3),0)</f>
        <v/>
      </c>
      <c r="AI106" s="238">
        <f>IF(ABS(AI67)&gt;0,IF(AI67&gt;0.001,AI67,_xlfn.MINIFS(AI$58:AI$92,AI$58:AI$92,"&gt;0")/3),0)</f>
        <v/>
      </c>
      <c r="AJ106" s="238">
        <f>IF(ABS(AJ67)&gt;0,IF(AJ67&gt;0.001,AJ67,_xlfn.MINIFS(AJ$58:AJ$92,AJ$58:AJ$92,"&gt;0")/3),0)</f>
        <v/>
      </c>
      <c r="AK106" s="238">
        <f>IF(ABS(AK67)&gt;0,IF(AK67&gt;0.001,AK67,_xlfn.MINIFS(AK$58:AK$92,AK$58:AK$92,"&gt;0")/3),0)</f>
        <v/>
      </c>
      <c r="AL106" s="238">
        <f>IF(ABS(AL67)&gt;0,IF(AL67&gt;0.001,AL67,_xlfn.MINIFS(AL$58:AL$92,AL$58:AL$92,"&gt;0")/3),0)</f>
        <v/>
      </c>
      <c r="AM106" s="238">
        <f>IF(ABS(AM67)&gt;0,IF(AM67&gt;0.001,AM67,_xlfn.MINIFS(AM$58:AM$92,AM$58:AM$92,"&gt;0")/3),0)</f>
        <v/>
      </c>
      <c r="AN106" s="238">
        <f>IF(ABS(AN67)&gt;0,IF(AN67&gt;0.001,AN67,_xlfn.MINIFS(AN$58:AN$92,AN$58:AN$92,"&gt;0")/3),0)</f>
        <v/>
      </c>
      <c r="AO106" s="238">
        <f>IF(ABS(AO67)&gt;0,IF(AO67&gt;0.001,AO67,_xlfn.MINIFS(AO$58:AO$92,AO$58:AO$92,"&gt;0")/3),0)</f>
        <v/>
      </c>
      <c r="AP106" s="238">
        <f>IF(ABS(AP67)&gt;0,IF(AP67&gt;0.001,AP67,_xlfn.MINIFS(AP$58:AP$92,AP$58:AP$92,"&gt;0")/3),0)</f>
        <v/>
      </c>
      <c r="AQ106" s="238">
        <f>IF(ABS(AQ67)&gt;0,IF(AQ67&gt;0.001,AQ67,_xlfn.MINIFS(AQ$58:AQ$92,AQ$58:AQ$92,"&gt;0")/3),0)</f>
        <v/>
      </c>
      <c r="AR106" s="238">
        <f>IF(ABS(AR67)&gt;0,IF(AR67&gt;0.001,AR67,_xlfn.MINIFS(AR$58:AR$92,AR$58:AR$92,"&gt;0")/3),0)</f>
        <v/>
      </c>
      <c r="AS106" s="238">
        <f>IF(ABS(AS67)&gt;0,IF(AS67&gt;0.001,AS67,_xlfn.MINIFS(AS$58:AS$92,AS$58:AS$92,"&gt;0")/3),0)</f>
        <v/>
      </c>
      <c r="AT106" s="238">
        <f>IF(ABS(AT67)&gt;0,IF(AT67&gt;0.001,AT67,_xlfn.MINIFS(AT$58:AT$92,AT$58:AT$92,"&gt;0")/3),0)</f>
        <v/>
      </c>
      <c r="AU106" s="238">
        <f>IF(ABS(AU67)&gt;0,IF(AU67&gt;0.001,AU67,_xlfn.MINIFS(AU$58:AU$92,AU$58:AU$92,"&gt;0")/3),0)</f>
        <v/>
      </c>
      <c r="AV106" s="238">
        <f>IF(ABS(AV67)&gt;0,IF(AV67&gt;0.001,AV67,_xlfn.MINIFS(AV$58:AV$92,AV$58:AV$92,"&gt;0")/3),0)</f>
        <v/>
      </c>
      <c r="AW106" s="238">
        <f>IF(ABS(AW67)&gt;0,IF(AW67&gt;0.001,AW67,_xlfn.MINIFS(AW$58:AW$92,AW$58:AW$92,"&gt;0")/3),0)</f>
        <v/>
      </c>
      <c r="AX106" s="238">
        <f>IF(ABS(AX67)&gt;0,IF(AX67&gt;0.001,AX67,_xlfn.MINIFS(AX$58:AX$92,AX$58:AX$92,"&gt;0")/3),0)</f>
        <v/>
      </c>
      <c r="AY106" s="238">
        <f>IF(ABS(AY67)&gt;0,IF(AY67&gt;0.001,AY67,_xlfn.MINIFS(AY$58:AY$92,AY$58:AY$92,"&gt;0")/3),0)</f>
        <v/>
      </c>
      <c r="AZ106" s="238">
        <f>IF(ABS(AZ67)&gt;0,IF(AZ67&gt;0.001,AZ67,_xlfn.MINIFS(AZ$58:AZ$92,AZ$58:AZ$92,"&gt;0")/3),0)</f>
        <v/>
      </c>
      <c r="BA106" s="238">
        <f>IF(ABS(BA67)&gt;0,IF(BA67&gt;0.001,BA67,_xlfn.MINIFS(BA$58:BA$92,BA$58:BA$92,"&gt;0")/3),0)</f>
        <v/>
      </c>
      <c r="BB106" s="238">
        <f>IF(ABS(BB67)&gt;0,IF(BB67&gt;0.001,BB67,_xlfn.MINIFS(BB$58:BB$92,BB$58:BB$92,"&gt;0")/3),0)</f>
        <v/>
      </c>
    </row>
    <row r="107">
      <c r="C107" s="1" t="n"/>
      <c r="D107" s="237">
        <f>D68</f>
        <v/>
      </c>
      <c r="E107" s="238">
        <f>IF(ABS(E68)&gt;0,IF(E68&gt;0.001,E68,_xlfn.MINIFS(E$58:E$92,E$58:E$92,"&gt;0")/3),0)</f>
        <v/>
      </c>
      <c r="F107" s="238">
        <f>IF(ABS(F68)&gt;0,IF(F68&gt;0.001,F68,_xlfn.MINIFS(F$58:F$92,F$58:F$92,"&gt;0")/3),0)</f>
        <v/>
      </c>
      <c r="G107" s="238">
        <f>IF(ABS(G68)&gt;0,IF(G68&gt;0.001,G68,_xlfn.MINIFS(G$58:G$92,G$58:G$92,"&gt;0")/3),0)</f>
        <v/>
      </c>
      <c r="H107" s="238">
        <f>IF(ABS(H68)&gt;0,IF(H68&gt;0.001,H68,_xlfn.MINIFS(H$58:H$92,H$58:H$92,"&gt;0")/3),0)</f>
        <v/>
      </c>
      <c r="I107" s="238">
        <f>IF(ABS(I68)&gt;0,IF(I68&gt;0.001,I68,_xlfn.MINIFS(I$58:I$92,I$58:I$92,"&gt;0")/3),0)</f>
        <v/>
      </c>
      <c r="J107" s="238">
        <f>IF(ABS(J68)&gt;0,IF(J68&gt;0.001,J68,_xlfn.MINIFS(J$58:J$92,J$58:J$92,"&gt;0")/3),0)</f>
        <v/>
      </c>
      <c r="K107" s="238">
        <f>IF(ABS(K68)&gt;0,IF(K68&gt;0.001,K68,_xlfn.MINIFS(K$58:K$92,K$58:K$92,"&gt;0")/3),0)</f>
        <v/>
      </c>
      <c r="L107" s="238">
        <f>IF(ABS(L68)&gt;0,IF(L68&gt;0.001,L68,_xlfn.MINIFS(L$58:L$92,L$58:L$92,"&gt;0")/3),0)</f>
        <v/>
      </c>
      <c r="M107" s="238">
        <f>IF(ABS(M68)&gt;0,IF(M68&gt;0.001,M68,_xlfn.MINIFS(M$58:M$92,M$58:M$92,"&gt;0")/3),0)</f>
        <v/>
      </c>
      <c r="N107" s="238">
        <f>IF(ABS(N68)&gt;0,IF(N68&gt;0.001,N68,_xlfn.MINIFS(N$58:N$92,N$58:N$92,"&gt;0")/3),0)</f>
        <v/>
      </c>
      <c r="O107" s="238">
        <f>IF(ABS(O68)&gt;0,IF(O68&gt;0.001,O68,_xlfn.MINIFS(O$58:O$92,O$58:O$92,"&gt;0")/3),0)</f>
        <v/>
      </c>
      <c r="P107" s="238">
        <f>IF(ABS(P68)&gt;0,IF(P68&gt;0.001,P68,_xlfn.MINIFS(P$58:P$92,P$58:P$92,"&gt;0")/3),0)</f>
        <v/>
      </c>
      <c r="Q107" s="238">
        <f>IF(ABS(Q68)&gt;0,IF(Q68&gt;0.001,Q68,_xlfn.MINIFS(Q$58:Q$92,Q$58:Q$92,"&gt;0")/3),0)</f>
        <v/>
      </c>
      <c r="R107" s="238">
        <f>IF(ABS(R68)&gt;0,IF(R68&gt;0.001,R68,_xlfn.MINIFS(R$58:R$92,R$58:R$92,"&gt;0")/3),0)</f>
        <v/>
      </c>
      <c r="S107" s="238">
        <f>IF(ABS(S68)&gt;0,IF(S68&gt;0.001,S68,_xlfn.MINIFS(S$58:S$92,S$58:S$92,"&gt;0")/3),0)</f>
        <v/>
      </c>
      <c r="T107" s="238">
        <f>IF(ABS(T68)&gt;0,IF(T68&gt;0.001,T68,_xlfn.MINIFS(T$58:T$92,T$58:T$92,"&gt;0")/3),0)</f>
        <v/>
      </c>
      <c r="U107" s="238">
        <f>IF(ABS(U68)&gt;0,IF(U68&gt;0.001,U68,_xlfn.MINIFS(U$58:U$92,U$58:U$92,"&gt;0")/3),0)</f>
        <v/>
      </c>
      <c r="V107" s="238">
        <f>IF(ABS(V68)&gt;0,IF(V68&gt;0.001,V68,_xlfn.MINIFS(V$58:V$92,V$58:V$92,"&gt;0")/3),0)</f>
        <v/>
      </c>
      <c r="W107" s="238">
        <f>IF(ABS(W68)&gt;0,IF(W68&gt;0.001,W68,_xlfn.MINIFS(W$58:W$92,W$58:W$92,"&gt;0")/3),0)</f>
        <v/>
      </c>
      <c r="X107" s="238">
        <f>IF(ABS(X68)&gt;0,IF(X68&gt;0.001,X68,_xlfn.MINIFS(X$58:X$92,X$58:X$92,"&gt;0")/3),0)</f>
        <v/>
      </c>
      <c r="Y107" s="238">
        <f>IF(ABS(Y68)&gt;0,IF(Y68&gt;0.001,Y68,_xlfn.MINIFS(Y$58:Y$92,Y$58:Y$92,"&gt;0")/3),0)</f>
        <v/>
      </c>
      <c r="Z107" s="238">
        <f>IF(ABS(Z68)&gt;0,IF(Z68&gt;0.001,Z68,_xlfn.MINIFS(Z$58:Z$92,Z$58:Z$92,"&gt;0")/3),0)</f>
        <v/>
      </c>
      <c r="AA107" s="238">
        <f>IF(ABS(AA68)&gt;0,IF(AA68&gt;0.001,AA68,_xlfn.MINIFS(AA$58:AA$92,AA$58:AA$92,"&gt;0")/3),0)</f>
        <v/>
      </c>
      <c r="AB107" s="238">
        <f>IF(ABS(AB68)&gt;0,IF(AB68&gt;0.001,AB68,_xlfn.MINIFS(AB$58:AB$92,AB$58:AB$92,"&gt;0")/3),0)</f>
        <v/>
      </c>
      <c r="AC107" s="238">
        <f>IF(ABS(AC68)&gt;0,IF(AC68&gt;0.001,AC68,_xlfn.MINIFS(AC$58:AC$92,AC$58:AC$92,"&gt;0")/3),0)</f>
        <v/>
      </c>
      <c r="AD107" s="238">
        <f>IF(ABS(AD68)&gt;0,IF(AD68&gt;0.001,AD68,_xlfn.MINIFS(AD$58:AD$92,AD$58:AD$92,"&gt;0")/3),0)</f>
        <v/>
      </c>
      <c r="AE107" s="238">
        <f>IF(ABS(AE68)&gt;0,IF(AE68&gt;0.001,AE68,_xlfn.MINIFS(AE$58:AE$92,AE$58:AE$92,"&gt;0")/3),0)</f>
        <v/>
      </c>
      <c r="AF107" s="238">
        <f>IF(ABS(AF68)&gt;0,IF(AF68&gt;0.001,AF68,_xlfn.MINIFS(AF$58:AF$92,AF$58:AF$92,"&gt;0")/3),0)</f>
        <v/>
      </c>
      <c r="AG107" s="238">
        <f>IF(ABS(AG68)&gt;0,IF(AG68&gt;0.001,AG68,_xlfn.MINIFS(AG$58:AG$92,AG$58:AG$92,"&gt;0")/3),0)</f>
        <v/>
      </c>
      <c r="AH107" s="238">
        <f>IF(ABS(AH68)&gt;0,IF(AH68&gt;0.001,AH68,_xlfn.MINIFS(AH$58:AH$92,AH$58:AH$92,"&gt;0")/3),0)</f>
        <v/>
      </c>
      <c r="AI107" s="238">
        <f>IF(ABS(AI68)&gt;0,IF(AI68&gt;0.001,AI68,_xlfn.MINIFS(AI$58:AI$92,AI$58:AI$92,"&gt;0")/3),0)</f>
        <v/>
      </c>
      <c r="AJ107" s="238">
        <f>IF(ABS(AJ68)&gt;0,IF(AJ68&gt;0.001,AJ68,_xlfn.MINIFS(AJ$58:AJ$92,AJ$58:AJ$92,"&gt;0")/3),0)</f>
        <v/>
      </c>
      <c r="AK107" s="238">
        <f>IF(ABS(AK68)&gt;0,IF(AK68&gt;0.001,AK68,_xlfn.MINIFS(AK$58:AK$92,AK$58:AK$92,"&gt;0")/3),0)</f>
        <v/>
      </c>
      <c r="AL107" s="238">
        <f>IF(ABS(AL68)&gt;0,IF(AL68&gt;0.001,AL68,_xlfn.MINIFS(AL$58:AL$92,AL$58:AL$92,"&gt;0")/3),0)</f>
        <v/>
      </c>
      <c r="AM107" s="238">
        <f>IF(ABS(AM68)&gt;0,IF(AM68&gt;0.001,AM68,_xlfn.MINIFS(AM$58:AM$92,AM$58:AM$92,"&gt;0")/3),0)</f>
        <v/>
      </c>
      <c r="AN107" s="238">
        <f>IF(ABS(AN68)&gt;0,IF(AN68&gt;0.001,AN68,_xlfn.MINIFS(AN$58:AN$92,AN$58:AN$92,"&gt;0")/3),0)</f>
        <v/>
      </c>
      <c r="AO107" s="238">
        <f>IF(ABS(AO68)&gt;0,IF(AO68&gt;0.001,AO68,_xlfn.MINIFS(AO$58:AO$92,AO$58:AO$92,"&gt;0")/3),0)</f>
        <v/>
      </c>
      <c r="AP107" s="238">
        <f>IF(ABS(AP68)&gt;0,IF(AP68&gt;0.001,AP68,_xlfn.MINIFS(AP$58:AP$92,AP$58:AP$92,"&gt;0")/3),0)</f>
        <v/>
      </c>
      <c r="AQ107" s="238">
        <f>IF(ABS(AQ68)&gt;0,IF(AQ68&gt;0.001,AQ68,_xlfn.MINIFS(AQ$58:AQ$92,AQ$58:AQ$92,"&gt;0")/3),0)</f>
        <v/>
      </c>
      <c r="AR107" s="238">
        <f>IF(ABS(AR68)&gt;0,IF(AR68&gt;0.001,AR68,_xlfn.MINIFS(AR$58:AR$92,AR$58:AR$92,"&gt;0")/3),0)</f>
        <v/>
      </c>
      <c r="AS107" s="238">
        <f>IF(ABS(AS68)&gt;0,IF(AS68&gt;0.001,AS68,_xlfn.MINIFS(AS$58:AS$92,AS$58:AS$92,"&gt;0")/3),0)</f>
        <v/>
      </c>
      <c r="AT107" s="238">
        <f>IF(ABS(AT68)&gt;0,IF(AT68&gt;0.001,AT68,_xlfn.MINIFS(AT$58:AT$92,AT$58:AT$92,"&gt;0")/3),0)</f>
        <v/>
      </c>
      <c r="AU107" s="238">
        <f>IF(ABS(AU68)&gt;0,IF(AU68&gt;0.001,AU68,_xlfn.MINIFS(AU$58:AU$92,AU$58:AU$92,"&gt;0")/3),0)</f>
        <v/>
      </c>
      <c r="AV107" s="238">
        <f>IF(ABS(AV68)&gt;0,IF(AV68&gt;0.001,AV68,_xlfn.MINIFS(AV$58:AV$92,AV$58:AV$92,"&gt;0")/3),0)</f>
        <v/>
      </c>
      <c r="AW107" s="238">
        <f>IF(ABS(AW68)&gt;0,IF(AW68&gt;0.001,AW68,_xlfn.MINIFS(AW$58:AW$92,AW$58:AW$92,"&gt;0")/3),0)</f>
        <v/>
      </c>
      <c r="AX107" s="238">
        <f>IF(ABS(AX68)&gt;0,IF(AX68&gt;0.001,AX68,_xlfn.MINIFS(AX$58:AX$92,AX$58:AX$92,"&gt;0")/3),0)</f>
        <v/>
      </c>
      <c r="AY107" s="238">
        <f>IF(ABS(AY68)&gt;0,IF(AY68&gt;0.001,AY68,_xlfn.MINIFS(AY$58:AY$92,AY$58:AY$92,"&gt;0")/3),0)</f>
        <v/>
      </c>
      <c r="AZ107" s="238">
        <f>IF(ABS(AZ68)&gt;0,IF(AZ68&gt;0.001,AZ68,_xlfn.MINIFS(AZ$58:AZ$92,AZ$58:AZ$92,"&gt;0")/3),0)</f>
        <v/>
      </c>
      <c r="BA107" s="238">
        <f>IF(ABS(BA68)&gt;0,IF(BA68&gt;0.001,BA68,_xlfn.MINIFS(BA$58:BA$92,BA$58:BA$92,"&gt;0")/3),0)</f>
        <v/>
      </c>
      <c r="BB107" s="238">
        <f>IF(ABS(BB68)&gt;0,IF(BB68&gt;0.001,BB68,_xlfn.MINIFS(BB$58:BB$92,BB$58:BB$92,"&gt;0")/3),0)</f>
        <v/>
      </c>
    </row>
    <row r="108">
      <c r="C108" s="1" t="n"/>
      <c r="D108" s="237">
        <f>D69</f>
        <v/>
      </c>
      <c r="E108" s="238">
        <f>IF(ABS(E69)&gt;0,IF(E69&gt;0.001,E69,_xlfn.MINIFS(E$58:E$92,E$58:E$92,"&gt;0")/3),0)</f>
        <v/>
      </c>
      <c r="F108" s="238">
        <f>IF(ABS(F69)&gt;0,IF(F69&gt;0.001,F69,_xlfn.MINIFS(F$58:F$92,F$58:F$92,"&gt;0")/3),0)</f>
        <v/>
      </c>
      <c r="G108" s="238">
        <f>IF(ABS(G69)&gt;0,IF(G69&gt;0.001,G69,_xlfn.MINIFS(G$58:G$92,G$58:G$92,"&gt;0")/3),0)</f>
        <v/>
      </c>
      <c r="H108" s="238">
        <f>IF(ABS(H69)&gt;0,IF(H69&gt;0.001,H69,_xlfn.MINIFS(H$58:H$92,H$58:H$92,"&gt;0")/3),0)</f>
        <v/>
      </c>
      <c r="I108" s="238">
        <f>IF(ABS(I69)&gt;0,IF(I69&gt;0.001,I69,_xlfn.MINIFS(I$58:I$92,I$58:I$92,"&gt;0")/3),0)</f>
        <v/>
      </c>
      <c r="J108" s="238">
        <f>IF(ABS(J69)&gt;0,IF(J69&gt;0.001,J69,_xlfn.MINIFS(J$58:J$92,J$58:J$92,"&gt;0")/3),0)</f>
        <v/>
      </c>
      <c r="K108" s="238">
        <f>IF(ABS(K69)&gt;0,IF(K69&gt;0.001,K69,_xlfn.MINIFS(K$58:K$92,K$58:K$92,"&gt;0")/3),0)</f>
        <v/>
      </c>
      <c r="L108" s="238">
        <f>IF(ABS(L69)&gt;0,IF(L69&gt;0.001,L69,_xlfn.MINIFS(L$58:L$92,L$58:L$92,"&gt;0")/3),0)</f>
        <v/>
      </c>
      <c r="M108" s="238">
        <f>IF(ABS(M69)&gt;0,IF(M69&gt;0.001,M69,_xlfn.MINIFS(M$58:M$92,M$58:M$92,"&gt;0")/3),0)</f>
        <v/>
      </c>
      <c r="N108" s="238">
        <f>IF(ABS(N69)&gt;0,IF(N69&gt;0.001,N69,_xlfn.MINIFS(N$58:N$92,N$58:N$92,"&gt;0")/3),0)</f>
        <v/>
      </c>
      <c r="O108" s="238">
        <f>IF(ABS(O69)&gt;0,IF(O69&gt;0.001,O69,_xlfn.MINIFS(O$58:O$92,O$58:O$92,"&gt;0")/3),0)</f>
        <v/>
      </c>
      <c r="P108" s="238">
        <f>IF(ABS(P69)&gt;0,IF(P69&gt;0.001,P69,_xlfn.MINIFS(P$58:P$92,P$58:P$92,"&gt;0")/3),0)</f>
        <v/>
      </c>
      <c r="Q108" s="238">
        <f>IF(ABS(Q69)&gt;0,IF(Q69&gt;0.001,Q69,_xlfn.MINIFS(Q$58:Q$92,Q$58:Q$92,"&gt;0")/3),0)</f>
        <v/>
      </c>
      <c r="R108" s="238">
        <f>IF(ABS(R69)&gt;0,IF(R69&gt;0.001,R69,_xlfn.MINIFS(R$58:R$92,R$58:R$92,"&gt;0")/3),0)</f>
        <v/>
      </c>
      <c r="S108" s="238">
        <f>IF(ABS(S69)&gt;0,IF(S69&gt;0.001,S69,_xlfn.MINIFS(S$58:S$92,S$58:S$92,"&gt;0")/3),0)</f>
        <v/>
      </c>
      <c r="T108" s="238">
        <f>IF(ABS(T69)&gt;0,IF(T69&gt;0.001,T69,_xlfn.MINIFS(T$58:T$92,T$58:T$92,"&gt;0")/3),0)</f>
        <v/>
      </c>
      <c r="U108" s="238">
        <f>IF(ABS(U69)&gt;0,IF(U69&gt;0.001,U69,_xlfn.MINIFS(U$58:U$92,U$58:U$92,"&gt;0")/3),0)</f>
        <v/>
      </c>
      <c r="V108" s="238">
        <f>IF(ABS(V69)&gt;0,IF(V69&gt;0.001,V69,_xlfn.MINIFS(V$58:V$92,V$58:V$92,"&gt;0")/3),0)</f>
        <v/>
      </c>
      <c r="W108" s="238">
        <f>IF(ABS(W69)&gt;0,IF(W69&gt;0.001,W69,_xlfn.MINIFS(W$58:W$92,W$58:W$92,"&gt;0")/3),0)</f>
        <v/>
      </c>
      <c r="X108" s="238">
        <f>IF(ABS(X69)&gt;0,IF(X69&gt;0.001,X69,_xlfn.MINIFS(X$58:X$92,X$58:X$92,"&gt;0")/3),0)</f>
        <v/>
      </c>
      <c r="Y108" s="238">
        <f>IF(ABS(Y69)&gt;0,IF(Y69&gt;0.001,Y69,_xlfn.MINIFS(Y$58:Y$92,Y$58:Y$92,"&gt;0")/3),0)</f>
        <v/>
      </c>
      <c r="Z108" s="238">
        <f>IF(ABS(Z69)&gt;0,IF(Z69&gt;0.001,Z69,_xlfn.MINIFS(Z$58:Z$92,Z$58:Z$92,"&gt;0")/3),0)</f>
        <v/>
      </c>
      <c r="AA108" s="238">
        <f>IF(ABS(AA69)&gt;0,IF(AA69&gt;0.001,AA69,_xlfn.MINIFS(AA$58:AA$92,AA$58:AA$92,"&gt;0")/3),0)</f>
        <v/>
      </c>
      <c r="AB108" s="238">
        <f>IF(ABS(AB69)&gt;0,IF(AB69&gt;0.001,AB69,_xlfn.MINIFS(AB$58:AB$92,AB$58:AB$92,"&gt;0")/3),0)</f>
        <v/>
      </c>
      <c r="AC108" s="238">
        <f>IF(ABS(AC69)&gt;0,IF(AC69&gt;0.001,AC69,_xlfn.MINIFS(AC$58:AC$92,AC$58:AC$92,"&gt;0")/3),0)</f>
        <v/>
      </c>
      <c r="AD108" s="238">
        <f>IF(ABS(AD69)&gt;0,IF(AD69&gt;0.001,AD69,_xlfn.MINIFS(AD$58:AD$92,AD$58:AD$92,"&gt;0")/3),0)</f>
        <v/>
      </c>
      <c r="AE108" s="238">
        <f>IF(ABS(AE69)&gt;0,IF(AE69&gt;0.001,AE69,_xlfn.MINIFS(AE$58:AE$92,AE$58:AE$92,"&gt;0")/3),0)</f>
        <v/>
      </c>
      <c r="AF108" s="238">
        <f>IF(ABS(AF69)&gt;0,IF(AF69&gt;0.001,AF69,_xlfn.MINIFS(AF$58:AF$92,AF$58:AF$92,"&gt;0")/3),0)</f>
        <v/>
      </c>
      <c r="AG108" s="238">
        <f>IF(ABS(AG69)&gt;0,IF(AG69&gt;0.001,AG69,_xlfn.MINIFS(AG$58:AG$92,AG$58:AG$92,"&gt;0")/3),0)</f>
        <v/>
      </c>
      <c r="AH108" s="238">
        <f>IF(ABS(AH69)&gt;0,IF(AH69&gt;0.001,AH69,_xlfn.MINIFS(AH$58:AH$92,AH$58:AH$92,"&gt;0")/3),0)</f>
        <v/>
      </c>
      <c r="AI108" s="238">
        <f>IF(ABS(AI69)&gt;0,IF(AI69&gt;0.001,AI69,_xlfn.MINIFS(AI$58:AI$92,AI$58:AI$92,"&gt;0")/3),0)</f>
        <v/>
      </c>
      <c r="AJ108" s="238">
        <f>IF(ABS(AJ69)&gt;0,IF(AJ69&gt;0.001,AJ69,_xlfn.MINIFS(AJ$58:AJ$92,AJ$58:AJ$92,"&gt;0")/3),0)</f>
        <v/>
      </c>
      <c r="AK108" s="238">
        <f>IF(ABS(AK69)&gt;0,IF(AK69&gt;0.001,AK69,_xlfn.MINIFS(AK$58:AK$92,AK$58:AK$92,"&gt;0")/3),0)</f>
        <v/>
      </c>
      <c r="AL108" s="238">
        <f>IF(ABS(AL69)&gt;0,IF(AL69&gt;0.001,AL69,_xlfn.MINIFS(AL$58:AL$92,AL$58:AL$92,"&gt;0")/3),0)</f>
        <v/>
      </c>
      <c r="AM108" s="238">
        <f>IF(ABS(AM69)&gt;0,IF(AM69&gt;0.001,AM69,_xlfn.MINIFS(AM$58:AM$92,AM$58:AM$92,"&gt;0")/3),0)</f>
        <v/>
      </c>
      <c r="AN108" s="238">
        <f>IF(ABS(AN69)&gt;0,IF(AN69&gt;0.001,AN69,_xlfn.MINIFS(AN$58:AN$92,AN$58:AN$92,"&gt;0")/3),0)</f>
        <v/>
      </c>
      <c r="AO108" s="238">
        <f>IF(ABS(AO69)&gt;0,IF(AO69&gt;0.001,AO69,_xlfn.MINIFS(AO$58:AO$92,AO$58:AO$92,"&gt;0")/3),0)</f>
        <v/>
      </c>
      <c r="AP108" s="238">
        <f>IF(ABS(AP69)&gt;0,IF(AP69&gt;0.001,AP69,_xlfn.MINIFS(AP$58:AP$92,AP$58:AP$92,"&gt;0")/3),0)</f>
        <v/>
      </c>
      <c r="AQ108" s="238">
        <f>IF(ABS(AQ69)&gt;0,IF(AQ69&gt;0.001,AQ69,_xlfn.MINIFS(AQ$58:AQ$92,AQ$58:AQ$92,"&gt;0")/3),0)</f>
        <v/>
      </c>
      <c r="AR108" s="238">
        <f>IF(ABS(AR69)&gt;0,IF(AR69&gt;0.001,AR69,_xlfn.MINIFS(AR$58:AR$92,AR$58:AR$92,"&gt;0")/3),0)</f>
        <v/>
      </c>
      <c r="AS108" s="238">
        <f>IF(ABS(AS69)&gt;0,IF(AS69&gt;0.001,AS69,_xlfn.MINIFS(AS$58:AS$92,AS$58:AS$92,"&gt;0")/3),0)</f>
        <v/>
      </c>
      <c r="AT108" s="238">
        <f>IF(ABS(AT69)&gt;0,IF(AT69&gt;0.001,AT69,_xlfn.MINIFS(AT$58:AT$92,AT$58:AT$92,"&gt;0")/3),0)</f>
        <v/>
      </c>
      <c r="AU108" s="238">
        <f>IF(ABS(AU69)&gt;0,IF(AU69&gt;0.001,AU69,_xlfn.MINIFS(AU$58:AU$92,AU$58:AU$92,"&gt;0")/3),0)</f>
        <v/>
      </c>
      <c r="AV108" s="238">
        <f>IF(ABS(AV69)&gt;0,IF(AV69&gt;0.001,AV69,_xlfn.MINIFS(AV$58:AV$92,AV$58:AV$92,"&gt;0")/3),0)</f>
        <v/>
      </c>
      <c r="AW108" s="238">
        <f>IF(ABS(AW69)&gt;0,IF(AW69&gt;0.001,AW69,_xlfn.MINIFS(AW$58:AW$92,AW$58:AW$92,"&gt;0")/3),0)</f>
        <v/>
      </c>
      <c r="AX108" s="238">
        <f>IF(ABS(AX69)&gt;0,IF(AX69&gt;0.001,AX69,_xlfn.MINIFS(AX$58:AX$92,AX$58:AX$92,"&gt;0")/3),0)</f>
        <v/>
      </c>
      <c r="AY108" s="238">
        <f>IF(ABS(AY69)&gt;0,IF(AY69&gt;0.001,AY69,_xlfn.MINIFS(AY$58:AY$92,AY$58:AY$92,"&gt;0")/3),0)</f>
        <v/>
      </c>
      <c r="AZ108" s="238">
        <f>IF(ABS(AZ69)&gt;0,IF(AZ69&gt;0.001,AZ69,_xlfn.MINIFS(AZ$58:AZ$92,AZ$58:AZ$92,"&gt;0")/3),0)</f>
        <v/>
      </c>
      <c r="BA108" s="238">
        <f>IF(ABS(BA69)&gt;0,IF(BA69&gt;0.001,BA69,_xlfn.MINIFS(BA$58:BA$92,BA$58:BA$92,"&gt;0")/3),0)</f>
        <v/>
      </c>
      <c r="BB108" s="238">
        <f>IF(ABS(BB69)&gt;0,IF(BB69&gt;0.001,BB69,_xlfn.MINIFS(BB$58:BB$92,BB$58:BB$92,"&gt;0")/3),0)</f>
        <v/>
      </c>
    </row>
    <row r="109">
      <c r="C109" s="1" t="n"/>
      <c r="D109" s="237">
        <f>D70</f>
        <v/>
      </c>
      <c r="E109" s="238">
        <f>IF(ABS(E70)&gt;0,IF(E70&gt;0.001,E70,_xlfn.MINIFS(E$58:E$92,E$58:E$92,"&gt;0")/3),0)</f>
        <v/>
      </c>
      <c r="F109" s="238">
        <f>IF(ABS(F70)&gt;0,IF(F70&gt;0.001,F70,_xlfn.MINIFS(F$58:F$92,F$58:F$92,"&gt;0")/3),0)</f>
        <v/>
      </c>
      <c r="G109" s="238">
        <f>IF(ABS(G70)&gt;0,IF(G70&gt;0.001,G70,_xlfn.MINIFS(G$58:G$92,G$58:G$92,"&gt;0")/3),0)</f>
        <v/>
      </c>
      <c r="H109" s="238">
        <f>IF(ABS(H70)&gt;0,IF(H70&gt;0.001,H70,_xlfn.MINIFS(H$58:H$92,H$58:H$92,"&gt;0")/3),0)</f>
        <v/>
      </c>
      <c r="I109" s="238">
        <f>IF(ABS(I70)&gt;0,IF(I70&gt;0.001,I70,_xlfn.MINIFS(I$58:I$92,I$58:I$92,"&gt;0")/3),0)</f>
        <v/>
      </c>
      <c r="J109" s="238">
        <f>IF(ABS(J70)&gt;0,IF(J70&gt;0.001,J70,_xlfn.MINIFS(J$58:J$92,J$58:J$92,"&gt;0")/3),0)</f>
        <v/>
      </c>
      <c r="K109" s="238">
        <f>IF(ABS(K70)&gt;0,IF(K70&gt;0.001,K70,_xlfn.MINIFS(K$58:K$92,K$58:K$92,"&gt;0")/3),0)</f>
        <v/>
      </c>
      <c r="L109" s="238">
        <f>IF(ABS(L70)&gt;0,IF(L70&gt;0.001,L70,_xlfn.MINIFS(L$58:L$92,L$58:L$92,"&gt;0")/3),0)</f>
        <v/>
      </c>
      <c r="M109" s="238">
        <f>IF(ABS(M70)&gt;0,IF(M70&gt;0.001,M70,_xlfn.MINIFS(M$58:M$92,M$58:M$92,"&gt;0")/3),0)</f>
        <v/>
      </c>
      <c r="N109" s="238">
        <f>IF(ABS(N70)&gt;0,IF(N70&gt;0.001,N70,_xlfn.MINIFS(N$58:N$92,N$58:N$92,"&gt;0")/3),0)</f>
        <v/>
      </c>
      <c r="O109" s="238">
        <f>IF(ABS(O70)&gt;0,IF(O70&gt;0.001,O70,_xlfn.MINIFS(O$58:O$92,O$58:O$92,"&gt;0")/3),0)</f>
        <v/>
      </c>
      <c r="P109" s="238">
        <f>IF(ABS(P70)&gt;0,IF(P70&gt;0.001,P70,_xlfn.MINIFS(P$58:P$92,P$58:P$92,"&gt;0")/3),0)</f>
        <v/>
      </c>
      <c r="Q109" s="238">
        <f>IF(ABS(Q70)&gt;0,IF(Q70&gt;0.001,Q70,_xlfn.MINIFS(Q$58:Q$92,Q$58:Q$92,"&gt;0")/3),0)</f>
        <v/>
      </c>
      <c r="R109" s="238">
        <f>IF(ABS(R70)&gt;0,IF(R70&gt;0.001,R70,_xlfn.MINIFS(R$58:R$92,R$58:R$92,"&gt;0")/3),0)</f>
        <v/>
      </c>
      <c r="S109" s="238">
        <f>IF(ABS(S70)&gt;0,IF(S70&gt;0.001,S70,_xlfn.MINIFS(S$58:S$92,S$58:S$92,"&gt;0")/3),0)</f>
        <v/>
      </c>
      <c r="T109" s="238">
        <f>IF(ABS(T70)&gt;0,IF(T70&gt;0.001,T70,_xlfn.MINIFS(T$58:T$92,T$58:T$92,"&gt;0")/3),0)</f>
        <v/>
      </c>
      <c r="U109" s="238">
        <f>IF(ABS(U70)&gt;0,IF(U70&gt;0.001,U70,_xlfn.MINIFS(U$58:U$92,U$58:U$92,"&gt;0")/3),0)</f>
        <v/>
      </c>
      <c r="V109" s="238">
        <f>IF(ABS(V70)&gt;0,IF(V70&gt;0.001,V70,_xlfn.MINIFS(V$58:V$92,V$58:V$92,"&gt;0")/3),0)</f>
        <v/>
      </c>
      <c r="W109" s="238">
        <f>IF(ABS(W70)&gt;0,IF(W70&gt;0.001,W70,_xlfn.MINIFS(W$58:W$92,W$58:W$92,"&gt;0")/3),0)</f>
        <v/>
      </c>
      <c r="X109" s="238">
        <f>IF(ABS(X70)&gt;0,IF(X70&gt;0.001,X70,_xlfn.MINIFS(X$58:X$92,X$58:X$92,"&gt;0")/3),0)</f>
        <v/>
      </c>
      <c r="Y109" s="238">
        <f>IF(ABS(Y70)&gt;0,IF(Y70&gt;0.001,Y70,_xlfn.MINIFS(Y$58:Y$92,Y$58:Y$92,"&gt;0")/3),0)</f>
        <v/>
      </c>
      <c r="Z109" s="238">
        <f>IF(ABS(Z70)&gt;0,IF(Z70&gt;0.001,Z70,_xlfn.MINIFS(Z$58:Z$92,Z$58:Z$92,"&gt;0")/3),0)</f>
        <v/>
      </c>
      <c r="AA109" s="238">
        <f>IF(ABS(AA70)&gt;0,IF(AA70&gt;0.001,AA70,_xlfn.MINIFS(AA$58:AA$92,AA$58:AA$92,"&gt;0")/3),0)</f>
        <v/>
      </c>
      <c r="AB109" s="238">
        <f>IF(ABS(AB70)&gt;0,IF(AB70&gt;0.001,AB70,_xlfn.MINIFS(AB$58:AB$92,AB$58:AB$92,"&gt;0")/3),0)</f>
        <v/>
      </c>
      <c r="AC109" s="238">
        <f>IF(ABS(AC70)&gt;0,IF(AC70&gt;0.001,AC70,_xlfn.MINIFS(AC$58:AC$92,AC$58:AC$92,"&gt;0")/3),0)</f>
        <v/>
      </c>
      <c r="AD109" s="238">
        <f>IF(ABS(AD70)&gt;0,IF(AD70&gt;0.001,AD70,_xlfn.MINIFS(AD$58:AD$92,AD$58:AD$92,"&gt;0")/3),0)</f>
        <v/>
      </c>
      <c r="AE109" s="238">
        <f>IF(ABS(AE70)&gt;0,IF(AE70&gt;0.001,AE70,_xlfn.MINIFS(AE$58:AE$92,AE$58:AE$92,"&gt;0")/3),0)</f>
        <v/>
      </c>
      <c r="AF109" s="238">
        <f>IF(ABS(AF70)&gt;0,IF(AF70&gt;0.001,AF70,_xlfn.MINIFS(AF$58:AF$92,AF$58:AF$92,"&gt;0")/3),0)</f>
        <v/>
      </c>
      <c r="AG109" s="238">
        <f>IF(ABS(AG70)&gt;0,IF(AG70&gt;0.001,AG70,_xlfn.MINIFS(AG$58:AG$92,AG$58:AG$92,"&gt;0")/3),0)</f>
        <v/>
      </c>
      <c r="AH109" s="238">
        <f>IF(ABS(AH70)&gt;0,IF(AH70&gt;0.001,AH70,_xlfn.MINIFS(AH$58:AH$92,AH$58:AH$92,"&gt;0")/3),0)</f>
        <v/>
      </c>
      <c r="AI109" s="238">
        <f>IF(ABS(AI70)&gt;0,IF(AI70&gt;0.001,AI70,_xlfn.MINIFS(AI$58:AI$92,AI$58:AI$92,"&gt;0")/3),0)</f>
        <v/>
      </c>
      <c r="AJ109" s="238">
        <f>IF(ABS(AJ70)&gt;0,IF(AJ70&gt;0.001,AJ70,_xlfn.MINIFS(AJ$58:AJ$92,AJ$58:AJ$92,"&gt;0")/3),0)</f>
        <v/>
      </c>
      <c r="AK109" s="238">
        <f>IF(ABS(AK70)&gt;0,IF(AK70&gt;0.001,AK70,_xlfn.MINIFS(AK$58:AK$92,AK$58:AK$92,"&gt;0")/3),0)</f>
        <v/>
      </c>
      <c r="AL109" s="238">
        <f>IF(ABS(AL70)&gt;0,IF(AL70&gt;0.001,AL70,_xlfn.MINIFS(AL$58:AL$92,AL$58:AL$92,"&gt;0")/3),0)</f>
        <v/>
      </c>
      <c r="AM109" s="238">
        <f>IF(ABS(AM70)&gt;0,IF(AM70&gt;0.001,AM70,_xlfn.MINIFS(AM$58:AM$92,AM$58:AM$92,"&gt;0")/3),0)</f>
        <v/>
      </c>
      <c r="AN109" s="238">
        <f>IF(ABS(AN70)&gt;0,IF(AN70&gt;0.001,AN70,_xlfn.MINIFS(AN$58:AN$92,AN$58:AN$92,"&gt;0")/3),0)</f>
        <v/>
      </c>
      <c r="AO109" s="238">
        <f>IF(ABS(AO70)&gt;0,IF(AO70&gt;0.001,AO70,_xlfn.MINIFS(AO$58:AO$92,AO$58:AO$92,"&gt;0")/3),0)</f>
        <v/>
      </c>
      <c r="AP109" s="238">
        <f>IF(ABS(AP70)&gt;0,IF(AP70&gt;0.001,AP70,_xlfn.MINIFS(AP$58:AP$92,AP$58:AP$92,"&gt;0")/3),0)</f>
        <v/>
      </c>
      <c r="AQ109" s="238">
        <f>IF(ABS(AQ70)&gt;0,IF(AQ70&gt;0.001,AQ70,_xlfn.MINIFS(AQ$58:AQ$92,AQ$58:AQ$92,"&gt;0")/3),0)</f>
        <v/>
      </c>
      <c r="AR109" s="238">
        <f>IF(ABS(AR70)&gt;0,IF(AR70&gt;0.001,AR70,_xlfn.MINIFS(AR$58:AR$92,AR$58:AR$92,"&gt;0")/3),0)</f>
        <v/>
      </c>
      <c r="AS109" s="238">
        <f>IF(ABS(AS70)&gt;0,IF(AS70&gt;0.001,AS70,_xlfn.MINIFS(AS$58:AS$92,AS$58:AS$92,"&gt;0")/3),0)</f>
        <v/>
      </c>
      <c r="AT109" s="238">
        <f>IF(ABS(AT70)&gt;0,IF(AT70&gt;0.001,AT70,_xlfn.MINIFS(AT$58:AT$92,AT$58:AT$92,"&gt;0")/3),0)</f>
        <v/>
      </c>
      <c r="AU109" s="238">
        <f>IF(ABS(AU70)&gt;0,IF(AU70&gt;0.001,AU70,_xlfn.MINIFS(AU$58:AU$92,AU$58:AU$92,"&gt;0")/3),0)</f>
        <v/>
      </c>
      <c r="AV109" s="238">
        <f>IF(ABS(AV70)&gt;0,IF(AV70&gt;0.001,AV70,_xlfn.MINIFS(AV$58:AV$92,AV$58:AV$92,"&gt;0")/3),0)</f>
        <v/>
      </c>
      <c r="AW109" s="238">
        <f>IF(ABS(AW70)&gt;0,IF(AW70&gt;0.001,AW70,_xlfn.MINIFS(AW$58:AW$92,AW$58:AW$92,"&gt;0")/3),0)</f>
        <v/>
      </c>
      <c r="AX109" s="238">
        <f>IF(ABS(AX70)&gt;0,IF(AX70&gt;0.001,AX70,_xlfn.MINIFS(AX$58:AX$92,AX$58:AX$92,"&gt;0")/3),0)</f>
        <v/>
      </c>
      <c r="AY109" s="238">
        <f>IF(ABS(AY70)&gt;0,IF(AY70&gt;0.001,AY70,_xlfn.MINIFS(AY$58:AY$92,AY$58:AY$92,"&gt;0")/3),0)</f>
        <v/>
      </c>
      <c r="AZ109" s="238">
        <f>IF(ABS(AZ70)&gt;0,IF(AZ70&gt;0.001,AZ70,_xlfn.MINIFS(AZ$58:AZ$92,AZ$58:AZ$92,"&gt;0")/3),0)</f>
        <v/>
      </c>
      <c r="BA109" s="238">
        <f>IF(ABS(BA70)&gt;0,IF(BA70&gt;0.001,BA70,_xlfn.MINIFS(BA$58:BA$92,BA$58:BA$92,"&gt;0")/3),0)</f>
        <v/>
      </c>
      <c r="BB109" s="238">
        <f>IF(ABS(BB70)&gt;0,IF(BB70&gt;0.001,BB70,_xlfn.MINIFS(BB$58:BB$92,BB$58:BB$92,"&gt;0")/3),0)</f>
        <v/>
      </c>
    </row>
    <row r="110">
      <c r="C110" s="1" t="n"/>
      <c r="D110" s="237">
        <f>D71</f>
        <v/>
      </c>
      <c r="E110" s="238">
        <f>IF(ABS(E71)&gt;0,IF(E71&gt;0.001,E71,_xlfn.MINIFS(E$58:E$92,E$58:E$92,"&gt;0")/3),0)</f>
        <v/>
      </c>
      <c r="F110" s="238">
        <f>IF(ABS(F71)&gt;0,IF(F71&gt;0.001,F71,_xlfn.MINIFS(F$58:F$92,F$58:F$92,"&gt;0")/3),0)</f>
        <v/>
      </c>
      <c r="G110" s="238">
        <f>IF(ABS(G71)&gt;0,IF(G71&gt;0.001,G71,_xlfn.MINIFS(G$58:G$92,G$58:G$92,"&gt;0")/3),0)</f>
        <v/>
      </c>
      <c r="H110" s="238">
        <f>IF(ABS(H71)&gt;0,IF(H71&gt;0.001,H71,_xlfn.MINIFS(H$58:H$92,H$58:H$92,"&gt;0")/3),0)</f>
        <v/>
      </c>
      <c r="I110" s="238">
        <f>IF(ABS(I71)&gt;0,IF(I71&gt;0.001,I71,_xlfn.MINIFS(I$58:I$92,I$58:I$92,"&gt;0")/3),0)</f>
        <v/>
      </c>
      <c r="J110" s="238">
        <f>IF(ABS(J71)&gt;0,IF(J71&gt;0.001,J71,_xlfn.MINIFS(J$58:J$92,J$58:J$92,"&gt;0")/3),0)</f>
        <v/>
      </c>
      <c r="K110" s="238">
        <f>IF(ABS(K71)&gt;0,IF(K71&gt;0.001,K71,_xlfn.MINIFS(K$58:K$92,K$58:K$92,"&gt;0")/3),0)</f>
        <v/>
      </c>
      <c r="L110" s="238">
        <f>IF(ABS(L71)&gt;0,IF(L71&gt;0.001,L71,_xlfn.MINIFS(L$58:L$92,L$58:L$92,"&gt;0")/3),0)</f>
        <v/>
      </c>
      <c r="M110" s="238">
        <f>IF(ABS(M71)&gt;0,IF(M71&gt;0.001,M71,_xlfn.MINIFS(M$58:M$92,M$58:M$92,"&gt;0")/3),0)</f>
        <v/>
      </c>
      <c r="N110" s="238">
        <f>IF(ABS(N71)&gt;0,IF(N71&gt;0.001,N71,_xlfn.MINIFS(N$58:N$92,N$58:N$92,"&gt;0")/3),0)</f>
        <v/>
      </c>
      <c r="O110" s="238">
        <f>IF(ABS(O71)&gt;0,IF(O71&gt;0.001,O71,_xlfn.MINIFS(O$58:O$92,O$58:O$92,"&gt;0")/3),0)</f>
        <v/>
      </c>
      <c r="P110" s="238">
        <f>IF(ABS(P71)&gt;0,IF(P71&gt;0.001,P71,_xlfn.MINIFS(P$58:P$92,P$58:P$92,"&gt;0")/3),0)</f>
        <v/>
      </c>
      <c r="Q110" s="238">
        <f>IF(ABS(Q71)&gt;0,IF(Q71&gt;0.001,Q71,_xlfn.MINIFS(Q$58:Q$92,Q$58:Q$92,"&gt;0")/3),0)</f>
        <v/>
      </c>
      <c r="R110" s="238">
        <f>IF(ABS(R71)&gt;0,IF(R71&gt;0.001,R71,_xlfn.MINIFS(R$58:R$92,R$58:R$92,"&gt;0")/3),0)</f>
        <v/>
      </c>
      <c r="S110" s="238">
        <f>IF(ABS(S71)&gt;0,IF(S71&gt;0.001,S71,_xlfn.MINIFS(S$58:S$92,S$58:S$92,"&gt;0")/3),0)</f>
        <v/>
      </c>
      <c r="T110" s="238">
        <f>IF(ABS(T71)&gt;0,IF(T71&gt;0.001,T71,_xlfn.MINIFS(T$58:T$92,T$58:T$92,"&gt;0")/3),0)</f>
        <v/>
      </c>
      <c r="U110" s="238">
        <f>IF(ABS(U71)&gt;0,IF(U71&gt;0.001,U71,_xlfn.MINIFS(U$58:U$92,U$58:U$92,"&gt;0")/3),0)</f>
        <v/>
      </c>
      <c r="V110" s="238">
        <f>IF(ABS(V71)&gt;0,IF(V71&gt;0.001,V71,_xlfn.MINIFS(V$58:V$92,V$58:V$92,"&gt;0")/3),0)</f>
        <v/>
      </c>
      <c r="W110" s="238">
        <f>IF(ABS(W71)&gt;0,IF(W71&gt;0.001,W71,_xlfn.MINIFS(W$58:W$92,W$58:W$92,"&gt;0")/3),0)</f>
        <v/>
      </c>
      <c r="X110" s="238">
        <f>IF(ABS(X71)&gt;0,IF(X71&gt;0.001,X71,_xlfn.MINIFS(X$58:X$92,X$58:X$92,"&gt;0")/3),0)</f>
        <v/>
      </c>
      <c r="Y110" s="238">
        <f>IF(ABS(Y71)&gt;0,IF(Y71&gt;0.001,Y71,_xlfn.MINIFS(Y$58:Y$92,Y$58:Y$92,"&gt;0")/3),0)</f>
        <v/>
      </c>
      <c r="Z110" s="238">
        <f>IF(ABS(Z71)&gt;0,IF(Z71&gt;0.001,Z71,_xlfn.MINIFS(Z$58:Z$92,Z$58:Z$92,"&gt;0")/3),0)</f>
        <v/>
      </c>
      <c r="AA110" s="238">
        <f>IF(ABS(AA71)&gt;0,IF(AA71&gt;0.001,AA71,_xlfn.MINIFS(AA$58:AA$92,AA$58:AA$92,"&gt;0")/3),0)</f>
        <v/>
      </c>
      <c r="AB110" s="238">
        <f>IF(ABS(AB71)&gt;0,IF(AB71&gt;0.001,AB71,_xlfn.MINIFS(AB$58:AB$92,AB$58:AB$92,"&gt;0")/3),0)</f>
        <v/>
      </c>
      <c r="AC110" s="238">
        <f>IF(ABS(AC71)&gt;0,IF(AC71&gt;0.001,AC71,_xlfn.MINIFS(AC$58:AC$92,AC$58:AC$92,"&gt;0")/3),0)</f>
        <v/>
      </c>
      <c r="AD110" s="238">
        <f>IF(ABS(AD71)&gt;0,IF(AD71&gt;0.001,AD71,_xlfn.MINIFS(AD$58:AD$92,AD$58:AD$92,"&gt;0")/3),0)</f>
        <v/>
      </c>
      <c r="AE110" s="238">
        <f>IF(ABS(AE71)&gt;0,IF(AE71&gt;0.001,AE71,_xlfn.MINIFS(AE$58:AE$92,AE$58:AE$92,"&gt;0")/3),0)</f>
        <v/>
      </c>
      <c r="AF110" s="238">
        <f>IF(ABS(AF71)&gt;0,IF(AF71&gt;0.001,AF71,_xlfn.MINIFS(AF$58:AF$92,AF$58:AF$92,"&gt;0")/3),0)</f>
        <v/>
      </c>
      <c r="AG110" s="238">
        <f>IF(ABS(AG71)&gt;0,IF(AG71&gt;0.001,AG71,_xlfn.MINIFS(AG$58:AG$92,AG$58:AG$92,"&gt;0")/3),0)</f>
        <v/>
      </c>
      <c r="AH110" s="238">
        <f>IF(ABS(AH71)&gt;0,IF(AH71&gt;0.001,AH71,_xlfn.MINIFS(AH$58:AH$92,AH$58:AH$92,"&gt;0")/3),0)</f>
        <v/>
      </c>
      <c r="AI110" s="238">
        <f>IF(ABS(AI71)&gt;0,IF(AI71&gt;0.001,AI71,_xlfn.MINIFS(AI$58:AI$92,AI$58:AI$92,"&gt;0")/3),0)</f>
        <v/>
      </c>
      <c r="AJ110" s="238">
        <f>IF(ABS(AJ71)&gt;0,IF(AJ71&gt;0.001,AJ71,_xlfn.MINIFS(AJ$58:AJ$92,AJ$58:AJ$92,"&gt;0")/3),0)</f>
        <v/>
      </c>
      <c r="AK110" s="238">
        <f>IF(ABS(AK71)&gt;0,IF(AK71&gt;0.001,AK71,_xlfn.MINIFS(AK$58:AK$92,AK$58:AK$92,"&gt;0")/3),0)</f>
        <v/>
      </c>
      <c r="AL110" s="238">
        <f>IF(ABS(AL71)&gt;0,IF(AL71&gt;0.001,AL71,_xlfn.MINIFS(AL$58:AL$92,AL$58:AL$92,"&gt;0")/3),0)</f>
        <v/>
      </c>
      <c r="AM110" s="238">
        <f>IF(ABS(AM71)&gt;0,IF(AM71&gt;0.001,AM71,_xlfn.MINIFS(AM$58:AM$92,AM$58:AM$92,"&gt;0")/3),0)</f>
        <v/>
      </c>
      <c r="AN110" s="238">
        <f>IF(ABS(AN71)&gt;0,IF(AN71&gt;0.001,AN71,_xlfn.MINIFS(AN$58:AN$92,AN$58:AN$92,"&gt;0")/3),0)</f>
        <v/>
      </c>
      <c r="AO110" s="238">
        <f>IF(ABS(AO71)&gt;0,IF(AO71&gt;0.001,AO71,_xlfn.MINIFS(AO$58:AO$92,AO$58:AO$92,"&gt;0")/3),0)</f>
        <v/>
      </c>
      <c r="AP110" s="238">
        <f>IF(ABS(AP71)&gt;0,IF(AP71&gt;0.001,AP71,_xlfn.MINIFS(AP$58:AP$92,AP$58:AP$92,"&gt;0")/3),0)</f>
        <v/>
      </c>
      <c r="AQ110" s="238">
        <f>IF(ABS(AQ71)&gt;0,IF(AQ71&gt;0.001,AQ71,_xlfn.MINIFS(AQ$58:AQ$92,AQ$58:AQ$92,"&gt;0")/3),0)</f>
        <v/>
      </c>
      <c r="AR110" s="238">
        <f>IF(ABS(AR71)&gt;0,IF(AR71&gt;0.001,AR71,_xlfn.MINIFS(AR$58:AR$92,AR$58:AR$92,"&gt;0")/3),0)</f>
        <v/>
      </c>
      <c r="AS110" s="238">
        <f>IF(ABS(AS71)&gt;0,IF(AS71&gt;0.001,AS71,_xlfn.MINIFS(AS$58:AS$92,AS$58:AS$92,"&gt;0")/3),0)</f>
        <v/>
      </c>
      <c r="AT110" s="238">
        <f>IF(ABS(AT71)&gt;0,IF(AT71&gt;0.001,AT71,_xlfn.MINIFS(AT$58:AT$92,AT$58:AT$92,"&gt;0")/3),0)</f>
        <v/>
      </c>
      <c r="AU110" s="238">
        <f>IF(ABS(AU71)&gt;0,IF(AU71&gt;0.001,AU71,_xlfn.MINIFS(AU$58:AU$92,AU$58:AU$92,"&gt;0")/3),0)</f>
        <v/>
      </c>
      <c r="AV110" s="238">
        <f>IF(ABS(AV71)&gt;0,IF(AV71&gt;0.001,AV71,_xlfn.MINIFS(AV$58:AV$92,AV$58:AV$92,"&gt;0")/3),0)</f>
        <v/>
      </c>
      <c r="AW110" s="238">
        <f>IF(ABS(AW71)&gt;0,IF(AW71&gt;0.001,AW71,_xlfn.MINIFS(AW$58:AW$92,AW$58:AW$92,"&gt;0")/3),0)</f>
        <v/>
      </c>
      <c r="AX110" s="238">
        <f>IF(ABS(AX71)&gt;0,IF(AX71&gt;0.001,AX71,_xlfn.MINIFS(AX$58:AX$92,AX$58:AX$92,"&gt;0")/3),0)</f>
        <v/>
      </c>
      <c r="AY110" s="238">
        <f>IF(ABS(AY71)&gt;0,IF(AY71&gt;0.001,AY71,_xlfn.MINIFS(AY$58:AY$92,AY$58:AY$92,"&gt;0")/3),0)</f>
        <v/>
      </c>
      <c r="AZ110" s="238">
        <f>IF(ABS(AZ71)&gt;0,IF(AZ71&gt;0.001,AZ71,_xlfn.MINIFS(AZ$58:AZ$92,AZ$58:AZ$92,"&gt;0")/3),0)</f>
        <v/>
      </c>
      <c r="BA110" s="238">
        <f>IF(ABS(BA71)&gt;0,IF(BA71&gt;0.001,BA71,_xlfn.MINIFS(BA$58:BA$92,BA$58:BA$92,"&gt;0")/3),0)</f>
        <v/>
      </c>
      <c r="BB110" s="238">
        <f>IF(ABS(BB71)&gt;0,IF(BB71&gt;0.001,BB71,_xlfn.MINIFS(BB$58:BB$92,BB$58:BB$92,"&gt;0")/3),0)</f>
        <v/>
      </c>
    </row>
    <row r="111">
      <c r="C111" s="1" t="n"/>
      <c r="D111" s="237">
        <f>D72</f>
        <v/>
      </c>
      <c r="E111" s="238">
        <f>IF(ABS(E72)&gt;0,IF(E72&gt;0.001,E72,_xlfn.MINIFS(E$58:E$92,E$58:E$92,"&gt;0")/3),0)</f>
        <v/>
      </c>
      <c r="F111" s="238">
        <f>IF(ABS(F72)&gt;0,IF(F72&gt;0.001,F72,_xlfn.MINIFS(F$58:F$92,F$58:F$92,"&gt;0")/3),0)</f>
        <v/>
      </c>
      <c r="G111" s="238">
        <f>IF(ABS(G72)&gt;0,IF(G72&gt;0.001,G72,_xlfn.MINIFS(G$58:G$92,G$58:G$92,"&gt;0")/3),0)</f>
        <v/>
      </c>
      <c r="H111" s="238">
        <f>IF(ABS(H72)&gt;0,IF(H72&gt;0.001,H72,_xlfn.MINIFS(H$58:H$92,H$58:H$92,"&gt;0")/3),0)</f>
        <v/>
      </c>
      <c r="I111" s="238">
        <f>IF(ABS(I72)&gt;0,IF(I72&gt;0.001,I72,_xlfn.MINIFS(I$58:I$92,I$58:I$92,"&gt;0")/3),0)</f>
        <v/>
      </c>
      <c r="J111" s="238">
        <f>IF(ABS(J72)&gt;0,IF(J72&gt;0.001,J72,_xlfn.MINIFS(J$58:J$92,J$58:J$92,"&gt;0")/3),0)</f>
        <v/>
      </c>
      <c r="K111" s="238">
        <f>IF(ABS(K72)&gt;0,IF(K72&gt;0.001,K72,_xlfn.MINIFS(K$58:K$92,K$58:K$92,"&gt;0")/3),0)</f>
        <v/>
      </c>
      <c r="L111" s="238">
        <f>IF(ABS(L72)&gt;0,IF(L72&gt;0.001,L72,_xlfn.MINIFS(L$58:L$92,L$58:L$92,"&gt;0")/3),0)</f>
        <v/>
      </c>
      <c r="M111" s="238">
        <f>IF(ABS(M72)&gt;0,IF(M72&gt;0.001,M72,_xlfn.MINIFS(M$58:M$92,M$58:M$92,"&gt;0")/3),0)</f>
        <v/>
      </c>
      <c r="N111" s="238">
        <f>IF(ABS(N72)&gt;0,IF(N72&gt;0.001,N72,_xlfn.MINIFS(N$58:N$92,N$58:N$92,"&gt;0")/3),0)</f>
        <v/>
      </c>
      <c r="O111" s="238">
        <f>IF(ABS(O72)&gt;0,IF(O72&gt;0.001,O72,_xlfn.MINIFS(O$58:O$92,O$58:O$92,"&gt;0")/3),0)</f>
        <v/>
      </c>
      <c r="P111" s="238">
        <f>IF(ABS(P72)&gt;0,IF(P72&gt;0.001,P72,_xlfn.MINIFS(P$58:P$92,P$58:P$92,"&gt;0")/3),0)</f>
        <v/>
      </c>
      <c r="Q111" s="238">
        <f>IF(ABS(Q72)&gt;0,IF(Q72&gt;0.001,Q72,_xlfn.MINIFS(Q$58:Q$92,Q$58:Q$92,"&gt;0")/3),0)</f>
        <v/>
      </c>
      <c r="R111" s="238">
        <f>IF(ABS(R72)&gt;0,IF(R72&gt;0.001,R72,_xlfn.MINIFS(R$58:R$92,R$58:R$92,"&gt;0")/3),0)</f>
        <v/>
      </c>
      <c r="S111" s="238">
        <f>IF(ABS(S72)&gt;0,IF(S72&gt;0.001,S72,_xlfn.MINIFS(S$58:S$92,S$58:S$92,"&gt;0")/3),0)</f>
        <v/>
      </c>
      <c r="T111" s="238">
        <f>IF(ABS(T72)&gt;0,IF(T72&gt;0.001,T72,_xlfn.MINIFS(T$58:T$92,T$58:T$92,"&gt;0")/3),0)</f>
        <v/>
      </c>
      <c r="U111" s="238">
        <f>IF(ABS(U72)&gt;0,IF(U72&gt;0.001,U72,_xlfn.MINIFS(U$58:U$92,U$58:U$92,"&gt;0")/3),0)</f>
        <v/>
      </c>
      <c r="V111" s="238">
        <f>IF(ABS(V72)&gt;0,IF(V72&gt;0.001,V72,_xlfn.MINIFS(V$58:V$92,V$58:V$92,"&gt;0")/3),0)</f>
        <v/>
      </c>
      <c r="W111" s="238">
        <f>IF(ABS(W72)&gt;0,IF(W72&gt;0.001,W72,_xlfn.MINIFS(W$58:W$92,W$58:W$92,"&gt;0")/3),0)</f>
        <v/>
      </c>
      <c r="X111" s="238">
        <f>IF(ABS(X72)&gt;0,IF(X72&gt;0.001,X72,_xlfn.MINIFS(X$58:X$92,X$58:X$92,"&gt;0")/3),0)</f>
        <v/>
      </c>
      <c r="Y111" s="238">
        <f>IF(ABS(Y72)&gt;0,IF(Y72&gt;0.001,Y72,_xlfn.MINIFS(Y$58:Y$92,Y$58:Y$92,"&gt;0")/3),0)</f>
        <v/>
      </c>
      <c r="Z111" s="238">
        <f>IF(ABS(Z72)&gt;0,IF(Z72&gt;0.001,Z72,_xlfn.MINIFS(Z$58:Z$92,Z$58:Z$92,"&gt;0")/3),0)</f>
        <v/>
      </c>
      <c r="AA111" s="238">
        <f>IF(ABS(AA72)&gt;0,IF(AA72&gt;0.001,AA72,_xlfn.MINIFS(AA$58:AA$92,AA$58:AA$92,"&gt;0")/3),0)</f>
        <v/>
      </c>
      <c r="AB111" s="238">
        <f>IF(ABS(AB72)&gt;0,IF(AB72&gt;0.001,AB72,_xlfn.MINIFS(AB$58:AB$92,AB$58:AB$92,"&gt;0")/3),0)</f>
        <v/>
      </c>
      <c r="AC111" s="238">
        <f>IF(ABS(AC72)&gt;0,IF(AC72&gt;0.001,AC72,_xlfn.MINIFS(AC$58:AC$92,AC$58:AC$92,"&gt;0")/3),0)</f>
        <v/>
      </c>
      <c r="AD111" s="238">
        <f>IF(ABS(AD72)&gt;0,IF(AD72&gt;0.001,AD72,_xlfn.MINIFS(AD$58:AD$92,AD$58:AD$92,"&gt;0")/3),0)</f>
        <v/>
      </c>
      <c r="AE111" s="238">
        <f>IF(ABS(AE72)&gt;0,IF(AE72&gt;0.001,AE72,_xlfn.MINIFS(AE$58:AE$92,AE$58:AE$92,"&gt;0")/3),0)</f>
        <v/>
      </c>
      <c r="AF111" s="238">
        <f>IF(ABS(AF72)&gt;0,IF(AF72&gt;0.001,AF72,_xlfn.MINIFS(AF$58:AF$92,AF$58:AF$92,"&gt;0")/3),0)</f>
        <v/>
      </c>
      <c r="AG111" s="238">
        <f>IF(ABS(AG72)&gt;0,IF(AG72&gt;0.001,AG72,_xlfn.MINIFS(AG$58:AG$92,AG$58:AG$92,"&gt;0")/3),0)</f>
        <v/>
      </c>
      <c r="AH111" s="238">
        <f>IF(ABS(AH72)&gt;0,IF(AH72&gt;0.001,AH72,_xlfn.MINIFS(AH$58:AH$92,AH$58:AH$92,"&gt;0")/3),0)</f>
        <v/>
      </c>
      <c r="AI111" s="238">
        <f>IF(ABS(AI72)&gt;0,IF(AI72&gt;0.001,AI72,_xlfn.MINIFS(AI$58:AI$92,AI$58:AI$92,"&gt;0")/3),0)</f>
        <v/>
      </c>
      <c r="AJ111" s="238">
        <f>IF(ABS(AJ72)&gt;0,IF(AJ72&gt;0.001,AJ72,_xlfn.MINIFS(AJ$58:AJ$92,AJ$58:AJ$92,"&gt;0")/3),0)</f>
        <v/>
      </c>
      <c r="AK111" s="238">
        <f>IF(ABS(AK72)&gt;0,IF(AK72&gt;0.001,AK72,_xlfn.MINIFS(AK$58:AK$92,AK$58:AK$92,"&gt;0")/3),0)</f>
        <v/>
      </c>
      <c r="AL111" s="238">
        <f>IF(ABS(AL72)&gt;0,IF(AL72&gt;0.001,AL72,_xlfn.MINIFS(AL$58:AL$92,AL$58:AL$92,"&gt;0")/3),0)</f>
        <v/>
      </c>
      <c r="AM111" s="238">
        <f>IF(ABS(AM72)&gt;0,IF(AM72&gt;0.001,AM72,_xlfn.MINIFS(AM$58:AM$92,AM$58:AM$92,"&gt;0")/3),0)</f>
        <v/>
      </c>
      <c r="AN111" s="238">
        <f>IF(ABS(AN72)&gt;0,IF(AN72&gt;0.001,AN72,_xlfn.MINIFS(AN$58:AN$92,AN$58:AN$92,"&gt;0")/3),0)</f>
        <v/>
      </c>
      <c r="AO111" s="238">
        <f>IF(ABS(AO72)&gt;0,IF(AO72&gt;0.001,AO72,_xlfn.MINIFS(AO$58:AO$92,AO$58:AO$92,"&gt;0")/3),0)</f>
        <v/>
      </c>
      <c r="AP111" s="238">
        <f>IF(ABS(AP72)&gt;0,IF(AP72&gt;0.001,AP72,_xlfn.MINIFS(AP$58:AP$92,AP$58:AP$92,"&gt;0")/3),0)</f>
        <v/>
      </c>
      <c r="AQ111" s="238">
        <f>IF(ABS(AQ72)&gt;0,IF(AQ72&gt;0.001,AQ72,_xlfn.MINIFS(AQ$58:AQ$92,AQ$58:AQ$92,"&gt;0")/3),0)</f>
        <v/>
      </c>
      <c r="AR111" s="238">
        <f>IF(ABS(AR72)&gt;0,IF(AR72&gt;0.001,AR72,_xlfn.MINIFS(AR$58:AR$92,AR$58:AR$92,"&gt;0")/3),0)</f>
        <v/>
      </c>
      <c r="AS111" s="238">
        <f>IF(ABS(AS72)&gt;0,IF(AS72&gt;0.001,AS72,_xlfn.MINIFS(AS$58:AS$92,AS$58:AS$92,"&gt;0")/3),0)</f>
        <v/>
      </c>
      <c r="AT111" s="238">
        <f>IF(ABS(AT72)&gt;0,IF(AT72&gt;0.001,AT72,_xlfn.MINIFS(AT$58:AT$92,AT$58:AT$92,"&gt;0")/3),0)</f>
        <v/>
      </c>
      <c r="AU111" s="238">
        <f>IF(ABS(AU72)&gt;0,IF(AU72&gt;0.001,AU72,_xlfn.MINIFS(AU$58:AU$92,AU$58:AU$92,"&gt;0")/3),0)</f>
        <v/>
      </c>
      <c r="AV111" s="238">
        <f>IF(ABS(AV72)&gt;0,IF(AV72&gt;0.001,AV72,_xlfn.MINIFS(AV$58:AV$92,AV$58:AV$92,"&gt;0")/3),0)</f>
        <v/>
      </c>
      <c r="AW111" s="238">
        <f>IF(ABS(AW72)&gt;0,IF(AW72&gt;0.001,AW72,_xlfn.MINIFS(AW$58:AW$92,AW$58:AW$92,"&gt;0")/3),0)</f>
        <v/>
      </c>
      <c r="AX111" s="238">
        <f>IF(ABS(AX72)&gt;0,IF(AX72&gt;0.001,AX72,_xlfn.MINIFS(AX$58:AX$92,AX$58:AX$92,"&gt;0")/3),0)</f>
        <v/>
      </c>
      <c r="AY111" s="238">
        <f>IF(ABS(AY72)&gt;0,IF(AY72&gt;0.001,AY72,_xlfn.MINIFS(AY$58:AY$92,AY$58:AY$92,"&gt;0")/3),0)</f>
        <v/>
      </c>
      <c r="AZ111" s="238">
        <f>IF(ABS(AZ72)&gt;0,IF(AZ72&gt;0.001,AZ72,_xlfn.MINIFS(AZ$58:AZ$92,AZ$58:AZ$92,"&gt;0")/3),0)</f>
        <v/>
      </c>
      <c r="BA111" s="238">
        <f>IF(ABS(BA72)&gt;0,IF(BA72&gt;0.001,BA72,_xlfn.MINIFS(BA$58:BA$92,BA$58:BA$92,"&gt;0")/3),0)</f>
        <v/>
      </c>
      <c r="BB111" s="238">
        <f>IF(ABS(BB72)&gt;0,IF(BB72&gt;0.001,BB72,_xlfn.MINIFS(BB$58:BB$92,BB$58:BB$92,"&gt;0")/3),0)</f>
        <v/>
      </c>
    </row>
    <row r="112">
      <c r="C112" s="1" t="n"/>
      <c r="D112" s="237">
        <f>D73</f>
        <v/>
      </c>
      <c r="E112" s="238">
        <f>IF(ABS(E73)&gt;0,IF(E73&gt;0.001,E73,_xlfn.MINIFS(E$58:E$92,E$58:E$92,"&gt;0")/3),0)</f>
        <v/>
      </c>
      <c r="F112" s="238">
        <f>IF(ABS(F73)&gt;0,IF(F73&gt;0.001,F73,_xlfn.MINIFS(F$58:F$92,F$58:F$92,"&gt;0")/3),0)</f>
        <v/>
      </c>
      <c r="G112" s="238">
        <f>IF(ABS(G73)&gt;0,IF(G73&gt;0.001,G73,_xlfn.MINIFS(G$58:G$92,G$58:G$92,"&gt;0")/3),0)</f>
        <v/>
      </c>
      <c r="H112" s="238">
        <f>IF(ABS(H73)&gt;0,IF(H73&gt;0.001,H73,_xlfn.MINIFS(H$58:H$92,H$58:H$92,"&gt;0")/3),0)</f>
        <v/>
      </c>
      <c r="I112" s="238">
        <f>IF(ABS(I73)&gt;0,IF(I73&gt;0.001,I73,_xlfn.MINIFS(I$58:I$92,I$58:I$92,"&gt;0")/3),0)</f>
        <v/>
      </c>
      <c r="J112" s="238">
        <f>IF(ABS(J73)&gt;0,IF(J73&gt;0.001,J73,_xlfn.MINIFS(J$58:J$92,J$58:J$92,"&gt;0")/3),0)</f>
        <v/>
      </c>
      <c r="K112" s="238">
        <f>IF(ABS(K73)&gt;0,IF(K73&gt;0.001,K73,_xlfn.MINIFS(K$58:K$92,K$58:K$92,"&gt;0")/3),0)</f>
        <v/>
      </c>
      <c r="L112" s="238">
        <f>IF(ABS(L73)&gt;0,IF(L73&gt;0.001,L73,_xlfn.MINIFS(L$58:L$92,L$58:L$92,"&gt;0")/3),0)</f>
        <v/>
      </c>
      <c r="M112" s="238">
        <f>IF(ABS(M73)&gt;0,IF(M73&gt;0.001,M73,_xlfn.MINIFS(M$58:M$92,M$58:M$92,"&gt;0")/3),0)</f>
        <v/>
      </c>
      <c r="N112" s="238">
        <f>IF(ABS(N73)&gt;0,IF(N73&gt;0.001,N73,_xlfn.MINIFS(N$58:N$92,N$58:N$92,"&gt;0")/3),0)</f>
        <v/>
      </c>
      <c r="O112" s="238">
        <f>IF(ABS(O73)&gt;0,IF(O73&gt;0.001,O73,_xlfn.MINIFS(O$58:O$92,O$58:O$92,"&gt;0")/3),0)</f>
        <v/>
      </c>
      <c r="P112" s="238">
        <f>IF(ABS(P73)&gt;0,IF(P73&gt;0.001,P73,_xlfn.MINIFS(P$58:P$92,P$58:P$92,"&gt;0")/3),0)</f>
        <v/>
      </c>
      <c r="Q112" s="238">
        <f>IF(ABS(Q73)&gt;0,IF(Q73&gt;0.001,Q73,_xlfn.MINIFS(Q$58:Q$92,Q$58:Q$92,"&gt;0")/3),0)</f>
        <v/>
      </c>
      <c r="R112" s="238">
        <f>IF(ABS(R73)&gt;0,IF(R73&gt;0.001,R73,_xlfn.MINIFS(R$58:R$92,R$58:R$92,"&gt;0")/3),0)</f>
        <v/>
      </c>
      <c r="S112" s="238">
        <f>IF(ABS(S73)&gt;0,IF(S73&gt;0.001,S73,_xlfn.MINIFS(S$58:S$92,S$58:S$92,"&gt;0")/3),0)</f>
        <v/>
      </c>
      <c r="T112" s="238">
        <f>IF(ABS(T73)&gt;0,IF(T73&gt;0.001,T73,_xlfn.MINIFS(T$58:T$92,T$58:T$92,"&gt;0")/3),0)</f>
        <v/>
      </c>
      <c r="U112" s="238">
        <f>IF(ABS(U73)&gt;0,IF(U73&gt;0.001,U73,_xlfn.MINIFS(U$58:U$92,U$58:U$92,"&gt;0")/3),0)</f>
        <v/>
      </c>
      <c r="V112" s="238">
        <f>IF(ABS(V73)&gt;0,IF(V73&gt;0.001,V73,_xlfn.MINIFS(V$58:V$92,V$58:V$92,"&gt;0")/3),0)</f>
        <v/>
      </c>
      <c r="W112" s="238">
        <f>IF(ABS(W73)&gt;0,IF(W73&gt;0.001,W73,_xlfn.MINIFS(W$58:W$92,W$58:W$92,"&gt;0")/3),0)</f>
        <v/>
      </c>
      <c r="X112" s="238">
        <f>IF(ABS(X73)&gt;0,IF(X73&gt;0.001,X73,_xlfn.MINIFS(X$58:X$92,X$58:X$92,"&gt;0")/3),0)</f>
        <v/>
      </c>
      <c r="Y112" s="238">
        <f>IF(ABS(Y73)&gt;0,IF(Y73&gt;0.001,Y73,_xlfn.MINIFS(Y$58:Y$92,Y$58:Y$92,"&gt;0")/3),0)</f>
        <v/>
      </c>
      <c r="Z112" s="238">
        <f>IF(ABS(Z73)&gt;0,IF(Z73&gt;0.001,Z73,_xlfn.MINIFS(Z$58:Z$92,Z$58:Z$92,"&gt;0")/3),0)</f>
        <v/>
      </c>
      <c r="AA112" s="238">
        <f>IF(ABS(AA73)&gt;0,IF(AA73&gt;0.001,AA73,_xlfn.MINIFS(AA$58:AA$92,AA$58:AA$92,"&gt;0")/3),0)</f>
        <v/>
      </c>
      <c r="AB112" s="238">
        <f>IF(ABS(AB73)&gt;0,IF(AB73&gt;0.001,AB73,_xlfn.MINIFS(AB$58:AB$92,AB$58:AB$92,"&gt;0")/3),0)</f>
        <v/>
      </c>
      <c r="AC112" s="238">
        <f>IF(ABS(AC73)&gt;0,IF(AC73&gt;0.001,AC73,_xlfn.MINIFS(AC$58:AC$92,AC$58:AC$92,"&gt;0")/3),0)</f>
        <v/>
      </c>
      <c r="AD112" s="238">
        <f>IF(ABS(AD73)&gt;0,IF(AD73&gt;0.001,AD73,_xlfn.MINIFS(AD$58:AD$92,AD$58:AD$92,"&gt;0")/3),0)</f>
        <v/>
      </c>
      <c r="AE112" s="238">
        <f>IF(ABS(AE73)&gt;0,IF(AE73&gt;0.001,AE73,_xlfn.MINIFS(AE$58:AE$92,AE$58:AE$92,"&gt;0")/3),0)</f>
        <v/>
      </c>
      <c r="AF112" s="238">
        <f>IF(ABS(AF73)&gt;0,IF(AF73&gt;0.001,AF73,_xlfn.MINIFS(AF$58:AF$92,AF$58:AF$92,"&gt;0")/3),0)</f>
        <v/>
      </c>
      <c r="AG112" s="238">
        <f>IF(ABS(AG73)&gt;0,IF(AG73&gt;0.001,AG73,_xlfn.MINIFS(AG$58:AG$92,AG$58:AG$92,"&gt;0")/3),0)</f>
        <v/>
      </c>
      <c r="AH112" s="238">
        <f>IF(ABS(AH73)&gt;0,IF(AH73&gt;0.001,AH73,_xlfn.MINIFS(AH$58:AH$92,AH$58:AH$92,"&gt;0")/3),0)</f>
        <v/>
      </c>
      <c r="AI112" s="238">
        <f>IF(ABS(AI73)&gt;0,IF(AI73&gt;0.001,AI73,_xlfn.MINIFS(AI$58:AI$92,AI$58:AI$92,"&gt;0")/3),0)</f>
        <v/>
      </c>
      <c r="AJ112" s="238">
        <f>IF(ABS(AJ73)&gt;0,IF(AJ73&gt;0.001,AJ73,_xlfn.MINIFS(AJ$58:AJ$92,AJ$58:AJ$92,"&gt;0")/3),0)</f>
        <v/>
      </c>
      <c r="AK112" s="238">
        <f>IF(ABS(AK73)&gt;0,IF(AK73&gt;0.001,AK73,_xlfn.MINIFS(AK$58:AK$92,AK$58:AK$92,"&gt;0")/3),0)</f>
        <v/>
      </c>
      <c r="AL112" s="238">
        <f>IF(ABS(AL73)&gt;0,IF(AL73&gt;0.001,AL73,_xlfn.MINIFS(AL$58:AL$92,AL$58:AL$92,"&gt;0")/3),0)</f>
        <v/>
      </c>
      <c r="AM112" s="238">
        <f>IF(ABS(AM73)&gt;0,IF(AM73&gt;0.001,AM73,_xlfn.MINIFS(AM$58:AM$92,AM$58:AM$92,"&gt;0")/3),0)</f>
        <v/>
      </c>
      <c r="AN112" s="238">
        <f>IF(ABS(AN73)&gt;0,IF(AN73&gt;0.001,AN73,_xlfn.MINIFS(AN$58:AN$92,AN$58:AN$92,"&gt;0")/3),0)</f>
        <v/>
      </c>
      <c r="AO112" s="238">
        <f>IF(ABS(AO73)&gt;0,IF(AO73&gt;0.001,AO73,_xlfn.MINIFS(AO$58:AO$92,AO$58:AO$92,"&gt;0")/3),0)</f>
        <v/>
      </c>
      <c r="AP112" s="238">
        <f>IF(ABS(AP73)&gt;0,IF(AP73&gt;0.001,AP73,_xlfn.MINIFS(AP$58:AP$92,AP$58:AP$92,"&gt;0")/3),0)</f>
        <v/>
      </c>
      <c r="AQ112" s="238">
        <f>IF(ABS(AQ73)&gt;0,IF(AQ73&gt;0.001,AQ73,_xlfn.MINIFS(AQ$58:AQ$92,AQ$58:AQ$92,"&gt;0")/3),0)</f>
        <v/>
      </c>
      <c r="AR112" s="238">
        <f>IF(ABS(AR73)&gt;0,IF(AR73&gt;0.001,AR73,_xlfn.MINIFS(AR$58:AR$92,AR$58:AR$92,"&gt;0")/3),0)</f>
        <v/>
      </c>
      <c r="AS112" s="238">
        <f>IF(ABS(AS73)&gt;0,IF(AS73&gt;0.001,AS73,_xlfn.MINIFS(AS$58:AS$92,AS$58:AS$92,"&gt;0")/3),0)</f>
        <v/>
      </c>
      <c r="AT112" s="238">
        <f>IF(ABS(AT73)&gt;0,IF(AT73&gt;0.001,AT73,_xlfn.MINIFS(AT$58:AT$92,AT$58:AT$92,"&gt;0")/3),0)</f>
        <v/>
      </c>
      <c r="AU112" s="238">
        <f>IF(ABS(AU73)&gt;0,IF(AU73&gt;0.001,AU73,_xlfn.MINIFS(AU$58:AU$92,AU$58:AU$92,"&gt;0")/3),0)</f>
        <v/>
      </c>
      <c r="AV112" s="238">
        <f>IF(ABS(AV73)&gt;0,IF(AV73&gt;0.001,AV73,_xlfn.MINIFS(AV$58:AV$92,AV$58:AV$92,"&gt;0")/3),0)</f>
        <v/>
      </c>
      <c r="AW112" s="238">
        <f>IF(ABS(AW73)&gt;0,IF(AW73&gt;0.001,AW73,_xlfn.MINIFS(AW$58:AW$92,AW$58:AW$92,"&gt;0")/3),0)</f>
        <v/>
      </c>
      <c r="AX112" s="238">
        <f>IF(ABS(AX73)&gt;0,IF(AX73&gt;0.001,AX73,_xlfn.MINIFS(AX$58:AX$92,AX$58:AX$92,"&gt;0")/3),0)</f>
        <v/>
      </c>
      <c r="AY112" s="238">
        <f>IF(ABS(AY73)&gt;0,IF(AY73&gt;0.001,AY73,_xlfn.MINIFS(AY$58:AY$92,AY$58:AY$92,"&gt;0")/3),0)</f>
        <v/>
      </c>
      <c r="AZ112" s="238">
        <f>IF(ABS(AZ73)&gt;0,IF(AZ73&gt;0.001,AZ73,_xlfn.MINIFS(AZ$58:AZ$92,AZ$58:AZ$92,"&gt;0")/3),0)</f>
        <v/>
      </c>
      <c r="BA112" s="238">
        <f>IF(ABS(BA73)&gt;0,IF(BA73&gt;0.001,BA73,_xlfn.MINIFS(BA$58:BA$92,BA$58:BA$92,"&gt;0")/3),0)</f>
        <v/>
      </c>
      <c r="BB112" s="238">
        <f>IF(ABS(BB73)&gt;0,IF(BB73&gt;0.001,BB73,_xlfn.MINIFS(BB$58:BB$92,BB$58:BB$92,"&gt;0")/3),0)</f>
        <v/>
      </c>
    </row>
    <row r="113">
      <c r="C113" s="1" t="n"/>
      <c r="D113" s="237">
        <f>D74</f>
        <v/>
      </c>
      <c r="E113" s="238">
        <f>IF(ABS(E74)&gt;0,IF(E74&gt;0.001,E74,_xlfn.MINIFS(E$58:E$92,E$58:E$92,"&gt;0")/3),0)</f>
        <v/>
      </c>
      <c r="F113" s="238">
        <f>IF(ABS(F74)&gt;0,IF(F74&gt;0.001,F74,_xlfn.MINIFS(F$58:F$92,F$58:F$92,"&gt;0")/3),0)</f>
        <v/>
      </c>
      <c r="G113" s="238">
        <f>IF(ABS(G74)&gt;0,IF(G74&gt;0.001,G74,_xlfn.MINIFS(G$58:G$92,G$58:G$92,"&gt;0")/3),0)</f>
        <v/>
      </c>
      <c r="H113" s="238">
        <f>IF(ABS(H74)&gt;0,IF(H74&gt;0.001,H74,_xlfn.MINIFS(H$58:H$92,H$58:H$92,"&gt;0")/3),0)</f>
        <v/>
      </c>
      <c r="I113" s="238">
        <f>IF(ABS(I74)&gt;0,IF(I74&gt;0.001,I74,_xlfn.MINIFS(I$58:I$92,I$58:I$92,"&gt;0")/3),0)</f>
        <v/>
      </c>
      <c r="J113" s="238">
        <f>IF(ABS(J74)&gt;0,IF(J74&gt;0.001,J74,_xlfn.MINIFS(J$58:J$92,J$58:J$92,"&gt;0")/3),0)</f>
        <v/>
      </c>
      <c r="K113" s="238">
        <f>IF(ABS(K74)&gt;0,IF(K74&gt;0.001,K74,_xlfn.MINIFS(K$58:K$92,K$58:K$92,"&gt;0")/3),0)</f>
        <v/>
      </c>
      <c r="L113" s="238">
        <f>IF(ABS(L74)&gt;0,IF(L74&gt;0.001,L74,_xlfn.MINIFS(L$58:L$92,L$58:L$92,"&gt;0")/3),0)</f>
        <v/>
      </c>
      <c r="M113" s="238">
        <f>IF(ABS(M74)&gt;0,IF(M74&gt;0.001,M74,_xlfn.MINIFS(M$58:M$92,M$58:M$92,"&gt;0")/3),0)</f>
        <v/>
      </c>
      <c r="N113" s="238">
        <f>IF(ABS(N74)&gt;0,IF(N74&gt;0.001,N74,_xlfn.MINIFS(N$58:N$92,N$58:N$92,"&gt;0")/3),0)</f>
        <v/>
      </c>
      <c r="O113" s="238">
        <f>IF(ABS(O74)&gt;0,IF(O74&gt;0.001,O74,_xlfn.MINIFS(O$58:O$92,O$58:O$92,"&gt;0")/3),0)</f>
        <v/>
      </c>
      <c r="P113" s="238">
        <f>IF(ABS(P74)&gt;0,IF(P74&gt;0.001,P74,_xlfn.MINIFS(P$58:P$92,P$58:P$92,"&gt;0")/3),0)</f>
        <v/>
      </c>
      <c r="Q113" s="238">
        <f>IF(ABS(Q74)&gt;0,IF(Q74&gt;0.001,Q74,_xlfn.MINIFS(Q$58:Q$92,Q$58:Q$92,"&gt;0")/3),0)</f>
        <v/>
      </c>
      <c r="R113" s="238">
        <f>IF(ABS(R74)&gt;0,IF(R74&gt;0.001,R74,_xlfn.MINIFS(R$58:R$92,R$58:R$92,"&gt;0")/3),0)</f>
        <v/>
      </c>
      <c r="S113" s="238">
        <f>IF(ABS(S74)&gt;0,IF(S74&gt;0.001,S74,_xlfn.MINIFS(S$58:S$92,S$58:S$92,"&gt;0")/3),0)</f>
        <v/>
      </c>
      <c r="T113" s="238">
        <f>IF(ABS(T74)&gt;0,IF(T74&gt;0.001,T74,_xlfn.MINIFS(T$58:T$92,T$58:T$92,"&gt;0")/3),0)</f>
        <v/>
      </c>
      <c r="U113" s="238">
        <f>IF(ABS(U74)&gt;0,IF(U74&gt;0.001,U74,_xlfn.MINIFS(U$58:U$92,U$58:U$92,"&gt;0")/3),0)</f>
        <v/>
      </c>
      <c r="V113" s="238">
        <f>IF(ABS(V74)&gt;0,IF(V74&gt;0.001,V74,_xlfn.MINIFS(V$58:V$92,V$58:V$92,"&gt;0")/3),0)</f>
        <v/>
      </c>
      <c r="W113" s="238">
        <f>IF(ABS(W74)&gt;0,IF(W74&gt;0.001,W74,_xlfn.MINIFS(W$58:W$92,W$58:W$92,"&gt;0")/3),0)</f>
        <v/>
      </c>
      <c r="X113" s="238">
        <f>IF(ABS(X74)&gt;0,IF(X74&gt;0.001,X74,_xlfn.MINIFS(X$58:X$92,X$58:X$92,"&gt;0")/3),0)</f>
        <v/>
      </c>
      <c r="Y113" s="238">
        <f>IF(ABS(Y74)&gt;0,IF(Y74&gt;0.001,Y74,_xlfn.MINIFS(Y$58:Y$92,Y$58:Y$92,"&gt;0")/3),0)</f>
        <v/>
      </c>
      <c r="Z113" s="238">
        <f>IF(ABS(Z74)&gt;0,IF(Z74&gt;0.001,Z74,_xlfn.MINIFS(Z$58:Z$92,Z$58:Z$92,"&gt;0")/3),0)</f>
        <v/>
      </c>
      <c r="AA113" s="238">
        <f>IF(ABS(AA74)&gt;0,IF(AA74&gt;0.001,AA74,_xlfn.MINIFS(AA$58:AA$92,AA$58:AA$92,"&gt;0")/3),0)</f>
        <v/>
      </c>
      <c r="AB113" s="238">
        <f>IF(ABS(AB74)&gt;0,IF(AB74&gt;0.001,AB74,_xlfn.MINIFS(AB$58:AB$92,AB$58:AB$92,"&gt;0")/3),0)</f>
        <v/>
      </c>
      <c r="AC113" s="238">
        <f>IF(ABS(AC74)&gt;0,IF(AC74&gt;0.001,AC74,_xlfn.MINIFS(AC$58:AC$92,AC$58:AC$92,"&gt;0")/3),0)</f>
        <v/>
      </c>
      <c r="AD113" s="238">
        <f>IF(ABS(AD74)&gt;0,IF(AD74&gt;0.001,AD74,_xlfn.MINIFS(AD$58:AD$92,AD$58:AD$92,"&gt;0")/3),0)</f>
        <v/>
      </c>
      <c r="AE113" s="238">
        <f>IF(ABS(AE74)&gt;0,IF(AE74&gt;0.001,AE74,_xlfn.MINIFS(AE$58:AE$92,AE$58:AE$92,"&gt;0")/3),0)</f>
        <v/>
      </c>
      <c r="AF113" s="238">
        <f>IF(ABS(AF74)&gt;0,IF(AF74&gt;0.001,AF74,_xlfn.MINIFS(AF$58:AF$92,AF$58:AF$92,"&gt;0")/3),0)</f>
        <v/>
      </c>
      <c r="AG113" s="238">
        <f>IF(ABS(AG74)&gt;0,IF(AG74&gt;0.001,AG74,_xlfn.MINIFS(AG$58:AG$92,AG$58:AG$92,"&gt;0")/3),0)</f>
        <v/>
      </c>
      <c r="AH113" s="238">
        <f>IF(ABS(AH74)&gt;0,IF(AH74&gt;0.001,AH74,_xlfn.MINIFS(AH$58:AH$92,AH$58:AH$92,"&gt;0")/3),0)</f>
        <v/>
      </c>
      <c r="AI113" s="238">
        <f>IF(ABS(AI74)&gt;0,IF(AI74&gt;0.001,AI74,_xlfn.MINIFS(AI$58:AI$92,AI$58:AI$92,"&gt;0")/3),0)</f>
        <v/>
      </c>
      <c r="AJ113" s="238">
        <f>IF(ABS(AJ74)&gt;0,IF(AJ74&gt;0.001,AJ74,_xlfn.MINIFS(AJ$58:AJ$92,AJ$58:AJ$92,"&gt;0")/3),0)</f>
        <v/>
      </c>
      <c r="AK113" s="238">
        <f>IF(ABS(AK74)&gt;0,IF(AK74&gt;0.001,AK74,_xlfn.MINIFS(AK$58:AK$92,AK$58:AK$92,"&gt;0")/3),0)</f>
        <v/>
      </c>
      <c r="AL113" s="238">
        <f>IF(ABS(AL74)&gt;0,IF(AL74&gt;0.001,AL74,_xlfn.MINIFS(AL$58:AL$92,AL$58:AL$92,"&gt;0")/3),0)</f>
        <v/>
      </c>
      <c r="AM113" s="238">
        <f>IF(ABS(AM74)&gt;0,IF(AM74&gt;0.001,AM74,_xlfn.MINIFS(AM$58:AM$92,AM$58:AM$92,"&gt;0")/3),0)</f>
        <v/>
      </c>
      <c r="AN113" s="238">
        <f>IF(ABS(AN74)&gt;0,IF(AN74&gt;0.001,AN74,_xlfn.MINIFS(AN$58:AN$92,AN$58:AN$92,"&gt;0")/3),0)</f>
        <v/>
      </c>
      <c r="AO113" s="238">
        <f>IF(ABS(AO74)&gt;0,IF(AO74&gt;0.001,AO74,_xlfn.MINIFS(AO$58:AO$92,AO$58:AO$92,"&gt;0")/3),0)</f>
        <v/>
      </c>
      <c r="AP113" s="238">
        <f>IF(ABS(AP74)&gt;0,IF(AP74&gt;0.001,AP74,_xlfn.MINIFS(AP$58:AP$92,AP$58:AP$92,"&gt;0")/3),0)</f>
        <v/>
      </c>
      <c r="AQ113" s="238">
        <f>IF(ABS(AQ74)&gt;0,IF(AQ74&gt;0.001,AQ74,_xlfn.MINIFS(AQ$58:AQ$92,AQ$58:AQ$92,"&gt;0")/3),0)</f>
        <v/>
      </c>
      <c r="AR113" s="238">
        <f>IF(ABS(AR74)&gt;0,IF(AR74&gt;0.001,AR74,_xlfn.MINIFS(AR$58:AR$92,AR$58:AR$92,"&gt;0")/3),0)</f>
        <v/>
      </c>
      <c r="AS113" s="238">
        <f>IF(ABS(AS74)&gt;0,IF(AS74&gt;0.001,AS74,_xlfn.MINIFS(AS$58:AS$92,AS$58:AS$92,"&gt;0")/3),0)</f>
        <v/>
      </c>
      <c r="AT113" s="238">
        <f>IF(ABS(AT74)&gt;0,IF(AT74&gt;0.001,AT74,_xlfn.MINIFS(AT$58:AT$92,AT$58:AT$92,"&gt;0")/3),0)</f>
        <v/>
      </c>
      <c r="AU113" s="238">
        <f>IF(ABS(AU74)&gt;0,IF(AU74&gt;0.001,AU74,_xlfn.MINIFS(AU$58:AU$92,AU$58:AU$92,"&gt;0")/3),0)</f>
        <v/>
      </c>
      <c r="AV113" s="238">
        <f>IF(ABS(AV74)&gt;0,IF(AV74&gt;0.001,AV74,_xlfn.MINIFS(AV$58:AV$92,AV$58:AV$92,"&gt;0")/3),0)</f>
        <v/>
      </c>
      <c r="AW113" s="238">
        <f>IF(ABS(AW74)&gt;0,IF(AW74&gt;0.001,AW74,_xlfn.MINIFS(AW$58:AW$92,AW$58:AW$92,"&gt;0")/3),0)</f>
        <v/>
      </c>
      <c r="AX113" s="238">
        <f>IF(ABS(AX74)&gt;0,IF(AX74&gt;0.001,AX74,_xlfn.MINIFS(AX$58:AX$92,AX$58:AX$92,"&gt;0")/3),0)</f>
        <v/>
      </c>
      <c r="AY113" s="238">
        <f>IF(ABS(AY74)&gt;0,IF(AY74&gt;0.001,AY74,_xlfn.MINIFS(AY$58:AY$92,AY$58:AY$92,"&gt;0")/3),0)</f>
        <v/>
      </c>
      <c r="AZ113" s="238">
        <f>IF(ABS(AZ74)&gt;0,IF(AZ74&gt;0.001,AZ74,_xlfn.MINIFS(AZ$58:AZ$92,AZ$58:AZ$92,"&gt;0")/3),0)</f>
        <v/>
      </c>
      <c r="BA113" s="238">
        <f>IF(ABS(BA74)&gt;0,IF(BA74&gt;0.001,BA74,_xlfn.MINIFS(BA$58:BA$92,BA$58:BA$92,"&gt;0")/3),0)</f>
        <v/>
      </c>
      <c r="BB113" s="238">
        <f>IF(ABS(BB74)&gt;0,IF(BB74&gt;0.001,BB74,_xlfn.MINIFS(BB$58:BB$92,BB$58:BB$92,"&gt;0")/3),0)</f>
        <v/>
      </c>
    </row>
    <row r="114">
      <c r="C114" s="1" t="n"/>
      <c r="D114" s="237">
        <f>D75</f>
        <v/>
      </c>
      <c r="E114" s="238">
        <f>IF(ABS(E75)&gt;0,IF(E75&gt;0.001,E75,_xlfn.MINIFS(E$58:E$92,E$58:E$92,"&gt;0")/3),0)</f>
        <v/>
      </c>
      <c r="F114" s="238">
        <f>IF(ABS(F75)&gt;0,IF(F75&gt;0.001,F75,_xlfn.MINIFS(F$58:F$92,F$58:F$92,"&gt;0")/3),0)</f>
        <v/>
      </c>
      <c r="G114" s="238">
        <f>IF(ABS(G75)&gt;0,IF(G75&gt;0.001,G75,_xlfn.MINIFS(G$58:G$92,G$58:G$92,"&gt;0")/3),0)</f>
        <v/>
      </c>
      <c r="H114" s="238">
        <f>IF(ABS(H75)&gt;0,IF(H75&gt;0.001,H75,_xlfn.MINIFS(H$58:H$92,H$58:H$92,"&gt;0")/3),0)</f>
        <v/>
      </c>
      <c r="I114" s="238">
        <f>IF(ABS(I75)&gt;0,IF(I75&gt;0.001,I75,_xlfn.MINIFS(I$58:I$92,I$58:I$92,"&gt;0")/3),0)</f>
        <v/>
      </c>
      <c r="J114" s="238">
        <f>IF(ABS(J75)&gt;0,IF(J75&gt;0.001,J75,_xlfn.MINIFS(J$58:J$92,J$58:J$92,"&gt;0")/3),0)</f>
        <v/>
      </c>
      <c r="K114" s="238">
        <f>IF(ABS(K75)&gt;0,IF(K75&gt;0.001,K75,_xlfn.MINIFS(K$58:K$92,K$58:K$92,"&gt;0")/3),0)</f>
        <v/>
      </c>
      <c r="L114" s="238">
        <f>IF(ABS(L75)&gt;0,IF(L75&gt;0.001,L75,_xlfn.MINIFS(L$58:L$92,L$58:L$92,"&gt;0")/3),0)</f>
        <v/>
      </c>
      <c r="M114" s="238">
        <f>IF(ABS(M75)&gt;0,IF(M75&gt;0.001,M75,_xlfn.MINIFS(M$58:M$92,M$58:M$92,"&gt;0")/3),0)</f>
        <v/>
      </c>
      <c r="N114" s="238">
        <f>IF(ABS(N75)&gt;0,IF(N75&gt;0.001,N75,_xlfn.MINIFS(N$58:N$92,N$58:N$92,"&gt;0")/3),0)</f>
        <v/>
      </c>
      <c r="O114" s="238">
        <f>IF(ABS(O75)&gt;0,IF(O75&gt;0.001,O75,_xlfn.MINIFS(O$58:O$92,O$58:O$92,"&gt;0")/3),0)</f>
        <v/>
      </c>
      <c r="P114" s="238">
        <f>IF(ABS(P75)&gt;0,IF(P75&gt;0.001,P75,_xlfn.MINIFS(P$58:P$92,P$58:P$92,"&gt;0")/3),0)</f>
        <v/>
      </c>
      <c r="Q114" s="238">
        <f>IF(ABS(Q75)&gt;0,IF(Q75&gt;0.001,Q75,_xlfn.MINIFS(Q$58:Q$92,Q$58:Q$92,"&gt;0")/3),0)</f>
        <v/>
      </c>
      <c r="R114" s="238">
        <f>IF(ABS(R75)&gt;0,IF(R75&gt;0.001,R75,_xlfn.MINIFS(R$58:R$92,R$58:R$92,"&gt;0")/3),0)</f>
        <v/>
      </c>
      <c r="S114" s="238">
        <f>IF(ABS(S75)&gt;0,IF(S75&gt;0.001,S75,_xlfn.MINIFS(S$58:S$92,S$58:S$92,"&gt;0")/3),0)</f>
        <v/>
      </c>
      <c r="T114" s="238">
        <f>IF(ABS(T75)&gt;0,IF(T75&gt;0.001,T75,_xlfn.MINIFS(T$58:T$92,T$58:T$92,"&gt;0")/3),0)</f>
        <v/>
      </c>
      <c r="U114" s="238">
        <f>IF(ABS(U75)&gt;0,IF(U75&gt;0.001,U75,_xlfn.MINIFS(U$58:U$92,U$58:U$92,"&gt;0")/3),0)</f>
        <v/>
      </c>
      <c r="V114" s="238">
        <f>IF(ABS(V75)&gt;0,IF(V75&gt;0.001,V75,_xlfn.MINIFS(V$58:V$92,V$58:V$92,"&gt;0")/3),0)</f>
        <v/>
      </c>
      <c r="W114" s="238">
        <f>IF(ABS(W75)&gt;0,IF(W75&gt;0.001,W75,_xlfn.MINIFS(W$58:W$92,W$58:W$92,"&gt;0")/3),0)</f>
        <v/>
      </c>
      <c r="X114" s="238">
        <f>IF(ABS(X75)&gt;0,IF(X75&gt;0.001,X75,_xlfn.MINIFS(X$58:X$92,X$58:X$92,"&gt;0")/3),0)</f>
        <v/>
      </c>
      <c r="Y114" s="238">
        <f>IF(ABS(Y75)&gt;0,IF(Y75&gt;0.001,Y75,_xlfn.MINIFS(Y$58:Y$92,Y$58:Y$92,"&gt;0")/3),0)</f>
        <v/>
      </c>
      <c r="Z114" s="238">
        <f>IF(ABS(Z75)&gt;0,IF(Z75&gt;0.001,Z75,_xlfn.MINIFS(Z$58:Z$92,Z$58:Z$92,"&gt;0")/3),0)</f>
        <v/>
      </c>
      <c r="AA114" s="238">
        <f>IF(ABS(AA75)&gt;0,IF(AA75&gt;0.001,AA75,_xlfn.MINIFS(AA$58:AA$92,AA$58:AA$92,"&gt;0")/3),0)</f>
        <v/>
      </c>
      <c r="AB114" s="238">
        <f>IF(ABS(AB75)&gt;0,IF(AB75&gt;0.001,AB75,_xlfn.MINIFS(AB$58:AB$92,AB$58:AB$92,"&gt;0")/3),0)</f>
        <v/>
      </c>
      <c r="AC114" s="238">
        <f>IF(ABS(AC75)&gt;0,IF(AC75&gt;0.001,AC75,_xlfn.MINIFS(AC$58:AC$92,AC$58:AC$92,"&gt;0")/3),0)</f>
        <v/>
      </c>
      <c r="AD114" s="238">
        <f>IF(ABS(AD75)&gt;0,IF(AD75&gt;0.001,AD75,_xlfn.MINIFS(AD$58:AD$92,AD$58:AD$92,"&gt;0")/3),0)</f>
        <v/>
      </c>
      <c r="AE114" s="238">
        <f>IF(ABS(AE75)&gt;0,IF(AE75&gt;0.001,AE75,_xlfn.MINIFS(AE$58:AE$92,AE$58:AE$92,"&gt;0")/3),0)</f>
        <v/>
      </c>
      <c r="AF114" s="238">
        <f>IF(ABS(AF75)&gt;0,IF(AF75&gt;0.001,AF75,_xlfn.MINIFS(AF$58:AF$92,AF$58:AF$92,"&gt;0")/3),0)</f>
        <v/>
      </c>
      <c r="AG114" s="238">
        <f>IF(ABS(AG75)&gt;0,IF(AG75&gt;0.001,AG75,_xlfn.MINIFS(AG$58:AG$92,AG$58:AG$92,"&gt;0")/3),0)</f>
        <v/>
      </c>
      <c r="AH114" s="238">
        <f>IF(ABS(AH75)&gt;0,IF(AH75&gt;0.001,AH75,_xlfn.MINIFS(AH$58:AH$92,AH$58:AH$92,"&gt;0")/3),0)</f>
        <v/>
      </c>
      <c r="AI114" s="238">
        <f>IF(ABS(AI75)&gt;0,IF(AI75&gt;0.001,AI75,_xlfn.MINIFS(AI$58:AI$92,AI$58:AI$92,"&gt;0")/3),0)</f>
        <v/>
      </c>
      <c r="AJ114" s="238">
        <f>IF(ABS(AJ75)&gt;0,IF(AJ75&gt;0.001,AJ75,_xlfn.MINIFS(AJ$58:AJ$92,AJ$58:AJ$92,"&gt;0")/3),0)</f>
        <v/>
      </c>
      <c r="AK114" s="238">
        <f>IF(ABS(AK75)&gt;0,IF(AK75&gt;0.001,AK75,_xlfn.MINIFS(AK$58:AK$92,AK$58:AK$92,"&gt;0")/3),0)</f>
        <v/>
      </c>
      <c r="AL114" s="238">
        <f>IF(ABS(AL75)&gt;0,IF(AL75&gt;0.001,AL75,_xlfn.MINIFS(AL$58:AL$92,AL$58:AL$92,"&gt;0")/3),0)</f>
        <v/>
      </c>
      <c r="AM114" s="238">
        <f>IF(ABS(AM75)&gt;0,IF(AM75&gt;0.001,AM75,_xlfn.MINIFS(AM$58:AM$92,AM$58:AM$92,"&gt;0")/3),0)</f>
        <v/>
      </c>
      <c r="AN114" s="238">
        <f>IF(ABS(AN75)&gt;0,IF(AN75&gt;0.001,AN75,_xlfn.MINIFS(AN$58:AN$92,AN$58:AN$92,"&gt;0")/3),0)</f>
        <v/>
      </c>
      <c r="AO114" s="238">
        <f>IF(ABS(AO75)&gt;0,IF(AO75&gt;0.001,AO75,_xlfn.MINIFS(AO$58:AO$92,AO$58:AO$92,"&gt;0")/3),0)</f>
        <v/>
      </c>
      <c r="AP114" s="238">
        <f>IF(ABS(AP75)&gt;0,IF(AP75&gt;0.001,AP75,_xlfn.MINIFS(AP$58:AP$92,AP$58:AP$92,"&gt;0")/3),0)</f>
        <v/>
      </c>
      <c r="AQ114" s="238">
        <f>IF(ABS(AQ75)&gt;0,IF(AQ75&gt;0.001,AQ75,_xlfn.MINIFS(AQ$58:AQ$92,AQ$58:AQ$92,"&gt;0")/3),0)</f>
        <v/>
      </c>
      <c r="AR114" s="238">
        <f>IF(ABS(AR75)&gt;0,IF(AR75&gt;0.001,AR75,_xlfn.MINIFS(AR$58:AR$92,AR$58:AR$92,"&gt;0")/3),0)</f>
        <v/>
      </c>
      <c r="AS114" s="238">
        <f>IF(ABS(AS75)&gt;0,IF(AS75&gt;0.001,AS75,_xlfn.MINIFS(AS$58:AS$92,AS$58:AS$92,"&gt;0")/3),0)</f>
        <v/>
      </c>
      <c r="AT114" s="238">
        <f>IF(ABS(AT75)&gt;0,IF(AT75&gt;0.001,AT75,_xlfn.MINIFS(AT$58:AT$92,AT$58:AT$92,"&gt;0")/3),0)</f>
        <v/>
      </c>
      <c r="AU114" s="238">
        <f>IF(ABS(AU75)&gt;0,IF(AU75&gt;0.001,AU75,_xlfn.MINIFS(AU$58:AU$92,AU$58:AU$92,"&gt;0")/3),0)</f>
        <v/>
      </c>
      <c r="AV114" s="238">
        <f>IF(ABS(AV75)&gt;0,IF(AV75&gt;0.001,AV75,_xlfn.MINIFS(AV$58:AV$92,AV$58:AV$92,"&gt;0")/3),0)</f>
        <v/>
      </c>
      <c r="AW114" s="238">
        <f>IF(ABS(AW75)&gt;0,IF(AW75&gt;0.001,AW75,_xlfn.MINIFS(AW$58:AW$92,AW$58:AW$92,"&gt;0")/3),0)</f>
        <v/>
      </c>
      <c r="AX114" s="238">
        <f>IF(ABS(AX75)&gt;0,IF(AX75&gt;0.001,AX75,_xlfn.MINIFS(AX$58:AX$92,AX$58:AX$92,"&gt;0")/3),0)</f>
        <v/>
      </c>
      <c r="AY114" s="238">
        <f>IF(ABS(AY75)&gt;0,IF(AY75&gt;0.001,AY75,_xlfn.MINIFS(AY$58:AY$92,AY$58:AY$92,"&gt;0")/3),0)</f>
        <v/>
      </c>
      <c r="AZ114" s="238">
        <f>IF(ABS(AZ75)&gt;0,IF(AZ75&gt;0.001,AZ75,_xlfn.MINIFS(AZ$58:AZ$92,AZ$58:AZ$92,"&gt;0")/3),0)</f>
        <v/>
      </c>
      <c r="BA114" s="238">
        <f>IF(ABS(BA75)&gt;0,IF(BA75&gt;0.001,BA75,_xlfn.MINIFS(BA$58:BA$92,BA$58:BA$92,"&gt;0")/3),0)</f>
        <v/>
      </c>
      <c r="BB114" s="238">
        <f>IF(ABS(BB75)&gt;0,IF(BB75&gt;0.001,BB75,_xlfn.MINIFS(BB$58:BB$92,BB$58:BB$92,"&gt;0")/3),0)</f>
        <v/>
      </c>
    </row>
    <row r="115">
      <c r="C115" s="1" t="n"/>
      <c r="D115" s="237">
        <f>D76</f>
        <v/>
      </c>
      <c r="E115" s="238">
        <f>IF(ABS(E76)&gt;0,IF(E76&gt;0.001,E76,_xlfn.MINIFS(E$58:E$92,E$58:E$92,"&gt;0")/3),0)</f>
        <v/>
      </c>
      <c r="F115" s="238">
        <f>IF(ABS(F76)&gt;0,IF(F76&gt;0.001,F76,_xlfn.MINIFS(F$58:F$92,F$58:F$92,"&gt;0")/3),0)</f>
        <v/>
      </c>
      <c r="G115" s="238">
        <f>IF(ABS(G76)&gt;0,IF(G76&gt;0.001,G76,_xlfn.MINIFS(G$58:G$92,G$58:G$92,"&gt;0")/3),0)</f>
        <v/>
      </c>
      <c r="H115" s="238">
        <f>IF(ABS(H76)&gt;0,IF(H76&gt;0.001,H76,_xlfn.MINIFS(H$58:H$92,H$58:H$92,"&gt;0")/3),0)</f>
        <v/>
      </c>
      <c r="I115" s="238">
        <f>IF(ABS(I76)&gt;0,IF(I76&gt;0.001,I76,_xlfn.MINIFS(I$58:I$92,I$58:I$92,"&gt;0")/3),0)</f>
        <v/>
      </c>
      <c r="J115" s="238">
        <f>IF(ABS(J76)&gt;0,IF(J76&gt;0.001,J76,_xlfn.MINIFS(J$58:J$92,J$58:J$92,"&gt;0")/3),0)</f>
        <v/>
      </c>
      <c r="K115" s="238">
        <f>IF(ABS(K76)&gt;0,IF(K76&gt;0.001,K76,_xlfn.MINIFS(K$58:K$92,K$58:K$92,"&gt;0")/3),0)</f>
        <v/>
      </c>
      <c r="L115" s="238">
        <f>IF(ABS(L76)&gt;0,IF(L76&gt;0.001,L76,_xlfn.MINIFS(L$58:L$92,L$58:L$92,"&gt;0")/3),0)</f>
        <v/>
      </c>
      <c r="M115" s="238">
        <f>IF(ABS(M76)&gt;0,IF(M76&gt;0.001,M76,_xlfn.MINIFS(M$58:M$92,M$58:M$92,"&gt;0")/3),0)</f>
        <v/>
      </c>
      <c r="N115" s="238">
        <f>IF(ABS(N76)&gt;0,IF(N76&gt;0.001,N76,_xlfn.MINIFS(N$58:N$92,N$58:N$92,"&gt;0")/3),0)</f>
        <v/>
      </c>
      <c r="O115" s="238">
        <f>IF(ABS(O76)&gt;0,IF(O76&gt;0.001,O76,_xlfn.MINIFS(O$58:O$92,O$58:O$92,"&gt;0")/3),0)</f>
        <v/>
      </c>
      <c r="P115" s="238">
        <f>IF(ABS(P76)&gt;0,IF(P76&gt;0.001,P76,_xlfn.MINIFS(P$58:P$92,P$58:P$92,"&gt;0")/3),0)</f>
        <v/>
      </c>
      <c r="Q115" s="238">
        <f>IF(ABS(Q76)&gt;0,IF(Q76&gt;0.001,Q76,_xlfn.MINIFS(Q$58:Q$92,Q$58:Q$92,"&gt;0")/3),0)</f>
        <v/>
      </c>
      <c r="R115" s="238">
        <f>IF(ABS(R76)&gt;0,IF(R76&gt;0.001,R76,_xlfn.MINIFS(R$58:R$92,R$58:R$92,"&gt;0")/3),0)</f>
        <v/>
      </c>
      <c r="S115" s="238">
        <f>IF(ABS(S76)&gt;0,IF(S76&gt;0.001,S76,_xlfn.MINIFS(S$58:S$92,S$58:S$92,"&gt;0")/3),0)</f>
        <v/>
      </c>
      <c r="T115" s="238">
        <f>IF(ABS(T76)&gt;0,IF(T76&gt;0.001,T76,_xlfn.MINIFS(T$58:T$92,T$58:T$92,"&gt;0")/3),0)</f>
        <v/>
      </c>
      <c r="U115" s="238">
        <f>IF(ABS(U76)&gt;0,IF(U76&gt;0.001,U76,_xlfn.MINIFS(U$58:U$92,U$58:U$92,"&gt;0")/3),0)</f>
        <v/>
      </c>
      <c r="V115" s="238">
        <f>IF(ABS(V76)&gt;0,IF(V76&gt;0.001,V76,_xlfn.MINIFS(V$58:V$92,V$58:V$92,"&gt;0")/3),0)</f>
        <v/>
      </c>
      <c r="W115" s="238">
        <f>IF(ABS(W76)&gt;0,IF(W76&gt;0.001,W76,_xlfn.MINIFS(W$58:W$92,W$58:W$92,"&gt;0")/3),0)</f>
        <v/>
      </c>
      <c r="X115" s="238">
        <f>IF(ABS(X76)&gt;0,IF(X76&gt;0.001,X76,_xlfn.MINIFS(X$58:X$92,X$58:X$92,"&gt;0")/3),0)</f>
        <v/>
      </c>
      <c r="Y115" s="238">
        <f>IF(ABS(Y76)&gt;0,IF(Y76&gt;0.001,Y76,_xlfn.MINIFS(Y$58:Y$92,Y$58:Y$92,"&gt;0")/3),0)</f>
        <v/>
      </c>
      <c r="Z115" s="238">
        <f>IF(ABS(Z76)&gt;0,IF(Z76&gt;0.001,Z76,_xlfn.MINIFS(Z$58:Z$92,Z$58:Z$92,"&gt;0")/3),0)</f>
        <v/>
      </c>
      <c r="AA115" s="238">
        <f>IF(ABS(AA76)&gt;0,IF(AA76&gt;0.001,AA76,_xlfn.MINIFS(AA$58:AA$92,AA$58:AA$92,"&gt;0")/3),0)</f>
        <v/>
      </c>
      <c r="AB115" s="238">
        <f>IF(ABS(AB76)&gt;0,IF(AB76&gt;0.001,AB76,_xlfn.MINIFS(AB$58:AB$92,AB$58:AB$92,"&gt;0")/3),0)</f>
        <v/>
      </c>
      <c r="AC115" s="238">
        <f>IF(ABS(AC76)&gt;0,IF(AC76&gt;0.001,AC76,_xlfn.MINIFS(AC$58:AC$92,AC$58:AC$92,"&gt;0")/3),0)</f>
        <v/>
      </c>
      <c r="AD115" s="238">
        <f>IF(ABS(AD76)&gt;0,IF(AD76&gt;0.001,AD76,_xlfn.MINIFS(AD$58:AD$92,AD$58:AD$92,"&gt;0")/3),0)</f>
        <v/>
      </c>
      <c r="AE115" s="238">
        <f>IF(ABS(AE76)&gt;0,IF(AE76&gt;0.001,AE76,_xlfn.MINIFS(AE$58:AE$92,AE$58:AE$92,"&gt;0")/3),0)</f>
        <v/>
      </c>
      <c r="AF115" s="238">
        <f>IF(ABS(AF76)&gt;0,IF(AF76&gt;0.001,AF76,_xlfn.MINIFS(AF$58:AF$92,AF$58:AF$92,"&gt;0")/3),0)</f>
        <v/>
      </c>
      <c r="AG115" s="238">
        <f>IF(ABS(AG76)&gt;0,IF(AG76&gt;0.001,AG76,_xlfn.MINIFS(AG$58:AG$92,AG$58:AG$92,"&gt;0")/3),0)</f>
        <v/>
      </c>
      <c r="AH115" s="238">
        <f>IF(ABS(AH76)&gt;0,IF(AH76&gt;0.001,AH76,_xlfn.MINIFS(AH$58:AH$92,AH$58:AH$92,"&gt;0")/3),0)</f>
        <v/>
      </c>
      <c r="AI115" s="238">
        <f>IF(ABS(AI76)&gt;0,IF(AI76&gt;0.001,AI76,_xlfn.MINIFS(AI$58:AI$92,AI$58:AI$92,"&gt;0")/3),0)</f>
        <v/>
      </c>
      <c r="AJ115" s="238">
        <f>IF(ABS(AJ76)&gt;0,IF(AJ76&gt;0.001,AJ76,_xlfn.MINIFS(AJ$58:AJ$92,AJ$58:AJ$92,"&gt;0")/3),0)</f>
        <v/>
      </c>
      <c r="AK115" s="238">
        <f>IF(ABS(AK76)&gt;0,IF(AK76&gt;0.001,AK76,_xlfn.MINIFS(AK$58:AK$92,AK$58:AK$92,"&gt;0")/3),0)</f>
        <v/>
      </c>
      <c r="AL115" s="238">
        <f>IF(ABS(AL76)&gt;0,IF(AL76&gt;0.001,AL76,_xlfn.MINIFS(AL$58:AL$92,AL$58:AL$92,"&gt;0")/3),0)</f>
        <v/>
      </c>
      <c r="AM115" s="238">
        <f>IF(ABS(AM76)&gt;0,IF(AM76&gt;0.001,AM76,_xlfn.MINIFS(AM$58:AM$92,AM$58:AM$92,"&gt;0")/3),0)</f>
        <v/>
      </c>
      <c r="AN115" s="238">
        <f>IF(ABS(AN76)&gt;0,IF(AN76&gt;0.001,AN76,_xlfn.MINIFS(AN$58:AN$92,AN$58:AN$92,"&gt;0")/3),0)</f>
        <v/>
      </c>
      <c r="AO115" s="238">
        <f>IF(ABS(AO76)&gt;0,IF(AO76&gt;0.001,AO76,_xlfn.MINIFS(AO$58:AO$92,AO$58:AO$92,"&gt;0")/3),0)</f>
        <v/>
      </c>
      <c r="AP115" s="238">
        <f>IF(ABS(AP76)&gt;0,IF(AP76&gt;0.001,AP76,_xlfn.MINIFS(AP$58:AP$92,AP$58:AP$92,"&gt;0")/3),0)</f>
        <v/>
      </c>
      <c r="AQ115" s="238">
        <f>IF(ABS(AQ76)&gt;0,IF(AQ76&gt;0.001,AQ76,_xlfn.MINIFS(AQ$58:AQ$92,AQ$58:AQ$92,"&gt;0")/3),0)</f>
        <v/>
      </c>
      <c r="AR115" s="238">
        <f>IF(ABS(AR76)&gt;0,IF(AR76&gt;0.001,AR76,_xlfn.MINIFS(AR$58:AR$92,AR$58:AR$92,"&gt;0")/3),0)</f>
        <v/>
      </c>
      <c r="AS115" s="238">
        <f>IF(ABS(AS76)&gt;0,IF(AS76&gt;0.001,AS76,_xlfn.MINIFS(AS$58:AS$92,AS$58:AS$92,"&gt;0")/3),0)</f>
        <v/>
      </c>
      <c r="AT115" s="238">
        <f>IF(ABS(AT76)&gt;0,IF(AT76&gt;0.001,AT76,_xlfn.MINIFS(AT$58:AT$92,AT$58:AT$92,"&gt;0")/3),0)</f>
        <v/>
      </c>
      <c r="AU115" s="238">
        <f>IF(ABS(AU76)&gt;0,IF(AU76&gt;0.001,AU76,_xlfn.MINIFS(AU$58:AU$92,AU$58:AU$92,"&gt;0")/3),0)</f>
        <v/>
      </c>
      <c r="AV115" s="238">
        <f>IF(ABS(AV76)&gt;0,IF(AV76&gt;0.001,AV76,_xlfn.MINIFS(AV$58:AV$92,AV$58:AV$92,"&gt;0")/3),0)</f>
        <v/>
      </c>
      <c r="AW115" s="238">
        <f>IF(ABS(AW76)&gt;0,IF(AW76&gt;0.001,AW76,_xlfn.MINIFS(AW$58:AW$92,AW$58:AW$92,"&gt;0")/3),0)</f>
        <v/>
      </c>
      <c r="AX115" s="238">
        <f>IF(ABS(AX76)&gt;0,IF(AX76&gt;0.001,AX76,_xlfn.MINIFS(AX$58:AX$92,AX$58:AX$92,"&gt;0")/3),0)</f>
        <v/>
      </c>
      <c r="AY115" s="238">
        <f>IF(ABS(AY76)&gt;0,IF(AY76&gt;0.001,AY76,_xlfn.MINIFS(AY$58:AY$92,AY$58:AY$92,"&gt;0")/3),0)</f>
        <v/>
      </c>
      <c r="AZ115" s="238">
        <f>IF(ABS(AZ76)&gt;0,IF(AZ76&gt;0.001,AZ76,_xlfn.MINIFS(AZ$58:AZ$92,AZ$58:AZ$92,"&gt;0")/3),0)</f>
        <v/>
      </c>
      <c r="BA115" s="238">
        <f>IF(ABS(BA76)&gt;0,IF(BA76&gt;0.001,BA76,_xlfn.MINIFS(BA$58:BA$92,BA$58:BA$92,"&gt;0")/3),0)</f>
        <v/>
      </c>
      <c r="BB115" s="238">
        <f>IF(ABS(BB76)&gt;0,IF(BB76&gt;0.001,BB76,_xlfn.MINIFS(BB$58:BB$92,BB$58:BB$92,"&gt;0")/3),0)</f>
        <v/>
      </c>
    </row>
    <row r="116">
      <c r="C116" s="1" t="n"/>
      <c r="D116" s="237">
        <f>D77</f>
        <v/>
      </c>
      <c r="E116" s="238">
        <f>IF(ABS(E77)&gt;0,IF(E77&gt;0.001,E77,_xlfn.MINIFS(E$58:E$92,E$58:E$92,"&gt;0")/3),0)</f>
        <v/>
      </c>
      <c r="F116" s="238">
        <f>IF(ABS(F77)&gt;0,IF(F77&gt;0.001,F77,_xlfn.MINIFS(F$58:F$92,F$58:F$92,"&gt;0")/3),0)</f>
        <v/>
      </c>
      <c r="G116" s="238">
        <f>IF(ABS(G77)&gt;0,IF(G77&gt;0.001,G77,_xlfn.MINIFS(G$58:G$92,G$58:G$92,"&gt;0")/3),0)</f>
        <v/>
      </c>
      <c r="H116" s="238">
        <f>IF(ABS(H77)&gt;0,IF(H77&gt;0.001,H77,_xlfn.MINIFS(H$58:H$92,H$58:H$92,"&gt;0")/3),0)</f>
        <v/>
      </c>
      <c r="I116" s="238">
        <f>IF(ABS(I77)&gt;0,IF(I77&gt;0.001,I77,_xlfn.MINIFS(I$58:I$92,I$58:I$92,"&gt;0")/3),0)</f>
        <v/>
      </c>
      <c r="J116" s="238">
        <f>IF(ABS(J77)&gt;0,IF(J77&gt;0.001,J77,_xlfn.MINIFS(J$58:J$92,J$58:J$92,"&gt;0")/3),0)</f>
        <v/>
      </c>
      <c r="K116" s="238">
        <f>IF(ABS(K77)&gt;0,IF(K77&gt;0.001,K77,_xlfn.MINIFS(K$58:K$92,K$58:K$92,"&gt;0")/3),0)</f>
        <v/>
      </c>
      <c r="L116" s="238">
        <f>IF(ABS(L77)&gt;0,IF(L77&gt;0.001,L77,_xlfn.MINIFS(L$58:L$92,L$58:L$92,"&gt;0")/3),0)</f>
        <v/>
      </c>
      <c r="M116" s="238">
        <f>IF(ABS(M77)&gt;0,IF(M77&gt;0.001,M77,_xlfn.MINIFS(M$58:M$92,M$58:M$92,"&gt;0")/3),0)</f>
        <v/>
      </c>
      <c r="N116" s="238">
        <f>IF(ABS(N77)&gt;0,IF(N77&gt;0.001,N77,_xlfn.MINIFS(N$58:N$92,N$58:N$92,"&gt;0")/3),0)</f>
        <v/>
      </c>
      <c r="O116" s="238">
        <f>IF(ABS(O77)&gt;0,IF(O77&gt;0.001,O77,_xlfn.MINIFS(O$58:O$92,O$58:O$92,"&gt;0")/3),0)</f>
        <v/>
      </c>
      <c r="P116" s="238">
        <f>IF(ABS(P77)&gt;0,IF(P77&gt;0.001,P77,_xlfn.MINIFS(P$58:P$92,P$58:P$92,"&gt;0")/3),0)</f>
        <v/>
      </c>
      <c r="Q116" s="238">
        <f>IF(ABS(Q77)&gt;0,IF(Q77&gt;0.001,Q77,_xlfn.MINIFS(Q$58:Q$92,Q$58:Q$92,"&gt;0")/3),0)</f>
        <v/>
      </c>
      <c r="R116" s="238">
        <f>IF(ABS(R77)&gt;0,IF(R77&gt;0.001,R77,_xlfn.MINIFS(R$58:R$92,R$58:R$92,"&gt;0")/3),0)</f>
        <v/>
      </c>
      <c r="S116" s="238">
        <f>IF(ABS(S77)&gt;0,IF(S77&gt;0.001,S77,_xlfn.MINIFS(S$58:S$92,S$58:S$92,"&gt;0")/3),0)</f>
        <v/>
      </c>
      <c r="T116" s="238">
        <f>IF(ABS(T77)&gt;0,IF(T77&gt;0.001,T77,_xlfn.MINIFS(T$58:T$92,T$58:T$92,"&gt;0")/3),0)</f>
        <v/>
      </c>
      <c r="U116" s="238">
        <f>IF(ABS(U77)&gt;0,IF(U77&gt;0.001,U77,_xlfn.MINIFS(U$58:U$92,U$58:U$92,"&gt;0")/3),0)</f>
        <v/>
      </c>
      <c r="V116" s="238">
        <f>IF(ABS(V77)&gt;0,IF(V77&gt;0.001,V77,_xlfn.MINIFS(V$58:V$92,V$58:V$92,"&gt;0")/3),0)</f>
        <v/>
      </c>
      <c r="W116" s="238">
        <f>IF(ABS(W77)&gt;0,IF(W77&gt;0.001,W77,_xlfn.MINIFS(W$58:W$92,W$58:W$92,"&gt;0")/3),0)</f>
        <v/>
      </c>
      <c r="X116" s="238">
        <f>IF(ABS(X77)&gt;0,IF(X77&gt;0.001,X77,_xlfn.MINIFS(X$58:X$92,X$58:X$92,"&gt;0")/3),0)</f>
        <v/>
      </c>
      <c r="Y116" s="238">
        <f>IF(ABS(Y77)&gt;0,IF(Y77&gt;0.001,Y77,_xlfn.MINIFS(Y$58:Y$92,Y$58:Y$92,"&gt;0")/3),0)</f>
        <v/>
      </c>
      <c r="Z116" s="238">
        <f>IF(ABS(Z77)&gt;0,IF(Z77&gt;0.001,Z77,_xlfn.MINIFS(Z$58:Z$92,Z$58:Z$92,"&gt;0")/3),0)</f>
        <v/>
      </c>
      <c r="AA116" s="238">
        <f>IF(ABS(AA77)&gt;0,IF(AA77&gt;0.001,AA77,_xlfn.MINIFS(AA$58:AA$92,AA$58:AA$92,"&gt;0")/3),0)</f>
        <v/>
      </c>
      <c r="AB116" s="238">
        <f>IF(ABS(AB77)&gt;0,IF(AB77&gt;0.001,AB77,_xlfn.MINIFS(AB$58:AB$92,AB$58:AB$92,"&gt;0")/3),0)</f>
        <v/>
      </c>
      <c r="AC116" s="238">
        <f>IF(ABS(AC77)&gt;0,IF(AC77&gt;0.001,AC77,_xlfn.MINIFS(AC$58:AC$92,AC$58:AC$92,"&gt;0")/3),0)</f>
        <v/>
      </c>
      <c r="AD116" s="238">
        <f>IF(ABS(AD77)&gt;0,IF(AD77&gt;0.001,AD77,_xlfn.MINIFS(AD$58:AD$92,AD$58:AD$92,"&gt;0")/3),0)</f>
        <v/>
      </c>
      <c r="AE116" s="238">
        <f>IF(ABS(AE77)&gt;0,IF(AE77&gt;0.001,AE77,_xlfn.MINIFS(AE$58:AE$92,AE$58:AE$92,"&gt;0")/3),0)</f>
        <v/>
      </c>
      <c r="AF116" s="238">
        <f>IF(ABS(AF77)&gt;0,IF(AF77&gt;0.001,AF77,_xlfn.MINIFS(AF$58:AF$92,AF$58:AF$92,"&gt;0")/3),0)</f>
        <v/>
      </c>
      <c r="AG116" s="238">
        <f>IF(ABS(AG77)&gt;0,IF(AG77&gt;0.001,AG77,_xlfn.MINIFS(AG$58:AG$92,AG$58:AG$92,"&gt;0")/3),0)</f>
        <v/>
      </c>
      <c r="AH116" s="238">
        <f>IF(ABS(AH77)&gt;0,IF(AH77&gt;0.001,AH77,_xlfn.MINIFS(AH$58:AH$92,AH$58:AH$92,"&gt;0")/3),0)</f>
        <v/>
      </c>
      <c r="AI116" s="238">
        <f>IF(ABS(AI77)&gt;0,IF(AI77&gt;0.001,AI77,_xlfn.MINIFS(AI$58:AI$92,AI$58:AI$92,"&gt;0")/3),0)</f>
        <v/>
      </c>
      <c r="AJ116" s="238">
        <f>IF(ABS(AJ77)&gt;0,IF(AJ77&gt;0.001,AJ77,_xlfn.MINIFS(AJ$58:AJ$92,AJ$58:AJ$92,"&gt;0")/3),0)</f>
        <v/>
      </c>
      <c r="AK116" s="238">
        <f>IF(ABS(AK77)&gt;0,IF(AK77&gt;0.001,AK77,_xlfn.MINIFS(AK$58:AK$92,AK$58:AK$92,"&gt;0")/3),0)</f>
        <v/>
      </c>
      <c r="AL116" s="238">
        <f>IF(ABS(AL77)&gt;0,IF(AL77&gt;0.001,AL77,_xlfn.MINIFS(AL$58:AL$92,AL$58:AL$92,"&gt;0")/3),0)</f>
        <v/>
      </c>
      <c r="AM116" s="238">
        <f>IF(ABS(AM77)&gt;0,IF(AM77&gt;0.001,AM77,_xlfn.MINIFS(AM$58:AM$92,AM$58:AM$92,"&gt;0")/3),0)</f>
        <v/>
      </c>
      <c r="AN116" s="238">
        <f>IF(ABS(AN77)&gt;0,IF(AN77&gt;0.001,AN77,_xlfn.MINIFS(AN$58:AN$92,AN$58:AN$92,"&gt;0")/3),0)</f>
        <v/>
      </c>
      <c r="AO116" s="238">
        <f>IF(ABS(AO77)&gt;0,IF(AO77&gt;0.001,AO77,_xlfn.MINIFS(AO$58:AO$92,AO$58:AO$92,"&gt;0")/3),0)</f>
        <v/>
      </c>
      <c r="AP116" s="238">
        <f>IF(ABS(AP77)&gt;0,IF(AP77&gt;0.001,AP77,_xlfn.MINIFS(AP$58:AP$92,AP$58:AP$92,"&gt;0")/3),0)</f>
        <v/>
      </c>
      <c r="AQ116" s="238">
        <f>IF(ABS(AQ77)&gt;0,IF(AQ77&gt;0.001,AQ77,_xlfn.MINIFS(AQ$58:AQ$92,AQ$58:AQ$92,"&gt;0")/3),0)</f>
        <v/>
      </c>
      <c r="AR116" s="238">
        <f>IF(ABS(AR77)&gt;0,IF(AR77&gt;0.001,AR77,_xlfn.MINIFS(AR$58:AR$92,AR$58:AR$92,"&gt;0")/3),0)</f>
        <v/>
      </c>
      <c r="AS116" s="238">
        <f>IF(ABS(AS77)&gt;0,IF(AS77&gt;0.001,AS77,_xlfn.MINIFS(AS$58:AS$92,AS$58:AS$92,"&gt;0")/3),0)</f>
        <v/>
      </c>
      <c r="AT116" s="238">
        <f>IF(ABS(AT77)&gt;0,IF(AT77&gt;0.001,AT77,_xlfn.MINIFS(AT$58:AT$92,AT$58:AT$92,"&gt;0")/3),0)</f>
        <v/>
      </c>
      <c r="AU116" s="238">
        <f>IF(ABS(AU77)&gt;0,IF(AU77&gt;0.001,AU77,_xlfn.MINIFS(AU$58:AU$92,AU$58:AU$92,"&gt;0")/3),0)</f>
        <v/>
      </c>
      <c r="AV116" s="238">
        <f>IF(ABS(AV77)&gt;0,IF(AV77&gt;0.001,AV77,_xlfn.MINIFS(AV$58:AV$92,AV$58:AV$92,"&gt;0")/3),0)</f>
        <v/>
      </c>
      <c r="AW116" s="238">
        <f>IF(ABS(AW77)&gt;0,IF(AW77&gt;0.001,AW77,_xlfn.MINIFS(AW$58:AW$92,AW$58:AW$92,"&gt;0")/3),0)</f>
        <v/>
      </c>
      <c r="AX116" s="238">
        <f>IF(ABS(AX77)&gt;0,IF(AX77&gt;0.001,AX77,_xlfn.MINIFS(AX$58:AX$92,AX$58:AX$92,"&gt;0")/3),0)</f>
        <v/>
      </c>
      <c r="AY116" s="238">
        <f>IF(ABS(AY77)&gt;0,IF(AY77&gt;0.001,AY77,_xlfn.MINIFS(AY$58:AY$92,AY$58:AY$92,"&gt;0")/3),0)</f>
        <v/>
      </c>
      <c r="AZ116" s="238">
        <f>IF(ABS(AZ77)&gt;0,IF(AZ77&gt;0.001,AZ77,_xlfn.MINIFS(AZ$58:AZ$92,AZ$58:AZ$92,"&gt;0")/3),0)</f>
        <v/>
      </c>
      <c r="BA116" s="238">
        <f>IF(ABS(BA77)&gt;0,IF(BA77&gt;0.001,BA77,_xlfn.MINIFS(BA$58:BA$92,BA$58:BA$92,"&gt;0")/3),0)</f>
        <v/>
      </c>
      <c r="BB116" s="238">
        <f>IF(ABS(BB77)&gt;0,IF(BB77&gt;0.001,BB77,_xlfn.MINIFS(BB$58:BB$92,BB$58:BB$92,"&gt;0")/3),0)</f>
        <v/>
      </c>
    </row>
    <row r="117">
      <c r="C117" s="1" t="n"/>
      <c r="D117" s="237">
        <f>D78</f>
        <v/>
      </c>
      <c r="E117" s="238">
        <f>IF(ABS(E78)&gt;0,IF(E78&gt;0.001,E78,_xlfn.MINIFS(E$58:E$92,E$58:E$92,"&gt;0")/3),0)</f>
        <v/>
      </c>
      <c r="F117" s="238">
        <f>IF(ABS(F78)&gt;0,IF(F78&gt;0.001,F78,_xlfn.MINIFS(F$58:F$92,F$58:F$92,"&gt;0")/3),0)</f>
        <v/>
      </c>
      <c r="G117" s="238">
        <f>IF(ABS(G78)&gt;0,IF(G78&gt;0.001,G78,_xlfn.MINIFS(G$58:G$92,G$58:G$92,"&gt;0")/3),0)</f>
        <v/>
      </c>
      <c r="H117" s="238">
        <f>IF(ABS(H78)&gt;0,IF(H78&gt;0.001,H78,_xlfn.MINIFS(H$58:H$92,H$58:H$92,"&gt;0")/3),0)</f>
        <v/>
      </c>
      <c r="I117" s="238">
        <f>IF(ABS(I78)&gt;0,IF(I78&gt;0.001,I78,_xlfn.MINIFS(I$58:I$92,I$58:I$92,"&gt;0")/3),0)</f>
        <v/>
      </c>
      <c r="J117" s="238">
        <f>IF(ABS(J78)&gt;0,IF(J78&gt;0.001,J78,_xlfn.MINIFS(J$58:J$92,J$58:J$92,"&gt;0")/3),0)</f>
        <v/>
      </c>
      <c r="K117" s="238">
        <f>IF(ABS(K78)&gt;0,IF(K78&gt;0.001,K78,_xlfn.MINIFS(K$58:K$92,K$58:K$92,"&gt;0")/3),0)</f>
        <v/>
      </c>
      <c r="L117" s="238">
        <f>IF(ABS(L78)&gt;0,IF(L78&gt;0.001,L78,_xlfn.MINIFS(L$58:L$92,L$58:L$92,"&gt;0")/3),0)</f>
        <v/>
      </c>
      <c r="M117" s="238">
        <f>IF(ABS(M78)&gt;0,IF(M78&gt;0.001,M78,_xlfn.MINIFS(M$58:M$92,M$58:M$92,"&gt;0")/3),0)</f>
        <v/>
      </c>
      <c r="N117" s="238">
        <f>IF(ABS(N78)&gt;0,IF(N78&gt;0.001,N78,_xlfn.MINIFS(N$58:N$92,N$58:N$92,"&gt;0")/3),0)</f>
        <v/>
      </c>
      <c r="O117" s="238">
        <f>IF(ABS(O78)&gt;0,IF(O78&gt;0.001,O78,_xlfn.MINIFS(O$58:O$92,O$58:O$92,"&gt;0")/3),0)</f>
        <v/>
      </c>
      <c r="P117" s="238">
        <f>IF(ABS(P78)&gt;0,IF(P78&gt;0.001,P78,_xlfn.MINIFS(P$58:P$92,P$58:P$92,"&gt;0")/3),0)</f>
        <v/>
      </c>
      <c r="Q117" s="238">
        <f>IF(ABS(Q78)&gt;0,IF(Q78&gt;0.001,Q78,_xlfn.MINIFS(Q$58:Q$92,Q$58:Q$92,"&gt;0")/3),0)</f>
        <v/>
      </c>
      <c r="R117" s="238">
        <f>IF(ABS(R78)&gt;0,IF(R78&gt;0.001,R78,_xlfn.MINIFS(R$58:R$92,R$58:R$92,"&gt;0")/3),0)</f>
        <v/>
      </c>
      <c r="S117" s="238">
        <f>IF(ABS(S78)&gt;0,IF(S78&gt;0.001,S78,_xlfn.MINIFS(S$58:S$92,S$58:S$92,"&gt;0")/3),0)</f>
        <v/>
      </c>
      <c r="T117" s="238">
        <f>IF(ABS(T78)&gt;0,IF(T78&gt;0.001,T78,_xlfn.MINIFS(T$58:T$92,T$58:T$92,"&gt;0")/3),0)</f>
        <v/>
      </c>
      <c r="U117" s="238">
        <f>IF(ABS(U78)&gt;0,IF(U78&gt;0.001,U78,_xlfn.MINIFS(U$58:U$92,U$58:U$92,"&gt;0")/3),0)</f>
        <v/>
      </c>
      <c r="V117" s="238">
        <f>IF(ABS(V78)&gt;0,IF(V78&gt;0.001,V78,_xlfn.MINIFS(V$58:V$92,V$58:V$92,"&gt;0")/3),0)</f>
        <v/>
      </c>
      <c r="W117" s="238">
        <f>IF(ABS(W78)&gt;0,IF(W78&gt;0.001,W78,_xlfn.MINIFS(W$58:W$92,W$58:W$92,"&gt;0")/3),0)</f>
        <v/>
      </c>
      <c r="X117" s="238">
        <f>IF(ABS(X78)&gt;0,IF(X78&gt;0.001,X78,_xlfn.MINIFS(X$58:X$92,X$58:X$92,"&gt;0")/3),0)</f>
        <v/>
      </c>
      <c r="Y117" s="238">
        <f>IF(ABS(Y78)&gt;0,IF(Y78&gt;0.001,Y78,_xlfn.MINIFS(Y$58:Y$92,Y$58:Y$92,"&gt;0")/3),0)</f>
        <v/>
      </c>
      <c r="Z117" s="238">
        <f>IF(ABS(Z78)&gt;0,IF(Z78&gt;0.001,Z78,_xlfn.MINIFS(Z$58:Z$92,Z$58:Z$92,"&gt;0")/3),0)</f>
        <v/>
      </c>
      <c r="AA117" s="238">
        <f>IF(ABS(AA78)&gt;0,IF(AA78&gt;0.001,AA78,_xlfn.MINIFS(AA$58:AA$92,AA$58:AA$92,"&gt;0")/3),0)</f>
        <v/>
      </c>
      <c r="AB117" s="238">
        <f>IF(ABS(AB78)&gt;0,IF(AB78&gt;0.001,AB78,_xlfn.MINIFS(AB$58:AB$92,AB$58:AB$92,"&gt;0")/3),0)</f>
        <v/>
      </c>
      <c r="AC117" s="238">
        <f>IF(ABS(AC78)&gt;0,IF(AC78&gt;0.001,AC78,_xlfn.MINIFS(AC$58:AC$92,AC$58:AC$92,"&gt;0")/3),0)</f>
        <v/>
      </c>
      <c r="AD117" s="238">
        <f>IF(ABS(AD78)&gt;0,IF(AD78&gt;0.001,AD78,_xlfn.MINIFS(AD$58:AD$92,AD$58:AD$92,"&gt;0")/3),0)</f>
        <v/>
      </c>
      <c r="AE117" s="238">
        <f>IF(ABS(AE78)&gt;0,IF(AE78&gt;0.001,AE78,_xlfn.MINIFS(AE$58:AE$92,AE$58:AE$92,"&gt;0")/3),0)</f>
        <v/>
      </c>
      <c r="AF117" s="238">
        <f>IF(ABS(AF78)&gt;0,IF(AF78&gt;0.001,AF78,_xlfn.MINIFS(AF$58:AF$92,AF$58:AF$92,"&gt;0")/3),0)</f>
        <v/>
      </c>
      <c r="AG117" s="238">
        <f>IF(ABS(AG78)&gt;0,IF(AG78&gt;0.001,AG78,_xlfn.MINIFS(AG$58:AG$92,AG$58:AG$92,"&gt;0")/3),0)</f>
        <v/>
      </c>
      <c r="AH117" s="238">
        <f>IF(ABS(AH78)&gt;0,IF(AH78&gt;0.001,AH78,_xlfn.MINIFS(AH$58:AH$92,AH$58:AH$92,"&gt;0")/3),0)</f>
        <v/>
      </c>
      <c r="AI117" s="238">
        <f>IF(ABS(AI78)&gt;0,IF(AI78&gt;0.001,AI78,_xlfn.MINIFS(AI$58:AI$92,AI$58:AI$92,"&gt;0")/3),0)</f>
        <v/>
      </c>
      <c r="AJ117" s="238">
        <f>IF(ABS(AJ78)&gt;0,IF(AJ78&gt;0.001,AJ78,_xlfn.MINIFS(AJ$58:AJ$92,AJ$58:AJ$92,"&gt;0")/3),0)</f>
        <v/>
      </c>
      <c r="AK117" s="238">
        <f>IF(ABS(AK78)&gt;0,IF(AK78&gt;0.001,AK78,_xlfn.MINIFS(AK$58:AK$92,AK$58:AK$92,"&gt;0")/3),0)</f>
        <v/>
      </c>
      <c r="AL117" s="238">
        <f>IF(ABS(AL78)&gt;0,IF(AL78&gt;0.001,AL78,_xlfn.MINIFS(AL$58:AL$92,AL$58:AL$92,"&gt;0")/3),0)</f>
        <v/>
      </c>
      <c r="AM117" s="238">
        <f>IF(ABS(AM78)&gt;0,IF(AM78&gt;0.001,AM78,_xlfn.MINIFS(AM$58:AM$92,AM$58:AM$92,"&gt;0")/3),0)</f>
        <v/>
      </c>
      <c r="AN117" s="238">
        <f>IF(ABS(AN78)&gt;0,IF(AN78&gt;0.001,AN78,_xlfn.MINIFS(AN$58:AN$92,AN$58:AN$92,"&gt;0")/3),0)</f>
        <v/>
      </c>
      <c r="AO117" s="238">
        <f>IF(ABS(AO78)&gt;0,IF(AO78&gt;0.001,AO78,_xlfn.MINIFS(AO$58:AO$92,AO$58:AO$92,"&gt;0")/3),0)</f>
        <v/>
      </c>
      <c r="AP117" s="238">
        <f>IF(ABS(AP78)&gt;0,IF(AP78&gt;0.001,AP78,_xlfn.MINIFS(AP$58:AP$92,AP$58:AP$92,"&gt;0")/3),0)</f>
        <v/>
      </c>
      <c r="AQ117" s="238">
        <f>IF(ABS(AQ78)&gt;0,IF(AQ78&gt;0.001,AQ78,_xlfn.MINIFS(AQ$58:AQ$92,AQ$58:AQ$92,"&gt;0")/3),0)</f>
        <v/>
      </c>
      <c r="AR117" s="238">
        <f>IF(ABS(AR78)&gt;0,IF(AR78&gt;0.001,AR78,_xlfn.MINIFS(AR$58:AR$92,AR$58:AR$92,"&gt;0")/3),0)</f>
        <v/>
      </c>
      <c r="AS117" s="238">
        <f>IF(ABS(AS78)&gt;0,IF(AS78&gt;0.001,AS78,_xlfn.MINIFS(AS$58:AS$92,AS$58:AS$92,"&gt;0")/3),0)</f>
        <v/>
      </c>
      <c r="AT117" s="238">
        <f>IF(ABS(AT78)&gt;0,IF(AT78&gt;0.001,AT78,_xlfn.MINIFS(AT$58:AT$92,AT$58:AT$92,"&gt;0")/3),0)</f>
        <v/>
      </c>
      <c r="AU117" s="238">
        <f>IF(ABS(AU78)&gt;0,IF(AU78&gt;0.001,AU78,_xlfn.MINIFS(AU$58:AU$92,AU$58:AU$92,"&gt;0")/3),0)</f>
        <v/>
      </c>
      <c r="AV117" s="238">
        <f>IF(ABS(AV78)&gt;0,IF(AV78&gt;0.001,AV78,_xlfn.MINIFS(AV$58:AV$92,AV$58:AV$92,"&gt;0")/3),0)</f>
        <v/>
      </c>
      <c r="AW117" s="238">
        <f>IF(ABS(AW78)&gt;0,IF(AW78&gt;0.001,AW78,_xlfn.MINIFS(AW$58:AW$92,AW$58:AW$92,"&gt;0")/3),0)</f>
        <v/>
      </c>
      <c r="AX117" s="238">
        <f>IF(ABS(AX78)&gt;0,IF(AX78&gt;0.001,AX78,_xlfn.MINIFS(AX$58:AX$92,AX$58:AX$92,"&gt;0")/3),0)</f>
        <v/>
      </c>
      <c r="AY117" s="238">
        <f>IF(ABS(AY78)&gt;0,IF(AY78&gt;0.001,AY78,_xlfn.MINIFS(AY$58:AY$92,AY$58:AY$92,"&gt;0")/3),0)</f>
        <v/>
      </c>
      <c r="AZ117" s="238">
        <f>IF(ABS(AZ78)&gt;0,IF(AZ78&gt;0.001,AZ78,_xlfn.MINIFS(AZ$58:AZ$92,AZ$58:AZ$92,"&gt;0")/3),0)</f>
        <v/>
      </c>
      <c r="BA117" s="238">
        <f>IF(ABS(BA78)&gt;0,IF(BA78&gt;0.001,BA78,_xlfn.MINIFS(BA$58:BA$92,BA$58:BA$92,"&gt;0")/3),0)</f>
        <v/>
      </c>
      <c r="BB117" s="238">
        <f>IF(ABS(BB78)&gt;0,IF(BB78&gt;0.001,BB78,_xlfn.MINIFS(BB$58:BB$92,BB$58:BB$92,"&gt;0")/3),0)</f>
        <v/>
      </c>
    </row>
    <row r="118">
      <c r="C118" s="1" t="n"/>
      <c r="D118" s="237">
        <f>D79</f>
        <v/>
      </c>
      <c r="E118" s="238">
        <f>IF(ABS(E79)&gt;0,IF(E79&gt;0.001,E79,_xlfn.MINIFS(E$58:E$92,E$58:E$92,"&gt;0")/3),0)</f>
        <v/>
      </c>
      <c r="F118" s="238">
        <f>IF(ABS(F79)&gt;0,IF(F79&gt;0.001,F79,_xlfn.MINIFS(F$58:F$92,F$58:F$92,"&gt;0")/3),0)</f>
        <v/>
      </c>
      <c r="G118" s="238">
        <f>IF(ABS(G79)&gt;0,IF(G79&gt;0.001,G79,_xlfn.MINIFS(G$58:G$92,G$58:G$92,"&gt;0")/3),0)</f>
        <v/>
      </c>
      <c r="H118" s="238">
        <f>IF(ABS(H79)&gt;0,IF(H79&gt;0.001,H79,_xlfn.MINIFS(H$58:H$92,H$58:H$92,"&gt;0")/3),0)</f>
        <v/>
      </c>
      <c r="I118" s="238">
        <f>IF(ABS(I79)&gt;0,IF(I79&gt;0.001,I79,_xlfn.MINIFS(I$58:I$92,I$58:I$92,"&gt;0")/3),0)</f>
        <v/>
      </c>
      <c r="J118" s="238">
        <f>IF(ABS(J79)&gt;0,IF(J79&gt;0.001,J79,_xlfn.MINIFS(J$58:J$92,J$58:J$92,"&gt;0")/3),0)</f>
        <v/>
      </c>
      <c r="K118" s="238">
        <f>IF(ABS(K79)&gt;0,IF(K79&gt;0.001,K79,_xlfn.MINIFS(K$58:K$92,K$58:K$92,"&gt;0")/3),0)</f>
        <v/>
      </c>
      <c r="L118" s="238">
        <f>IF(ABS(L79)&gt;0,IF(L79&gt;0.001,L79,_xlfn.MINIFS(L$58:L$92,L$58:L$92,"&gt;0")/3),0)</f>
        <v/>
      </c>
      <c r="M118" s="238">
        <f>IF(ABS(M79)&gt;0,IF(M79&gt;0.001,M79,_xlfn.MINIFS(M$58:M$92,M$58:M$92,"&gt;0")/3),0)</f>
        <v/>
      </c>
      <c r="N118" s="238">
        <f>IF(ABS(N79)&gt;0,IF(N79&gt;0.001,N79,_xlfn.MINIFS(N$58:N$92,N$58:N$92,"&gt;0")/3),0)</f>
        <v/>
      </c>
      <c r="O118" s="238">
        <f>IF(ABS(O79)&gt;0,IF(O79&gt;0.001,O79,_xlfn.MINIFS(O$58:O$92,O$58:O$92,"&gt;0")/3),0)</f>
        <v/>
      </c>
      <c r="P118" s="238">
        <f>IF(ABS(P79)&gt;0,IF(P79&gt;0.001,P79,_xlfn.MINIFS(P$58:P$92,P$58:P$92,"&gt;0")/3),0)</f>
        <v/>
      </c>
      <c r="Q118" s="238">
        <f>IF(ABS(Q79)&gt;0,IF(Q79&gt;0.001,Q79,_xlfn.MINIFS(Q$58:Q$92,Q$58:Q$92,"&gt;0")/3),0)</f>
        <v/>
      </c>
      <c r="R118" s="238">
        <f>IF(ABS(R79)&gt;0,IF(R79&gt;0.001,R79,_xlfn.MINIFS(R$58:R$92,R$58:R$92,"&gt;0")/3),0)</f>
        <v/>
      </c>
      <c r="S118" s="238">
        <f>IF(ABS(S79)&gt;0,IF(S79&gt;0.001,S79,_xlfn.MINIFS(S$58:S$92,S$58:S$92,"&gt;0")/3),0)</f>
        <v/>
      </c>
      <c r="T118" s="238">
        <f>IF(ABS(T79)&gt;0,IF(T79&gt;0.001,T79,_xlfn.MINIFS(T$58:T$92,T$58:T$92,"&gt;0")/3),0)</f>
        <v/>
      </c>
      <c r="U118" s="238">
        <f>IF(ABS(U79)&gt;0,IF(U79&gt;0.001,U79,_xlfn.MINIFS(U$58:U$92,U$58:U$92,"&gt;0")/3),0)</f>
        <v/>
      </c>
      <c r="V118" s="238">
        <f>IF(ABS(V79)&gt;0,IF(V79&gt;0.001,V79,_xlfn.MINIFS(V$58:V$92,V$58:V$92,"&gt;0")/3),0)</f>
        <v/>
      </c>
      <c r="W118" s="238">
        <f>IF(ABS(W79)&gt;0,IF(W79&gt;0.001,W79,_xlfn.MINIFS(W$58:W$92,W$58:W$92,"&gt;0")/3),0)</f>
        <v/>
      </c>
      <c r="X118" s="238">
        <f>IF(ABS(X79)&gt;0,IF(X79&gt;0.001,X79,_xlfn.MINIFS(X$58:X$92,X$58:X$92,"&gt;0")/3),0)</f>
        <v/>
      </c>
      <c r="Y118" s="238">
        <f>IF(ABS(Y79)&gt;0,IF(Y79&gt;0.001,Y79,_xlfn.MINIFS(Y$58:Y$92,Y$58:Y$92,"&gt;0")/3),0)</f>
        <v/>
      </c>
      <c r="Z118" s="238">
        <f>IF(ABS(Z79)&gt;0,IF(Z79&gt;0.001,Z79,_xlfn.MINIFS(Z$58:Z$92,Z$58:Z$92,"&gt;0")/3),0)</f>
        <v/>
      </c>
      <c r="AA118" s="238">
        <f>IF(ABS(AA79)&gt;0,IF(AA79&gt;0.001,AA79,_xlfn.MINIFS(AA$58:AA$92,AA$58:AA$92,"&gt;0")/3),0)</f>
        <v/>
      </c>
      <c r="AB118" s="238">
        <f>IF(ABS(AB79)&gt;0,IF(AB79&gt;0.001,AB79,_xlfn.MINIFS(AB$58:AB$92,AB$58:AB$92,"&gt;0")/3),0)</f>
        <v/>
      </c>
      <c r="AC118" s="238">
        <f>IF(ABS(AC79)&gt;0,IF(AC79&gt;0.001,AC79,_xlfn.MINIFS(AC$58:AC$92,AC$58:AC$92,"&gt;0")/3),0)</f>
        <v/>
      </c>
      <c r="AD118" s="238">
        <f>IF(ABS(AD79)&gt;0,IF(AD79&gt;0.001,AD79,_xlfn.MINIFS(AD$58:AD$92,AD$58:AD$92,"&gt;0")/3),0)</f>
        <v/>
      </c>
      <c r="AE118" s="238">
        <f>IF(ABS(AE79)&gt;0,IF(AE79&gt;0.001,AE79,_xlfn.MINIFS(AE$58:AE$92,AE$58:AE$92,"&gt;0")/3),0)</f>
        <v/>
      </c>
      <c r="AF118" s="238">
        <f>IF(ABS(AF79)&gt;0,IF(AF79&gt;0.001,AF79,_xlfn.MINIFS(AF$58:AF$92,AF$58:AF$92,"&gt;0")/3),0)</f>
        <v/>
      </c>
      <c r="AG118" s="238">
        <f>IF(ABS(AG79)&gt;0,IF(AG79&gt;0.001,AG79,_xlfn.MINIFS(AG$58:AG$92,AG$58:AG$92,"&gt;0")/3),0)</f>
        <v/>
      </c>
      <c r="AH118" s="238">
        <f>IF(ABS(AH79)&gt;0,IF(AH79&gt;0.001,AH79,_xlfn.MINIFS(AH$58:AH$92,AH$58:AH$92,"&gt;0")/3),0)</f>
        <v/>
      </c>
      <c r="AI118" s="238">
        <f>IF(ABS(AI79)&gt;0,IF(AI79&gt;0.001,AI79,_xlfn.MINIFS(AI$58:AI$92,AI$58:AI$92,"&gt;0")/3),0)</f>
        <v/>
      </c>
      <c r="AJ118" s="238">
        <f>IF(ABS(AJ79)&gt;0,IF(AJ79&gt;0.001,AJ79,_xlfn.MINIFS(AJ$58:AJ$92,AJ$58:AJ$92,"&gt;0")/3),0)</f>
        <v/>
      </c>
      <c r="AK118" s="238">
        <f>IF(ABS(AK79)&gt;0,IF(AK79&gt;0.001,AK79,_xlfn.MINIFS(AK$58:AK$92,AK$58:AK$92,"&gt;0")/3),0)</f>
        <v/>
      </c>
      <c r="AL118" s="238">
        <f>IF(ABS(AL79)&gt;0,IF(AL79&gt;0.001,AL79,_xlfn.MINIFS(AL$58:AL$92,AL$58:AL$92,"&gt;0")/3),0)</f>
        <v/>
      </c>
      <c r="AM118" s="238">
        <f>IF(ABS(AM79)&gt;0,IF(AM79&gt;0.001,AM79,_xlfn.MINIFS(AM$58:AM$92,AM$58:AM$92,"&gt;0")/3),0)</f>
        <v/>
      </c>
      <c r="AN118" s="238">
        <f>IF(ABS(AN79)&gt;0,IF(AN79&gt;0.001,AN79,_xlfn.MINIFS(AN$58:AN$92,AN$58:AN$92,"&gt;0")/3),0)</f>
        <v/>
      </c>
      <c r="AO118" s="238">
        <f>IF(ABS(AO79)&gt;0,IF(AO79&gt;0.001,AO79,_xlfn.MINIFS(AO$58:AO$92,AO$58:AO$92,"&gt;0")/3),0)</f>
        <v/>
      </c>
      <c r="AP118" s="238">
        <f>IF(ABS(AP79)&gt;0,IF(AP79&gt;0.001,AP79,_xlfn.MINIFS(AP$58:AP$92,AP$58:AP$92,"&gt;0")/3),0)</f>
        <v/>
      </c>
      <c r="AQ118" s="238">
        <f>IF(ABS(AQ79)&gt;0,IF(AQ79&gt;0.001,AQ79,_xlfn.MINIFS(AQ$58:AQ$92,AQ$58:AQ$92,"&gt;0")/3),0)</f>
        <v/>
      </c>
      <c r="AR118" s="238">
        <f>IF(ABS(AR79)&gt;0,IF(AR79&gt;0.001,AR79,_xlfn.MINIFS(AR$58:AR$92,AR$58:AR$92,"&gt;0")/3),0)</f>
        <v/>
      </c>
      <c r="AS118" s="238">
        <f>IF(ABS(AS79)&gt;0,IF(AS79&gt;0.001,AS79,_xlfn.MINIFS(AS$58:AS$92,AS$58:AS$92,"&gt;0")/3),0)</f>
        <v/>
      </c>
      <c r="AT118" s="238">
        <f>IF(ABS(AT79)&gt;0,IF(AT79&gt;0.001,AT79,_xlfn.MINIFS(AT$58:AT$92,AT$58:AT$92,"&gt;0")/3),0)</f>
        <v/>
      </c>
      <c r="AU118" s="238">
        <f>IF(ABS(AU79)&gt;0,IF(AU79&gt;0.001,AU79,_xlfn.MINIFS(AU$58:AU$92,AU$58:AU$92,"&gt;0")/3),0)</f>
        <v/>
      </c>
      <c r="AV118" s="238">
        <f>IF(ABS(AV79)&gt;0,IF(AV79&gt;0.001,AV79,_xlfn.MINIFS(AV$58:AV$92,AV$58:AV$92,"&gt;0")/3),0)</f>
        <v/>
      </c>
      <c r="AW118" s="238">
        <f>IF(ABS(AW79)&gt;0,IF(AW79&gt;0.001,AW79,_xlfn.MINIFS(AW$58:AW$92,AW$58:AW$92,"&gt;0")/3),0)</f>
        <v/>
      </c>
      <c r="AX118" s="238">
        <f>IF(ABS(AX79)&gt;0,IF(AX79&gt;0.001,AX79,_xlfn.MINIFS(AX$58:AX$92,AX$58:AX$92,"&gt;0")/3),0)</f>
        <v/>
      </c>
      <c r="AY118" s="238">
        <f>IF(ABS(AY79)&gt;0,IF(AY79&gt;0.001,AY79,_xlfn.MINIFS(AY$58:AY$92,AY$58:AY$92,"&gt;0")/3),0)</f>
        <v/>
      </c>
      <c r="AZ118" s="238">
        <f>IF(ABS(AZ79)&gt;0,IF(AZ79&gt;0.001,AZ79,_xlfn.MINIFS(AZ$58:AZ$92,AZ$58:AZ$92,"&gt;0")/3),0)</f>
        <v/>
      </c>
      <c r="BA118" s="238">
        <f>IF(ABS(BA79)&gt;0,IF(BA79&gt;0.001,BA79,_xlfn.MINIFS(BA$58:BA$92,BA$58:BA$92,"&gt;0")/3),0)</f>
        <v/>
      </c>
      <c r="BB118" s="238">
        <f>IF(ABS(BB79)&gt;0,IF(BB79&gt;0.001,BB79,_xlfn.MINIFS(BB$58:BB$92,BB$58:BB$92,"&gt;0")/3),0)</f>
        <v/>
      </c>
    </row>
    <row r="119">
      <c r="C119" s="1" t="n"/>
      <c r="D119" s="237">
        <f>D80</f>
        <v/>
      </c>
      <c r="E119" s="238">
        <f>IF(ABS(E80)&gt;0,IF(E80&gt;0.001,E80,_xlfn.MINIFS(E$58:E$92,E$58:E$92,"&gt;0")/3),0)</f>
        <v/>
      </c>
      <c r="F119" s="238">
        <f>IF(ABS(F80)&gt;0,IF(F80&gt;0.001,F80,_xlfn.MINIFS(F$58:F$92,F$58:F$92,"&gt;0")/3),0)</f>
        <v/>
      </c>
      <c r="G119" s="238">
        <f>IF(ABS(G80)&gt;0,IF(G80&gt;0.001,G80,_xlfn.MINIFS(G$58:G$92,G$58:G$92,"&gt;0")/3),0)</f>
        <v/>
      </c>
      <c r="H119" s="238">
        <f>IF(ABS(H80)&gt;0,IF(H80&gt;0.001,H80,_xlfn.MINIFS(H$58:H$92,H$58:H$92,"&gt;0")/3),0)</f>
        <v/>
      </c>
      <c r="I119" s="238">
        <f>IF(ABS(I80)&gt;0,IF(I80&gt;0.001,I80,_xlfn.MINIFS(I$58:I$92,I$58:I$92,"&gt;0")/3),0)</f>
        <v/>
      </c>
      <c r="J119" s="238">
        <f>IF(ABS(J80)&gt;0,IF(J80&gt;0.001,J80,_xlfn.MINIFS(J$58:J$92,J$58:J$92,"&gt;0")/3),0)</f>
        <v/>
      </c>
      <c r="K119" s="238">
        <f>IF(ABS(K80)&gt;0,IF(K80&gt;0.001,K80,_xlfn.MINIFS(K$58:K$92,K$58:K$92,"&gt;0")/3),0)</f>
        <v/>
      </c>
      <c r="L119" s="238">
        <f>IF(ABS(L80)&gt;0,IF(L80&gt;0.001,L80,_xlfn.MINIFS(L$58:L$92,L$58:L$92,"&gt;0")/3),0)</f>
        <v/>
      </c>
      <c r="M119" s="238">
        <f>IF(ABS(M80)&gt;0,IF(M80&gt;0.001,M80,_xlfn.MINIFS(M$58:M$92,M$58:M$92,"&gt;0")/3),0)</f>
        <v/>
      </c>
      <c r="N119" s="238">
        <f>IF(ABS(N80)&gt;0,IF(N80&gt;0.001,N80,_xlfn.MINIFS(N$58:N$92,N$58:N$92,"&gt;0")/3),0)</f>
        <v/>
      </c>
      <c r="O119" s="238">
        <f>IF(ABS(O80)&gt;0,IF(O80&gt;0.001,O80,_xlfn.MINIFS(O$58:O$92,O$58:O$92,"&gt;0")/3),0)</f>
        <v/>
      </c>
      <c r="P119" s="238">
        <f>IF(ABS(P80)&gt;0,IF(P80&gt;0.001,P80,_xlfn.MINIFS(P$58:P$92,P$58:P$92,"&gt;0")/3),0)</f>
        <v/>
      </c>
      <c r="Q119" s="238">
        <f>IF(ABS(Q80)&gt;0,IF(Q80&gt;0.001,Q80,_xlfn.MINIFS(Q$58:Q$92,Q$58:Q$92,"&gt;0")/3),0)</f>
        <v/>
      </c>
      <c r="R119" s="238">
        <f>IF(ABS(R80)&gt;0,IF(R80&gt;0.001,R80,_xlfn.MINIFS(R$58:R$92,R$58:R$92,"&gt;0")/3),0)</f>
        <v/>
      </c>
      <c r="S119" s="238">
        <f>IF(ABS(S80)&gt;0,IF(S80&gt;0.001,S80,_xlfn.MINIFS(S$58:S$92,S$58:S$92,"&gt;0")/3),0)</f>
        <v/>
      </c>
      <c r="T119" s="238">
        <f>IF(ABS(T80)&gt;0,IF(T80&gt;0.001,T80,_xlfn.MINIFS(T$58:T$92,T$58:T$92,"&gt;0")/3),0)</f>
        <v/>
      </c>
      <c r="U119" s="238">
        <f>IF(ABS(U80)&gt;0,IF(U80&gt;0.001,U80,_xlfn.MINIFS(U$58:U$92,U$58:U$92,"&gt;0")/3),0)</f>
        <v/>
      </c>
      <c r="V119" s="238">
        <f>IF(ABS(V80)&gt;0,IF(V80&gt;0.001,V80,_xlfn.MINIFS(V$58:V$92,V$58:V$92,"&gt;0")/3),0)</f>
        <v/>
      </c>
      <c r="W119" s="238">
        <f>IF(ABS(W80)&gt;0,IF(W80&gt;0.001,W80,_xlfn.MINIFS(W$58:W$92,W$58:W$92,"&gt;0")/3),0)</f>
        <v/>
      </c>
      <c r="X119" s="238">
        <f>IF(ABS(X80)&gt;0,IF(X80&gt;0.001,X80,_xlfn.MINIFS(X$58:X$92,X$58:X$92,"&gt;0")/3),0)</f>
        <v/>
      </c>
      <c r="Y119" s="238">
        <f>IF(ABS(Y80)&gt;0,IF(Y80&gt;0.001,Y80,_xlfn.MINIFS(Y$58:Y$92,Y$58:Y$92,"&gt;0")/3),0)</f>
        <v/>
      </c>
      <c r="Z119" s="238">
        <f>IF(ABS(Z80)&gt;0,IF(Z80&gt;0.001,Z80,_xlfn.MINIFS(Z$58:Z$92,Z$58:Z$92,"&gt;0")/3),0)</f>
        <v/>
      </c>
      <c r="AA119" s="238">
        <f>IF(ABS(AA80)&gt;0,IF(AA80&gt;0.001,AA80,_xlfn.MINIFS(AA$58:AA$92,AA$58:AA$92,"&gt;0")/3),0)</f>
        <v/>
      </c>
      <c r="AB119" s="238">
        <f>IF(ABS(AB80)&gt;0,IF(AB80&gt;0.001,AB80,_xlfn.MINIFS(AB$58:AB$92,AB$58:AB$92,"&gt;0")/3),0)</f>
        <v/>
      </c>
      <c r="AC119" s="238">
        <f>IF(ABS(AC80)&gt;0,IF(AC80&gt;0.001,AC80,_xlfn.MINIFS(AC$58:AC$92,AC$58:AC$92,"&gt;0")/3),0)</f>
        <v/>
      </c>
      <c r="AD119" s="238">
        <f>IF(ABS(AD80)&gt;0,IF(AD80&gt;0.001,AD80,_xlfn.MINIFS(AD$58:AD$92,AD$58:AD$92,"&gt;0")/3),0)</f>
        <v/>
      </c>
      <c r="AE119" s="238">
        <f>IF(ABS(AE80)&gt;0,IF(AE80&gt;0.001,AE80,_xlfn.MINIFS(AE$58:AE$92,AE$58:AE$92,"&gt;0")/3),0)</f>
        <v/>
      </c>
      <c r="AF119" s="238">
        <f>IF(ABS(AF80)&gt;0,IF(AF80&gt;0.001,AF80,_xlfn.MINIFS(AF$58:AF$92,AF$58:AF$92,"&gt;0")/3),0)</f>
        <v/>
      </c>
      <c r="AG119" s="238">
        <f>IF(ABS(AG80)&gt;0,IF(AG80&gt;0.001,AG80,_xlfn.MINIFS(AG$58:AG$92,AG$58:AG$92,"&gt;0")/3),0)</f>
        <v/>
      </c>
      <c r="AH119" s="238">
        <f>IF(ABS(AH80)&gt;0,IF(AH80&gt;0.001,AH80,_xlfn.MINIFS(AH$58:AH$92,AH$58:AH$92,"&gt;0")/3),0)</f>
        <v/>
      </c>
      <c r="AI119" s="238">
        <f>IF(ABS(AI80)&gt;0,IF(AI80&gt;0.001,AI80,_xlfn.MINIFS(AI$58:AI$92,AI$58:AI$92,"&gt;0")/3),0)</f>
        <v/>
      </c>
      <c r="AJ119" s="238">
        <f>IF(ABS(AJ80)&gt;0,IF(AJ80&gt;0.001,AJ80,_xlfn.MINIFS(AJ$58:AJ$92,AJ$58:AJ$92,"&gt;0")/3),0)</f>
        <v/>
      </c>
      <c r="AK119" s="238">
        <f>IF(ABS(AK80)&gt;0,IF(AK80&gt;0.001,AK80,_xlfn.MINIFS(AK$58:AK$92,AK$58:AK$92,"&gt;0")/3),0)</f>
        <v/>
      </c>
      <c r="AL119" s="238">
        <f>IF(ABS(AL80)&gt;0,IF(AL80&gt;0.001,AL80,_xlfn.MINIFS(AL$58:AL$92,AL$58:AL$92,"&gt;0")/3),0)</f>
        <v/>
      </c>
      <c r="AM119" s="238">
        <f>IF(ABS(AM80)&gt;0,IF(AM80&gt;0.001,AM80,_xlfn.MINIFS(AM$58:AM$92,AM$58:AM$92,"&gt;0")/3),0)</f>
        <v/>
      </c>
      <c r="AN119" s="238">
        <f>IF(ABS(AN80)&gt;0,IF(AN80&gt;0.001,AN80,_xlfn.MINIFS(AN$58:AN$92,AN$58:AN$92,"&gt;0")/3),0)</f>
        <v/>
      </c>
      <c r="AO119" s="238">
        <f>IF(ABS(AO80)&gt;0,IF(AO80&gt;0.001,AO80,_xlfn.MINIFS(AO$58:AO$92,AO$58:AO$92,"&gt;0")/3),0)</f>
        <v/>
      </c>
      <c r="AP119" s="238">
        <f>IF(ABS(AP80)&gt;0,IF(AP80&gt;0.001,AP80,_xlfn.MINIFS(AP$58:AP$92,AP$58:AP$92,"&gt;0")/3),0)</f>
        <v/>
      </c>
      <c r="AQ119" s="238">
        <f>IF(ABS(AQ80)&gt;0,IF(AQ80&gt;0.001,AQ80,_xlfn.MINIFS(AQ$58:AQ$92,AQ$58:AQ$92,"&gt;0")/3),0)</f>
        <v/>
      </c>
      <c r="AR119" s="238">
        <f>IF(ABS(AR80)&gt;0,IF(AR80&gt;0.001,AR80,_xlfn.MINIFS(AR$58:AR$92,AR$58:AR$92,"&gt;0")/3),0)</f>
        <v/>
      </c>
      <c r="AS119" s="238">
        <f>IF(ABS(AS80)&gt;0,IF(AS80&gt;0.001,AS80,_xlfn.MINIFS(AS$58:AS$92,AS$58:AS$92,"&gt;0")/3),0)</f>
        <v/>
      </c>
      <c r="AT119" s="238">
        <f>IF(ABS(AT80)&gt;0,IF(AT80&gt;0.001,AT80,_xlfn.MINIFS(AT$58:AT$92,AT$58:AT$92,"&gt;0")/3),0)</f>
        <v/>
      </c>
      <c r="AU119" s="238">
        <f>IF(ABS(AU80)&gt;0,IF(AU80&gt;0.001,AU80,_xlfn.MINIFS(AU$58:AU$92,AU$58:AU$92,"&gt;0")/3),0)</f>
        <v/>
      </c>
      <c r="AV119" s="238">
        <f>IF(ABS(AV80)&gt;0,IF(AV80&gt;0.001,AV80,_xlfn.MINIFS(AV$58:AV$92,AV$58:AV$92,"&gt;0")/3),0)</f>
        <v/>
      </c>
      <c r="AW119" s="238">
        <f>IF(ABS(AW80)&gt;0,IF(AW80&gt;0.001,AW80,_xlfn.MINIFS(AW$58:AW$92,AW$58:AW$92,"&gt;0")/3),0)</f>
        <v/>
      </c>
      <c r="AX119" s="238">
        <f>IF(ABS(AX80)&gt;0,IF(AX80&gt;0.001,AX80,_xlfn.MINIFS(AX$58:AX$92,AX$58:AX$92,"&gt;0")/3),0)</f>
        <v/>
      </c>
      <c r="AY119" s="238">
        <f>IF(ABS(AY80)&gt;0,IF(AY80&gt;0.001,AY80,_xlfn.MINIFS(AY$58:AY$92,AY$58:AY$92,"&gt;0")/3),0)</f>
        <v/>
      </c>
      <c r="AZ119" s="238">
        <f>IF(ABS(AZ80)&gt;0,IF(AZ80&gt;0.001,AZ80,_xlfn.MINIFS(AZ$58:AZ$92,AZ$58:AZ$92,"&gt;0")/3),0)</f>
        <v/>
      </c>
      <c r="BA119" s="238">
        <f>IF(ABS(BA80)&gt;0,IF(BA80&gt;0.001,BA80,_xlfn.MINIFS(BA$58:BA$92,BA$58:BA$92,"&gt;0")/3),0)</f>
        <v/>
      </c>
      <c r="BB119" s="238">
        <f>IF(ABS(BB80)&gt;0,IF(BB80&gt;0.001,BB80,_xlfn.MINIFS(BB$58:BB$92,BB$58:BB$92,"&gt;0")/3),0)</f>
        <v/>
      </c>
    </row>
    <row r="120">
      <c r="C120" s="1" t="n"/>
      <c r="D120" s="237">
        <f>D81</f>
        <v/>
      </c>
      <c r="E120" s="238">
        <f>IF(ABS(E81)&gt;0,IF(E81&gt;0.001,E81,_xlfn.MINIFS(E$58:E$92,E$58:E$92,"&gt;0")/3),0)</f>
        <v/>
      </c>
      <c r="F120" s="238">
        <f>IF(ABS(F81)&gt;0,IF(F81&gt;0.001,F81,_xlfn.MINIFS(F$58:F$92,F$58:F$92,"&gt;0")/3),0)</f>
        <v/>
      </c>
      <c r="G120" s="238">
        <f>IF(ABS(G81)&gt;0,IF(G81&gt;0.001,G81,_xlfn.MINIFS(G$58:G$92,G$58:G$92,"&gt;0")/3),0)</f>
        <v/>
      </c>
      <c r="H120" s="238">
        <f>IF(ABS(H81)&gt;0,IF(H81&gt;0.001,H81,_xlfn.MINIFS(H$58:H$92,H$58:H$92,"&gt;0")/3),0)</f>
        <v/>
      </c>
      <c r="I120" s="238">
        <f>IF(ABS(I81)&gt;0,IF(I81&gt;0.001,I81,_xlfn.MINIFS(I$58:I$92,I$58:I$92,"&gt;0")/3),0)</f>
        <v/>
      </c>
      <c r="J120" s="238">
        <f>IF(ABS(J81)&gt;0,IF(J81&gt;0.001,J81,_xlfn.MINIFS(J$58:J$92,J$58:J$92,"&gt;0")/3),0)</f>
        <v/>
      </c>
      <c r="K120" s="238">
        <f>IF(ABS(K81)&gt;0,IF(K81&gt;0.001,K81,_xlfn.MINIFS(K$58:K$92,K$58:K$92,"&gt;0")/3),0)</f>
        <v/>
      </c>
      <c r="L120" s="238">
        <f>IF(ABS(L81)&gt;0,IF(L81&gt;0.001,L81,_xlfn.MINIFS(L$58:L$92,L$58:L$92,"&gt;0")/3),0)</f>
        <v/>
      </c>
      <c r="M120" s="238">
        <f>IF(ABS(M81)&gt;0,IF(M81&gt;0.001,M81,_xlfn.MINIFS(M$58:M$92,M$58:M$92,"&gt;0")/3),0)</f>
        <v/>
      </c>
      <c r="N120" s="238">
        <f>IF(ABS(N81)&gt;0,IF(N81&gt;0.001,N81,_xlfn.MINIFS(N$58:N$92,N$58:N$92,"&gt;0")/3),0)</f>
        <v/>
      </c>
      <c r="O120" s="238">
        <f>IF(ABS(O81)&gt;0,IF(O81&gt;0.001,O81,_xlfn.MINIFS(O$58:O$92,O$58:O$92,"&gt;0")/3),0)</f>
        <v/>
      </c>
      <c r="P120" s="238">
        <f>IF(ABS(P81)&gt;0,IF(P81&gt;0.001,P81,_xlfn.MINIFS(P$58:P$92,P$58:P$92,"&gt;0")/3),0)</f>
        <v/>
      </c>
      <c r="Q120" s="238">
        <f>IF(ABS(Q81)&gt;0,IF(Q81&gt;0.001,Q81,_xlfn.MINIFS(Q$58:Q$92,Q$58:Q$92,"&gt;0")/3),0)</f>
        <v/>
      </c>
      <c r="R120" s="238">
        <f>IF(ABS(R81)&gt;0,IF(R81&gt;0.001,R81,_xlfn.MINIFS(R$58:R$92,R$58:R$92,"&gt;0")/3),0)</f>
        <v/>
      </c>
      <c r="S120" s="238">
        <f>IF(ABS(S81)&gt;0,IF(S81&gt;0.001,S81,_xlfn.MINIFS(S$58:S$92,S$58:S$92,"&gt;0")/3),0)</f>
        <v/>
      </c>
      <c r="T120" s="238">
        <f>IF(ABS(T81)&gt;0,IF(T81&gt;0.001,T81,_xlfn.MINIFS(T$58:T$92,T$58:T$92,"&gt;0")/3),0)</f>
        <v/>
      </c>
      <c r="U120" s="238">
        <f>IF(ABS(U81)&gt;0,IF(U81&gt;0.001,U81,_xlfn.MINIFS(U$58:U$92,U$58:U$92,"&gt;0")/3),0)</f>
        <v/>
      </c>
      <c r="V120" s="238">
        <f>IF(ABS(V81)&gt;0,IF(V81&gt;0.001,V81,_xlfn.MINIFS(V$58:V$92,V$58:V$92,"&gt;0")/3),0)</f>
        <v/>
      </c>
      <c r="W120" s="238">
        <f>IF(ABS(W81)&gt;0,IF(W81&gt;0.001,W81,_xlfn.MINIFS(W$58:W$92,W$58:W$92,"&gt;0")/3),0)</f>
        <v/>
      </c>
      <c r="X120" s="238">
        <f>IF(ABS(X81)&gt;0,IF(X81&gt;0.001,X81,_xlfn.MINIFS(X$58:X$92,X$58:X$92,"&gt;0")/3),0)</f>
        <v/>
      </c>
      <c r="Y120" s="238">
        <f>IF(ABS(Y81)&gt;0,IF(Y81&gt;0.001,Y81,_xlfn.MINIFS(Y$58:Y$92,Y$58:Y$92,"&gt;0")/3),0)</f>
        <v/>
      </c>
      <c r="Z120" s="238">
        <f>IF(ABS(Z81)&gt;0,IF(Z81&gt;0.001,Z81,_xlfn.MINIFS(Z$58:Z$92,Z$58:Z$92,"&gt;0")/3),0)</f>
        <v/>
      </c>
      <c r="AA120" s="238">
        <f>IF(ABS(AA81)&gt;0,IF(AA81&gt;0.001,AA81,_xlfn.MINIFS(AA$58:AA$92,AA$58:AA$92,"&gt;0")/3),0)</f>
        <v/>
      </c>
      <c r="AB120" s="238">
        <f>IF(ABS(AB81)&gt;0,IF(AB81&gt;0.001,AB81,_xlfn.MINIFS(AB$58:AB$92,AB$58:AB$92,"&gt;0")/3),0)</f>
        <v/>
      </c>
      <c r="AC120" s="238">
        <f>IF(ABS(AC81)&gt;0,IF(AC81&gt;0.001,AC81,_xlfn.MINIFS(AC$58:AC$92,AC$58:AC$92,"&gt;0")/3),0)</f>
        <v/>
      </c>
      <c r="AD120" s="238">
        <f>IF(ABS(AD81)&gt;0,IF(AD81&gt;0.001,AD81,_xlfn.MINIFS(AD$58:AD$92,AD$58:AD$92,"&gt;0")/3),0)</f>
        <v/>
      </c>
      <c r="AE120" s="238">
        <f>IF(ABS(AE81)&gt;0,IF(AE81&gt;0.001,AE81,_xlfn.MINIFS(AE$58:AE$92,AE$58:AE$92,"&gt;0")/3),0)</f>
        <v/>
      </c>
      <c r="AF120" s="238">
        <f>IF(ABS(AF81)&gt;0,IF(AF81&gt;0.001,AF81,_xlfn.MINIFS(AF$58:AF$92,AF$58:AF$92,"&gt;0")/3),0)</f>
        <v/>
      </c>
      <c r="AG120" s="238">
        <f>IF(ABS(AG81)&gt;0,IF(AG81&gt;0.001,AG81,_xlfn.MINIFS(AG$58:AG$92,AG$58:AG$92,"&gt;0")/3),0)</f>
        <v/>
      </c>
      <c r="AH120" s="238">
        <f>IF(ABS(AH81)&gt;0,IF(AH81&gt;0.001,AH81,_xlfn.MINIFS(AH$58:AH$92,AH$58:AH$92,"&gt;0")/3),0)</f>
        <v/>
      </c>
      <c r="AI120" s="238">
        <f>IF(ABS(AI81)&gt;0,IF(AI81&gt;0.001,AI81,_xlfn.MINIFS(AI$58:AI$92,AI$58:AI$92,"&gt;0")/3),0)</f>
        <v/>
      </c>
      <c r="AJ120" s="238">
        <f>IF(ABS(AJ81)&gt;0,IF(AJ81&gt;0.001,AJ81,_xlfn.MINIFS(AJ$58:AJ$92,AJ$58:AJ$92,"&gt;0")/3),0)</f>
        <v/>
      </c>
      <c r="AK120" s="238">
        <f>IF(ABS(AK81)&gt;0,IF(AK81&gt;0.001,AK81,_xlfn.MINIFS(AK$58:AK$92,AK$58:AK$92,"&gt;0")/3),0)</f>
        <v/>
      </c>
      <c r="AL120" s="238">
        <f>IF(ABS(AL81)&gt;0,IF(AL81&gt;0.001,AL81,_xlfn.MINIFS(AL$58:AL$92,AL$58:AL$92,"&gt;0")/3),0)</f>
        <v/>
      </c>
      <c r="AM120" s="238">
        <f>IF(ABS(AM81)&gt;0,IF(AM81&gt;0.001,AM81,_xlfn.MINIFS(AM$58:AM$92,AM$58:AM$92,"&gt;0")/3),0)</f>
        <v/>
      </c>
      <c r="AN120" s="238">
        <f>IF(ABS(AN81)&gt;0,IF(AN81&gt;0.001,AN81,_xlfn.MINIFS(AN$58:AN$92,AN$58:AN$92,"&gt;0")/3),0)</f>
        <v/>
      </c>
      <c r="AO120" s="238">
        <f>IF(ABS(AO81)&gt;0,IF(AO81&gt;0.001,AO81,_xlfn.MINIFS(AO$58:AO$92,AO$58:AO$92,"&gt;0")/3),0)</f>
        <v/>
      </c>
      <c r="AP120" s="238">
        <f>IF(ABS(AP81)&gt;0,IF(AP81&gt;0.001,AP81,_xlfn.MINIFS(AP$58:AP$92,AP$58:AP$92,"&gt;0")/3),0)</f>
        <v/>
      </c>
      <c r="AQ120" s="238">
        <f>IF(ABS(AQ81)&gt;0,IF(AQ81&gt;0.001,AQ81,_xlfn.MINIFS(AQ$58:AQ$92,AQ$58:AQ$92,"&gt;0")/3),0)</f>
        <v/>
      </c>
      <c r="AR120" s="238">
        <f>IF(ABS(AR81)&gt;0,IF(AR81&gt;0.001,AR81,_xlfn.MINIFS(AR$58:AR$92,AR$58:AR$92,"&gt;0")/3),0)</f>
        <v/>
      </c>
      <c r="AS120" s="238">
        <f>IF(ABS(AS81)&gt;0,IF(AS81&gt;0.001,AS81,_xlfn.MINIFS(AS$58:AS$92,AS$58:AS$92,"&gt;0")/3),0)</f>
        <v/>
      </c>
      <c r="AT120" s="238">
        <f>IF(ABS(AT81)&gt;0,IF(AT81&gt;0.001,AT81,_xlfn.MINIFS(AT$58:AT$92,AT$58:AT$92,"&gt;0")/3),0)</f>
        <v/>
      </c>
      <c r="AU120" s="238">
        <f>IF(ABS(AU81)&gt;0,IF(AU81&gt;0.001,AU81,_xlfn.MINIFS(AU$58:AU$92,AU$58:AU$92,"&gt;0")/3),0)</f>
        <v/>
      </c>
      <c r="AV120" s="238">
        <f>IF(ABS(AV81)&gt;0,IF(AV81&gt;0.001,AV81,_xlfn.MINIFS(AV$58:AV$92,AV$58:AV$92,"&gt;0")/3),0)</f>
        <v/>
      </c>
      <c r="AW120" s="238">
        <f>IF(ABS(AW81)&gt;0,IF(AW81&gt;0.001,AW81,_xlfn.MINIFS(AW$58:AW$92,AW$58:AW$92,"&gt;0")/3),0)</f>
        <v/>
      </c>
      <c r="AX120" s="238">
        <f>IF(ABS(AX81)&gt;0,IF(AX81&gt;0.001,AX81,_xlfn.MINIFS(AX$58:AX$92,AX$58:AX$92,"&gt;0")/3),0)</f>
        <v/>
      </c>
      <c r="AY120" s="238">
        <f>IF(ABS(AY81)&gt;0,IF(AY81&gt;0.001,AY81,_xlfn.MINIFS(AY$58:AY$92,AY$58:AY$92,"&gt;0")/3),0)</f>
        <v/>
      </c>
      <c r="AZ120" s="238">
        <f>IF(ABS(AZ81)&gt;0,IF(AZ81&gt;0.001,AZ81,_xlfn.MINIFS(AZ$58:AZ$92,AZ$58:AZ$92,"&gt;0")/3),0)</f>
        <v/>
      </c>
      <c r="BA120" s="238">
        <f>IF(ABS(BA81)&gt;0,IF(BA81&gt;0.001,BA81,_xlfn.MINIFS(BA$58:BA$92,BA$58:BA$92,"&gt;0")/3),0)</f>
        <v/>
      </c>
      <c r="BB120" s="238">
        <f>IF(ABS(BB81)&gt;0,IF(BB81&gt;0.001,BB81,_xlfn.MINIFS(BB$58:BB$92,BB$58:BB$92,"&gt;0")/3),0)</f>
        <v/>
      </c>
    </row>
    <row r="121">
      <c r="C121" s="1" t="n"/>
      <c r="D121" s="237">
        <f>D82</f>
        <v/>
      </c>
      <c r="E121" s="238">
        <f>IF(ABS(E82)&gt;0,IF(E82&gt;0.001,E82,_xlfn.MINIFS(E$58:E$92,E$58:E$92,"&gt;0")/3),0)</f>
        <v/>
      </c>
      <c r="F121" s="238">
        <f>IF(ABS(F82)&gt;0,IF(F82&gt;0.001,F82,_xlfn.MINIFS(F$58:F$92,F$58:F$92,"&gt;0")/3),0)</f>
        <v/>
      </c>
      <c r="G121" s="238">
        <f>IF(ABS(G82)&gt;0,IF(G82&gt;0.001,G82,_xlfn.MINIFS(G$58:G$92,G$58:G$92,"&gt;0")/3),0)</f>
        <v/>
      </c>
      <c r="H121" s="238">
        <f>IF(ABS(H82)&gt;0,IF(H82&gt;0.001,H82,_xlfn.MINIFS(H$58:H$92,H$58:H$92,"&gt;0")/3),0)</f>
        <v/>
      </c>
      <c r="I121" s="238">
        <f>IF(ABS(I82)&gt;0,IF(I82&gt;0.001,I82,_xlfn.MINIFS(I$58:I$92,I$58:I$92,"&gt;0")/3),0)</f>
        <v/>
      </c>
      <c r="J121" s="238">
        <f>IF(ABS(J82)&gt;0,IF(J82&gt;0.001,J82,_xlfn.MINIFS(J$58:J$92,J$58:J$92,"&gt;0")/3),0)</f>
        <v/>
      </c>
      <c r="K121" s="238">
        <f>IF(ABS(K82)&gt;0,IF(K82&gt;0.001,K82,_xlfn.MINIFS(K$58:K$92,K$58:K$92,"&gt;0")/3),0)</f>
        <v/>
      </c>
      <c r="L121" s="238">
        <f>IF(ABS(L82)&gt;0,IF(L82&gt;0.001,L82,_xlfn.MINIFS(L$58:L$92,L$58:L$92,"&gt;0")/3),0)</f>
        <v/>
      </c>
      <c r="M121" s="238">
        <f>IF(ABS(M82)&gt;0,IF(M82&gt;0.001,M82,_xlfn.MINIFS(M$58:M$92,M$58:M$92,"&gt;0")/3),0)</f>
        <v/>
      </c>
      <c r="N121" s="238">
        <f>IF(ABS(N82)&gt;0,IF(N82&gt;0.001,N82,_xlfn.MINIFS(N$58:N$92,N$58:N$92,"&gt;0")/3),0)</f>
        <v/>
      </c>
      <c r="O121" s="238">
        <f>IF(ABS(O82)&gt;0,IF(O82&gt;0.001,O82,_xlfn.MINIFS(O$58:O$92,O$58:O$92,"&gt;0")/3),0)</f>
        <v/>
      </c>
      <c r="P121" s="238">
        <f>IF(ABS(P82)&gt;0,IF(P82&gt;0.001,P82,_xlfn.MINIFS(P$58:P$92,P$58:P$92,"&gt;0")/3),0)</f>
        <v/>
      </c>
      <c r="Q121" s="238">
        <f>IF(ABS(Q82)&gt;0,IF(Q82&gt;0.001,Q82,_xlfn.MINIFS(Q$58:Q$92,Q$58:Q$92,"&gt;0")/3),0)</f>
        <v/>
      </c>
      <c r="R121" s="238">
        <f>IF(ABS(R82)&gt;0,IF(R82&gt;0.001,R82,_xlfn.MINIFS(R$58:R$92,R$58:R$92,"&gt;0")/3),0)</f>
        <v/>
      </c>
      <c r="S121" s="238">
        <f>IF(ABS(S82)&gt;0,IF(S82&gt;0.001,S82,_xlfn.MINIFS(S$58:S$92,S$58:S$92,"&gt;0")/3),0)</f>
        <v/>
      </c>
      <c r="T121" s="238">
        <f>IF(ABS(T82)&gt;0,IF(T82&gt;0.001,T82,_xlfn.MINIFS(T$58:T$92,T$58:T$92,"&gt;0")/3),0)</f>
        <v/>
      </c>
      <c r="U121" s="238">
        <f>IF(ABS(U82)&gt;0,IF(U82&gt;0.001,U82,_xlfn.MINIFS(U$58:U$92,U$58:U$92,"&gt;0")/3),0)</f>
        <v/>
      </c>
      <c r="V121" s="238">
        <f>IF(ABS(V82)&gt;0,IF(V82&gt;0.001,V82,_xlfn.MINIFS(V$58:V$92,V$58:V$92,"&gt;0")/3),0)</f>
        <v/>
      </c>
      <c r="W121" s="238">
        <f>IF(ABS(W82)&gt;0,IF(W82&gt;0.001,W82,_xlfn.MINIFS(W$58:W$92,W$58:W$92,"&gt;0")/3),0)</f>
        <v/>
      </c>
      <c r="X121" s="238">
        <f>IF(ABS(X82)&gt;0,IF(X82&gt;0.001,X82,_xlfn.MINIFS(X$58:X$92,X$58:X$92,"&gt;0")/3),0)</f>
        <v/>
      </c>
      <c r="Y121" s="238">
        <f>IF(ABS(Y82)&gt;0,IF(Y82&gt;0.001,Y82,_xlfn.MINIFS(Y$58:Y$92,Y$58:Y$92,"&gt;0")/3),0)</f>
        <v/>
      </c>
      <c r="Z121" s="238">
        <f>IF(ABS(Z82)&gt;0,IF(Z82&gt;0.001,Z82,_xlfn.MINIFS(Z$58:Z$92,Z$58:Z$92,"&gt;0")/3),0)</f>
        <v/>
      </c>
      <c r="AA121" s="238">
        <f>IF(ABS(AA82)&gt;0,IF(AA82&gt;0.001,AA82,_xlfn.MINIFS(AA$58:AA$92,AA$58:AA$92,"&gt;0")/3),0)</f>
        <v/>
      </c>
      <c r="AB121" s="238">
        <f>IF(ABS(AB82)&gt;0,IF(AB82&gt;0.001,AB82,_xlfn.MINIFS(AB$58:AB$92,AB$58:AB$92,"&gt;0")/3),0)</f>
        <v/>
      </c>
      <c r="AC121" s="238">
        <f>IF(ABS(AC82)&gt;0,IF(AC82&gt;0.001,AC82,_xlfn.MINIFS(AC$58:AC$92,AC$58:AC$92,"&gt;0")/3),0)</f>
        <v/>
      </c>
      <c r="AD121" s="238">
        <f>IF(ABS(AD82)&gt;0,IF(AD82&gt;0.001,AD82,_xlfn.MINIFS(AD$58:AD$92,AD$58:AD$92,"&gt;0")/3),0)</f>
        <v/>
      </c>
      <c r="AE121" s="238">
        <f>IF(ABS(AE82)&gt;0,IF(AE82&gt;0.001,AE82,_xlfn.MINIFS(AE$58:AE$92,AE$58:AE$92,"&gt;0")/3),0)</f>
        <v/>
      </c>
      <c r="AF121" s="238">
        <f>IF(ABS(AF82)&gt;0,IF(AF82&gt;0.001,AF82,_xlfn.MINIFS(AF$58:AF$92,AF$58:AF$92,"&gt;0")/3),0)</f>
        <v/>
      </c>
      <c r="AG121" s="238">
        <f>IF(ABS(AG82)&gt;0,IF(AG82&gt;0.001,AG82,_xlfn.MINIFS(AG$58:AG$92,AG$58:AG$92,"&gt;0")/3),0)</f>
        <v/>
      </c>
      <c r="AH121" s="238">
        <f>IF(ABS(AH82)&gt;0,IF(AH82&gt;0.001,AH82,_xlfn.MINIFS(AH$58:AH$92,AH$58:AH$92,"&gt;0")/3),0)</f>
        <v/>
      </c>
      <c r="AI121" s="238">
        <f>IF(ABS(AI82)&gt;0,IF(AI82&gt;0.001,AI82,_xlfn.MINIFS(AI$58:AI$92,AI$58:AI$92,"&gt;0")/3),0)</f>
        <v/>
      </c>
      <c r="AJ121" s="238">
        <f>IF(ABS(AJ82)&gt;0,IF(AJ82&gt;0.001,AJ82,_xlfn.MINIFS(AJ$58:AJ$92,AJ$58:AJ$92,"&gt;0")/3),0)</f>
        <v/>
      </c>
      <c r="AK121" s="238">
        <f>IF(ABS(AK82)&gt;0,IF(AK82&gt;0.001,AK82,_xlfn.MINIFS(AK$58:AK$92,AK$58:AK$92,"&gt;0")/3),0)</f>
        <v/>
      </c>
      <c r="AL121" s="238">
        <f>IF(ABS(AL82)&gt;0,IF(AL82&gt;0.001,AL82,_xlfn.MINIFS(AL$58:AL$92,AL$58:AL$92,"&gt;0")/3),0)</f>
        <v/>
      </c>
      <c r="AM121" s="238">
        <f>IF(ABS(AM82)&gt;0,IF(AM82&gt;0.001,AM82,_xlfn.MINIFS(AM$58:AM$92,AM$58:AM$92,"&gt;0")/3),0)</f>
        <v/>
      </c>
      <c r="AN121" s="238">
        <f>IF(ABS(AN82)&gt;0,IF(AN82&gt;0.001,AN82,_xlfn.MINIFS(AN$58:AN$92,AN$58:AN$92,"&gt;0")/3),0)</f>
        <v/>
      </c>
      <c r="AO121" s="238">
        <f>IF(ABS(AO82)&gt;0,IF(AO82&gt;0.001,AO82,_xlfn.MINIFS(AO$58:AO$92,AO$58:AO$92,"&gt;0")/3),0)</f>
        <v/>
      </c>
      <c r="AP121" s="238">
        <f>IF(ABS(AP82)&gt;0,IF(AP82&gt;0.001,AP82,_xlfn.MINIFS(AP$58:AP$92,AP$58:AP$92,"&gt;0")/3),0)</f>
        <v/>
      </c>
      <c r="AQ121" s="238">
        <f>IF(ABS(AQ82)&gt;0,IF(AQ82&gt;0.001,AQ82,_xlfn.MINIFS(AQ$58:AQ$92,AQ$58:AQ$92,"&gt;0")/3),0)</f>
        <v/>
      </c>
      <c r="AR121" s="238">
        <f>IF(ABS(AR82)&gt;0,IF(AR82&gt;0.001,AR82,_xlfn.MINIFS(AR$58:AR$92,AR$58:AR$92,"&gt;0")/3),0)</f>
        <v/>
      </c>
      <c r="AS121" s="238">
        <f>IF(ABS(AS82)&gt;0,IF(AS82&gt;0.001,AS82,_xlfn.MINIFS(AS$58:AS$92,AS$58:AS$92,"&gt;0")/3),0)</f>
        <v/>
      </c>
      <c r="AT121" s="238">
        <f>IF(ABS(AT82)&gt;0,IF(AT82&gt;0.001,AT82,_xlfn.MINIFS(AT$58:AT$92,AT$58:AT$92,"&gt;0")/3),0)</f>
        <v/>
      </c>
      <c r="AU121" s="238">
        <f>IF(ABS(AU82)&gt;0,IF(AU82&gt;0.001,AU82,_xlfn.MINIFS(AU$58:AU$92,AU$58:AU$92,"&gt;0")/3),0)</f>
        <v/>
      </c>
      <c r="AV121" s="238">
        <f>IF(ABS(AV82)&gt;0,IF(AV82&gt;0.001,AV82,_xlfn.MINIFS(AV$58:AV$92,AV$58:AV$92,"&gt;0")/3),0)</f>
        <v/>
      </c>
      <c r="AW121" s="238">
        <f>IF(ABS(AW82)&gt;0,IF(AW82&gt;0.001,AW82,_xlfn.MINIFS(AW$58:AW$92,AW$58:AW$92,"&gt;0")/3),0)</f>
        <v/>
      </c>
      <c r="AX121" s="238">
        <f>IF(ABS(AX82)&gt;0,IF(AX82&gt;0.001,AX82,_xlfn.MINIFS(AX$58:AX$92,AX$58:AX$92,"&gt;0")/3),0)</f>
        <v/>
      </c>
      <c r="AY121" s="238">
        <f>IF(ABS(AY82)&gt;0,IF(AY82&gt;0.001,AY82,_xlfn.MINIFS(AY$58:AY$92,AY$58:AY$92,"&gt;0")/3),0)</f>
        <v/>
      </c>
      <c r="AZ121" s="238">
        <f>IF(ABS(AZ82)&gt;0,IF(AZ82&gt;0.001,AZ82,_xlfn.MINIFS(AZ$58:AZ$92,AZ$58:AZ$92,"&gt;0")/3),0)</f>
        <v/>
      </c>
      <c r="BA121" s="238">
        <f>IF(ABS(BA82)&gt;0,IF(BA82&gt;0.001,BA82,_xlfn.MINIFS(BA$58:BA$92,BA$58:BA$92,"&gt;0")/3),0)</f>
        <v/>
      </c>
      <c r="BB121" s="238">
        <f>IF(ABS(BB82)&gt;0,IF(BB82&gt;0.001,BB82,_xlfn.MINIFS(BB$58:BB$92,BB$58:BB$92,"&gt;0")/3),0)</f>
        <v/>
      </c>
    </row>
    <row r="122">
      <c r="C122" s="1" t="n"/>
      <c r="D122" s="237">
        <f>D83</f>
        <v/>
      </c>
      <c r="E122" s="238">
        <f>IF(ABS(E83)&gt;0,IF(E83&gt;0.001,E83,_xlfn.MINIFS(E$58:E$92,E$58:E$92,"&gt;0")/3),0)</f>
        <v/>
      </c>
      <c r="F122" s="238">
        <f>IF(ABS(F83)&gt;0,IF(F83&gt;0.001,F83,_xlfn.MINIFS(F$58:F$92,F$58:F$92,"&gt;0")/3),0)</f>
        <v/>
      </c>
      <c r="G122" s="238">
        <f>IF(ABS(G83)&gt;0,IF(G83&gt;0.001,G83,_xlfn.MINIFS(G$58:G$92,G$58:G$92,"&gt;0")/3),0)</f>
        <v/>
      </c>
      <c r="H122" s="238">
        <f>IF(ABS(H83)&gt;0,IF(H83&gt;0.001,H83,_xlfn.MINIFS(H$58:H$92,H$58:H$92,"&gt;0")/3),0)</f>
        <v/>
      </c>
      <c r="I122" s="238">
        <f>IF(ABS(I83)&gt;0,IF(I83&gt;0.001,I83,_xlfn.MINIFS(I$58:I$92,I$58:I$92,"&gt;0")/3),0)</f>
        <v/>
      </c>
      <c r="J122" s="238">
        <f>IF(ABS(J83)&gt;0,IF(J83&gt;0.001,J83,_xlfn.MINIFS(J$58:J$92,J$58:J$92,"&gt;0")/3),0)</f>
        <v/>
      </c>
      <c r="K122" s="238">
        <f>IF(ABS(K83)&gt;0,IF(K83&gt;0.001,K83,_xlfn.MINIFS(K$58:K$92,K$58:K$92,"&gt;0")/3),0)</f>
        <v/>
      </c>
      <c r="L122" s="238">
        <f>IF(ABS(L83)&gt;0,IF(L83&gt;0.001,L83,_xlfn.MINIFS(L$58:L$92,L$58:L$92,"&gt;0")/3),0)</f>
        <v/>
      </c>
      <c r="M122" s="238">
        <f>IF(ABS(M83)&gt;0,IF(M83&gt;0.001,M83,_xlfn.MINIFS(M$58:M$92,M$58:M$92,"&gt;0")/3),0)</f>
        <v/>
      </c>
      <c r="N122" s="238">
        <f>IF(ABS(N83)&gt;0,IF(N83&gt;0.001,N83,_xlfn.MINIFS(N$58:N$92,N$58:N$92,"&gt;0")/3),0)</f>
        <v/>
      </c>
      <c r="O122" s="238">
        <f>IF(ABS(O83)&gt;0,IF(O83&gt;0.001,O83,_xlfn.MINIFS(O$58:O$92,O$58:O$92,"&gt;0")/3),0)</f>
        <v/>
      </c>
      <c r="P122" s="238">
        <f>IF(ABS(P83)&gt;0,IF(P83&gt;0.001,P83,_xlfn.MINIFS(P$58:P$92,P$58:P$92,"&gt;0")/3),0)</f>
        <v/>
      </c>
      <c r="Q122" s="238">
        <f>IF(ABS(Q83)&gt;0,IF(Q83&gt;0.001,Q83,_xlfn.MINIFS(Q$58:Q$92,Q$58:Q$92,"&gt;0")/3),0)</f>
        <v/>
      </c>
      <c r="R122" s="238">
        <f>IF(ABS(R83)&gt;0,IF(R83&gt;0.001,R83,_xlfn.MINIFS(R$58:R$92,R$58:R$92,"&gt;0")/3),0)</f>
        <v/>
      </c>
      <c r="S122" s="238">
        <f>IF(ABS(S83)&gt;0,IF(S83&gt;0.001,S83,_xlfn.MINIFS(S$58:S$92,S$58:S$92,"&gt;0")/3),0)</f>
        <v/>
      </c>
      <c r="T122" s="238">
        <f>IF(ABS(T83)&gt;0,IF(T83&gt;0.001,T83,_xlfn.MINIFS(T$58:T$92,T$58:T$92,"&gt;0")/3),0)</f>
        <v/>
      </c>
      <c r="U122" s="238">
        <f>IF(ABS(U83)&gt;0,IF(U83&gt;0.001,U83,_xlfn.MINIFS(U$58:U$92,U$58:U$92,"&gt;0")/3),0)</f>
        <v/>
      </c>
      <c r="V122" s="238">
        <f>IF(ABS(V83)&gt;0,IF(V83&gt;0.001,V83,_xlfn.MINIFS(V$58:V$92,V$58:V$92,"&gt;0")/3),0)</f>
        <v/>
      </c>
      <c r="W122" s="238">
        <f>IF(ABS(W83)&gt;0,IF(W83&gt;0.001,W83,_xlfn.MINIFS(W$58:W$92,W$58:W$92,"&gt;0")/3),0)</f>
        <v/>
      </c>
      <c r="X122" s="238">
        <f>IF(ABS(X83)&gt;0,IF(X83&gt;0.001,X83,_xlfn.MINIFS(X$58:X$92,X$58:X$92,"&gt;0")/3),0)</f>
        <v/>
      </c>
      <c r="Y122" s="238">
        <f>IF(ABS(Y83)&gt;0,IF(Y83&gt;0.001,Y83,_xlfn.MINIFS(Y$58:Y$92,Y$58:Y$92,"&gt;0")/3),0)</f>
        <v/>
      </c>
      <c r="Z122" s="238">
        <f>IF(ABS(Z83)&gt;0,IF(Z83&gt;0.001,Z83,_xlfn.MINIFS(Z$58:Z$92,Z$58:Z$92,"&gt;0")/3),0)</f>
        <v/>
      </c>
      <c r="AA122" s="238">
        <f>IF(ABS(AA83)&gt;0,IF(AA83&gt;0.001,AA83,_xlfn.MINIFS(AA$58:AA$92,AA$58:AA$92,"&gt;0")/3),0)</f>
        <v/>
      </c>
      <c r="AB122" s="238">
        <f>IF(ABS(AB83)&gt;0,IF(AB83&gt;0.001,AB83,_xlfn.MINIFS(AB$58:AB$92,AB$58:AB$92,"&gt;0")/3),0)</f>
        <v/>
      </c>
      <c r="AC122" s="238">
        <f>IF(ABS(AC83)&gt;0,IF(AC83&gt;0.001,AC83,_xlfn.MINIFS(AC$58:AC$92,AC$58:AC$92,"&gt;0")/3),0)</f>
        <v/>
      </c>
      <c r="AD122" s="238">
        <f>IF(ABS(AD83)&gt;0,IF(AD83&gt;0.001,AD83,_xlfn.MINIFS(AD$58:AD$92,AD$58:AD$92,"&gt;0")/3),0)</f>
        <v/>
      </c>
      <c r="AE122" s="238">
        <f>IF(ABS(AE83)&gt;0,IF(AE83&gt;0.001,AE83,_xlfn.MINIFS(AE$58:AE$92,AE$58:AE$92,"&gt;0")/3),0)</f>
        <v/>
      </c>
      <c r="AF122" s="238">
        <f>IF(ABS(AF83)&gt;0,IF(AF83&gt;0.001,AF83,_xlfn.MINIFS(AF$58:AF$92,AF$58:AF$92,"&gt;0")/3),0)</f>
        <v/>
      </c>
      <c r="AG122" s="238">
        <f>IF(ABS(AG83)&gt;0,IF(AG83&gt;0.001,AG83,_xlfn.MINIFS(AG$58:AG$92,AG$58:AG$92,"&gt;0")/3),0)</f>
        <v/>
      </c>
      <c r="AH122" s="238">
        <f>IF(ABS(AH83)&gt;0,IF(AH83&gt;0.001,AH83,_xlfn.MINIFS(AH$58:AH$92,AH$58:AH$92,"&gt;0")/3),0)</f>
        <v/>
      </c>
      <c r="AI122" s="238">
        <f>IF(ABS(AI83)&gt;0,IF(AI83&gt;0.001,AI83,_xlfn.MINIFS(AI$58:AI$92,AI$58:AI$92,"&gt;0")/3),0)</f>
        <v/>
      </c>
      <c r="AJ122" s="238">
        <f>IF(ABS(AJ83)&gt;0,IF(AJ83&gt;0.001,AJ83,_xlfn.MINIFS(AJ$58:AJ$92,AJ$58:AJ$92,"&gt;0")/3),0)</f>
        <v/>
      </c>
      <c r="AK122" s="238">
        <f>IF(ABS(AK83)&gt;0,IF(AK83&gt;0.001,AK83,_xlfn.MINIFS(AK$58:AK$92,AK$58:AK$92,"&gt;0")/3),0)</f>
        <v/>
      </c>
      <c r="AL122" s="238">
        <f>IF(ABS(AL83)&gt;0,IF(AL83&gt;0.001,AL83,_xlfn.MINIFS(AL$58:AL$92,AL$58:AL$92,"&gt;0")/3),0)</f>
        <v/>
      </c>
      <c r="AM122" s="238">
        <f>IF(ABS(AM83)&gt;0,IF(AM83&gt;0.001,AM83,_xlfn.MINIFS(AM$58:AM$92,AM$58:AM$92,"&gt;0")/3),0)</f>
        <v/>
      </c>
      <c r="AN122" s="238">
        <f>IF(ABS(AN83)&gt;0,IF(AN83&gt;0.001,AN83,_xlfn.MINIFS(AN$58:AN$92,AN$58:AN$92,"&gt;0")/3),0)</f>
        <v/>
      </c>
      <c r="AO122" s="238">
        <f>IF(ABS(AO83)&gt;0,IF(AO83&gt;0.001,AO83,_xlfn.MINIFS(AO$58:AO$92,AO$58:AO$92,"&gt;0")/3),0)</f>
        <v/>
      </c>
      <c r="AP122" s="238">
        <f>IF(ABS(AP83)&gt;0,IF(AP83&gt;0.001,AP83,_xlfn.MINIFS(AP$58:AP$92,AP$58:AP$92,"&gt;0")/3),0)</f>
        <v/>
      </c>
      <c r="AQ122" s="238">
        <f>IF(ABS(AQ83)&gt;0,IF(AQ83&gt;0.001,AQ83,_xlfn.MINIFS(AQ$58:AQ$92,AQ$58:AQ$92,"&gt;0")/3),0)</f>
        <v/>
      </c>
      <c r="AR122" s="238">
        <f>IF(ABS(AR83)&gt;0,IF(AR83&gt;0.001,AR83,_xlfn.MINIFS(AR$58:AR$92,AR$58:AR$92,"&gt;0")/3),0)</f>
        <v/>
      </c>
      <c r="AS122" s="238">
        <f>IF(ABS(AS83)&gt;0,IF(AS83&gt;0.001,AS83,_xlfn.MINIFS(AS$58:AS$92,AS$58:AS$92,"&gt;0")/3),0)</f>
        <v/>
      </c>
      <c r="AT122" s="238">
        <f>IF(ABS(AT83)&gt;0,IF(AT83&gt;0.001,AT83,_xlfn.MINIFS(AT$58:AT$92,AT$58:AT$92,"&gt;0")/3),0)</f>
        <v/>
      </c>
      <c r="AU122" s="238">
        <f>IF(ABS(AU83)&gt;0,IF(AU83&gt;0.001,AU83,_xlfn.MINIFS(AU$58:AU$92,AU$58:AU$92,"&gt;0")/3),0)</f>
        <v/>
      </c>
      <c r="AV122" s="238">
        <f>IF(ABS(AV83)&gt;0,IF(AV83&gt;0.001,AV83,_xlfn.MINIFS(AV$58:AV$92,AV$58:AV$92,"&gt;0")/3),0)</f>
        <v/>
      </c>
      <c r="AW122" s="238">
        <f>IF(ABS(AW83)&gt;0,IF(AW83&gt;0.001,AW83,_xlfn.MINIFS(AW$58:AW$92,AW$58:AW$92,"&gt;0")/3),0)</f>
        <v/>
      </c>
      <c r="AX122" s="238">
        <f>IF(ABS(AX83)&gt;0,IF(AX83&gt;0.001,AX83,_xlfn.MINIFS(AX$58:AX$92,AX$58:AX$92,"&gt;0")/3),0)</f>
        <v/>
      </c>
      <c r="AY122" s="238">
        <f>IF(ABS(AY83)&gt;0,IF(AY83&gt;0.001,AY83,_xlfn.MINIFS(AY$58:AY$92,AY$58:AY$92,"&gt;0")/3),0)</f>
        <v/>
      </c>
      <c r="AZ122" s="238">
        <f>IF(ABS(AZ83)&gt;0,IF(AZ83&gt;0.001,AZ83,_xlfn.MINIFS(AZ$58:AZ$92,AZ$58:AZ$92,"&gt;0")/3),0)</f>
        <v/>
      </c>
      <c r="BA122" s="238">
        <f>IF(ABS(BA83)&gt;0,IF(BA83&gt;0.001,BA83,_xlfn.MINIFS(BA$58:BA$92,BA$58:BA$92,"&gt;0")/3),0)</f>
        <v/>
      </c>
      <c r="BB122" s="238">
        <f>IF(ABS(BB83)&gt;0,IF(BB83&gt;0.001,BB83,_xlfn.MINIFS(BB$58:BB$92,BB$58:BB$92,"&gt;0")/3),0)</f>
        <v/>
      </c>
    </row>
    <row r="123">
      <c r="C123" s="1" t="n"/>
      <c r="D123" s="237">
        <f>D84</f>
        <v/>
      </c>
      <c r="E123" s="238">
        <f>IF(ABS(E84)&gt;0,IF(E84&gt;0.001,E84,_xlfn.MINIFS(E$58:E$92,E$58:E$92,"&gt;0")/3),0)</f>
        <v/>
      </c>
      <c r="F123" s="238">
        <f>IF(ABS(F84)&gt;0,IF(F84&gt;0.001,F84,_xlfn.MINIFS(F$58:F$92,F$58:F$92,"&gt;0")/3),0)</f>
        <v/>
      </c>
      <c r="G123" s="238">
        <f>IF(ABS(G84)&gt;0,IF(G84&gt;0.001,G84,_xlfn.MINIFS(G$58:G$92,G$58:G$92,"&gt;0")/3),0)</f>
        <v/>
      </c>
      <c r="H123" s="238">
        <f>IF(ABS(H84)&gt;0,IF(H84&gt;0.001,H84,_xlfn.MINIFS(H$58:H$92,H$58:H$92,"&gt;0")/3),0)</f>
        <v/>
      </c>
      <c r="I123" s="238">
        <f>IF(ABS(I84)&gt;0,IF(I84&gt;0.001,I84,_xlfn.MINIFS(I$58:I$92,I$58:I$92,"&gt;0")/3),0)</f>
        <v/>
      </c>
      <c r="J123" s="238">
        <f>IF(ABS(J84)&gt;0,IF(J84&gt;0.001,J84,_xlfn.MINIFS(J$58:J$92,J$58:J$92,"&gt;0")/3),0)</f>
        <v/>
      </c>
      <c r="K123" s="238">
        <f>IF(ABS(K84)&gt;0,IF(K84&gt;0.001,K84,_xlfn.MINIFS(K$58:K$92,K$58:K$92,"&gt;0")/3),0)</f>
        <v/>
      </c>
      <c r="L123" s="238">
        <f>IF(ABS(L84)&gt;0,IF(L84&gt;0.001,L84,_xlfn.MINIFS(L$58:L$92,L$58:L$92,"&gt;0")/3),0)</f>
        <v/>
      </c>
      <c r="M123" s="238">
        <f>IF(ABS(M84)&gt;0,IF(M84&gt;0.001,M84,_xlfn.MINIFS(M$58:M$92,M$58:M$92,"&gt;0")/3),0)</f>
        <v/>
      </c>
      <c r="N123" s="238">
        <f>IF(ABS(N84)&gt;0,IF(N84&gt;0.001,N84,_xlfn.MINIFS(N$58:N$92,N$58:N$92,"&gt;0")/3),0)</f>
        <v/>
      </c>
      <c r="O123" s="238">
        <f>IF(ABS(O84)&gt;0,IF(O84&gt;0.001,O84,_xlfn.MINIFS(O$58:O$92,O$58:O$92,"&gt;0")/3),0)</f>
        <v/>
      </c>
      <c r="P123" s="238">
        <f>IF(ABS(P84)&gt;0,IF(P84&gt;0.001,P84,_xlfn.MINIFS(P$58:P$92,P$58:P$92,"&gt;0")/3),0)</f>
        <v/>
      </c>
      <c r="Q123" s="238">
        <f>IF(ABS(Q84)&gt;0,IF(Q84&gt;0.001,Q84,_xlfn.MINIFS(Q$58:Q$92,Q$58:Q$92,"&gt;0")/3),0)</f>
        <v/>
      </c>
      <c r="R123" s="238">
        <f>IF(ABS(R84)&gt;0,IF(R84&gt;0.001,R84,_xlfn.MINIFS(R$58:R$92,R$58:R$92,"&gt;0")/3),0)</f>
        <v/>
      </c>
      <c r="S123" s="238">
        <f>IF(ABS(S84)&gt;0,IF(S84&gt;0.001,S84,_xlfn.MINIFS(S$58:S$92,S$58:S$92,"&gt;0")/3),0)</f>
        <v/>
      </c>
      <c r="T123" s="238">
        <f>IF(ABS(T84)&gt;0,IF(T84&gt;0.001,T84,_xlfn.MINIFS(T$58:T$92,T$58:T$92,"&gt;0")/3),0)</f>
        <v/>
      </c>
      <c r="U123" s="238">
        <f>IF(ABS(U84)&gt;0,IF(U84&gt;0.001,U84,_xlfn.MINIFS(U$58:U$92,U$58:U$92,"&gt;0")/3),0)</f>
        <v/>
      </c>
      <c r="V123" s="238">
        <f>IF(ABS(V84)&gt;0,IF(V84&gt;0.001,V84,_xlfn.MINIFS(V$58:V$92,V$58:V$92,"&gt;0")/3),0)</f>
        <v/>
      </c>
      <c r="W123" s="238">
        <f>IF(ABS(W84)&gt;0,IF(W84&gt;0.001,W84,_xlfn.MINIFS(W$58:W$92,W$58:W$92,"&gt;0")/3),0)</f>
        <v/>
      </c>
      <c r="X123" s="238">
        <f>IF(ABS(X84)&gt;0,IF(X84&gt;0.001,X84,_xlfn.MINIFS(X$58:X$92,X$58:X$92,"&gt;0")/3),0)</f>
        <v/>
      </c>
      <c r="Y123" s="238">
        <f>IF(ABS(Y84)&gt;0,IF(Y84&gt;0.001,Y84,_xlfn.MINIFS(Y$58:Y$92,Y$58:Y$92,"&gt;0")/3),0)</f>
        <v/>
      </c>
      <c r="Z123" s="238">
        <f>IF(ABS(Z84)&gt;0,IF(Z84&gt;0.001,Z84,_xlfn.MINIFS(Z$58:Z$92,Z$58:Z$92,"&gt;0")/3),0)</f>
        <v/>
      </c>
      <c r="AA123" s="238">
        <f>IF(ABS(AA84)&gt;0,IF(AA84&gt;0.001,AA84,_xlfn.MINIFS(AA$58:AA$92,AA$58:AA$92,"&gt;0")/3),0)</f>
        <v/>
      </c>
      <c r="AB123" s="238">
        <f>IF(ABS(AB84)&gt;0,IF(AB84&gt;0.001,AB84,_xlfn.MINIFS(AB$58:AB$92,AB$58:AB$92,"&gt;0")/3),0)</f>
        <v/>
      </c>
      <c r="AC123" s="238">
        <f>IF(ABS(AC84)&gt;0,IF(AC84&gt;0.001,AC84,_xlfn.MINIFS(AC$58:AC$92,AC$58:AC$92,"&gt;0")/3),0)</f>
        <v/>
      </c>
      <c r="AD123" s="238">
        <f>IF(ABS(AD84)&gt;0,IF(AD84&gt;0.001,AD84,_xlfn.MINIFS(AD$58:AD$92,AD$58:AD$92,"&gt;0")/3),0)</f>
        <v/>
      </c>
      <c r="AE123" s="238">
        <f>IF(ABS(AE84)&gt;0,IF(AE84&gt;0.001,AE84,_xlfn.MINIFS(AE$58:AE$92,AE$58:AE$92,"&gt;0")/3),0)</f>
        <v/>
      </c>
      <c r="AF123" s="238">
        <f>IF(ABS(AF84)&gt;0,IF(AF84&gt;0.001,AF84,_xlfn.MINIFS(AF$58:AF$92,AF$58:AF$92,"&gt;0")/3),0)</f>
        <v/>
      </c>
      <c r="AG123" s="238">
        <f>IF(ABS(AG84)&gt;0,IF(AG84&gt;0.001,AG84,_xlfn.MINIFS(AG$58:AG$92,AG$58:AG$92,"&gt;0")/3),0)</f>
        <v/>
      </c>
      <c r="AH123" s="238">
        <f>IF(ABS(AH84)&gt;0,IF(AH84&gt;0.001,AH84,_xlfn.MINIFS(AH$58:AH$92,AH$58:AH$92,"&gt;0")/3),0)</f>
        <v/>
      </c>
      <c r="AI123" s="238">
        <f>IF(ABS(AI84)&gt;0,IF(AI84&gt;0.001,AI84,_xlfn.MINIFS(AI$58:AI$92,AI$58:AI$92,"&gt;0")/3),0)</f>
        <v/>
      </c>
      <c r="AJ123" s="238">
        <f>IF(ABS(AJ84)&gt;0,IF(AJ84&gt;0.001,AJ84,_xlfn.MINIFS(AJ$58:AJ$92,AJ$58:AJ$92,"&gt;0")/3),0)</f>
        <v/>
      </c>
      <c r="AK123" s="238">
        <f>IF(ABS(AK84)&gt;0,IF(AK84&gt;0.001,AK84,_xlfn.MINIFS(AK$58:AK$92,AK$58:AK$92,"&gt;0")/3),0)</f>
        <v/>
      </c>
      <c r="AL123" s="238">
        <f>IF(ABS(AL84)&gt;0,IF(AL84&gt;0.001,AL84,_xlfn.MINIFS(AL$58:AL$92,AL$58:AL$92,"&gt;0")/3),0)</f>
        <v/>
      </c>
      <c r="AM123" s="238">
        <f>IF(ABS(AM84)&gt;0,IF(AM84&gt;0.001,AM84,_xlfn.MINIFS(AM$58:AM$92,AM$58:AM$92,"&gt;0")/3),0)</f>
        <v/>
      </c>
      <c r="AN123" s="238">
        <f>IF(ABS(AN84)&gt;0,IF(AN84&gt;0.001,AN84,_xlfn.MINIFS(AN$58:AN$92,AN$58:AN$92,"&gt;0")/3),0)</f>
        <v/>
      </c>
      <c r="AO123" s="238">
        <f>IF(ABS(AO84)&gt;0,IF(AO84&gt;0.001,AO84,_xlfn.MINIFS(AO$58:AO$92,AO$58:AO$92,"&gt;0")/3),0)</f>
        <v/>
      </c>
      <c r="AP123" s="238">
        <f>IF(ABS(AP84)&gt;0,IF(AP84&gt;0.001,AP84,_xlfn.MINIFS(AP$58:AP$92,AP$58:AP$92,"&gt;0")/3),0)</f>
        <v/>
      </c>
      <c r="AQ123" s="238">
        <f>IF(ABS(AQ84)&gt;0,IF(AQ84&gt;0.001,AQ84,_xlfn.MINIFS(AQ$58:AQ$92,AQ$58:AQ$92,"&gt;0")/3),0)</f>
        <v/>
      </c>
      <c r="AR123" s="238">
        <f>IF(ABS(AR84)&gt;0,IF(AR84&gt;0.001,AR84,_xlfn.MINIFS(AR$58:AR$92,AR$58:AR$92,"&gt;0")/3),0)</f>
        <v/>
      </c>
      <c r="AS123" s="238">
        <f>IF(ABS(AS84)&gt;0,IF(AS84&gt;0.001,AS84,_xlfn.MINIFS(AS$58:AS$92,AS$58:AS$92,"&gt;0")/3),0)</f>
        <v/>
      </c>
      <c r="AT123" s="238">
        <f>IF(ABS(AT84)&gt;0,IF(AT84&gt;0.001,AT84,_xlfn.MINIFS(AT$58:AT$92,AT$58:AT$92,"&gt;0")/3),0)</f>
        <v/>
      </c>
      <c r="AU123" s="238">
        <f>IF(ABS(AU84)&gt;0,IF(AU84&gt;0.001,AU84,_xlfn.MINIFS(AU$58:AU$92,AU$58:AU$92,"&gt;0")/3),0)</f>
        <v/>
      </c>
      <c r="AV123" s="238">
        <f>IF(ABS(AV84)&gt;0,IF(AV84&gt;0.001,AV84,_xlfn.MINIFS(AV$58:AV$92,AV$58:AV$92,"&gt;0")/3),0)</f>
        <v/>
      </c>
      <c r="AW123" s="238">
        <f>IF(ABS(AW84)&gt;0,IF(AW84&gt;0.001,AW84,_xlfn.MINIFS(AW$58:AW$92,AW$58:AW$92,"&gt;0")/3),0)</f>
        <v/>
      </c>
      <c r="AX123" s="238">
        <f>IF(ABS(AX84)&gt;0,IF(AX84&gt;0.001,AX84,_xlfn.MINIFS(AX$58:AX$92,AX$58:AX$92,"&gt;0")/3),0)</f>
        <v/>
      </c>
      <c r="AY123" s="238">
        <f>IF(ABS(AY84)&gt;0,IF(AY84&gt;0.001,AY84,_xlfn.MINIFS(AY$58:AY$92,AY$58:AY$92,"&gt;0")/3),0)</f>
        <v/>
      </c>
      <c r="AZ123" s="238">
        <f>IF(ABS(AZ84)&gt;0,IF(AZ84&gt;0.001,AZ84,_xlfn.MINIFS(AZ$58:AZ$92,AZ$58:AZ$92,"&gt;0")/3),0)</f>
        <v/>
      </c>
      <c r="BA123" s="238">
        <f>IF(ABS(BA84)&gt;0,IF(BA84&gt;0.001,BA84,_xlfn.MINIFS(BA$58:BA$92,BA$58:BA$92,"&gt;0")/3),0)</f>
        <v/>
      </c>
      <c r="BB123" s="238">
        <f>IF(ABS(BB84)&gt;0,IF(BB84&gt;0.001,BB84,_xlfn.MINIFS(BB$58:BB$92,BB$58:BB$92,"&gt;0")/3),0)</f>
        <v/>
      </c>
    </row>
    <row r="124">
      <c r="C124" s="1" t="n"/>
      <c r="D124" s="237">
        <f>D85</f>
        <v/>
      </c>
      <c r="E124" s="238">
        <f>IF(ABS(E85)&gt;0,IF(E85&gt;0.001,E85,_xlfn.MINIFS(E$58:E$92,E$58:E$92,"&gt;0")/3),0)</f>
        <v/>
      </c>
      <c r="F124" s="238">
        <f>IF(ABS(F85)&gt;0,IF(F85&gt;0.001,F85,_xlfn.MINIFS(F$58:F$92,F$58:F$92,"&gt;0")/3),0)</f>
        <v/>
      </c>
      <c r="G124" s="238">
        <f>IF(ABS(G85)&gt;0,IF(G85&gt;0.001,G85,_xlfn.MINIFS(G$58:G$92,G$58:G$92,"&gt;0")/3),0)</f>
        <v/>
      </c>
      <c r="H124" s="238">
        <f>IF(ABS(H85)&gt;0,IF(H85&gt;0.001,H85,_xlfn.MINIFS(H$58:H$92,H$58:H$92,"&gt;0")/3),0)</f>
        <v/>
      </c>
      <c r="I124" s="238">
        <f>IF(ABS(I85)&gt;0,IF(I85&gt;0.001,I85,_xlfn.MINIFS(I$58:I$92,I$58:I$92,"&gt;0")/3),0)</f>
        <v/>
      </c>
      <c r="J124" s="238">
        <f>IF(ABS(J85)&gt;0,IF(J85&gt;0.001,J85,_xlfn.MINIFS(J$58:J$92,J$58:J$92,"&gt;0")/3),0)</f>
        <v/>
      </c>
      <c r="K124" s="238">
        <f>IF(ABS(K85)&gt;0,IF(K85&gt;0.001,K85,_xlfn.MINIFS(K$58:K$92,K$58:K$92,"&gt;0")/3),0)</f>
        <v/>
      </c>
      <c r="L124" s="238">
        <f>IF(ABS(L85)&gt;0,IF(L85&gt;0.001,L85,_xlfn.MINIFS(L$58:L$92,L$58:L$92,"&gt;0")/3),0)</f>
        <v/>
      </c>
      <c r="M124" s="238">
        <f>IF(ABS(M85)&gt;0,IF(M85&gt;0.001,M85,_xlfn.MINIFS(M$58:M$92,M$58:M$92,"&gt;0")/3),0)</f>
        <v/>
      </c>
      <c r="N124" s="238">
        <f>IF(ABS(N85)&gt;0,IF(N85&gt;0.001,N85,_xlfn.MINIFS(N$58:N$92,N$58:N$92,"&gt;0")/3),0)</f>
        <v/>
      </c>
      <c r="O124" s="238">
        <f>IF(ABS(O85)&gt;0,IF(O85&gt;0.001,O85,_xlfn.MINIFS(O$58:O$92,O$58:O$92,"&gt;0")/3),0)</f>
        <v/>
      </c>
      <c r="P124" s="238">
        <f>IF(ABS(P85)&gt;0,IF(P85&gt;0.001,P85,_xlfn.MINIFS(P$58:P$92,P$58:P$92,"&gt;0")/3),0)</f>
        <v/>
      </c>
      <c r="Q124" s="238">
        <f>IF(ABS(Q85)&gt;0,IF(Q85&gt;0.001,Q85,_xlfn.MINIFS(Q$58:Q$92,Q$58:Q$92,"&gt;0")/3),0)</f>
        <v/>
      </c>
      <c r="R124" s="238">
        <f>IF(ABS(R85)&gt;0,IF(R85&gt;0.001,R85,_xlfn.MINIFS(R$58:R$92,R$58:R$92,"&gt;0")/3),0)</f>
        <v/>
      </c>
      <c r="S124" s="238">
        <f>IF(ABS(S85)&gt;0,IF(S85&gt;0.001,S85,_xlfn.MINIFS(S$58:S$92,S$58:S$92,"&gt;0")/3),0)</f>
        <v/>
      </c>
      <c r="T124" s="238">
        <f>IF(ABS(T85)&gt;0,IF(T85&gt;0.001,T85,_xlfn.MINIFS(T$58:T$92,T$58:T$92,"&gt;0")/3),0)</f>
        <v/>
      </c>
      <c r="U124" s="238">
        <f>IF(ABS(U85)&gt;0,IF(U85&gt;0.001,U85,_xlfn.MINIFS(U$58:U$92,U$58:U$92,"&gt;0")/3),0)</f>
        <v/>
      </c>
      <c r="V124" s="238">
        <f>IF(ABS(V85)&gt;0,IF(V85&gt;0.001,V85,_xlfn.MINIFS(V$58:V$92,V$58:V$92,"&gt;0")/3),0)</f>
        <v/>
      </c>
      <c r="W124" s="238">
        <f>IF(ABS(W85)&gt;0,IF(W85&gt;0.001,W85,_xlfn.MINIFS(W$58:W$92,W$58:W$92,"&gt;0")/3),0)</f>
        <v/>
      </c>
      <c r="X124" s="238">
        <f>IF(ABS(X85)&gt;0,IF(X85&gt;0.001,X85,_xlfn.MINIFS(X$58:X$92,X$58:X$92,"&gt;0")/3),0)</f>
        <v/>
      </c>
      <c r="Y124" s="238">
        <f>IF(ABS(Y85)&gt;0,IF(Y85&gt;0.001,Y85,_xlfn.MINIFS(Y$58:Y$92,Y$58:Y$92,"&gt;0")/3),0)</f>
        <v/>
      </c>
      <c r="Z124" s="238">
        <f>IF(ABS(Z85)&gt;0,IF(Z85&gt;0.001,Z85,_xlfn.MINIFS(Z$58:Z$92,Z$58:Z$92,"&gt;0")/3),0)</f>
        <v/>
      </c>
      <c r="AA124" s="238">
        <f>IF(ABS(AA85)&gt;0,IF(AA85&gt;0.001,AA85,_xlfn.MINIFS(AA$58:AA$92,AA$58:AA$92,"&gt;0")/3),0)</f>
        <v/>
      </c>
      <c r="AB124" s="238">
        <f>IF(ABS(AB85)&gt;0,IF(AB85&gt;0.001,AB85,_xlfn.MINIFS(AB$58:AB$92,AB$58:AB$92,"&gt;0")/3),0)</f>
        <v/>
      </c>
      <c r="AC124" s="238">
        <f>IF(ABS(AC85)&gt;0,IF(AC85&gt;0.001,AC85,_xlfn.MINIFS(AC$58:AC$92,AC$58:AC$92,"&gt;0")/3),0)</f>
        <v/>
      </c>
      <c r="AD124" s="238">
        <f>IF(ABS(AD85)&gt;0,IF(AD85&gt;0.001,AD85,_xlfn.MINIFS(AD$58:AD$92,AD$58:AD$92,"&gt;0")/3),0)</f>
        <v/>
      </c>
      <c r="AE124" s="238">
        <f>IF(ABS(AE85)&gt;0,IF(AE85&gt;0.001,AE85,_xlfn.MINIFS(AE$58:AE$92,AE$58:AE$92,"&gt;0")/3),0)</f>
        <v/>
      </c>
      <c r="AF124" s="238">
        <f>IF(ABS(AF85)&gt;0,IF(AF85&gt;0.001,AF85,_xlfn.MINIFS(AF$58:AF$92,AF$58:AF$92,"&gt;0")/3),0)</f>
        <v/>
      </c>
      <c r="AG124" s="238">
        <f>IF(ABS(AG85)&gt;0,IF(AG85&gt;0.001,AG85,_xlfn.MINIFS(AG$58:AG$92,AG$58:AG$92,"&gt;0")/3),0)</f>
        <v/>
      </c>
      <c r="AH124" s="238">
        <f>IF(ABS(AH85)&gt;0,IF(AH85&gt;0.001,AH85,_xlfn.MINIFS(AH$58:AH$92,AH$58:AH$92,"&gt;0")/3),0)</f>
        <v/>
      </c>
      <c r="AI124" s="238">
        <f>IF(ABS(AI85)&gt;0,IF(AI85&gt;0.001,AI85,_xlfn.MINIFS(AI$58:AI$92,AI$58:AI$92,"&gt;0")/3),0)</f>
        <v/>
      </c>
      <c r="AJ124" s="238">
        <f>IF(ABS(AJ85)&gt;0,IF(AJ85&gt;0.001,AJ85,_xlfn.MINIFS(AJ$58:AJ$92,AJ$58:AJ$92,"&gt;0")/3),0)</f>
        <v/>
      </c>
      <c r="AK124" s="238">
        <f>IF(ABS(AK85)&gt;0,IF(AK85&gt;0.001,AK85,_xlfn.MINIFS(AK$58:AK$92,AK$58:AK$92,"&gt;0")/3),0)</f>
        <v/>
      </c>
      <c r="AL124" s="238">
        <f>IF(ABS(AL85)&gt;0,IF(AL85&gt;0.001,AL85,_xlfn.MINIFS(AL$58:AL$92,AL$58:AL$92,"&gt;0")/3),0)</f>
        <v/>
      </c>
      <c r="AM124" s="238">
        <f>IF(ABS(AM85)&gt;0,IF(AM85&gt;0.001,AM85,_xlfn.MINIFS(AM$58:AM$92,AM$58:AM$92,"&gt;0")/3),0)</f>
        <v/>
      </c>
      <c r="AN124" s="238">
        <f>IF(ABS(AN85)&gt;0,IF(AN85&gt;0.001,AN85,_xlfn.MINIFS(AN$58:AN$92,AN$58:AN$92,"&gt;0")/3),0)</f>
        <v/>
      </c>
      <c r="AO124" s="238">
        <f>IF(ABS(AO85)&gt;0,IF(AO85&gt;0.001,AO85,_xlfn.MINIFS(AO$58:AO$92,AO$58:AO$92,"&gt;0")/3),0)</f>
        <v/>
      </c>
      <c r="AP124" s="238">
        <f>IF(ABS(AP85)&gt;0,IF(AP85&gt;0.001,AP85,_xlfn.MINIFS(AP$58:AP$92,AP$58:AP$92,"&gt;0")/3),0)</f>
        <v/>
      </c>
      <c r="AQ124" s="238">
        <f>IF(ABS(AQ85)&gt;0,IF(AQ85&gt;0.001,AQ85,_xlfn.MINIFS(AQ$58:AQ$92,AQ$58:AQ$92,"&gt;0")/3),0)</f>
        <v/>
      </c>
      <c r="AR124" s="238">
        <f>IF(ABS(AR85)&gt;0,IF(AR85&gt;0.001,AR85,_xlfn.MINIFS(AR$58:AR$92,AR$58:AR$92,"&gt;0")/3),0)</f>
        <v/>
      </c>
      <c r="AS124" s="238">
        <f>IF(ABS(AS85)&gt;0,IF(AS85&gt;0.001,AS85,_xlfn.MINIFS(AS$58:AS$92,AS$58:AS$92,"&gt;0")/3),0)</f>
        <v/>
      </c>
      <c r="AT124" s="238">
        <f>IF(ABS(AT85)&gt;0,IF(AT85&gt;0.001,AT85,_xlfn.MINIFS(AT$58:AT$92,AT$58:AT$92,"&gt;0")/3),0)</f>
        <v/>
      </c>
      <c r="AU124" s="238">
        <f>IF(ABS(AU85)&gt;0,IF(AU85&gt;0.001,AU85,_xlfn.MINIFS(AU$58:AU$92,AU$58:AU$92,"&gt;0")/3),0)</f>
        <v/>
      </c>
      <c r="AV124" s="238">
        <f>IF(ABS(AV85)&gt;0,IF(AV85&gt;0.001,AV85,_xlfn.MINIFS(AV$58:AV$92,AV$58:AV$92,"&gt;0")/3),0)</f>
        <v/>
      </c>
      <c r="AW124" s="238">
        <f>IF(ABS(AW85)&gt;0,IF(AW85&gt;0.001,AW85,_xlfn.MINIFS(AW$58:AW$92,AW$58:AW$92,"&gt;0")/3),0)</f>
        <v/>
      </c>
      <c r="AX124" s="238">
        <f>IF(ABS(AX85)&gt;0,IF(AX85&gt;0.001,AX85,_xlfn.MINIFS(AX$58:AX$92,AX$58:AX$92,"&gt;0")/3),0)</f>
        <v/>
      </c>
      <c r="AY124" s="238">
        <f>IF(ABS(AY85)&gt;0,IF(AY85&gt;0.001,AY85,_xlfn.MINIFS(AY$58:AY$92,AY$58:AY$92,"&gt;0")/3),0)</f>
        <v/>
      </c>
      <c r="AZ124" s="238">
        <f>IF(ABS(AZ85)&gt;0,IF(AZ85&gt;0.001,AZ85,_xlfn.MINIFS(AZ$58:AZ$92,AZ$58:AZ$92,"&gt;0")/3),0)</f>
        <v/>
      </c>
      <c r="BA124" s="238">
        <f>IF(ABS(BA85)&gt;0,IF(BA85&gt;0.001,BA85,_xlfn.MINIFS(BA$58:BA$92,BA$58:BA$92,"&gt;0")/3),0)</f>
        <v/>
      </c>
      <c r="BB124" s="238">
        <f>IF(ABS(BB85)&gt;0,IF(BB85&gt;0.001,BB85,_xlfn.MINIFS(BB$58:BB$92,BB$58:BB$92,"&gt;0")/3),0)</f>
        <v/>
      </c>
    </row>
    <row r="125">
      <c r="C125" s="1" t="n"/>
      <c r="D125" s="237">
        <f>D86</f>
        <v/>
      </c>
      <c r="E125" s="238">
        <f>IF(ABS(E86)&gt;0,IF(E86&gt;0.001,E86,_xlfn.MINIFS(E$58:E$92,E$58:E$92,"&gt;0")/3),0)</f>
        <v/>
      </c>
      <c r="F125" s="238">
        <f>IF(ABS(F86)&gt;0,IF(F86&gt;0.001,F86,_xlfn.MINIFS(F$58:F$92,F$58:F$92,"&gt;0")/3),0)</f>
        <v/>
      </c>
      <c r="G125" s="238">
        <f>IF(ABS(G86)&gt;0,IF(G86&gt;0.001,G86,_xlfn.MINIFS(G$58:G$92,G$58:G$92,"&gt;0")/3),0)</f>
        <v/>
      </c>
      <c r="H125" s="238">
        <f>IF(ABS(H86)&gt;0,IF(H86&gt;0.001,H86,_xlfn.MINIFS(H$58:H$92,H$58:H$92,"&gt;0")/3),0)</f>
        <v/>
      </c>
      <c r="I125" s="238">
        <f>IF(ABS(I86)&gt;0,IF(I86&gt;0.001,I86,_xlfn.MINIFS(I$58:I$92,I$58:I$92,"&gt;0")/3),0)</f>
        <v/>
      </c>
      <c r="J125" s="238">
        <f>IF(ABS(J86)&gt;0,IF(J86&gt;0.001,J86,_xlfn.MINIFS(J$58:J$92,J$58:J$92,"&gt;0")/3),0)</f>
        <v/>
      </c>
      <c r="K125" s="238">
        <f>IF(ABS(K86)&gt;0,IF(K86&gt;0.001,K86,_xlfn.MINIFS(K$58:K$92,K$58:K$92,"&gt;0")/3),0)</f>
        <v/>
      </c>
      <c r="L125" s="238">
        <f>IF(ABS(L86)&gt;0,IF(L86&gt;0.001,L86,_xlfn.MINIFS(L$58:L$92,L$58:L$92,"&gt;0")/3),0)</f>
        <v/>
      </c>
      <c r="M125" s="238">
        <f>IF(ABS(M86)&gt;0,IF(M86&gt;0.001,M86,_xlfn.MINIFS(M$58:M$92,M$58:M$92,"&gt;0")/3),0)</f>
        <v/>
      </c>
      <c r="N125" s="238">
        <f>IF(ABS(N86)&gt;0,IF(N86&gt;0.001,N86,_xlfn.MINIFS(N$58:N$92,N$58:N$92,"&gt;0")/3),0)</f>
        <v/>
      </c>
      <c r="O125" s="238">
        <f>IF(ABS(O86)&gt;0,IF(O86&gt;0.001,O86,_xlfn.MINIFS(O$58:O$92,O$58:O$92,"&gt;0")/3),0)</f>
        <v/>
      </c>
      <c r="P125" s="238">
        <f>IF(ABS(P86)&gt;0,IF(P86&gt;0.001,P86,_xlfn.MINIFS(P$58:P$92,P$58:P$92,"&gt;0")/3),0)</f>
        <v/>
      </c>
      <c r="Q125" s="238">
        <f>IF(ABS(Q86)&gt;0,IF(Q86&gt;0.001,Q86,_xlfn.MINIFS(Q$58:Q$92,Q$58:Q$92,"&gt;0")/3),0)</f>
        <v/>
      </c>
      <c r="R125" s="238">
        <f>IF(ABS(R86)&gt;0,IF(R86&gt;0.001,R86,_xlfn.MINIFS(R$58:R$92,R$58:R$92,"&gt;0")/3),0)</f>
        <v/>
      </c>
      <c r="S125" s="238">
        <f>IF(ABS(S86)&gt;0,IF(S86&gt;0.001,S86,_xlfn.MINIFS(S$58:S$92,S$58:S$92,"&gt;0")/3),0)</f>
        <v/>
      </c>
      <c r="T125" s="238">
        <f>IF(ABS(T86)&gt;0,IF(T86&gt;0.001,T86,_xlfn.MINIFS(T$58:T$92,T$58:T$92,"&gt;0")/3),0)</f>
        <v/>
      </c>
      <c r="U125" s="238">
        <f>IF(ABS(U86)&gt;0,IF(U86&gt;0.001,U86,_xlfn.MINIFS(U$58:U$92,U$58:U$92,"&gt;0")/3),0)</f>
        <v/>
      </c>
      <c r="V125" s="238">
        <f>IF(ABS(V86)&gt;0,IF(V86&gt;0.001,V86,_xlfn.MINIFS(V$58:V$92,V$58:V$92,"&gt;0")/3),0)</f>
        <v/>
      </c>
      <c r="W125" s="238">
        <f>IF(ABS(W86)&gt;0,IF(W86&gt;0.001,W86,_xlfn.MINIFS(W$58:W$92,W$58:W$92,"&gt;0")/3),0)</f>
        <v/>
      </c>
      <c r="X125" s="238">
        <f>IF(ABS(X86)&gt;0,IF(X86&gt;0.001,X86,_xlfn.MINIFS(X$58:X$92,X$58:X$92,"&gt;0")/3),0)</f>
        <v/>
      </c>
      <c r="Y125" s="238">
        <f>IF(ABS(Y86)&gt;0,IF(Y86&gt;0.001,Y86,_xlfn.MINIFS(Y$58:Y$92,Y$58:Y$92,"&gt;0")/3),0)</f>
        <v/>
      </c>
      <c r="Z125" s="238">
        <f>IF(ABS(Z86)&gt;0,IF(Z86&gt;0.001,Z86,_xlfn.MINIFS(Z$58:Z$92,Z$58:Z$92,"&gt;0")/3),0)</f>
        <v/>
      </c>
      <c r="AA125" s="238">
        <f>IF(ABS(AA86)&gt;0,IF(AA86&gt;0.001,AA86,_xlfn.MINIFS(AA$58:AA$92,AA$58:AA$92,"&gt;0")/3),0)</f>
        <v/>
      </c>
      <c r="AB125" s="238">
        <f>IF(ABS(AB86)&gt;0,IF(AB86&gt;0.001,AB86,_xlfn.MINIFS(AB$58:AB$92,AB$58:AB$92,"&gt;0")/3),0)</f>
        <v/>
      </c>
      <c r="AC125" s="238">
        <f>IF(ABS(AC86)&gt;0,IF(AC86&gt;0.001,AC86,_xlfn.MINIFS(AC$58:AC$92,AC$58:AC$92,"&gt;0")/3),0)</f>
        <v/>
      </c>
      <c r="AD125" s="238">
        <f>IF(ABS(AD86)&gt;0,IF(AD86&gt;0.001,AD86,_xlfn.MINIFS(AD$58:AD$92,AD$58:AD$92,"&gt;0")/3),0)</f>
        <v/>
      </c>
      <c r="AE125" s="238">
        <f>IF(ABS(AE86)&gt;0,IF(AE86&gt;0.001,AE86,_xlfn.MINIFS(AE$58:AE$92,AE$58:AE$92,"&gt;0")/3),0)</f>
        <v/>
      </c>
      <c r="AF125" s="238">
        <f>IF(ABS(AF86)&gt;0,IF(AF86&gt;0.001,AF86,_xlfn.MINIFS(AF$58:AF$92,AF$58:AF$92,"&gt;0")/3),0)</f>
        <v/>
      </c>
      <c r="AG125" s="238">
        <f>IF(ABS(AG86)&gt;0,IF(AG86&gt;0.001,AG86,_xlfn.MINIFS(AG$58:AG$92,AG$58:AG$92,"&gt;0")/3),0)</f>
        <v/>
      </c>
      <c r="AH125" s="238">
        <f>IF(ABS(AH86)&gt;0,IF(AH86&gt;0.001,AH86,_xlfn.MINIFS(AH$58:AH$92,AH$58:AH$92,"&gt;0")/3),0)</f>
        <v/>
      </c>
      <c r="AI125" s="238">
        <f>IF(ABS(AI86)&gt;0,IF(AI86&gt;0.001,AI86,_xlfn.MINIFS(AI$58:AI$92,AI$58:AI$92,"&gt;0")/3),0)</f>
        <v/>
      </c>
      <c r="AJ125" s="238">
        <f>IF(ABS(AJ86)&gt;0,IF(AJ86&gt;0.001,AJ86,_xlfn.MINIFS(AJ$58:AJ$92,AJ$58:AJ$92,"&gt;0")/3),0)</f>
        <v/>
      </c>
      <c r="AK125" s="238">
        <f>IF(ABS(AK86)&gt;0,IF(AK86&gt;0.001,AK86,_xlfn.MINIFS(AK$58:AK$92,AK$58:AK$92,"&gt;0")/3),0)</f>
        <v/>
      </c>
      <c r="AL125" s="238">
        <f>IF(ABS(AL86)&gt;0,IF(AL86&gt;0.001,AL86,_xlfn.MINIFS(AL$58:AL$92,AL$58:AL$92,"&gt;0")/3),0)</f>
        <v/>
      </c>
      <c r="AM125" s="238">
        <f>IF(ABS(AM86)&gt;0,IF(AM86&gt;0.001,AM86,_xlfn.MINIFS(AM$58:AM$92,AM$58:AM$92,"&gt;0")/3),0)</f>
        <v/>
      </c>
      <c r="AN125" s="238">
        <f>IF(ABS(AN86)&gt;0,IF(AN86&gt;0.001,AN86,_xlfn.MINIFS(AN$58:AN$92,AN$58:AN$92,"&gt;0")/3),0)</f>
        <v/>
      </c>
      <c r="AO125" s="238">
        <f>IF(ABS(AO86)&gt;0,IF(AO86&gt;0.001,AO86,_xlfn.MINIFS(AO$58:AO$92,AO$58:AO$92,"&gt;0")/3),0)</f>
        <v/>
      </c>
      <c r="AP125" s="238">
        <f>IF(ABS(AP86)&gt;0,IF(AP86&gt;0.001,AP86,_xlfn.MINIFS(AP$58:AP$92,AP$58:AP$92,"&gt;0")/3),0)</f>
        <v/>
      </c>
      <c r="AQ125" s="238">
        <f>IF(ABS(AQ86)&gt;0,IF(AQ86&gt;0.001,AQ86,_xlfn.MINIFS(AQ$58:AQ$92,AQ$58:AQ$92,"&gt;0")/3),0)</f>
        <v/>
      </c>
      <c r="AR125" s="238">
        <f>IF(ABS(AR86)&gt;0,IF(AR86&gt;0.001,AR86,_xlfn.MINIFS(AR$58:AR$92,AR$58:AR$92,"&gt;0")/3),0)</f>
        <v/>
      </c>
      <c r="AS125" s="238">
        <f>IF(ABS(AS86)&gt;0,IF(AS86&gt;0.001,AS86,_xlfn.MINIFS(AS$58:AS$92,AS$58:AS$92,"&gt;0")/3),0)</f>
        <v/>
      </c>
      <c r="AT125" s="238">
        <f>IF(ABS(AT86)&gt;0,IF(AT86&gt;0.001,AT86,_xlfn.MINIFS(AT$58:AT$92,AT$58:AT$92,"&gt;0")/3),0)</f>
        <v/>
      </c>
      <c r="AU125" s="238">
        <f>IF(ABS(AU86)&gt;0,IF(AU86&gt;0.001,AU86,_xlfn.MINIFS(AU$58:AU$92,AU$58:AU$92,"&gt;0")/3),0)</f>
        <v/>
      </c>
      <c r="AV125" s="238">
        <f>IF(ABS(AV86)&gt;0,IF(AV86&gt;0.001,AV86,_xlfn.MINIFS(AV$58:AV$92,AV$58:AV$92,"&gt;0")/3),0)</f>
        <v/>
      </c>
      <c r="AW125" s="238">
        <f>IF(ABS(AW86)&gt;0,IF(AW86&gt;0.001,AW86,_xlfn.MINIFS(AW$58:AW$92,AW$58:AW$92,"&gt;0")/3),0)</f>
        <v/>
      </c>
      <c r="AX125" s="238">
        <f>IF(ABS(AX86)&gt;0,IF(AX86&gt;0.001,AX86,_xlfn.MINIFS(AX$58:AX$92,AX$58:AX$92,"&gt;0")/3),0)</f>
        <v/>
      </c>
      <c r="AY125" s="238">
        <f>IF(ABS(AY86)&gt;0,IF(AY86&gt;0.001,AY86,_xlfn.MINIFS(AY$58:AY$92,AY$58:AY$92,"&gt;0")/3),0)</f>
        <v/>
      </c>
      <c r="AZ125" s="238">
        <f>IF(ABS(AZ86)&gt;0,IF(AZ86&gt;0.001,AZ86,_xlfn.MINIFS(AZ$58:AZ$92,AZ$58:AZ$92,"&gt;0")/3),0)</f>
        <v/>
      </c>
      <c r="BA125" s="238">
        <f>IF(ABS(BA86)&gt;0,IF(BA86&gt;0.001,BA86,_xlfn.MINIFS(BA$58:BA$92,BA$58:BA$92,"&gt;0")/3),0)</f>
        <v/>
      </c>
      <c r="BB125" s="238">
        <f>IF(ABS(BB86)&gt;0,IF(BB86&gt;0.001,BB86,_xlfn.MINIFS(BB$58:BB$92,BB$58:BB$92,"&gt;0")/3),0)</f>
        <v/>
      </c>
    </row>
    <row r="126">
      <c r="C126" s="1" t="n"/>
      <c r="D126" s="237">
        <f>D87</f>
        <v/>
      </c>
      <c r="E126" s="238">
        <f>IF(ABS(E87)&gt;0,IF(E87&gt;0.001,E87,_xlfn.MINIFS(E$58:E$92,E$58:E$92,"&gt;0")/3),0)</f>
        <v/>
      </c>
      <c r="F126" s="238">
        <f>IF(ABS(F87)&gt;0,IF(F87&gt;0.001,F87,_xlfn.MINIFS(F$58:F$92,F$58:F$92,"&gt;0")/3),0)</f>
        <v/>
      </c>
      <c r="G126" s="238">
        <f>IF(ABS(G87)&gt;0,IF(G87&gt;0.001,G87,_xlfn.MINIFS(G$58:G$92,G$58:G$92,"&gt;0")/3),0)</f>
        <v/>
      </c>
      <c r="H126" s="238">
        <f>IF(ABS(H87)&gt;0,IF(H87&gt;0.001,H87,_xlfn.MINIFS(H$58:H$92,H$58:H$92,"&gt;0")/3),0)</f>
        <v/>
      </c>
      <c r="I126" s="238">
        <f>IF(ABS(I87)&gt;0,IF(I87&gt;0.001,I87,_xlfn.MINIFS(I$58:I$92,I$58:I$92,"&gt;0")/3),0)</f>
        <v/>
      </c>
      <c r="J126" s="238">
        <f>IF(ABS(J87)&gt;0,IF(J87&gt;0.001,J87,_xlfn.MINIFS(J$58:J$92,J$58:J$92,"&gt;0")/3),0)</f>
        <v/>
      </c>
      <c r="K126" s="238">
        <f>IF(ABS(K87)&gt;0,IF(K87&gt;0.001,K87,_xlfn.MINIFS(K$58:K$92,K$58:K$92,"&gt;0")/3),0)</f>
        <v/>
      </c>
      <c r="L126" s="238">
        <f>IF(ABS(L87)&gt;0,IF(L87&gt;0.001,L87,_xlfn.MINIFS(L$58:L$92,L$58:L$92,"&gt;0")/3),0)</f>
        <v/>
      </c>
      <c r="M126" s="238">
        <f>IF(ABS(M87)&gt;0,IF(M87&gt;0.001,M87,_xlfn.MINIFS(M$58:M$92,M$58:M$92,"&gt;0")/3),0)</f>
        <v/>
      </c>
      <c r="N126" s="238">
        <f>IF(ABS(N87)&gt;0,IF(N87&gt;0.001,N87,_xlfn.MINIFS(N$58:N$92,N$58:N$92,"&gt;0")/3),0)</f>
        <v/>
      </c>
      <c r="O126" s="238">
        <f>IF(ABS(O87)&gt;0,IF(O87&gt;0.001,O87,_xlfn.MINIFS(O$58:O$92,O$58:O$92,"&gt;0")/3),0)</f>
        <v/>
      </c>
      <c r="P126" s="238">
        <f>IF(ABS(P87)&gt;0,IF(P87&gt;0.001,P87,_xlfn.MINIFS(P$58:P$92,P$58:P$92,"&gt;0")/3),0)</f>
        <v/>
      </c>
      <c r="Q126" s="238">
        <f>IF(ABS(Q87)&gt;0,IF(Q87&gt;0.001,Q87,_xlfn.MINIFS(Q$58:Q$92,Q$58:Q$92,"&gt;0")/3),0)</f>
        <v/>
      </c>
      <c r="R126" s="238">
        <f>IF(ABS(R87)&gt;0,IF(R87&gt;0.001,R87,_xlfn.MINIFS(R$58:R$92,R$58:R$92,"&gt;0")/3),0)</f>
        <v/>
      </c>
      <c r="S126" s="238">
        <f>IF(ABS(S87)&gt;0,IF(S87&gt;0.001,S87,_xlfn.MINIFS(S$58:S$92,S$58:S$92,"&gt;0")/3),0)</f>
        <v/>
      </c>
      <c r="T126" s="238">
        <f>IF(ABS(T87)&gt;0,IF(T87&gt;0.001,T87,_xlfn.MINIFS(T$58:T$92,T$58:T$92,"&gt;0")/3),0)</f>
        <v/>
      </c>
      <c r="U126" s="238">
        <f>IF(ABS(U87)&gt;0,IF(U87&gt;0.001,U87,_xlfn.MINIFS(U$58:U$92,U$58:U$92,"&gt;0")/3),0)</f>
        <v/>
      </c>
      <c r="V126" s="238">
        <f>IF(ABS(V87)&gt;0,IF(V87&gt;0.001,V87,_xlfn.MINIFS(V$58:V$92,V$58:V$92,"&gt;0")/3),0)</f>
        <v/>
      </c>
      <c r="W126" s="238">
        <f>IF(ABS(W87)&gt;0,IF(W87&gt;0.001,W87,_xlfn.MINIFS(W$58:W$92,W$58:W$92,"&gt;0")/3),0)</f>
        <v/>
      </c>
      <c r="X126" s="238">
        <f>IF(ABS(X87)&gt;0,IF(X87&gt;0.001,X87,_xlfn.MINIFS(X$58:X$92,X$58:X$92,"&gt;0")/3),0)</f>
        <v/>
      </c>
      <c r="Y126" s="238">
        <f>IF(ABS(Y87)&gt;0,IF(Y87&gt;0.001,Y87,_xlfn.MINIFS(Y$58:Y$92,Y$58:Y$92,"&gt;0")/3),0)</f>
        <v/>
      </c>
      <c r="Z126" s="238">
        <f>IF(ABS(Z87)&gt;0,IF(Z87&gt;0.001,Z87,_xlfn.MINIFS(Z$58:Z$92,Z$58:Z$92,"&gt;0")/3),0)</f>
        <v/>
      </c>
      <c r="AA126" s="238">
        <f>IF(ABS(AA87)&gt;0,IF(AA87&gt;0.001,AA87,_xlfn.MINIFS(AA$58:AA$92,AA$58:AA$92,"&gt;0")/3),0)</f>
        <v/>
      </c>
      <c r="AB126" s="238">
        <f>IF(ABS(AB87)&gt;0,IF(AB87&gt;0.001,AB87,_xlfn.MINIFS(AB$58:AB$92,AB$58:AB$92,"&gt;0")/3),0)</f>
        <v/>
      </c>
      <c r="AC126" s="238">
        <f>IF(ABS(AC87)&gt;0,IF(AC87&gt;0.001,AC87,_xlfn.MINIFS(AC$58:AC$92,AC$58:AC$92,"&gt;0")/3),0)</f>
        <v/>
      </c>
      <c r="AD126" s="238">
        <f>IF(ABS(AD87)&gt;0,IF(AD87&gt;0.001,AD87,_xlfn.MINIFS(AD$58:AD$92,AD$58:AD$92,"&gt;0")/3),0)</f>
        <v/>
      </c>
      <c r="AE126" s="238">
        <f>IF(ABS(AE87)&gt;0,IF(AE87&gt;0.001,AE87,_xlfn.MINIFS(AE$58:AE$92,AE$58:AE$92,"&gt;0")/3),0)</f>
        <v/>
      </c>
      <c r="AF126" s="238">
        <f>IF(ABS(AF87)&gt;0,IF(AF87&gt;0.001,AF87,_xlfn.MINIFS(AF$58:AF$92,AF$58:AF$92,"&gt;0")/3),0)</f>
        <v/>
      </c>
      <c r="AG126" s="238">
        <f>IF(ABS(AG87)&gt;0,IF(AG87&gt;0.001,AG87,_xlfn.MINIFS(AG$58:AG$92,AG$58:AG$92,"&gt;0")/3),0)</f>
        <v/>
      </c>
      <c r="AH126" s="238">
        <f>IF(ABS(AH87)&gt;0,IF(AH87&gt;0.001,AH87,_xlfn.MINIFS(AH$58:AH$92,AH$58:AH$92,"&gt;0")/3),0)</f>
        <v/>
      </c>
      <c r="AI126" s="238">
        <f>IF(ABS(AI87)&gt;0,IF(AI87&gt;0.001,AI87,_xlfn.MINIFS(AI$58:AI$92,AI$58:AI$92,"&gt;0")/3),0)</f>
        <v/>
      </c>
      <c r="AJ126" s="238">
        <f>IF(ABS(AJ87)&gt;0,IF(AJ87&gt;0.001,AJ87,_xlfn.MINIFS(AJ$58:AJ$92,AJ$58:AJ$92,"&gt;0")/3),0)</f>
        <v/>
      </c>
      <c r="AK126" s="238">
        <f>IF(ABS(AK87)&gt;0,IF(AK87&gt;0.001,AK87,_xlfn.MINIFS(AK$58:AK$92,AK$58:AK$92,"&gt;0")/3),0)</f>
        <v/>
      </c>
      <c r="AL126" s="238">
        <f>IF(ABS(AL87)&gt;0,IF(AL87&gt;0.001,AL87,_xlfn.MINIFS(AL$58:AL$92,AL$58:AL$92,"&gt;0")/3),0)</f>
        <v/>
      </c>
      <c r="AM126" s="238">
        <f>IF(ABS(AM87)&gt;0,IF(AM87&gt;0.001,AM87,_xlfn.MINIFS(AM$58:AM$92,AM$58:AM$92,"&gt;0")/3),0)</f>
        <v/>
      </c>
      <c r="AN126" s="238">
        <f>IF(ABS(AN87)&gt;0,IF(AN87&gt;0.001,AN87,_xlfn.MINIFS(AN$58:AN$92,AN$58:AN$92,"&gt;0")/3),0)</f>
        <v/>
      </c>
      <c r="AO126" s="238">
        <f>IF(ABS(AO87)&gt;0,IF(AO87&gt;0.001,AO87,_xlfn.MINIFS(AO$58:AO$92,AO$58:AO$92,"&gt;0")/3),0)</f>
        <v/>
      </c>
      <c r="AP126" s="238">
        <f>IF(ABS(AP87)&gt;0,IF(AP87&gt;0.001,AP87,_xlfn.MINIFS(AP$58:AP$92,AP$58:AP$92,"&gt;0")/3),0)</f>
        <v/>
      </c>
      <c r="AQ126" s="238">
        <f>IF(ABS(AQ87)&gt;0,IF(AQ87&gt;0.001,AQ87,_xlfn.MINIFS(AQ$58:AQ$92,AQ$58:AQ$92,"&gt;0")/3),0)</f>
        <v/>
      </c>
      <c r="AR126" s="238">
        <f>IF(ABS(AR87)&gt;0,IF(AR87&gt;0.001,AR87,_xlfn.MINIFS(AR$58:AR$92,AR$58:AR$92,"&gt;0")/3),0)</f>
        <v/>
      </c>
      <c r="AS126" s="238">
        <f>IF(ABS(AS87)&gt;0,IF(AS87&gt;0.001,AS87,_xlfn.MINIFS(AS$58:AS$92,AS$58:AS$92,"&gt;0")/3),0)</f>
        <v/>
      </c>
      <c r="AT126" s="238">
        <f>IF(ABS(AT87)&gt;0,IF(AT87&gt;0.001,AT87,_xlfn.MINIFS(AT$58:AT$92,AT$58:AT$92,"&gt;0")/3),0)</f>
        <v/>
      </c>
      <c r="AU126" s="238">
        <f>IF(ABS(AU87)&gt;0,IF(AU87&gt;0.001,AU87,_xlfn.MINIFS(AU$58:AU$92,AU$58:AU$92,"&gt;0")/3),0)</f>
        <v/>
      </c>
      <c r="AV126" s="238">
        <f>IF(ABS(AV87)&gt;0,IF(AV87&gt;0.001,AV87,_xlfn.MINIFS(AV$58:AV$92,AV$58:AV$92,"&gt;0")/3),0)</f>
        <v/>
      </c>
      <c r="AW126" s="238">
        <f>IF(ABS(AW87)&gt;0,IF(AW87&gt;0.001,AW87,_xlfn.MINIFS(AW$58:AW$92,AW$58:AW$92,"&gt;0")/3),0)</f>
        <v/>
      </c>
      <c r="AX126" s="238">
        <f>IF(ABS(AX87)&gt;0,IF(AX87&gt;0.001,AX87,_xlfn.MINIFS(AX$58:AX$92,AX$58:AX$92,"&gt;0")/3),0)</f>
        <v/>
      </c>
      <c r="AY126" s="238">
        <f>IF(ABS(AY87)&gt;0,IF(AY87&gt;0.001,AY87,_xlfn.MINIFS(AY$58:AY$92,AY$58:AY$92,"&gt;0")/3),0)</f>
        <v/>
      </c>
      <c r="AZ126" s="238">
        <f>IF(ABS(AZ87)&gt;0,IF(AZ87&gt;0.001,AZ87,_xlfn.MINIFS(AZ$58:AZ$92,AZ$58:AZ$92,"&gt;0")/3),0)</f>
        <v/>
      </c>
      <c r="BA126" s="238">
        <f>IF(ABS(BA87)&gt;0,IF(BA87&gt;0.001,BA87,_xlfn.MINIFS(BA$58:BA$92,BA$58:BA$92,"&gt;0")/3),0)</f>
        <v/>
      </c>
      <c r="BB126" s="238">
        <f>IF(ABS(BB87)&gt;0,IF(BB87&gt;0.001,BB87,_xlfn.MINIFS(BB$58:BB$92,BB$58:BB$92,"&gt;0")/3),0)</f>
        <v/>
      </c>
    </row>
    <row r="127">
      <c r="C127" s="1" t="n"/>
      <c r="D127" s="237">
        <f>D88</f>
        <v/>
      </c>
      <c r="E127" s="238">
        <f>IF(ABS(E88)&gt;0,IF(E88&gt;0.001,E88,_xlfn.MINIFS(E$58:E$92,E$58:E$92,"&gt;0")/3),0)</f>
        <v/>
      </c>
      <c r="F127" s="238">
        <f>IF(ABS(F88)&gt;0,IF(F88&gt;0.001,F88,_xlfn.MINIFS(F$58:F$92,F$58:F$92,"&gt;0")/3),0)</f>
        <v/>
      </c>
      <c r="G127" s="238">
        <f>IF(ABS(G88)&gt;0,IF(G88&gt;0.001,G88,_xlfn.MINIFS(G$58:G$92,G$58:G$92,"&gt;0")/3),0)</f>
        <v/>
      </c>
      <c r="H127" s="238">
        <f>IF(ABS(H88)&gt;0,IF(H88&gt;0.001,H88,_xlfn.MINIFS(H$58:H$92,H$58:H$92,"&gt;0")/3),0)</f>
        <v/>
      </c>
      <c r="I127" s="238">
        <f>IF(ABS(I88)&gt;0,IF(I88&gt;0.001,I88,_xlfn.MINIFS(I$58:I$92,I$58:I$92,"&gt;0")/3),0)</f>
        <v/>
      </c>
      <c r="J127" s="238">
        <f>IF(ABS(J88)&gt;0,IF(J88&gt;0.001,J88,_xlfn.MINIFS(J$58:J$92,J$58:J$92,"&gt;0")/3),0)</f>
        <v/>
      </c>
      <c r="K127" s="238">
        <f>IF(ABS(K88)&gt;0,IF(K88&gt;0.001,K88,_xlfn.MINIFS(K$58:K$92,K$58:K$92,"&gt;0")/3),0)</f>
        <v/>
      </c>
      <c r="L127" s="238">
        <f>IF(ABS(L88)&gt;0,IF(L88&gt;0.001,L88,_xlfn.MINIFS(L$58:L$92,L$58:L$92,"&gt;0")/3),0)</f>
        <v/>
      </c>
      <c r="M127" s="238">
        <f>IF(ABS(M88)&gt;0,IF(M88&gt;0.001,M88,_xlfn.MINIFS(M$58:M$92,M$58:M$92,"&gt;0")/3),0)</f>
        <v/>
      </c>
      <c r="N127" s="238">
        <f>IF(ABS(N88)&gt;0,IF(N88&gt;0.001,N88,_xlfn.MINIFS(N$58:N$92,N$58:N$92,"&gt;0")/3),0)</f>
        <v/>
      </c>
      <c r="O127" s="238">
        <f>IF(ABS(O88)&gt;0,IF(O88&gt;0.001,O88,_xlfn.MINIFS(O$58:O$92,O$58:O$92,"&gt;0")/3),0)</f>
        <v/>
      </c>
      <c r="P127" s="238">
        <f>IF(ABS(P88)&gt;0,IF(P88&gt;0.001,P88,_xlfn.MINIFS(P$58:P$92,P$58:P$92,"&gt;0")/3),0)</f>
        <v/>
      </c>
      <c r="Q127" s="238">
        <f>IF(ABS(Q88)&gt;0,IF(Q88&gt;0.001,Q88,_xlfn.MINIFS(Q$58:Q$92,Q$58:Q$92,"&gt;0")/3),0)</f>
        <v/>
      </c>
      <c r="R127" s="238">
        <f>IF(ABS(R88)&gt;0,IF(R88&gt;0.001,R88,_xlfn.MINIFS(R$58:R$92,R$58:R$92,"&gt;0")/3),0)</f>
        <v/>
      </c>
      <c r="S127" s="238">
        <f>IF(ABS(S88)&gt;0,IF(S88&gt;0.001,S88,_xlfn.MINIFS(S$58:S$92,S$58:S$92,"&gt;0")/3),0)</f>
        <v/>
      </c>
      <c r="T127" s="238">
        <f>IF(ABS(T88)&gt;0,IF(T88&gt;0.001,T88,_xlfn.MINIFS(T$58:T$92,T$58:T$92,"&gt;0")/3),0)</f>
        <v/>
      </c>
      <c r="U127" s="238">
        <f>IF(ABS(U88)&gt;0,IF(U88&gt;0.001,U88,_xlfn.MINIFS(U$58:U$92,U$58:U$92,"&gt;0")/3),0)</f>
        <v/>
      </c>
      <c r="V127" s="238">
        <f>IF(ABS(V88)&gt;0,IF(V88&gt;0.001,V88,_xlfn.MINIFS(V$58:V$92,V$58:V$92,"&gt;0")/3),0)</f>
        <v/>
      </c>
      <c r="W127" s="238">
        <f>IF(ABS(W88)&gt;0,IF(W88&gt;0.001,W88,_xlfn.MINIFS(W$58:W$92,W$58:W$92,"&gt;0")/3),0)</f>
        <v/>
      </c>
      <c r="X127" s="238">
        <f>IF(ABS(X88)&gt;0,IF(X88&gt;0.001,X88,_xlfn.MINIFS(X$58:X$92,X$58:X$92,"&gt;0")/3),0)</f>
        <v/>
      </c>
      <c r="Y127" s="238">
        <f>IF(ABS(Y88)&gt;0,IF(Y88&gt;0.001,Y88,_xlfn.MINIFS(Y$58:Y$92,Y$58:Y$92,"&gt;0")/3),0)</f>
        <v/>
      </c>
      <c r="Z127" s="238">
        <f>IF(ABS(Z88)&gt;0,IF(Z88&gt;0.001,Z88,_xlfn.MINIFS(Z$58:Z$92,Z$58:Z$92,"&gt;0")/3),0)</f>
        <v/>
      </c>
      <c r="AA127" s="238">
        <f>IF(ABS(AA88)&gt;0,IF(AA88&gt;0.001,AA88,_xlfn.MINIFS(AA$58:AA$92,AA$58:AA$92,"&gt;0")/3),0)</f>
        <v/>
      </c>
      <c r="AB127" s="238">
        <f>IF(ABS(AB88)&gt;0,IF(AB88&gt;0.001,AB88,_xlfn.MINIFS(AB$58:AB$92,AB$58:AB$92,"&gt;0")/3),0)</f>
        <v/>
      </c>
      <c r="AC127" s="238">
        <f>IF(ABS(AC88)&gt;0,IF(AC88&gt;0.001,AC88,_xlfn.MINIFS(AC$58:AC$92,AC$58:AC$92,"&gt;0")/3),0)</f>
        <v/>
      </c>
      <c r="AD127" s="238">
        <f>IF(ABS(AD88)&gt;0,IF(AD88&gt;0.001,AD88,_xlfn.MINIFS(AD$58:AD$92,AD$58:AD$92,"&gt;0")/3),0)</f>
        <v/>
      </c>
      <c r="AE127" s="238">
        <f>IF(ABS(AE88)&gt;0,IF(AE88&gt;0.001,AE88,_xlfn.MINIFS(AE$58:AE$92,AE$58:AE$92,"&gt;0")/3),0)</f>
        <v/>
      </c>
      <c r="AF127" s="238">
        <f>IF(ABS(AF88)&gt;0,IF(AF88&gt;0.001,AF88,_xlfn.MINIFS(AF$58:AF$92,AF$58:AF$92,"&gt;0")/3),0)</f>
        <v/>
      </c>
      <c r="AG127" s="238">
        <f>IF(ABS(AG88)&gt;0,IF(AG88&gt;0.001,AG88,_xlfn.MINIFS(AG$58:AG$92,AG$58:AG$92,"&gt;0")/3),0)</f>
        <v/>
      </c>
      <c r="AH127" s="238">
        <f>IF(ABS(AH88)&gt;0,IF(AH88&gt;0.001,AH88,_xlfn.MINIFS(AH$58:AH$92,AH$58:AH$92,"&gt;0")/3),0)</f>
        <v/>
      </c>
      <c r="AI127" s="238">
        <f>IF(ABS(AI88)&gt;0,IF(AI88&gt;0.001,AI88,_xlfn.MINIFS(AI$58:AI$92,AI$58:AI$92,"&gt;0")/3),0)</f>
        <v/>
      </c>
      <c r="AJ127" s="238">
        <f>IF(ABS(AJ88)&gt;0,IF(AJ88&gt;0.001,AJ88,_xlfn.MINIFS(AJ$58:AJ$92,AJ$58:AJ$92,"&gt;0")/3),0)</f>
        <v/>
      </c>
      <c r="AK127" s="238">
        <f>IF(ABS(AK88)&gt;0,IF(AK88&gt;0.001,AK88,_xlfn.MINIFS(AK$58:AK$92,AK$58:AK$92,"&gt;0")/3),0)</f>
        <v/>
      </c>
      <c r="AL127" s="238">
        <f>IF(ABS(AL88)&gt;0,IF(AL88&gt;0.001,AL88,_xlfn.MINIFS(AL$58:AL$92,AL$58:AL$92,"&gt;0")/3),0)</f>
        <v/>
      </c>
      <c r="AM127" s="238">
        <f>IF(ABS(AM88)&gt;0,IF(AM88&gt;0.001,AM88,_xlfn.MINIFS(AM$58:AM$92,AM$58:AM$92,"&gt;0")/3),0)</f>
        <v/>
      </c>
      <c r="AN127" s="238">
        <f>IF(ABS(AN88)&gt;0,IF(AN88&gt;0.001,AN88,_xlfn.MINIFS(AN$58:AN$92,AN$58:AN$92,"&gt;0")/3),0)</f>
        <v/>
      </c>
      <c r="AO127" s="238">
        <f>IF(ABS(AO88)&gt;0,IF(AO88&gt;0.001,AO88,_xlfn.MINIFS(AO$58:AO$92,AO$58:AO$92,"&gt;0")/3),0)</f>
        <v/>
      </c>
      <c r="AP127" s="238">
        <f>IF(ABS(AP88)&gt;0,IF(AP88&gt;0.001,AP88,_xlfn.MINIFS(AP$58:AP$92,AP$58:AP$92,"&gt;0")/3),0)</f>
        <v/>
      </c>
      <c r="AQ127" s="238">
        <f>IF(ABS(AQ88)&gt;0,IF(AQ88&gt;0.001,AQ88,_xlfn.MINIFS(AQ$58:AQ$92,AQ$58:AQ$92,"&gt;0")/3),0)</f>
        <v/>
      </c>
      <c r="AR127" s="238">
        <f>IF(ABS(AR88)&gt;0,IF(AR88&gt;0.001,AR88,_xlfn.MINIFS(AR$58:AR$92,AR$58:AR$92,"&gt;0")/3),0)</f>
        <v/>
      </c>
      <c r="AS127" s="238">
        <f>IF(ABS(AS88)&gt;0,IF(AS88&gt;0.001,AS88,_xlfn.MINIFS(AS$58:AS$92,AS$58:AS$92,"&gt;0")/3),0)</f>
        <v/>
      </c>
      <c r="AT127" s="238">
        <f>IF(ABS(AT88)&gt;0,IF(AT88&gt;0.001,AT88,_xlfn.MINIFS(AT$58:AT$92,AT$58:AT$92,"&gt;0")/3),0)</f>
        <v/>
      </c>
      <c r="AU127" s="238">
        <f>IF(ABS(AU88)&gt;0,IF(AU88&gt;0.001,AU88,_xlfn.MINIFS(AU$58:AU$92,AU$58:AU$92,"&gt;0")/3),0)</f>
        <v/>
      </c>
      <c r="AV127" s="238">
        <f>IF(ABS(AV88)&gt;0,IF(AV88&gt;0.001,AV88,_xlfn.MINIFS(AV$58:AV$92,AV$58:AV$92,"&gt;0")/3),0)</f>
        <v/>
      </c>
      <c r="AW127" s="238">
        <f>IF(ABS(AW88)&gt;0,IF(AW88&gt;0.001,AW88,_xlfn.MINIFS(AW$58:AW$92,AW$58:AW$92,"&gt;0")/3),0)</f>
        <v/>
      </c>
      <c r="AX127" s="238">
        <f>IF(ABS(AX88)&gt;0,IF(AX88&gt;0.001,AX88,_xlfn.MINIFS(AX$58:AX$92,AX$58:AX$92,"&gt;0")/3),0)</f>
        <v/>
      </c>
      <c r="AY127" s="238">
        <f>IF(ABS(AY88)&gt;0,IF(AY88&gt;0.001,AY88,_xlfn.MINIFS(AY$58:AY$92,AY$58:AY$92,"&gt;0")/3),0)</f>
        <v/>
      </c>
      <c r="AZ127" s="238">
        <f>IF(ABS(AZ88)&gt;0,IF(AZ88&gt;0.001,AZ88,_xlfn.MINIFS(AZ$58:AZ$92,AZ$58:AZ$92,"&gt;0")/3),0)</f>
        <v/>
      </c>
      <c r="BA127" s="238">
        <f>IF(ABS(BA88)&gt;0,IF(BA88&gt;0.001,BA88,_xlfn.MINIFS(BA$58:BA$92,BA$58:BA$92,"&gt;0")/3),0)</f>
        <v/>
      </c>
      <c r="BB127" s="238">
        <f>IF(ABS(BB88)&gt;0,IF(BB88&gt;0.001,BB88,_xlfn.MINIFS(BB$58:BB$92,BB$58:BB$92,"&gt;0")/3),0)</f>
        <v/>
      </c>
    </row>
    <row r="128">
      <c r="C128" s="1" t="n"/>
      <c r="D128" s="237">
        <f>D89</f>
        <v/>
      </c>
      <c r="E128" s="238">
        <f>IF(ABS(E89)&gt;0,IF(E89&gt;0.001,E89,_xlfn.MINIFS(E$58:E$92,E$58:E$92,"&gt;0")/3),0)</f>
        <v/>
      </c>
      <c r="F128" s="238">
        <f>IF(ABS(F89)&gt;0,IF(F89&gt;0.001,F89,_xlfn.MINIFS(F$58:F$92,F$58:F$92,"&gt;0")/3),0)</f>
        <v/>
      </c>
      <c r="G128" s="238">
        <f>IF(ABS(G89)&gt;0,IF(G89&gt;0.001,G89,_xlfn.MINIFS(G$58:G$92,G$58:G$92,"&gt;0")/3),0)</f>
        <v/>
      </c>
      <c r="H128" s="238">
        <f>IF(ABS(H89)&gt;0,IF(H89&gt;0.001,H89,_xlfn.MINIFS(H$58:H$92,H$58:H$92,"&gt;0")/3),0)</f>
        <v/>
      </c>
      <c r="I128" s="238">
        <f>IF(ABS(I89)&gt;0,IF(I89&gt;0.001,I89,_xlfn.MINIFS(I$58:I$92,I$58:I$92,"&gt;0")/3),0)</f>
        <v/>
      </c>
      <c r="J128" s="238">
        <f>IF(ABS(J89)&gt;0,IF(J89&gt;0.001,J89,_xlfn.MINIFS(J$58:J$92,J$58:J$92,"&gt;0")/3),0)</f>
        <v/>
      </c>
      <c r="K128" s="238">
        <f>IF(ABS(K89)&gt;0,IF(K89&gt;0.001,K89,_xlfn.MINIFS(K$58:K$92,K$58:K$92,"&gt;0")/3),0)</f>
        <v/>
      </c>
      <c r="L128" s="238">
        <f>IF(ABS(L89)&gt;0,IF(L89&gt;0.001,L89,_xlfn.MINIFS(L$58:L$92,L$58:L$92,"&gt;0")/3),0)</f>
        <v/>
      </c>
      <c r="M128" s="238">
        <f>IF(ABS(M89)&gt;0,IF(M89&gt;0.001,M89,_xlfn.MINIFS(M$58:M$92,M$58:M$92,"&gt;0")/3),0)</f>
        <v/>
      </c>
      <c r="N128" s="238">
        <f>IF(ABS(N89)&gt;0,IF(N89&gt;0.001,N89,_xlfn.MINIFS(N$58:N$92,N$58:N$92,"&gt;0")/3),0)</f>
        <v/>
      </c>
      <c r="O128" s="238">
        <f>IF(ABS(O89)&gt;0,IF(O89&gt;0.001,O89,_xlfn.MINIFS(O$58:O$92,O$58:O$92,"&gt;0")/3),0)</f>
        <v/>
      </c>
      <c r="P128" s="238">
        <f>IF(ABS(P89)&gt;0,IF(P89&gt;0.001,P89,_xlfn.MINIFS(P$58:P$92,P$58:P$92,"&gt;0")/3),0)</f>
        <v/>
      </c>
      <c r="Q128" s="238">
        <f>IF(ABS(Q89)&gt;0,IF(Q89&gt;0.001,Q89,_xlfn.MINIFS(Q$58:Q$92,Q$58:Q$92,"&gt;0")/3),0)</f>
        <v/>
      </c>
      <c r="R128" s="238">
        <f>IF(ABS(R89)&gt;0,IF(R89&gt;0.001,R89,_xlfn.MINIFS(R$58:R$92,R$58:R$92,"&gt;0")/3),0)</f>
        <v/>
      </c>
      <c r="S128" s="238">
        <f>IF(ABS(S89)&gt;0,IF(S89&gt;0.001,S89,_xlfn.MINIFS(S$58:S$92,S$58:S$92,"&gt;0")/3),0)</f>
        <v/>
      </c>
      <c r="T128" s="238">
        <f>IF(ABS(T89)&gt;0,IF(T89&gt;0.001,T89,_xlfn.MINIFS(T$58:T$92,T$58:T$92,"&gt;0")/3),0)</f>
        <v/>
      </c>
      <c r="U128" s="238">
        <f>IF(ABS(U89)&gt;0,IF(U89&gt;0.001,U89,_xlfn.MINIFS(U$58:U$92,U$58:U$92,"&gt;0")/3),0)</f>
        <v/>
      </c>
      <c r="V128" s="238">
        <f>IF(ABS(V89)&gt;0,IF(V89&gt;0.001,V89,_xlfn.MINIFS(V$58:V$92,V$58:V$92,"&gt;0")/3),0)</f>
        <v/>
      </c>
      <c r="W128" s="238">
        <f>IF(ABS(W89)&gt;0,IF(W89&gt;0.001,W89,_xlfn.MINIFS(W$58:W$92,W$58:W$92,"&gt;0")/3),0)</f>
        <v/>
      </c>
      <c r="X128" s="238">
        <f>IF(ABS(X89)&gt;0,IF(X89&gt;0.001,X89,_xlfn.MINIFS(X$58:X$92,X$58:X$92,"&gt;0")/3),0)</f>
        <v/>
      </c>
      <c r="Y128" s="238">
        <f>IF(ABS(Y89)&gt;0,IF(Y89&gt;0.001,Y89,_xlfn.MINIFS(Y$58:Y$92,Y$58:Y$92,"&gt;0")/3),0)</f>
        <v/>
      </c>
      <c r="Z128" s="238">
        <f>IF(ABS(Z89)&gt;0,IF(Z89&gt;0.001,Z89,_xlfn.MINIFS(Z$58:Z$92,Z$58:Z$92,"&gt;0")/3),0)</f>
        <v/>
      </c>
      <c r="AA128" s="238">
        <f>IF(ABS(AA89)&gt;0,IF(AA89&gt;0.001,AA89,_xlfn.MINIFS(AA$58:AA$92,AA$58:AA$92,"&gt;0")/3),0)</f>
        <v/>
      </c>
      <c r="AB128" s="238">
        <f>IF(ABS(AB89)&gt;0,IF(AB89&gt;0.001,AB89,_xlfn.MINIFS(AB$58:AB$92,AB$58:AB$92,"&gt;0")/3),0)</f>
        <v/>
      </c>
      <c r="AC128" s="238">
        <f>IF(ABS(AC89)&gt;0,IF(AC89&gt;0.001,AC89,_xlfn.MINIFS(AC$58:AC$92,AC$58:AC$92,"&gt;0")/3),0)</f>
        <v/>
      </c>
      <c r="AD128" s="238">
        <f>IF(ABS(AD89)&gt;0,IF(AD89&gt;0.001,AD89,_xlfn.MINIFS(AD$58:AD$92,AD$58:AD$92,"&gt;0")/3),0)</f>
        <v/>
      </c>
      <c r="AE128" s="238">
        <f>IF(ABS(AE89)&gt;0,IF(AE89&gt;0.001,AE89,_xlfn.MINIFS(AE$58:AE$92,AE$58:AE$92,"&gt;0")/3),0)</f>
        <v/>
      </c>
      <c r="AF128" s="238">
        <f>IF(ABS(AF89)&gt;0,IF(AF89&gt;0.001,AF89,_xlfn.MINIFS(AF$58:AF$92,AF$58:AF$92,"&gt;0")/3),0)</f>
        <v/>
      </c>
      <c r="AG128" s="238">
        <f>IF(ABS(AG89)&gt;0,IF(AG89&gt;0.001,AG89,_xlfn.MINIFS(AG$58:AG$92,AG$58:AG$92,"&gt;0")/3),0)</f>
        <v/>
      </c>
      <c r="AH128" s="238">
        <f>IF(ABS(AH89)&gt;0,IF(AH89&gt;0.001,AH89,_xlfn.MINIFS(AH$58:AH$92,AH$58:AH$92,"&gt;0")/3),0)</f>
        <v/>
      </c>
      <c r="AI128" s="238">
        <f>IF(ABS(AI89)&gt;0,IF(AI89&gt;0.001,AI89,_xlfn.MINIFS(AI$58:AI$92,AI$58:AI$92,"&gt;0")/3),0)</f>
        <v/>
      </c>
      <c r="AJ128" s="238">
        <f>IF(ABS(AJ89)&gt;0,IF(AJ89&gt;0.001,AJ89,_xlfn.MINIFS(AJ$58:AJ$92,AJ$58:AJ$92,"&gt;0")/3),0)</f>
        <v/>
      </c>
      <c r="AK128" s="238">
        <f>IF(ABS(AK89)&gt;0,IF(AK89&gt;0.001,AK89,_xlfn.MINIFS(AK$58:AK$92,AK$58:AK$92,"&gt;0")/3),0)</f>
        <v/>
      </c>
      <c r="AL128" s="238">
        <f>IF(ABS(AL89)&gt;0,IF(AL89&gt;0.001,AL89,_xlfn.MINIFS(AL$58:AL$92,AL$58:AL$92,"&gt;0")/3),0)</f>
        <v/>
      </c>
      <c r="AM128" s="238">
        <f>IF(ABS(AM89)&gt;0,IF(AM89&gt;0.001,AM89,_xlfn.MINIFS(AM$58:AM$92,AM$58:AM$92,"&gt;0")/3),0)</f>
        <v/>
      </c>
      <c r="AN128" s="238">
        <f>IF(ABS(AN89)&gt;0,IF(AN89&gt;0.001,AN89,_xlfn.MINIFS(AN$58:AN$92,AN$58:AN$92,"&gt;0")/3),0)</f>
        <v/>
      </c>
      <c r="AO128" s="238">
        <f>IF(ABS(AO89)&gt;0,IF(AO89&gt;0.001,AO89,_xlfn.MINIFS(AO$58:AO$92,AO$58:AO$92,"&gt;0")/3),0)</f>
        <v/>
      </c>
      <c r="AP128" s="238">
        <f>IF(ABS(AP89)&gt;0,IF(AP89&gt;0.001,AP89,_xlfn.MINIFS(AP$58:AP$92,AP$58:AP$92,"&gt;0")/3),0)</f>
        <v/>
      </c>
      <c r="AQ128" s="238">
        <f>IF(ABS(AQ89)&gt;0,IF(AQ89&gt;0.001,AQ89,_xlfn.MINIFS(AQ$58:AQ$92,AQ$58:AQ$92,"&gt;0")/3),0)</f>
        <v/>
      </c>
      <c r="AR128" s="238">
        <f>IF(ABS(AR89)&gt;0,IF(AR89&gt;0.001,AR89,_xlfn.MINIFS(AR$58:AR$92,AR$58:AR$92,"&gt;0")/3),0)</f>
        <v/>
      </c>
      <c r="AS128" s="238">
        <f>IF(ABS(AS89)&gt;0,IF(AS89&gt;0.001,AS89,_xlfn.MINIFS(AS$58:AS$92,AS$58:AS$92,"&gt;0")/3),0)</f>
        <v/>
      </c>
      <c r="AT128" s="238">
        <f>IF(ABS(AT89)&gt;0,IF(AT89&gt;0.001,AT89,_xlfn.MINIFS(AT$58:AT$92,AT$58:AT$92,"&gt;0")/3),0)</f>
        <v/>
      </c>
      <c r="AU128" s="238">
        <f>IF(ABS(AU89)&gt;0,IF(AU89&gt;0.001,AU89,_xlfn.MINIFS(AU$58:AU$92,AU$58:AU$92,"&gt;0")/3),0)</f>
        <v/>
      </c>
      <c r="AV128" s="238">
        <f>IF(ABS(AV89)&gt;0,IF(AV89&gt;0.001,AV89,_xlfn.MINIFS(AV$58:AV$92,AV$58:AV$92,"&gt;0")/3),0)</f>
        <v/>
      </c>
      <c r="AW128" s="238">
        <f>IF(ABS(AW89)&gt;0,IF(AW89&gt;0.001,AW89,_xlfn.MINIFS(AW$58:AW$92,AW$58:AW$92,"&gt;0")/3),0)</f>
        <v/>
      </c>
      <c r="AX128" s="238">
        <f>IF(ABS(AX89)&gt;0,IF(AX89&gt;0.001,AX89,_xlfn.MINIFS(AX$58:AX$92,AX$58:AX$92,"&gt;0")/3),0)</f>
        <v/>
      </c>
      <c r="AY128" s="238">
        <f>IF(ABS(AY89)&gt;0,IF(AY89&gt;0.001,AY89,_xlfn.MINIFS(AY$58:AY$92,AY$58:AY$92,"&gt;0")/3),0)</f>
        <v/>
      </c>
      <c r="AZ128" s="238">
        <f>IF(ABS(AZ89)&gt;0,IF(AZ89&gt;0.001,AZ89,_xlfn.MINIFS(AZ$58:AZ$92,AZ$58:AZ$92,"&gt;0")/3),0)</f>
        <v/>
      </c>
      <c r="BA128" s="238">
        <f>IF(ABS(BA89)&gt;0,IF(BA89&gt;0.001,BA89,_xlfn.MINIFS(BA$58:BA$92,BA$58:BA$92,"&gt;0")/3),0)</f>
        <v/>
      </c>
      <c r="BB128" s="238">
        <f>IF(ABS(BB89)&gt;0,IF(BB89&gt;0.001,BB89,_xlfn.MINIFS(BB$58:BB$92,BB$58:BB$92,"&gt;0")/3),0)</f>
        <v/>
      </c>
    </row>
    <row r="129">
      <c r="C129" s="1" t="n"/>
      <c r="D129" s="237">
        <f>D90</f>
        <v/>
      </c>
      <c r="E129" s="238">
        <f>IF(ABS(E90)&gt;0,IF(E90&gt;0.001,E90,_xlfn.MINIFS(E$58:E$92,E$58:E$92,"&gt;0")/3),0)</f>
        <v/>
      </c>
      <c r="F129" s="238">
        <f>IF(ABS(F90)&gt;0,IF(F90&gt;0.001,F90,_xlfn.MINIFS(F$58:F$92,F$58:F$92,"&gt;0")/3),0)</f>
        <v/>
      </c>
      <c r="G129" s="238">
        <f>IF(ABS(G90)&gt;0,IF(G90&gt;0.001,G90,_xlfn.MINIFS(G$58:G$92,G$58:G$92,"&gt;0")/3),0)</f>
        <v/>
      </c>
      <c r="H129" s="238">
        <f>IF(ABS(H90)&gt;0,IF(H90&gt;0.001,H90,_xlfn.MINIFS(H$58:H$92,H$58:H$92,"&gt;0")/3),0)</f>
        <v/>
      </c>
      <c r="I129" s="238">
        <f>IF(ABS(I90)&gt;0,IF(I90&gt;0.001,I90,_xlfn.MINIFS(I$58:I$92,I$58:I$92,"&gt;0")/3),0)</f>
        <v/>
      </c>
      <c r="J129" s="238">
        <f>IF(ABS(J90)&gt;0,IF(J90&gt;0.001,J90,_xlfn.MINIFS(J$58:J$92,J$58:J$92,"&gt;0")/3),0)</f>
        <v/>
      </c>
      <c r="K129" s="238">
        <f>IF(ABS(K90)&gt;0,IF(K90&gt;0.001,K90,_xlfn.MINIFS(K$58:K$92,K$58:K$92,"&gt;0")/3),0)</f>
        <v/>
      </c>
      <c r="L129" s="238">
        <f>IF(ABS(L90)&gt;0,IF(L90&gt;0.001,L90,_xlfn.MINIFS(L$58:L$92,L$58:L$92,"&gt;0")/3),0)</f>
        <v/>
      </c>
      <c r="M129" s="238">
        <f>IF(ABS(M90)&gt;0,IF(M90&gt;0.001,M90,_xlfn.MINIFS(M$58:M$92,M$58:M$92,"&gt;0")/3),0)</f>
        <v/>
      </c>
      <c r="N129" s="238">
        <f>IF(ABS(N90)&gt;0,IF(N90&gt;0.001,N90,_xlfn.MINIFS(N$58:N$92,N$58:N$92,"&gt;0")/3),0)</f>
        <v/>
      </c>
      <c r="O129" s="238">
        <f>IF(ABS(O90)&gt;0,IF(O90&gt;0.001,O90,_xlfn.MINIFS(O$58:O$92,O$58:O$92,"&gt;0")/3),0)</f>
        <v/>
      </c>
      <c r="P129" s="238">
        <f>IF(ABS(P90)&gt;0,IF(P90&gt;0.001,P90,_xlfn.MINIFS(P$58:P$92,P$58:P$92,"&gt;0")/3),0)</f>
        <v/>
      </c>
      <c r="Q129" s="238">
        <f>IF(ABS(Q90)&gt;0,IF(Q90&gt;0.001,Q90,_xlfn.MINIFS(Q$58:Q$92,Q$58:Q$92,"&gt;0")/3),0)</f>
        <v/>
      </c>
      <c r="R129" s="238">
        <f>IF(ABS(R90)&gt;0,IF(R90&gt;0.001,R90,_xlfn.MINIFS(R$58:R$92,R$58:R$92,"&gt;0")/3),0)</f>
        <v/>
      </c>
      <c r="S129" s="238">
        <f>IF(ABS(S90)&gt;0,IF(S90&gt;0.001,S90,_xlfn.MINIFS(S$58:S$92,S$58:S$92,"&gt;0")/3),0)</f>
        <v/>
      </c>
      <c r="T129" s="238">
        <f>IF(ABS(T90)&gt;0,IF(T90&gt;0.001,T90,_xlfn.MINIFS(T$58:T$92,T$58:T$92,"&gt;0")/3),0)</f>
        <v/>
      </c>
      <c r="U129" s="238">
        <f>IF(ABS(U90)&gt;0,IF(U90&gt;0.001,U90,_xlfn.MINIFS(U$58:U$92,U$58:U$92,"&gt;0")/3),0)</f>
        <v/>
      </c>
      <c r="V129" s="238">
        <f>IF(ABS(V90)&gt;0,IF(V90&gt;0.001,V90,_xlfn.MINIFS(V$58:V$92,V$58:V$92,"&gt;0")/3),0)</f>
        <v/>
      </c>
      <c r="W129" s="238">
        <f>IF(ABS(W90)&gt;0,IF(W90&gt;0.001,W90,_xlfn.MINIFS(W$58:W$92,W$58:W$92,"&gt;0")/3),0)</f>
        <v/>
      </c>
      <c r="X129" s="238">
        <f>IF(ABS(X90)&gt;0,IF(X90&gt;0.001,X90,_xlfn.MINIFS(X$58:X$92,X$58:X$92,"&gt;0")/3),0)</f>
        <v/>
      </c>
      <c r="Y129" s="238">
        <f>IF(ABS(Y90)&gt;0,IF(Y90&gt;0.001,Y90,_xlfn.MINIFS(Y$58:Y$92,Y$58:Y$92,"&gt;0")/3),0)</f>
        <v/>
      </c>
      <c r="Z129" s="238">
        <f>IF(ABS(Z90)&gt;0,IF(Z90&gt;0.001,Z90,_xlfn.MINIFS(Z$58:Z$92,Z$58:Z$92,"&gt;0")/3),0)</f>
        <v/>
      </c>
      <c r="AA129" s="238">
        <f>IF(ABS(AA90)&gt;0,IF(AA90&gt;0.001,AA90,_xlfn.MINIFS(AA$58:AA$92,AA$58:AA$92,"&gt;0")/3),0)</f>
        <v/>
      </c>
      <c r="AB129" s="238">
        <f>IF(ABS(AB90)&gt;0,IF(AB90&gt;0.001,AB90,_xlfn.MINIFS(AB$58:AB$92,AB$58:AB$92,"&gt;0")/3),0)</f>
        <v/>
      </c>
      <c r="AC129" s="238">
        <f>IF(ABS(AC90)&gt;0,IF(AC90&gt;0.001,AC90,_xlfn.MINIFS(AC$58:AC$92,AC$58:AC$92,"&gt;0")/3),0)</f>
        <v/>
      </c>
      <c r="AD129" s="238">
        <f>IF(ABS(AD90)&gt;0,IF(AD90&gt;0.001,AD90,_xlfn.MINIFS(AD$58:AD$92,AD$58:AD$92,"&gt;0")/3),0)</f>
        <v/>
      </c>
      <c r="AE129" s="238">
        <f>IF(ABS(AE90)&gt;0,IF(AE90&gt;0.001,AE90,_xlfn.MINIFS(AE$58:AE$92,AE$58:AE$92,"&gt;0")/3),0)</f>
        <v/>
      </c>
      <c r="AF129" s="238">
        <f>IF(ABS(AF90)&gt;0,IF(AF90&gt;0.001,AF90,_xlfn.MINIFS(AF$58:AF$92,AF$58:AF$92,"&gt;0")/3),0)</f>
        <v/>
      </c>
      <c r="AG129" s="238">
        <f>IF(ABS(AG90)&gt;0,IF(AG90&gt;0.001,AG90,_xlfn.MINIFS(AG$58:AG$92,AG$58:AG$92,"&gt;0")/3),0)</f>
        <v/>
      </c>
      <c r="AH129" s="238">
        <f>IF(ABS(AH90)&gt;0,IF(AH90&gt;0.001,AH90,_xlfn.MINIFS(AH$58:AH$92,AH$58:AH$92,"&gt;0")/3),0)</f>
        <v/>
      </c>
      <c r="AI129" s="238">
        <f>IF(ABS(AI90)&gt;0,IF(AI90&gt;0.001,AI90,_xlfn.MINIFS(AI$58:AI$92,AI$58:AI$92,"&gt;0")/3),0)</f>
        <v/>
      </c>
      <c r="AJ129" s="238">
        <f>IF(ABS(AJ90)&gt;0,IF(AJ90&gt;0.001,AJ90,_xlfn.MINIFS(AJ$58:AJ$92,AJ$58:AJ$92,"&gt;0")/3),0)</f>
        <v/>
      </c>
      <c r="AK129" s="238">
        <f>IF(ABS(AK90)&gt;0,IF(AK90&gt;0.001,AK90,_xlfn.MINIFS(AK$58:AK$92,AK$58:AK$92,"&gt;0")/3),0)</f>
        <v/>
      </c>
      <c r="AL129" s="238">
        <f>IF(ABS(AL90)&gt;0,IF(AL90&gt;0.001,AL90,_xlfn.MINIFS(AL$58:AL$92,AL$58:AL$92,"&gt;0")/3),0)</f>
        <v/>
      </c>
      <c r="AM129" s="238">
        <f>IF(ABS(AM90)&gt;0,IF(AM90&gt;0.001,AM90,_xlfn.MINIFS(AM$58:AM$92,AM$58:AM$92,"&gt;0")/3),0)</f>
        <v/>
      </c>
      <c r="AN129" s="238">
        <f>IF(ABS(AN90)&gt;0,IF(AN90&gt;0.001,AN90,_xlfn.MINIFS(AN$58:AN$92,AN$58:AN$92,"&gt;0")/3),0)</f>
        <v/>
      </c>
      <c r="AO129" s="238">
        <f>IF(ABS(AO90)&gt;0,IF(AO90&gt;0.001,AO90,_xlfn.MINIFS(AO$58:AO$92,AO$58:AO$92,"&gt;0")/3),0)</f>
        <v/>
      </c>
      <c r="AP129" s="238">
        <f>IF(ABS(AP90)&gt;0,IF(AP90&gt;0.001,AP90,_xlfn.MINIFS(AP$58:AP$92,AP$58:AP$92,"&gt;0")/3),0)</f>
        <v/>
      </c>
      <c r="AQ129" s="238">
        <f>IF(ABS(AQ90)&gt;0,IF(AQ90&gt;0.001,AQ90,_xlfn.MINIFS(AQ$58:AQ$92,AQ$58:AQ$92,"&gt;0")/3),0)</f>
        <v/>
      </c>
      <c r="AR129" s="238">
        <f>IF(ABS(AR90)&gt;0,IF(AR90&gt;0.001,AR90,_xlfn.MINIFS(AR$58:AR$92,AR$58:AR$92,"&gt;0")/3),0)</f>
        <v/>
      </c>
      <c r="AS129" s="238">
        <f>IF(ABS(AS90)&gt;0,IF(AS90&gt;0.001,AS90,_xlfn.MINIFS(AS$58:AS$92,AS$58:AS$92,"&gt;0")/3),0)</f>
        <v/>
      </c>
      <c r="AT129" s="238">
        <f>IF(ABS(AT90)&gt;0,IF(AT90&gt;0.001,AT90,_xlfn.MINIFS(AT$58:AT$92,AT$58:AT$92,"&gt;0")/3),0)</f>
        <v/>
      </c>
      <c r="AU129" s="238">
        <f>IF(ABS(AU90)&gt;0,IF(AU90&gt;0.001,AU90,_xlfn.MINIFS(AU$58:AU$92,AU$58:AU$92,"&gt;0")/3),0)</f>
        <v/>
      </c>
      <c r="AV129" s="238">
        <f>IF(ABS(AV90)&gt;0,IF(AV90&gt;0.001,AV90,_xlfn.MINIFS(AV$58:AV$92,AV$58:AV$92,"&gt;0")/3),0)</f>
        <v/>
      </c>
      <c r="AW129" s="238">
        <f>IF(ABS(AW90)&gt;0,IF(AW90&gt;0.001,AW90,_xlfn.MINIFS(AW$58:AW$92,AW$58:AW$92,"&gt;0")/3),0)</f>
        <v/>
      </c>
      <c r="AX129" s="238">
        <f>IF(ABS(AX90)&gt;0,IF(AX90&gt;0.001,AX90,_xlfn.MINIFS(AX$58:AX$92,AX$58:AX$92,"&gt;0")/3),0)</f>
        <v/>
      </c>
      <c r="AY129" s="238">
        <f>IF(ABS(AY90)&gt;0,IF(AY90&gt;0.001,AY90,_xlfn.MINIFS(AY$58:AY$92,AY$58:AY$92,"&gt;0")/3),0)</f>
        <v/>
      </c>
      <c r="AZ129" s="238">
        <f>IF(ABS(AZ90)&gt;0,IF(AZ90&gt;0.001,AZ90,_xlfn.MINIFS(AZ$58:AZ$92,AZ$58:AZ$92,"&gt;0")/3),0)</f>
        <v/>
      </c>
      <c r="BA129" s="238">
        <f>IF(ABS(BA90)&gt;0,IF(BA90&gt;0.001,BA90,_xlfn.MINIFS(BA$58:BA$92,BA$58:BA$92,"&gt;0")/3),0)</f>
        <v/>
      </c>
      <c r="BB129" s="238">
        <f>IF(ABS(BB90)&gt;0,IF(BB90&gt;0.001,BB90,_xlfn.MINIFS(BB$58:BB$92,BB$58:BB$92,"&gt;0")/3),0)</f>
        <v/>
      </c>
    </row>
    <row r="130">
      <c r="C130" s="1" t="n"/>
      <c r="D130" s="237">
        <f>D91</f>
        <v/>
      </c>
      <c r="E130" s="238">
        <f>IF(ABS(E91)&gt;0,IF(E91&gt;0.001,E91,_xlfn.MINIFS(E$58:E$92,E$58:E$92,"&gt;0")/3),0)</f>
        <v/>
      </c>
      <c r="F130" s="238">
        <f>IF(ABS(F91)&gt;0,IF(F91&gt;0.001,F91,_xlfn.MINIFS(F$58:F$92,F$58:F$92,"&gt;0")/3),0)</f>
        <v/>
      </c>
      <c r="G130" s="238">
        <f>IF(ABS(G91)&gt;0,IF(G91&gt;0.001,G91,_xlfn.MINIFS(G$58:G$92,G$58:G$92,"&gt;0")/3),0)</f>
        <v/>
      </c>
      <c r="H130" s="238">
        <f>IF(ABS(H91)&gt;0,IF(H91&gt;0.001,H91,_xlfn.MINIFS(H$58:H$92,H$58:H$92,"&gt;0")/3),0)</f>
        <v/>
      </c>
      <c r="I130" s="238">
        <f>IF(ABS(I91)&gt;0,IF(I91&gt;0.001,I91,_xlfn.MINIFS(I$58:I$92,I$58:I$92,"&gt;0")/3),0)</f>
        <v/>
      </c>
      <c r="J130" s="238">
        <f>IF(ABS(J91)&gt;0,IF(J91&gt;0.001,J91,_xlfn.MINIFS(J$58:J$92,J$58:J$92,"&gt;0")/3),0)</f>
        <v/>
      </c>
      <c r="K130" s="238">
        <f>IF(ABS(K91)&gt;0,IF(K91&gt;0.001,K91,_xlfn.MINIFS(K$58:K$92,K$58:K$92,"&gt;0")/3),0)</f>
        <v/>
      </c>
      <c r="L130" s="238">
        <f>IF(ABS(L91)&gt;0,IF(L91&gt;0.001,L91,_xlfn.MINIFS(L$58:L$92,L$58:L$92,"&gt;0")/3),0)</f>
        <v/>
      </c>
      <c r="M130" s="238">
        <f>IF(ABS(M91)&gt;0,IF(M91&gt;0.001,M91,_xlfn.MINIFS(M$58:M$92,M$58:M$92,"&gt;0")/3),0)</f>
        <v/>
      </c>
      <c r="N130" s="238">
        <f>IF(ABS(N91)&gt;0,IF(N91&gt;0.001,N91,_xlfn.MINIFS(N$58:N$92,N$58:N$92,"&gt;0")/3),0)</f>
        <v/>
      </c>
      <c r="O130" s="238">
        <f>IF(ABS(O91)&gt;0,IF(O91&gt;0.001,O91,_xlfn.MINIFS(O$58:O$92,O$58:O$92,"&gt;0")/3),0)</f>
        <v/>
      </c>
      <c r="P130" s="238">
        <f>IF(ABS(P91)&gt;0,IF(P91&gt;0.001,P91,_xlfn.MINIFS(P$58:P$92,P$58:P$92,"&gt;0")/3),0)</f>
        <v/>
      </c>
      <c r="Q130" s="238">
        <f>IF(ABS(Q91)&gt;0,IF(Q91&gt;0.001,Q91,_xlfn.MINIFS(Q$58:Q$92,Q$58:Q$92,"&gt;0")/3),0)</f>
        <v/>
      </c>
      <c r="R130" s="238">
        <f>IF(ABS(R91)&gt;0,IF(R91&gt;0.001,R91,_xlfn.MINIFS(R$58:R$92,R$58:R$92,"&gt;0")/3),0)</f>
        <v/>
      </c>
      <c r="S130" s="238">
        <f>IF(ABS(S91)&gt;0,IF(S91&gt;0.001,S91,_xlfn.MINIFS(S$58:S$92,S$58:S$92,"&gt;0")/3),0)</f>
        <v/>
      </c>
      <c r="T130" s="238">
        <f>IF(ABS(T91)&gt;0,IF(T91&gt;0.001,T91,_xlfn.MINIFS(T$58:T$92,T$58:T$92,"&gt;0")/3),0)</f>
        <v/>
      </c>
      <c r="U130" s="238">
        <f>IF(ABS(U91)&gt;0,IF(U91&gt;0.001,U91,_xlfn.MINIFS(U$58:U$92,U$58:U$92,"&gt;0")/3),0)</f>
        <v/>
      </c>
      <c r="V130" s="238">
        <f>IF(ABS(V91)&gt;0,IF(V91&gt;0.001,V91,_xlfn.MINIFS(V$58:V$92,V$58:V$92,"&gt;0")/3),0)</f>
        <v/>
      </c>
      <c r="W130" s="238">
        <f>IF(ABS(W91)&gt;0,IF(W91&gt;0.001,W91,_xlfn.MINIFS(W$58:W$92,W$58:W$92,"&gt;0")/3),0)</f>
        <v/>
      </c>
      <c r="X130" s="238">
        <f>IF(ABS(X91)&gt;0,IF(X91&gt;0.001,X91,_xlfn.MINIFS(X$58:X$92,X$58:X$92,"&gt;0")/3),0)</f>
        <v/>
      </c>
      <c r="Y130" s="238">
        <f>IF(ABS(Y91)&gt;0,IF(Y91&gt;0.001,Y91,_xlfn.MINIFS(Y$58:Y$92,Y$58:Y$92,"&gt;0")/3),0)</f>
        <v/>
      </c>
      <c r="Z130" s="238">
        <f>IF(ABS(Z91)&gt;0,IF(Z91&gt;0.001,Z91,_xlfn.MINIFS(Z$58:Z$92,Z$58:Z$92,"&gt;0")/3),0)</f>
        <v/>
      </c>
      <c r="AA130" s="238">
        <f>IF(ABS(AA91)&gt;0,IF(AA91&gt;0.001,AA91,_xlfn.MINIFS(AA$58:AA$92,AA$58:AA$92,"&gt;0")/3),0)</f>
        <v/>
      </c>
      <c r="AB130" s="238">
        <f>IF(ABS(AB91)&gt;0,IF(AB91&gt;0.001,AB91,_xlfn.MINIFS(AB$58:AB$92,AB$58:AB$92,"&gt;0")/3),0)</f>
        <v/>
      </c>
      <c r="AC130" s="238">
        <f>IF(ABS(AC91)&gt;0,IF(AC91&gt;0.001,AC91,_xlfn.MINIFS(AC$58:AC$92,AC$58:AC$92,"&gt;0")/3),0)</f>
        <v/>
      </c>
      <c r="AD130" s="238">
        <f>IF(ABS(AD91)&gt;0,IF(AD91&gt;0.001,AD91,_xlfn.MINIFS(AD$58:AD$92,AD$58:AD$92,"&gt;0")/3),0)</f>
        <v/>
      </c>
      <c r="AE130" s="238">
        <f>IF(ABS(AE91)&gt;0,IF(AE91&gt;0.001,AE91,_xlfn.MINIFS(AE$58:AE$92,AE$58:AE$92,"&gt;0")/3),0)</f>
        <v/>
      </c>
      <c r="AF130" s="238">
        <f>IF(ABS(AF91)&gt;0,IF(AF91&gt;0.001,AF91,_xlfn.MINIFS(AF$58:AF$92,AF$58:AF$92,"&gt;0")/3),0)</f>
        <v/>
      </c>
      <c r="AG130" s="238">
        <f>IF(ABS(AG91)&gt;0,IF(AG91&gt;0.001,AG91,_xlfn.MINIFS(AG$58:AG$92,AG$58:AG$92,"&gt;0")/3),0)</f>
        <v/>
      </c>
      <c r="AH130" s="238">
        <f>IF(ABS(AH91)&gt;0,IF(AH91&gt;0.001,AH91,_xlfn.MINIFS(AH$58:AH$92,AH$58:AH$92,"&gt;0")/3),0)</f>
        <v/>
      </c>
      <c r="AI130" s="238">
        <f>IF(ABS(AI91)&gt;0,IF(AI91&gt;0.001,AI91,_xlfn.MINIFS(AI$58:AI$92,AI$58:AI$92,"&gt;0")/3),0)</f>
        <v/>
      </c>
      <c r="AJ130" s="238">
        <f>IF(ABS(AJ91)&gt;0,IF(AJ91&gt;0.001,AJ91,_xlfn.MINIFS(AJ$58:AJ$92,AJ$58:AJ$92,"&gt;0")/3),0)</f>
        <v/>
      </c>
      <c r="AK130" s="238">
        <f>IF(ABS(AK91)&gt;0,IF(AK91&gt;0.001,AK91,_xlfn.MINIFS(AK$58:AK$92,AK$58:AK$92,"&gt;0")/3),0)</f>
        <v/>
      </c>
      <c r="AL130" s="238">
        <f>IF(ABS(AL91)&gt;0,IF(AL91&gt;0.001,AL91,_xlfn.MINIFS(AL$58:AL$92,AL$58:AL$92,"&gt;0")/3),0)</f>
        <v/>
      </c>
      <c r="AM130" s="238">
        <f>IF(ABS(AM91)&gt;0,IF(AM91&gt;0.001,AM91,_xlfn.MINIFS(AM$58:AM$92,AM$58:AM$92,"&gt;0")/3),0)</f>
        <v/>
      </c>
      <c r="AN130" s="238">
        <f>IF(ABS(AN91)&gt;0,IF(AN91&gt;0.001,AN91,_xlfn.MINIFS(AN$58:AN$92,AN$58:AN$92,"&gt;0")/3),0)</f>
        <v/>
      </c>
      <c r="AO130" s="238">
        <f>IF(ABS(AO91)&gt;0,IF(AO91&gt;0.001,AO91,_xlfn.MINIFS(AO$58:AO$92,AO$58:AO$92,"&gt;0")/3),0)</f>
        <v/>
      </c>
      <c r="AP130" s="238">
        <f>IF(ABS(AP91)&gt;0,IF(AP91&gt;0.001,AP91,_xlfn.MINIFS(AP$58:AP$92,AP$58:AP$92,"&gt;0")/3),0)</f>
        <v/>
      </c>
      <c r="AQ130" s="238">
        <f>IF(ABS(AQ91)&gt;0,IF(AQ91&gt;0.001,AQ91,_xlfn.MINIFS(AQ$58:AQ$92,AQ$58:AQ$92,"&gt;0")/3),0)</f>
        <v/>
      </c>
      <c r="AR130" s="238">
        <f>IF(ABS(AR91)&gt;0,IF(AR91&gt;0.001,AR91,_xlfn.MINIFS(AR$58:AR$92,AR$58:AR$92,"&gt;0")/3),0)</f>
        <v/>
      </c>
      <c r="AS130" s="238">
        <f>IF(ABS(AS91)&gt;0,IF(AS91&gt;0.001,AS91,_xlfn.MINIFS(AS$58:AS$92,AS$58:AS$92,"&gt;0")/3),0)</f>
        <v/>
      </c>
      <c r="AT130" s="238">
        <f>IF(ABS(AT91)&gt;0,IF(AT91&gt;0.001,AT91,_xlfn.MINIFS(AT$58:AT$92,AT$58:AT$92,"&gt;0")/3),0)</f>
        <v/>
      </c>
      <c r="AU130" s="238">
        <f>IF(ABS(AU91)&gt;0,IF(AU91&gt;0.001,AU91,_xlfn.MINIFS(AU$58:AU$92,AU$58:AU$92,"&gt;0")/3),0)</f>
        <v/>
      </c>
      <c r="AV130" s="238">
        <f>IF(ABS(AV91)&gt;0,IF(AV91&gt;0.001,AV91,_xlfn.MINIFS(AV$58:AV$92,AV$58:AV$92,"&gt;0")/3),0)</f>
        <v/>
      </c>
      <c r="AW130" s="238">
        <f>IF(ABS(AW91)&gt;0,IF(AW91&gt;0.001,AW91,_xlfn.MINIFS(AW$58:AW$92,AW$58:AW$92,"&gt;0")/3),0)</f>
        <v/>
      </c>
      <c r="AX130" s="238">
        <f>IF(ABS(AX91)&gt;0,IF(AX91&gt;0.001,AX91,_xlfn.MINIFS(AX$58:AX$92,AX$58:AX$92,"&gt;0")/3),0)</f>
        <v/>
      </c>
      <c r="AY130" s="238">
        <f>IF(ABS(AY91)&gt;0,IF(AY91&gt;0.001,AY91,_xlfn.MINIFS(AY$58:AY$92,AY$58:AY$92,"&gt;0")/3),0)</f>
        <v/>
      </c>
      <c r="AZ130" s="238">
        <f>IF(ABS(AZ91)&gt;0,IF(AZ91&gt;0.001,AZ91,_xlfn.MINIFS(AZ$58:AZ$92,AZ$58:AZ$92,"&gt;0")/3),0)</f>
        <v/>
      </c>
      <c r="BA130" s="238">
        <f>IF(ABS(BA91)&gt;0,IF(BA91&gt;0.001,BA91,_xlfn.MINIFS(BA$58:BA$92,BA$58:BA$92,"&gt;0")/3),0)</f>
        <v/>
      </c>
      <c r="BB130" s="238">
        <f>IF(ABS(BB91)&gt;0,IF(BB91&gt;0.001,BB91,_xlfn.MINIFS(BB$58:BB$92,BB$58:BB$92,"&gt;0")/3),0)</f>
        <v/>
      </c>
    </row>
    <row r="131">
      <c r="C131" s="1" t="n"/>
      <c r="D131" s="237">
        <f>D92</f>
        <v/>
      </c>
      <c r="E131" s="238">
        <f>IF(ABS(E92)&gt;0,IF(E92&gt;0.001,E92,_xlfn.MINIFS(E$58:E$92,E$58:E$92,"&gt;0")/3),0)</f>
        <v/>
      </c>
      <c r="F131" s="238">
        <f>IF(ABS(F92)&gt;0,IF(F92&gt;0.001,F92,_xlfn.MINIFS(F$58:F$92,F$58:F$92,"&gt;0")/3),0)</f>
        <v/>
      </c>
      <c r="G131" s="238">
        <f>IF(ABS(G92)&gt;0,IF(G92&gt;0.001,G92,_xlfn.MINIFS(G$58:G$92,G$58:G$92,"&gt;0")/3),0)</f>
        <v/>
      </c>
      <c r="H131" s="238">
        <f>IF(ABS(H92)&gt;0,IF(H92&gt;0.001,H92,_xlfn.MINIFS(H$58:H$92,H$58:H$92,"&gt;0")/3),0)</f>
        <v/>
      </c>
      <c r="I131" s="238">
        <f>IF(ABS(I92)&gt;0,IF(I92&gt;0.001,I92,_xlfn.MINIFS(I$58:I$92,I$58:I$92,"&gt;0")/3),0)</f>
        <v/>
      </c>
      <c r="J131" s="238">
        <f>IF(ABS(J92)&gt;0,IF(J92&gt;0.001,J92,_xlfn.MINIFS(J$58:J$92,J$58:J$92,"&gt;0")/3),0)</f>
        <v/>
      </c>
      <c r="K131" s="238">
        <f>IF(ABS(K92)&gt;0,IF(K92&gt;0.001,K92,_xlfn.MINIFS(K$58:K$92,K$58:K$92,"&gt;0")/3),0)</f>
        <v/>
      </c>
      <c r="L131" s="238">
        <f>IF(ABS(L92)&gt;0,IF(L92&gt;0.001,L92,_xlfn.MINIFS(L$58:L$92,L$58:L$92,"&gt;0")/3),0)</f>
        <v/>
      </c>
      <c r="M131" s="238">
        <f>IF(ABS(M92)&gt;0,IF(M92&gt;0.001,M92,_xlfn.MINIFS(M$58:M$92,M$58:M$92,"&gt;0")/3),0)</f>
        <v/>
      </c>
      <c r="N131" s="238">
        <f>IF(ABS(N92)&gt;0,IF(N92&gt;0.001,N92,_xlfn.MINIFS(N$58:N$92,N$58:N$92,"&gt;0")/3),0)</f>
        <v/>
      </c>
      <c r="O131" s="238">
        <f>IF(ABS(O92)&gt;0,IF(O92&gt;0.001,O92,_xlfn.MINIFS(O$58:O$92,O$58:O$92,"&gt;0")/3),0)</f>
        <v/>
      </c>
      <c r="P131" s="238">
        <f>IF(ABS(P92)&gt;0,IF(P92&gt;0.001,P92,_xlfn.MINIFS(P$58:P$92,P$58:P$92,"&gt;0")/3),0)</f>
        <v/>
      </c>
      <c r="Q131" s="238">
        <f>IF(ABS(Q92)&gt;0,IF(Q92&gt;0.001,Q92,_xlfn.MINIFS(Q$58:Q$92,Q$58:Q$92,"&gt;0")/3),0)</f>
        <v/>
      </c>
      <c r="R131" s="238">
        <f>IF(ABS(R92)&gt;0,IF(R92&gt;0.001,R92,_xlfn.MINIFS(R$58:R$92,R$58:R$92,"&gt;0")/3),0)</f>
        <v/>
      </c>
      <c r="S131" s="238">
        <f>IF(ABS(S92)&gt;0,IF(S92&gt;0.001,S92,_xlfn.MINIFS(S$58:S$92,S$58:S$92,"&gt;0")/3),0)</f>
        <v/>
      </c>
      <c r="T131" s="238">
        <f>IF(ABS(T92)&gt;0,IF(T92&gt;0.001,T92,_xlfn.MINIFS(T$58:T$92,T$58:T$92,"&gt;0")/3),0)</f>
        <v/>
      </c>
      <c r="U131" s="238">
        <f>IF(ABS(U92)&gt;0,IF(U92&gt;0.001,U92,_xlfn.MINIFS(U$58:U$92,U$58:U$92,"&gt;0")/3),0)</f>
        <v/>
      </c>
      <c r="V131" s="238">
        <f>IF(ABS(V92)&gt;0,IF(V92&gt;0.001,V92,_xlfn.MINIFS(V$58:V$92,V$58:V$92,"&gt;0")/3),0)</f>
        <v/>
      </c>
      <c r="W131" s="238">
        <f>IF(ABS(W92)&gt;0,IF(W92&gt;0.001,W92,_xlfn.MINIFS(W$58:W$92,W$58:W$92,"&gt;0")/3),0)</f>
        <v/>
      </c>
      <c r="X131" s="238">
        <f>IF(ABS(X92)&gt;0,IF(X92&gt;0.001,X92,_xlfn.MINIFS(X$58:X$92,X$58:X$92,"&gt;0")/3),0)</f>
        <v/>
      </c>
      <c r="Y131" s="238">
        <f>IF(ABS(Y92)&gt;0,IF(Y92&gt;0.001,Y92,_xlfn.MINIFS(Y$58:Y$92,Y$58:Y$92,"&gt;0")/3),0)</f>
        <v/>
      </c>
      <c r="Z131" s="238">
        <f>IF(ABS(Z92)&gt;0,IF(Z92&gt;0.001,Z92,_xlfn.MINIFS(Z$58:Z$92,Z$58:Z$92,"&gt;0")/3),0)</f>
        <v/>
      </c>
      <c r="AA131" s="238">
        <f>IF(ABS(AA92)&gt;0,IF(AA92&gt;0.001,AA92,_xlfn.MINIFS(AA$58:AA$92,AA$58:AA$92,"&gt;0")/3),0)</f>
        <v/>
      </c>
      <c r="AB131" s="238">
        <f>IF(ABS(AB92)&gt;0,IF(AB92&gt;0.001,AB92,_xlfn.MINIFS(AB$58:AB$92,AB$58:AB$92,"&gt;0")/3),0)</f>
        <v/>
      </c>
      <c r="AC131" s="238">
        <f>IF(ABS(AC92)&gt;0,IF(AC92&gt;0.001,AC92,_xlfn.MINIFS(AC$58:AC$92,AC$58:AC$92,"&gt;0")/3),0)</f>
        <v/>
      </c>
      <c r="AD131" s="238">
        <f>IF(ABS(AD92)&gt;0,IF(AD92&gt;0.001,AD92,_xlfn.MINIFS(AD$58:AD$92,AD$58:AD$92,"&gt;0")/3),0)</f>
        <v/>
      </c>
      <c r="AE131" s="238">
        <f>IF(ABS(AE92)&gt;0,IF(AE92&gt;0.001,AE92,_xlfn.MINIFS(AE$58:AE$92,AE$58:AE$92,"&gt;0")/3),0)</f>
        <v/>
      </c>
      <c r="AF131" s="238">
        <f>IF(ABS(AF92)&gt;0,IF(AF92&gt;0.001,AF92,_xlfn.MINIFS(AF$58:AF$92,AF$58:AF$92,"&gt;0")/3),0)</f>
        <v/>
      </c>
      <c r="AG131" s="238">
        <f>IF(ABS(AG92)&gt;0,IF(AG92&gt;0.001,AG92,_xlfn.MINIFS(AG$58:AG$92,AG$58:AG$92,"&gt;0")/3),0)</f>
        <v/>
      </c>
      <c r="AH131" s="238">
        <f>IF(ABS(AH92)&gt;0,IF(AH92&gt;0.001,AH92,_xlfn.MINIFS(AH$58:AH$92,AH$58:AH$92,"&gt;0")/3),0)</f>
        <v/>
      </c>
      <c r="AI131" s="238">
        <f>IF(ABS(AI92)&gt;0,IF(AI92&gt;0.001,AI92,_xlfn.MINIFS(AI$58:AI$92,AI$58:AI$92,"&gt;0")/3),0)</f>
        <v/>
      </c>
      <c r="AJ131" s="238">
        <f>IF(ABS(AJ92)&gt;0,IF(AJ92&gt;0.001,AJ92,_xlfn.MINIFS(AJ$58:AJ$92,AJ$58:AJ$92,"&gt;0")/3),0)</f>
        <v/>
      </c>
      <c r="AK131" s="238">
        <f>IF(ABS(AK92)&gt;0,IF(AK92&gt;0.001,AK92,_xlfn.MINIFS(AK$58:AK$92,AK$58:AK$92,"&gt;0")/3),0)</f>
        <v/>
      </c>
      <c r="AL131" s="238">
        <f>IF(ABS(AL92)&gt;0,IF(AL92&gt;0.001,AL92,_xlfn.MINIFS(AL$58:AL$92,AL$58:AL$92,"&gt;0")/3),0)</f>
        <v/>
      </c>
      <c r="AM131" s="238">
        <f>IF(ABS(AM92)&gt;0,IF(AM92&gt;0.001,AM92,_xlfn.MINIFS(AM$58:AM$92,AM$58:AM$92,"&gt;0")/3),0)</f>
        <v/>
      </c>
      <c r="AN131" s="238">
        <f>IF(ABS(AN92)&gt;0,IF(AN92&gt;0.001,AN92,_xlfn.MINIFS(AN$58:AN$92,AN$58:AN$92,"&gt;0")/3),0)</f>
        <v/>
      </c>
      <c r="AO131" s="238">
        <f>IF(ABS(AO92)&gt;0,IF(AO92&gt;0.001,AO92,_xlfn.MINIFS(AO$58:AO$92,AO$58:AO$92,"&gt;0")/3),0)</f>
        <v/>
      </c>
      <c r="AP131" s="238">
        <f>IF(ABS(AP92)&gt;0,IF(AP92&gt;0.001,AP92,_xlfn.MINIFS(AP$58:AP$92,AP$58:AP$92,"&gt;0")/3),0)</f>
        <v/>
      </c>
      <c r="AQ131" s="238">
        <f>IF(ABS(AQ92)&gt;0,IF(AQ92&gt;0.001,AQ92,_xlfn.MINIFS(AQ$58:AQ$92,AQ$58:AQ$92,"&gt;0")/3),0)</f>
        <v/>
      </c>
      <c r="AR131" s="238">
        <f>IF(ABS(AR92)&gt;0,IF(AR92&gt;0.001,AR92,_xlfn.MINIFS(AR$58:AR$92,AR$58:AR$92,"&gt;0")/3),0)</f>
        <v/>
      </c>
      <c r="AS131" s="238">
        <f>IF(ABS(AS92)&gt;0,IF(AS92&gt;0.001,AS92,_xlfn.MINIFS(AS$58:AS$92,AS$58:AS$92,"&gt;0")/3),0)</f>
        <v/>
      </c>
      <c r="AT131" s="238">
        <f>IF(ABS(AT92)&gt;0,IF(AT92&gt;0.001,AT92,_xlfn.MINIFS(AT$58:AT$92,AT$58:AT$92,"&gt;0")/3),0)</f>
        <v/>
      </c>
      <c r="AU131" s="238">
        <f>IF(ABS(AU92)&gt;0,IF(AU92&gt;0.001,AU92,_xlfn.MINIFS(AU$58:AU$92,AU$58:AU$92,"&gt;0")/3),0)</f>
        <v/>
      </c>
      <c r="AV131" s="238">
        <f>IF(ABS(AV92)&gt;0,IF(AV92&gt;0.001,AV92,_xlfn.MINIFS(AV$58:AV$92,AV$58:AV$92,"&gt;0")/3),0)</f>
        <v/>
      </c>
      <c r="AW131" s="238">
        <f>IF(ABS(AW92)&gt;0,IF(AW92&gt;0.001,AW92,_xlfn.MINIFS(AW$58:AW$92,AW$58:AW$92,"&gt;0")/3),0)</f>
        <v/>
      </c>
      <c r="AX131" s="238">
        <f>IF(ABS(AX92)&gt;0,IF(AX92&gt;0.001,AX92,_xlfn.MINIFS(AX$58:AX$92,AX$58:AX$92,"&gt;0")/3),0)</f>
        <v/>
      </c>
      <c r="AY131" s="238">
        <f>IF(ABS(AY92)&gt;0,IF(AY92&gt;0.001,AY92,_xlfn.MINIFS(AY$58:AY$92,AY$58:AY$92,"&gt;0")/3),0)</f>
        <v/>
      </c>
      <c r="AZ131" s="238">
        <f>IF(ABS(AZ92)&gt;0,IF(AZ92&gt;0.001,AZ92,_xlfn.MINIFS(AZ$58:AZ$92,AZ$58:AZ$92,"&gt;0")/3),0)</f>
        <v/>
      </c>
      <c r="BA131" s="238">
        <f>IF(ABS(BA92)&gt;0,IF(BA92&gt;0.001,BA92,_xlfn.MINIFS(BA$58:BA$92,BA$58:BA$92,"&gt;0")/3),0)</f>
        <v/>
      </c>
      <c r="BB131" s="238">
        <f>IF(ABS(BB92)&gt;0,IF(BB92&gt;0.001,BB92,_xlfn.MINIFS(BB$58:BB$92,BB$58:BB$92,"&gt;0")/3),0)</f>
        <v/>
      </c>
    </row>
    <row r="132">
      <c r="C132" s="1" t="n"/>
      <c r="D132" s="232" t="n"/>
      <c r="E132" s="238" t="n"/>
      <c r="F132" s="238" t="n"/>
      <c r="G132" s="238" t="n"/>
      <c r="H132" s="238" t="n"/>
      <c r="I132" s="238" t="n"/>
      <c r="J132" s="238" t="n"/>
      <c r="K132" s="238" t="n"/>
      <c r="L132" s="238" t="n"/>
      <c r="M132" s="238" t="n"/>
      <c r="N132" s="238" t="n"/>
      <c r="O132" s="238" t="n"/>
      <c r="P132" s="238" t="n"/>
      <c r="Q132" s="238" t="n"/>
      <c r="R132" s="238" t="n"/>
      <c r="S132" s="238" t="n"/>
      <c r="T132" s="238" t="n"/>
      <c r="U132" s="238" t="n"/>
      <c r="V132" s="238" t="n"/>
      <c r="W132" s="238" t="n"/>
      <c r="X132" s="238" t="n"/>
      <c r="Y132" s="238" t="n"/>
      <c r="Z132" s="238" t="n"/>
      <c r="AA132" s="238" t="n"/>
      <c r="AB132" s="238" t="n"/>
      <c r="AC132" s="238" t="n"/>
      <c r="AD132" s="238" t="n"/>
      <c r="AE132" s="238" t="n"/>
      <c r="AF132" s="238" t="n"/>
      <c r="AG132" s="238" t="n"/>
      <c r="AH132" s="238" t="n"/>
      <c r="AI132" s="238" t="n"/>
      <c r="AJ132" s="238" t="n"/>
      <c r="AK132" s="238" t="n"/>
      <c r="AL132" s="238" t="n"/>
      <c r="AM132" s="238" t="n"/>
      <c r="AN132" s="238" t="n"/>
      <c r="AO132" s="238" t="n"/>
      <c r="AP132" s="238" t="n"/>
      <c r="AQ132" s="238" t="n"/>
      <c r="AR132" s="238" t="n"/>
      <c r="AS132" s="238" t="n"/>
      <c r="AT132" s="238" t="n"/>
      <c r="AU132" s="238" t="n"/>
      <c r="AV132" s="238" t="n"/>
      <c r="AW132" s="238" t="n"/>
      <c r="AX132" s="238" t="n"/>
      <c r="AY132" s="238" t="n"/>
      <c r="AZ132" s="238" t="n"/>
      <c r="BA132" s="238" t="n"/>
      <c r="BB132" s="238" t="n"/>
    </row>
    <row r="133">
      <c r="C133" s="1" t="n"/>
      <c r="D133" s="232" t="n"/>
      <c r="E133" s="238" t="n"/>
      <c r="F133" s="238" t="n"/>
      <c r="G133" s="238" t="n"/>
      <c r="H133" s="238" t="n"/>
      <c r="I133" s="238" t="n"/>
      <c r="J133" s="238" t="n"/>
      <c r="K133" s="238" t="n"/>
      <c r="L133" s="238" t="n"/>
      <c r="M133" s="238" t="n"/>
      <c r="N133" s="238" t="n"/>
      <c r="O133" s="238" t="n"/>
      <c r="P133" s="238" t="n"/>
      <c r="Q133" s="238" t="n"/>
      <c r="R133" s="238" t="n"/>
      <c r="S133" s="238" t="n"/>
      <c r="T133" s="238" t="n"/>
      <c r="U133" s="238" t="n"/>
      <c r="V133" s="238" t="n"/>
      <c r="W133" s="238" t="n"/>
      <c r="X133" s="238" t="n"/>
      <c r="Y133" s="238" t="n"/>
      <c r="Z133" s="238" t="n"/>
      <c r="AA133" s="238" t="n"/>
      <c r="AB133" s="238" t="n"/>
      <c r="AC133" s="238" t="n"/>
      <c r="AD133" s="238" t="n"/>
      <c r="AE133" s="238" t="n"/>
      <c r="AF133" s="238" t="n"/>
      <c r="AG133" s="238" t="n"/>
      <c r="AH133" s="238" t="n"/>
      <c r="AI133" s="238" t="n"/>
      <c r="AJ133" s="238" t="n"/>
      <c r="AK133" s="238" t="n"/>
      <c r="AL133" s="238" t="n"/>
      <c r="AM133" s="238" t="n"/>
      <c r="AN133" s="238" t="n"/>
      <c r="AO133" s="238" t="n"/>
      <c r="AP133" s="238" t="n"/>
      <c r="AQ133" s="238" t="n"/>
      <c r="AR133" s="238" t="n"/>
      <c r="AS133" s="238" t="n"/>
      <c r="AT133" s="238" t="n"/>
      <c r="AU133" s="238" t="n"/>
      <c r="AV133" s="238" t="n"/>
      <c r="AW133" s="238" t="n"/>
      <c r="AX133" s="238" t="n"/>
      <c r="AY133" s="238" t="n"/>
      <c r="AZ133" s="238" t="n"/>
      <c r="BA133" s="238" t="n"/>
      <c r="BB133" s="238" t="n"/>
    </row>
    <row r="134">
      <c r="C134" s="1" t="n"/>
      <c r="D134" s="232" t="n"/>
      <c r="E134" s="238" t="n"/>
      <c r="F134" s="238" t="n"/>
      <c r="G134" s="238" t="n"/>
      <c r="H134" s="238" t="n"/>
      <c r="I134" s="238" t="n"/>
      <c r="J134" s="238" t="n"/>
      <c r="K134" s="238" t="n"/>
      <c r="L134" s="238" t="n"/>
      <c r="M134" s="238" t="n"/>
      <c r="N134" s="238" t="n"/>
      <c r="O134" s="238" t="n"/>
      <c r="P134" s="238" t="n"/>
      <c r="Q134" s="238" t="n"/>
      <c r="R134" s="238" t="n"/>
      <c r="S134" s="238" t="n"/>
      <c r="T134" s="238" t="n"/>
      <c r="U134" s="238" t="n"/>
      <c r="V134" s="238" t="n"/>
      <c r="W134" s="238" t="n"/>
      <c r="X134" s="238" t="n"/>
      <c r="Y134" s="238" t="n"/>
      <c r="Z134" s="238" t="n"/>
      <c r="AA134" s="238" t="n"/>
      <c r="AB134" s="238" t="n"/>
      <c r="AC134" s="238" t="n"/>
      <c r="AD134" s="238" t="n"/>
      <c r="AE134" s="238" t="n"/>
      <c r="AF134" s="238" t="n"/>
      <c r="AG134" s="238" t="n"/>
      <c r="AH134" s="238" t="n"/>
      <c r="AI134" s="238" t="n"/>
      <c r="AJ134" s="238" t="n"/>
      <c r="AK134" s="238" t="n"/>
      <c r="AL134" s="238" t="n"/>
      <c r="AM134" s="238" t="n"/>
      <c r="AN134" s="238" t="n"/>
      <c r="AO134" s="238" t="n"/>
      <c r="AP134" s="238" t="n"/>
      <c r="AQ134" s="238" t="n"/>
      <c r="AR134" s="238" t="n"/>
      <c r="AS134" s="238" t="n"/>
      <c r="AT134" s="238" t="n"/>
      <c r="AU134" s="238" t="n"/>
      <c r="AV134" s="238" t="n"/>
      <c r="AW134" s="238" t="n"/>
      <c r="AX134" s="238" t="n"/>
      <c r="AY134" s="238" t="n"/>
      <c r="AZ134" s="238" t="n"/>
      <c r="BA134" s="238" t="n"/>
      <c r="BB134" s="238" t="n"/>
    </row>
    <row r="135" ht="22.5" customHeight="1" s="179">
      <c r="D135" s="19" t="inlineStr">
        <is>
          <t>Channel Contribution Share</t>
        </is>
      </c>
      <c r="E135" s="12">
        <f>E96</f>
        <v/>
      </c>
      <c r="F135" s="12">
        <f>F96</f>
        <v/>
      </c>
      <c r="G135" s="12">
        <f>G96</f>
        <v/>
      </c>
      <c r="H135" s="12">
        <f>H96</f>
        <v/>
      </c>
      <c r="I135" s="12">
        <f>I96</f>
        <v/>
      </c>
      <c r="J135" s="12">
        <f>J96</f>
        <v/>
      </c>
      <c r="K135" s="12">
        <f>K96</f>
        <v/>
      </c>
      <c r="L135" s="12">
        <f>L96</f>
        <v/>
      </c>
      <c r="M135" s="12">
        <f>M96</f>
        <v/>
      </c>
      <c r="N135" s="12">
        <f>N96</f>
        <v/>
      </c>
      <c r="O135" s="12">
        <f>O96</f>
        <v/>
      </c>
      <c r="P135" s="12">
        <f>P96</f>
        <v/>
      </c>
      <c r="Q135" s="12">
        <f>Q96</f>
        <v/>
      </c>
      <c r="R135" s="12">
        <f>R96</f>
        <v/>
      </c>
      <c r="S135" s="12">
        <f>S96</f>
        <v/>
      </c>
      <c r="T135" s="12">
        <f>T96</f>
        <v/>
      </c>
      <c r="U135" s="12">
        <f>U96</f>
        <v/>
      </c>
      <c r="V135" s="12">
        <f>V96</f>
        <v/>
      </c>
      <c r="W135" s="12">
        <f>W96</f>
        <v/>
      </c>
      <c r="X135" s="12">
        <f>X96</f>
        <v/>
      </c>
      <c r="Y135" s="12">
        <f>Y96</f>
        <v/>
      </c>
      <c r="Z135" s="12">
        <f>Z96</f>
        <v/>
      </c>
      <c r="AA135" s="12">
        <f>AA96</f>
        <v/>
      </c>
      <c r="AB135" s="12">
        <f>AB96</f>
        <v/>
      </c>
      <c r="AC135" s="12">
        <f>AC96</f>
        <v/>
      </c>
      <c r="AD135" s="12">
        <f>AD96</f>
        <v/>
      </c>
      <c r="AE135" s="12">
        <f>AE96</f>
        <v/>
      </c>
      <c r="AF135" s="12">
        <f>AF96</f>
        <v/>
      </c>
      <c r="AG135" s="12">
        <f>AG96</f>
        <v/>
      </c>
      <c r="AH135" s="12">
        <f>AH96</f>
        <v/>
      </c>
      <c r="AI135" s="12">
        <f>AI96</f>
        <v/>
      </c>
      <c r="AJ135" s="12">
        <f>AJ96</f>
        <v/>
      </c>
      <c r="AK135" s="12">
        <f>AK96</f>
        <v/>
      </c>
      <c r="AL135" s="12">
        <f>AL96</f>
        <v/>
      </c>
      <c r="AM135" s="12">
        <f>AM96</f>
        <v/>
      </c>
      <c r="AN135" s="12">
        <f>AN96</f>
        <v/>
      </c>
      <c r="AO135" s="12">
        <f>AO96</f>
        <v/>
      </c>
      <c r="AP135" s="12">
        <f>AP96</f>
        <v/>
      </c>
      <c r="AQ135" s="12">
        <f>AQ96</f>
        <v/>
      </c>
      <c r="AR135" s="12">
        <f>AR96</f>
        <v/>
      </c>
      <c r="AS135" s="12">
        <f>AS96</f>
        <v/>
      </c>
      <c r="AT135" s="12">
        <f>AT96</f>
        <v/>
      </c>
      <c r="AU135" s="12">
        <f>AU96</f>
        <v/>
      </c>
      <c r="AV135" s="12">
        <f>AV96</f>
        <v/>
      </c>
      <c r="AW135" s="12">
        <f>AW96</f>
        <v/>
      </c>
      <c r="AX135" s="12">
        <f>AX96</f>
        <v/>
      </c>
      <c r="AY135" s="12">
        <f>AY96</f>
        <v/>
      </c>
      <c r="AZ135" s="12">
        <f>AZ96</f>
        <v/>
      </c>
      <c r="BA135" s="12">
        <f>BA96</f>
        <v/>
      </c>
      <c r="BB135" s="12">
        <f>BB96</f>
        <v/>
      </c>
    </row>
    <row r="136" ht="16.5" customHeight="1" s="179">
      <c r="C136" s="66" t="n"/>
      <c r="D136" s="237">
        <f>D97</f>
        <v/>
      </c>
      <c r="E136" s="141">
        <f>IFERROR(E97*$BC58/SUMPRODUCT(E$97:E$131,$BC$58:$BC$92),0)</f>
        <v/>
      </c>
      <c r="F136" s="141">
        <f>IFERROR(F97*$BC58/SUMPRODUCT(F$97:F$131,$BC$58:$BC$92),0)</f>
        <v/>
      </c>
      <c r="G136" s="141">
        <f>IFERROR(G97*$BC58/SUMPRODUCT(G$97:G$131,$BC$58:$BC$92),0)</f>
        <v/>
      </c>
      <c r="H136" s="39">
        <f>IFERROR(H97*$BC58/SUMPRODUCT(H$97:H$131,$BC$58:$BC$92),0)</f>
        <v/>
      </c>
      <c r="I136" s="39">
        <f>IFERROR(I97*$BC58/SUMPRODUCT(I$97:I$131,$BC$58:$BC$92),0)</f>
        <v/>
      </c>
      <c r="J136" s="39">
        <f>IFERROR(J97*$BC58/SUMPRODUCT(J$97:J$131,$BC$58:$BC$92),0)</f>
        <v/>
      </c>
      <c r="K136" s="39">
        <f>IFERROR(K97*$BC58/SUMPRODUCT(K$97:K$131,$BC$58:$BC$92),0)</f>
        <v/>
      </c>
      <c r="L136" s="39">
        <f>IFERROR(L97*$BC58/SUMPRODUCT(L$97:L$131,$BC$58:$BC$92),0)</f>
        <v/>
      </c>
      <c r="M136" s="39">
        <f>IFERROR(M97*$BC58/SUMPRODUCT(M$97:M$131,$BC$58:$BC$92),0)</f>
        <v/>
      </c>
      <c r="N136" s="39">
        <f>IFERROR(N97*$BC58/SUMPRODUCT(N$97:N$131,$BC$58:$BC$92),0)</f>
        <v/>
      </c>
      <c r="O136" s="39">
        <f>IFERROR(O97*$BC58/SUMPRODUCT(O$97:O$131,$BC$58:$BC$92),0)</f>
        <v/>
      </c>
      <c r="P136" s="39">
        <f>IFERROR(P97*$BC58/SUMPRODUCT(P$97:P$131,$BC$58:$BC$92),0)</f>
        <v/>
      </c>
      <c r="Q136" s="39">
        <f>IFERROR(Q97*$BC58/SUMPRODUCT(Q$97:Q$131,$BC$58:$BC$92),0)</f>
        <v/>
      </c>
      <c r="R136" s="39">
        <f>IFERROR(R97*$BC58/SUMPRODUCT(R$97:R$131,$BC$58:$BC$92),0)</f>
        <v/>
      </c>
      <c r="S136" s="39">
        <f>IFERROR(S97*$BC58/SUMPRODUCT(S$97:S$131,$BC$58:$BC$92),0)</f>
        <v/>
      </c>
      <c r="T136" s="39">
        <f>IFERROR(T97*$BC58/SUMPRODUCT(T$97:T$131,$BC$58:$BC$92),0)</f>
        <v/>
      </c>
      <c r="U136" s="39">
        <f>IFERROR(U97*$BC58/SUMPRODUCT(U$97:U$131,$BC$58:$BC$92),0)</f>
        <v/>
      </c>
      <c r="V136" s="39">
        <f>IFERROR(V97*$BC58/SUMPRODUCT(V$97:V$131,$BC$58:$BC$92),0)</f>
        <v/>
      </c>
      <c r="W136" s="39">
        <f>IFERROR(W97*$BC58/SUMPRODUCT(W$97:W$131,$BC$58:$BC$92),0)</f>
        <v/>
      </c>
      <c r="X136" s="39">
        <f>IFERROR(X97*$BC58/SUMPRODUCT(X$97:X$131,$BC$58:$BC$92),0)</f>
        <v/>
      </c>
      <c r="Y136" s="39">
        <f>IFERROR(Y97*$BC58/SUMPRODUCT(Y$97:Y$131,$BC$58:$BC$92),0)</f>
        <v/>
      </c>
      <c r="Z136" s="39">
        <f>IFERROR(Z97*$BC58/SUMPRODUCT(Z$97:Z$131,$BC$58:$BC$92),0)</f>
        <v/>
      </c>
      <c r="AA136" s="39">
        <f>IFERROR(AA97*$BC58/SUMPRODUCT(AA$97:AA$131,$BC$58:$BC$92),0)</f>
        <v/>
      </c>
      <c r="AB136" s="39">
        <f>IFERROR(AB97*$BC58/SUMPRODUCT(AB$97:AB$131,$BC$58:$BC$92),0)</f>
        <v/>
      </c>
      <c r="AC136" s="39">
        <f>IFERROR(AC97*$BC58/SUMPRODUCT(AC$97:AC$131,$BC$58:$BC$92),0)</f>
        <v/>
      </c>
      <c r="AD136" s="39">
        <f>IFERROR(AD97*$BC58/SUMPRODUCT(AD$97:AD$131,$BC$58:$BC$92),0)</f>
        <v/>
      </c>
      <c r="AE136" s="39">
        <f>IFERROR(AE97*$BC58/SUMPRODUCT(AE$97:AE$131,$BC$58:$BC$92),0)</f>
        <v/>
      </c>
      <c r="AF136" s="39">
        <f>IFERROR(AF97*$BC58/SUMPRODUCT(AF$97:AF$131,$BC$58:$BC$92),0)</f>
        <v/>
      </c>
      <c r="AG136" s="39">
        <f>IFERROR(AG97*$BC58/SUMPRODUCT(AG$97:AG$131,$BC$58:$BC$92),0)</f>
        <v/>
      </c>
      <c r="AH136" s="39">
        <f>IFERROR(AH97*$BC58/SUMPRODUCT(AH$97:AH$131,$BC$58:$BC$92),0)</f>
        <v/>
      </c>
      <c r="AI136" s="39">
        <f>IFERROR(AI97*$BC58/SUMPRODUCT(AI$97:AI$131,$BC$58:$BC$92),0)</f>
        <v/>
      </c>
      <c r="AJ136" s="39">
        <f>IFERROR(AJ97*$BC58/SUMPRODUCT(AJ$97:AJ$131,$BC$58:$BC$92),0)</f>
        <v/>
      </c>
      <c r="AK136" s="39">
        <f>IFERROR(AK97*$BC58/SUMPRODUCT(AK$97:AK$131,$BC$58:$BC$92),0)</f>
        <v/>
      </c>
      <c r="AL136" s="39">
        <f>IFERROR(AL97*$BC58/SUMPRODUCT(AL$97:AL$131,$BC$58:$BC$92),0)</f>
        <v/>
      </c>
      <c r="AM136" s="39">
        <f>IFERROR(AM97*$BC58/SUMPRODUCT(AM$97:AM$131,$BC$58:$BC$92),0)</f>
        <v/>
      </c>
      <c r="AN136" s="39">
        <f>IFERROR(AN97*$BC58/SUMPRODUCT(AN$97:AN$131,$BC$58:$BC$92),0)</f>
        <v/>
      </c>
      <c r="AO136" s="39">
        <f>IFERROR(AO97*$BC58/SUMPRODUCT(AO$97:AO$131,$BC$58:$BC$92),0)</f>
        <v/>
      </c>
      <c r="AP136" s="39">
        <f>IFERROR(AP97*$BC58/SUMPRODUCT(AP$97:AP$131,$BC$58:$BC$92),0)</f>
        <v/>
      </c>
      <c r="AQ136" s="39">
        <f>IFERROR(AQ97*$BC58/SUMPRODUCT(AQ$97:AQ$131,$BC$58:$BC$92),0)</f>
        <v/>
      </c>
      <c r="AR136" s="39">
        <f>IFERROR(AR97*$BC58/SUMPRODUCT(AR$97:AR$131,$BC$58:$BC$92),0)</f>
        <v/>
      </c>
      <c r="AS136" s="39">
        <f>IFERROR(AS97*$BC58/SUMPRODUCT(AS$97:AS$131,$BC$58:$BC$92),0)</f>
        <v/>
      </c>
      <c r="AT136" s="39">
        <f>IFERROR(AT97*$BC58/SUMPRODUCT(AT$97:AT$131,$BC$58:$BC$92),0)</f>
        <v/>
      </c>
      <c r="AU136" s="39">
        <f>IFERROR(AU97*$BC58/SUMPRODUCT(AU$97:AU$131,$BC$58:$BC$92),0)</f>
        <v/>
      </c>
      <c r="AV136" s="39">
        <f>IFERROR(AV97*$BC58/SUMPRODUCT(AV$97:AV$131,$BC$58:$BC$92),0)</f>
        <v/>
      </c>
      <c r="AW136" s="39">
        <f>IFERROR(AW97*$BC58/SUMPRODUCT(AW$97:AW$131,$BC$58:$BC$92),0)</f>
        <v/>
      </c>
      <c r="AX136" s="39">
        <f>IFERROR(AX97*$BC58/SUMPRODUCT(AX$97:AX$131,$BC$58:$BC$92),0)</f>
        <v/>
      </c>
      <c r="AY136" s="39">
        <f>IFERROR(AY97*$BC58/SUMPRODUCT(AY$97:AY$131,$BC$58:$BC$92),0)</f>
        <v/>
      </c>
      <c r="AZ136" s="39">
        <f>IFERROR(AZ97*$BC58/SUMPRODUCT(AZ$97:AZ$131,$BC$58:$BC$92),0)</f>
        <v/>
      </c>
      <c r="BA136" s="39">
        <f>IFERROR(BA97*$BC58/SUMPRODUCT(BA$97:BA$131,$BC$58:$BC$92),0)</f>
        <v/>
      </c>
      <c r="BB136" s="39">
        <f>IFERROR(BB97*$BC58/SUMPRODUCT(BB$97:BB$131,$BC$58:$BC$92),0)</f>
        <v/>
      </c>
    </row>
    <row r="137" ht="16.5" customHeight="1" s="179">
      <c r="C137" s="66" t="n"/>
      <c r="D137" s="237">
        <f>D98</f>
        <v/>
      </c>
      <c r="E137" s="141">
        <f>IFERROR(E98*$BC59/SUMPRODUCT(E$97:E$131,$BC$58:$BC$92),0)</f>
        <v/>
      </c>
      <c r="F137" s="141">
        <f>IFERROR(F98*$BC59/SUMPRODUCT(F$97:F$131,$BC$58:$BC$92),0)</f>
        <v/>
      </c>
      <c r="G137" s="141">
        <f>IFERROR(G98*$BC59/SUMPRODUCT(G$97:G$131,$BC$58:$BC$92),0)</f>
        <v/>
      </c>
      <c r="H137" s="39">
        <f>IFERROR(H98*$BC59/SUMPRODUCT(H$97:H$131,$BC$58:$BC$92),0)</f>
        <v/>
      </c>
      <c r="I137" s="39">
        <f>IFERROR(I98*$BC59/SUMPRODUCT(I$97:I$131,$BC$58:$BC$92),0)</f>
        <v/>
      </c>
      <c r="J137" s="39">
        <f>IFERROR(J98*$BC59/SUMPRODUCT(J$97:J$131,$BC$58:$BC$92),0)</f>
        <v/>
      </c>
      <c r="K137" s="39">
        <f>IFERROR(K98*$BC59/SUMPRODUCT(K$97:K$131,$BC$58:$BC$92),0)</f>
        <v/>
      </c>
      <c r="L137" s="39">
        <f>IFERROR(L98*$BC59/SUMPRODUCT(L$97:L$131,$BC$58:$BC$92),0)</f>
        <v/>
      </c>
      <c r="M137" s="39">
        <f>IFERROR(M98*$BC59/SUMPRODUCT(M$97:M$131,$BC$58:$BC$92),0)</f>
        <v/>
      </c>
      <c r="N137" s="39">
        <f>IFERROR(N98*$BC59/SUMPRODUCT(N$97:N$131,$BC$58:$BC$92),0)</f>
        <v/>
      </c>
      <c r="O137" s="39">
        <f>IFERROR(O98*$BC59/SUMPRODUCT(O$97:O$131,$BC$58:$BC$92),0)</f>
        <v/>
      </c>
      <c r="P137" s="39">
        <f>IFERROR(P98*$BC59/SUMPRODUCT(P$97:P$131,$BC$58:$BC$92),0)</f>
        <v/>
      </c>
      <c r="Q137" s="39">
        <f>IFERROR(Q98*$BC59/SUMPRODUCT(Q$97:Q$131,$BC$58:$BC$92),0)</f>
        <v/>
      </c>
      <c r="R137" s="39">
        <f>IFERROR(R98*$BC59/SUMPRODUCT(R$97:R$131,$BC$58:$BC$92),0)</f>
        <v/>
      </c>
      <c r="S137" s="39">
        <f>IFERROR(S98*$BC59/SUMPRODUCT(S$97:S$131,$BC$58:$BC$92),0)</f>
        <v/>
      </c>
      <c r="T137" s="39">
        <f>IFERROR(T98*$BC59/SUMPRODUCT(T$97:T$131,$BC$58:$BC$92),0)</f>
        <v/>
      </c>
      <c r="U137" s="39">
        <f>IFERROR(U98*$BC59/SUMPRODUCT(U$97:U$131,$BC$58:$BC$92),0)</f>
        <v/>
      </c>
      <c r="V137" s="39">
        <f>IFERROR(V98*$BC59/SUMPRODUCT(V$97:V$131,$BC$58:$BC$92),0)</f>
        <v/>
      </c>
      <c r="W137" s="39">
        <f>IFERROR(W98*$BC59/SUMPRODUCT(W$97:W$131,$BC$58:$BC$92),0)</f>
        <v/>
      </c>
      <c r="X137" s="39">
        <f>IFERROR(X98*$BC59/SUMPRODUCT(X$97:X$131,$BC$58:$BC$92),0)</f>
        <v/>
      </c>
      <c r="Y137" s="39">
        <f>IFERROR(Y98*$BC59/SUMPRODUCT(Y$97:Y$131,$BC$58:$BC$92),0)</f>
        <v/>
      </c>
      <c r="Z137" s="39">
        <f>IFERROR(Z98*$BC59/SUMPRODUCT(Z$97:Z$131,$BC$58:$BC$92),0)</f>
        <v/>
      </c>
      <c r="AA137" s="39">
        <f>IFERROR(AA98*$BC59/SUMPRODUCT(AA$97:AA$131,$BC$58:$BC$92),0)</f>
        <v/>
      </c>
      <c r="AB137" s="39">
        <f>IFERROR(AB98*$BC59/SUMPRODUCT(AB$97:AB$131,$BC$58:$BC$92),0)</f>
        <v/>
      </c>
      <c r="AC137" s="39">
        <f>IFERROR(AC98*$BC59/SUMPRODUCT(AC$97:AC$131,$BC$58:$BC$92),0)</f>
        <v/>
      </c>
      <c r="AD137" s="39">
        <f>IFERROR(AD98*$BC59/SUMPRODUCT(AD$97:AD$131,$BC$58:$BC$92),0)</f>
        <v/>
      </c>
      <c r="AE137" s="39">
        <f>IFERROR(AE98*$BC59/SUMPRODUCT(AE$97:AE$131,$BC$58:$BC$92),0)</f>
        <v/>
      </c>
      <c r="AF137" s="39">
        <f>IFERROR(AF98*$BC59/SUMPRODUCT(AF$97:AF$131,$BC$58:$BC$92),0)</f>
        <v/>
      </c>
      <c r="AG137" s="39">
        <f>IFERROR(AG98*$BC59/SUMPRODUCT(AG$97:AG$131,$BC$58:$BC$92),0)</f>
        <v/>
      </c>
      <c r="AH137" s="39">
        <f>IFERROR(AH98*$BC59/SUMPRODUCT(AH$97:AH$131,$BC$58:$BC$92),0)</f>
        <v/>
      </c>
      <c r="AI137" s="39">
        <f>IFERROR(AI98*$BC59/SUMPRODUCT(AI$97:AI$131,$BC$58:$BC$92),0)</f>
        <v/>
      </c>
      <c r="AJ137" s="39">
        <f>IFERROR(AJ98*$BC59/SUMPRODUCT(AJ$97:AJ$131,$BC$58:$BC$92),0)</f>
        <v/>
      </c>
      <c r="AK137" s="39">
        <f>IFERROR(AK98*$BC59/SUMPRODUCT(AK$97:AK$131,$BC$58:$BC$92),0)</f>
        <v/>
      </c>
      <c r="AL137" s="39">
        <f>IFERROR(AL98*$BC59/SUMPRODUCT(AL$97:AL$131,$BC$58:$BC$92),0)</f>
        <v/>
      </c>
      <c r="AM137" s="39">
        <f>IFERROR(AM98*$BC59/SUMPRODUCT(AM$97:AM$131,$BC$58:$BC$92),0)</f>
        <v/>
      </c>
      <c r="AN137" s="39">
        <f>IFERROR(AN98*$BC59/SUMPRODUCT(AN$97:AN$131,$BC$58:$BC$92),0)</f>
        <v/>
      </c>
      <c r="AO137" s="39">
        <f>IFERROR(AO98*$BC59/SUMPRODUCT(AO$97:AO$131,$BC$58:$BC$92),0)</f>
        <v/>
      </c>
      <c r="AP137" s="39">
        <f>IFERROR(AP98*$BC59/SUMPRODUCT(AP$97:AP$131,$BC$58:$BC$92),0)</f>
        <v/>
      </c>
      <c r="AQ137" s="39">
        <f>IFERROR(AQ98*$BC59/SUMPRODUCT(AQ$97:AQ$131,$BC$58:$BC$92),0)</f>
        <v/>
      </c>
      <c r="AR137" s="39">
        <f>IFERROR(AR98*$BC59/SUMPRODUCT(AR$97:AR$131,$BC$58:$BC$92),0)</f>
        <v/>
      </c>
      <c r="AS137" s="39">
        <f>IFERROR(AS98*$BC59/SUMPRODUCT(AS$97:AS$131,$BC$58:$BC$92),0)</f>
        <v/>
      </c>
      <c r="AT137" s="39">
        <f>IFERROR(AT98*$BC59/SUMPRODUCT(AT$97:AT$131,$BC$58:$BC$92),0)</f>
        <v/>
      </c>
      <c r="AU137" s="39">
        <f>IFERROR(AU98*$BC59/SUMPRODUCT(AU$97:AU$131,$BC$58:$BC$92),0)</f>
        <v/>
      </c>
      <c r="AV137" s="39">
        <f>IFERROR(AV98*$BC59/SUMPRODUCT(AV$97:AV$131,$BC$58:$BC$92),0)</f>
        <v/>
      </c>
      <c r="AW137" s="39">
        <f>IFERROR(AW98*$BC59/SUMPRODUCT(AW$97:AW$131,$BC$58:$BC$92),0)</f>
        <v/>
      </c>
      <c r="AX137" s="39">
        <f>IFERROR(AX98*$BC59/SUMPRODUCT(AX$97:AX$131,$BC$58:$BC$92),0)</f>
        <v/>
      </c>
      <c r="AY137" s="39">
        <f>IFERROR(AY98*$BC59/SUMPRODUCT(AY$97:AY$131,$BC$58:$BC$92),0)</f>
        <v/>
      </c>
      <c r="AZ137" s="39">
        <f>IFERROR(AZ98*$BC59/SUMPRODUCT(AZ$97:AZ$131,$BC$58:$BC$92),0)</f>
        <v/>
      </c>
      <c r="BA137" s="39">
        <f>IFERROR(BA98*$BC59/SUMPRODUCT(BA$97:BA$131,$BC$58:$BC$92),0)</f>
        <v/>
      </c>
      <c r="BB137" s="39">
        <f>IFERROR(BB98*$BC59/SUMPRODUCT(BB$97:BB$131,$BC$58:$BC$92),0)</f>
        <v/>
      </c>
    </row>
    <row r="138" ht="16.5" customHeight="1" s="179">
      <c r="C138" s="66" t="n"/>
      <c r="D138" s="237">
        <f>D99</f>
        <v/>
      </c>
      <c r="E138" s="141">
        <f>IFERROR(E99*$BC60/SUMPRODUCT(E$97:E$131,$BC$58:$BC$92),0)</f>
        <v/>
      </c>
      <c r="F138" s="141">
        <f>IFERROR(F99*$BC60/SUMPRODUCT(F$97:F$131,$BC$58:$BC$92),0)</f>
        <v/>
      </c>
      <c r="G138" s="141">
        <f>IFERROR(G99*$BC60/SUMPRODUCT(G$97:G$131,$BC$58:$BC$92),0)</f>
        <v/>
      </c>
      <c r="H138" s="39">
        <f>IFERROR(H99*$BC60/SUMPRODUCT(H$97:H$131,$BC$58:$BC$92),0)</f>
        <v/>
      </c>
      <c r="I138" s="39">
        <f>IFERROR(I99*$BC60/SUMPRODUCT(I$97:I$131,$BC$58:$BC$92),0)</f>
        <v/>
      </c>
      <c r="J138" s="39">
        <f>IFERROR(J99*$BC60/SUMPRODUCT(J$97:J$131,$BC$58:$BC$92),0)</f>
        <v/>
      </c>
      <c r="K138" s="39">
        <f>IFERROR(K99*$BC60/SUMPRODUCT(K$97:K$131,$BC$58:$BC$92),0)</f>
        <v/>
      </c>
      <c r="L138" s="39">
        <f>IFERROR(L99*$BC60/SUMPRODUCT(L$97:L$131,$BC$58:$BC$92),0)</f>
        <v/>
      </c>
      <c r="M138" s="39">
        <f>IFERROR(M99*$BC60/SUMPRODUCT(M$97:M$131,$BC$58:$BC$92),0)</f>
        <v/>
      </c>
      <c r="N138" s="39">
        <f>IFERROR(N99*$BC60/SUMPRODUCT(N$97:N$131,$BC$58:$BC$92),0)</f>
        <v/>
      </c>
      <c r="O138" s="39">
        <f>IFERROR(O99*$BC60/SUMPRODUCT(O$97:O$131,$BC$58:$BC$92),0)</f>
        <v/>
      </c>
      <c r="P138" s="39">
        <f>IFERROR(P99*$BC60/SUMPRODUCT(P$97:P$131,$BC$58:$BC$92),0)</f>
        <v/>
      </c>
      <c r="Q138" s="39">
        <f>IFERROR(Q99*$BC60/SUMPRODUCT(Q$97:Q$131,$BC$58:$BC$92),0)</f>
        <v/>
      </c>
      <c r="R138" s="39">
        <f>IFERROR(R99*$BC60/SUMPRODUCT(R$97:R$131,$BC$58:$BC$92),0)</f>
        <v/>
      </c>
      <c r="S138" s="39">
        <f>IFERROR(S99*$BC60/SUMPRODUCT(S$97:S$131,$BC$58:$BC$92),0)</f>
        <v/>
      </c>
      <c r="T138" s="39">
        <f>IFERROR(T99*$BC60/SUMPRODUCT(T$97:T$131,$BC$58:$BC$92),0)</f>
        <v/>
      </c>
      <c r="U138" s="39">
        <f>IFERROR(U99*$BC60/SUMPRODUCT(U$97:U$131,$BC$58:$BC$92),0)</f>
        <v/>
      </c>
      <c r="V138" s="39">
        <f>IFERROR(V99*$BC60/SUMPRODUCT(V$97:V$131,$BC$58:$BC$92),0)</f>
        <v/>
      </c>
      <c r="W138" s="39">
        <f>IFERROR(W99*$BC60/SUMPRODUCT(W$97:W$131,$BC$58:$BC$92),0)</f>
        <v/>
      </c>
      <c r="X138" s="39">
        <f>IFERROR(X99*$BC60/SUMPRODUCT(X$97:X$131,$BC$58:$BC$92),0)</f>
        <v/>
      </c>
      <c r="Y138" s="39">
        <f>IFERROR(Y99*$BC60/SUMPRODUCT(Y$97:Y$131,$BC$58:$BC$92),0)</f>
        <v/>
      </c>
      <c r="Z138" s="39">
        <f>IFERROR(Z99*$BC60/SUMPRODUCT(Z$97:Z$131,$BC$58:$BC$92),0)</f>
        <v/>
      </c>
      <c r="AA138" s="39">
        <f>IFERROR(AA99*$BC60/SUMPRODUCT(AA$97:AA$131,$BC$58:$BC$92),0)</f>
        <v/>
      </c>
      <c r="AB138" s="39">
        <f>IFERROR(AB99*$BC60/SUMPRODUCT(AB$97:AB$131,$BC$58:$BC$92),0)</f>
        <v/>
      </c>
      <c r="AC138" s="39">
        <f>IFERROR(AC99*$BC60/SUMPRODUCT(AC$97:AC$131,$BC$58:$BC$92),0)</f>
        <v/>
      </c>
      <c r="AD138" s="39">
        <f>IFERROR(AD99*$BC60/SUMPRODUCT(AD$97:AD$131,$BC$58:$BC$92),0)</f>
        <v/>
      </c>
      <c r="AE138" s="39">
        <f>IFERROR(AE99*$BC60/SUMPRODUCT(AE$97:AE$131,$BC$58:$BC$92),0)</f>
        <v/>
      </c>
      <c r="AF138" s="39">
        <f>IFERROR(AF99*$BC60/SUMPRODUCT(AF$97:AF$131,$BC$58:$BC$92),0)</f>
        <v/>
      </c>
      <c r="AG138" s="39">
        <f>IFERROR(AG99*$BC60/SUMPRODUCT(AG$97:AG$131,$BC$58:$BC$92),0)</f>
        <v/>
      </c>
      <c r="AH138" s="39">
        <f>IFERROR(AH99*$BC60/SUMPRODUCT(AH$97:AH$131,$BC$58:$BC$92),0)</f>
        <v/>
      </c>
      <c r="AI138" s="39">
        <f>IFERROR(AI99*$BC60/SUMPRODUCT(AI$97:AI$131,$BC$58:$BC$92),0)</f>
        <v/>
      </c>
      <c r="AJ138" s="39">
        <f>IFERROR(AJ99*$BC60/SUMPRODUCT(AJ$97:AJ$131,$BC$58:$BC$92),0)</f>
        <v/>
      </c>
      <c r="AK138" s="39">
        <f>IFERROR(AK99*$BC60/SUMPRODUCT(AK$97:AK$131,$BC$58:$BC$92),0)</f>
        <v/>
      </c>
      <c r="AL138" s="39">
        <f>IFERROR(AL99*$BC60/SUMPRODUCT(AL$97:AL$131,$BC$58:$BC$92),0)</f>
        <v/>
      </c>
      <c r="AM138" s="39">
        <f>IFERROR(AM99*$BC60/SUMPRODUCT(AM$97:AM$131,$BC$58:$BC$92),0)</f>
        <v/>
      </c>
      <c r="AN138" s="39">
        <f>IFERROR(AN99*$BC60/SUMPRODUCT(AN$97:AN$131,$BC$58:$BC$92),0)</f>
        <v/>
      </c>
      <c r="AO138" s="39">
        <f>IFERROR(AO99*$BC60/SUMPRODUCT(AO$97:AO$131,$BC$58:$BC$92),0)</f>
        <v/>
      </c>
      <c r="AP138" s="39">
        <f>IFERROR(AP99*$BC60/SUMPRODUCT(AP$97:AP$131,$BC$58:$BC$92),0)</f>
        <v/>
      </c>
      <c r="AQ138" s="39">
        <f>IFERROR(AQ99*$BC60/SUMPRODUCT(AQ$97:AQ$131,$BC$58:$BC$92),0)</f>
        <v/>
      </c>
      <c r="AR138" s="39">
        <f>IFERROR(AR99*$BC60/SUMPRODUCT(AR$97:AR$131,$BC$58:$BC$92),0)</f>
        <v/>
      </c>
      <c r="AS138" s="39">
        <f>IFERROR(AS99*$BC60/SUMPRODUCT(AS$97:AS$131,$BC$58:$BC$92),0)</f>
        <v/>
      </c>
      <c r="AT138" s="39">
        <f>IFERROR(AT99*$BC60/SUMPRODUCT(AT$97:AT$131,$BC$58:$BC$92),0)</f>
        <v/>
      </c>
      <c r="AU138" s="39">
        <f>IFERROR(AU99*$BC60/SUMPRODUCT(AU$97:AU$131,$BC$58:$BC$92),0)</f>
        <v/>
      </c>
      <c r="AV138" s="39">
        <f>IFERROR(AV99*$BC60/SUMPRODUCT(AV$97:AV$131,$BC$58:$BC$92),0)</f>
        <v/>
      </c>
      <c r="AW138" s="39">
        <f>IFERROR(AW99*$BC60/SUMPRODUCT(AW$97:AW$131,$BC$58:$BC$92),0)</f>
        <v/>
      </c>
      <c r="AX138" s="39">
        <f>IFERROR(AX99*$BC60/SUMPRODUCT(AX$97:AX$131,$BC$58:$BC$92),0)</f>
        <v/>
      </c>
      <c r="AY138" s="39">
        <f>IFERROR(AY99*$BC60/SUMPRODUCT(AY$97:AY$131,$BC$58:$BC$92),0)</f>
        <v/>
      </c>
      <c r="AZ138" s="39">
        <f>IFERROR(AZ99*$BC60/SUMPRODUCT(AZ$97:AZ$131,$BC$58:$BC$92),0)</f>
        <v/>
      </c>
      <c r="BA138" s="39">
        <f>IFERROR(BA99*$BC60/SUMPRODUCT(BA$97:BA$131,$BC$58:$BC$92),0)</f>
        <v/>
      </c>
      <c r="BB138" s="39">
        <f>IFERROR(BB99*$BC60/SUMPRODUCT(BB$97:BB$131,$BC$58:$BC$92),0)</f>
        <v/>
      </c>
    </row>
    <row r="139" ht="16.5" customHeight="1" s="179">
      <c r="C139" s="66" t="n"/>
      <c r="D139" s="237">
        <f>D100</f>
        <v/>
      </c>
      <c r="E139" s="141">
        <f>IFERROR(E100*$BC61/SUMPRODUCT(E$97:E$131,$BC$58:$BC$92),0)</f>
        <v/>
      </c>
      <c r="F139" s="141">
        <f>IFERROR(F100*$BC61/SUMPRODUCT(F$97:F$131,$BC$58:$BC$92),0)</f>
        <v/>
      </c>
      <c r="G139" s="141">
        <f>IFERROR(G100*$BC61/SUMPRODUCT(G$97:G$131,$BC$58:$BC$92),0)</f>
        <v/>
      </c>
      <c r="H139" s="39">
        <f>IFERROR(H100*$BC61/SUMPRODUCT(H$97:H$131,$BC$58:$BC$92),0)</f>
        <v/>
      </c>
      <c r="I139" s="39">
        <f>IFERROR(I100*$BC61/SUMPRODUCT(I$97:I$131,$BC$58:$BC$92),0)</f>
        <v/>
      </c>
      <c r="J139" s="39">
        <f>IFERROR(J100*$BC61/SUMPRODUCT(J$97:J$131,$BC$58:$BC$92),0)</f>
        <v/>
      </c>
      <c r="K139" s="39">
        <f>IFERROR(K100*$BC61/SUMPRODUCT(K$97:K$131,$BC$58:$BC$92),0)</f>
        <v/>
      </c>
      <c r="L139" s="39">
        <f>IFERROR(L100*$BC61/SUMPRODUCT(L$97:L$131,$BC$58:$BC$92),0)</f>
        <v/>
      </c>
      <c r="M139" s="39">
        <f>IFERROR(M100*$BC61/SUMPRODUCT(M$97:M$131,$BC$58:$BC$92),0)</f>
        <v/>
      </c>
      <c r="N139" s="39">
        <f>IFERROR(N100*$BC61/SUMPRODUCT(N$97:N$131,$BC$58:$BC$92),0)</f>
        <v/>
      </c>
      <c r="O139" s="39">
        <f>IFERROR(O100*$BC61/SUMPRODUCT(O$97:O$131,$BC$58:$BC$92),0)</f>
        <v/>
      </c>
      <c r="P139" s="39">
        <f>IFERROR(P100*$BC61/SUMPRODUCT(P$97:P$131,$BC$58:$BC$92),0)</f>
        <v/>
      </c>
      <c r="Q139" s="39">
        <f>IFERROR(Q100*$BC61/SUMPRODUCT(Q$97:Q$131,$BC$58:$BC$92),0)</f>
        <v/>
      </c>
      <c r="R139" s="39">
        <f>IFERROR(R100*$BC61/SUMPRODUCT(R$97:R$131,$BC$58:$BC$92),0)</f>
        <v/>
      </c>
      <c r="S139" s="39">
        <f>IFERROR(S100*$BC61/SUMPRODUCT(S$97:S$131,$BC$58:$BC$92),0)</f>
        <v/>
      </c>
      <c r="T139" s="39">
        <f>IFERROR(T100*$BC61/SUMPRODUCT(T$97:T$131,$BC$58:$BC$92),0)</f>
        <v/>
      </c>
      <c r="U139" s="39">
        <f>IFERROR(U100*$BC61/SUMPRODUCT(U$97:U$131,$BC$58:$BC$92),0)</f>
        <v/>
      </c>
      <c r="V139" s="39">
        <f>IFERROR(V100*$BC61/SUMPRODUCT(V$97:V$131,$BC$58:$BC$92),0)</f>
        <v/>
      </c>
      <c r="W139" s="39">
        <f>IFERROR(W100*$BC61/SUMPRODUCT(W$97:W$131,$BC$58:$BC$92),0)</f>
        <v/>
      </c>
      <c r="X139" s="39">
        <f>IFERROR(X100*$BC61/SUMPRODUCT(X$97:X$131,$BC$58:$BC$92),0)</f>
        <v/>
      </c>
      <c r="Y139" s="39">
        <f>IFERROR(Y100*$BC61/SUMPRODUCT(Y$97:Y$131,$BC$58:$BC$92),0)</f>
        <v/>
      </c>
      <c r="Z139" s="39">
        <f>IFERROR(Z100*$BC61/SUMPRODUCT(Z$97:Z$131,$BC$58:$BC$92),0)</f>
        <v/>
      </c>
      <c r="AA139" s="39">
        <f>IFERROR(AA100*$BC61/SUMPRODUCT(AA$97:AA$131,$BC$58:$BC$92),0)</f>
        <v/>
      </c>
      <c r="AB139" s="39">
        <f>IFERROR(AB100*$BC61/SUMPRODUCT(AB$97:AB$131,$BC$58:$BC$92),0)</f>
        <v/>
      </c>
      <c r="AC139" s="39">
        <f>IFERROR(AC100*$BC61/SUMPRODUCT(AC$97:AC$131,$BC$58:$BC$92),0)</f>
        <v/>
      </c>
      <c r="AD139" s="39">
        <f>IFERROR(AD100*$BC61/SUMPRODUCT(AD$97:AD$131,$BC$58:$BC$92),0)</f>
        <v/>
      </c>
      <c r="AE139" s="39">
        <f>IFERROR(AE100*$BC61/SUMPRODUCT(AE$97:AE$131,$BC$58:$BC$92),0)</f>
        <v/>
      </c>
      <c r="AF139" s="39">
        <f>IFERROR(AF100*$BC61/SUMPRODUCT(AF$97:AF$131,$BC$58:$BC$92),0)</f>
        <v/>
      </c>
      <c r="AG139" s="39">
        <f>IFERROR(AG100*$BC61/SUMPRODUCT(AG$97:AG$131,$BC$58:$BC$92),0)</f>
        <v/>
      </c>
      <c r="AH139" s="39">
        <f>IFERROR(AH100*$BC61/SUMPRODUCT(AH$97:AH$131,$BC$58:$BC$92),0)</f>
        <v/>
      </c>
      <c r="AI139" s="39">
        <f>IFERROR(AI100*$BC61/SUMPRODUCT(AI$97:AI$131,$BC$58:$BC$92),0)</f>
        <v/>
      </c>
      <c r="AJ139" s="39">
        <f>IFERROR(AJ100*$BC61/SUMPRODUCT(AJ$97:AJ$131,$BC$58:$BC$92),0)</f>
        <v/>
      </c>
      <c r="AK139" s="39">
        <f>IFERROR(AK100*$BC61/SUMPRODUCT(AK$97:AK$131,$BC$58:$BC$92),0)</f>
        <v/>
      </c>
      <c r="AL139" s="39">
        <f>IFERROR(AL100*$BC61/SUMPRODUCT(AL$97:AL$131,$BC$58:$BC$92),0)</f>
        <v/>
      </c>
      <c r="AM139" s="39">
        <f>IFERROR(AM100*$BC61/SUMPRODUCT(AM$97:AM$131,$BC$58:$BC$92),0)</f>
        <v/>
      </c>
      <c r="AN139" s="39">
        <f>IFERROR(AN100*$BC61/SUMPRODUCT(AN$97:AN$131,$BC$58:$BC$92),0)</f>
        <v/>
      </c>
      <c r="AO139" s="39">
        <f>IFERROR(AO100*$BC61/SUMPRODUCT(AO$97:AO$131,$BC$58:$BC$92),0)</f>
        <v/>
      </c>
      <c r="AP139" s="39">
        <f>IFERROR(AP100*$BC61/SUMPRODUCT(AP$97:AP$131,$BC$58:$BC$92),0)</f>
        <v/>
      </c>
      <c r="AQ139" s="39">
        <f>IFERROR(AQ100*$BC61/SUMPRODUCT(AQ$97:AQ$131,$BC$58:$BC$92),0)</f>
        <v/>
      </c>
      <c r="AR139" s="39">
        <f>IFERROR(AR100*$BC61/SUMPRODUCT(AR$97:AR$131,$BC$58:$BC$92),0)</f>
        <v/>
      </c>
      <c r="AS139" s="39">
        <f>IFERROR(AS100*$BC61/SUMPRODUCT(AS$97:AS$131,$BC$58:$BC$92),0)</f>
        <v/>
      </c>
      <c r="AT139" s="39">
        <f>IFERROR(AT100*$BC61/SUMPRODUCT(AT$97:AT$131,$BC$58:$BC$92),0)</f>
        <v/>
      </c>
      <c r="AU139" s="39">
        <f>IFERROR(AU100*$BC61/SUMPRODUCT(AU$97:AU$131,$BC$58:$BC$92),0)</f>
        <v/>
      </c>
      <c r="AV139" s="39">
        <f>IFERROR(AV100*$BC61/SUMPRODUCT(AV$97:AV$131,$BC$58:$BC$92),0)</f>
        <v/>
      </c>
      <c r="AW139" s="39">
        <f>IFERROR(AW100*$BC61/SUMPRODUCT(AW$97:AW$131,$BC$58:$BC$92),0)</f>
        <v/>
      </c>
      <c r="AX139" s="39">
        <f>IFERROR(AX100*$BC61/SUMPRODUCT(AX$97:AX$131,$BC$58:$BC$92),0)</f>
        <v/>
      </c>
      <c r="AY139" s="39">
        <f>IFERROR(AY100*$BC61/SUMPRODUCT(AY$97:AY$131,$BC$58:$BC$92),0)</f>
        <v/>
      </c>
      <c r="AZ139" s="39">
        <f>IFERROR(AZ100*$BC61/SUMPRODUCT(AZ$97:AZ$131,$BC$58:$BC$92),0)</f>
        <v/>
      </c>
      <c r="BA139" s="39">
        <f>IFERROR(BA100*$BC61/SUMPRODUCT(BA$97:BA$131,$BC$58:$BC$92),0)</f>
        <v/>
      </c>
      <c r="BB139" s="39">
        <f>IFERROR(BB100*$BC61/SUMPRODUCT(BB$97:BB$131,$BC$58:$BC$92),0)</f>
        <v/>
      </c>
    </row>
    <row r="140" ht="16.5" customHeight="1" s="179">
      <c r="C140" s="66" t="n"/>
      <c r="D140" s="237">
        <f>D101</f>
        <v/>
      </c>
      <c r="E140" s="141">
        <f>IFERROR(E101*$BC62/SUMPRODUCT(E$97:E$131,$BC$58:$BC$92),0)</f>
        <v/>
      </c>
      <c r="F140" s="141">
        <f>IFERROR(F101*$BC62/SUMPRODUCT(F$97:F$131,$BC$58:$BC$92),0)</f>
        <v/>
      </c>
      <c r="G140" s="141">
        <f>IFERROR(G101*$BC62/SUMPRODUCT(G$97:G$131,$BC$58:$BC$92),0)</f>
        <v/>
      </c>
      <c r="H140" s="39">
        <f>IFERROR(H101*$BC62/SUMPRODUCT(H$97:H$131,$BC$58:$BC$92),0)</f>
        <v/>
      </c>
      <c r="I140" s="39">
        <f>IFERROR(I101*$BC62/SUMPRODUCT(I$97:I$131,$BC$58:$BC$92),0)</f>
        <v/>
      </c>
      <c r="J140" s="39">
        <f>IFERROR(J101*$BC62/SUMPRODUCT(J$97:J$131,$BC$58:$BC$92),0)</f>
        <v/>
      </c>
      <c r="K140" s="39">
        <f>IFERROR(K101*$BC62/SUMPRODUCT(K$97:K$131,$BC$58:$BC$92),0)</f>
        <v/>
      </c>
      <c r="L140" s="39">
        <f>IFERROR(L101*$BC62/SUMPRODUCT(L$97:L$131,$BC$58:$BC$92),0)</f>
        <v/>
      </c>
      <c r="M140" s="39">
        <f>IFERROR(M101*$BC62/SUMPRODUCT(M$97:M$131,$BC$58:$BC$92),0)</f>
        <v/>
      </c>
      <c r="N140" s="39">
        <f>IFERROR(N101*$BC62/SUMPRODUCT(N$97:N$131,$BC$58:$BC$92),0)</f>
        <v/>
      </c>
      <c r="O140" s="39">
        <f>IFERROR(O101*$BC62/SUMPRODUCT(O$97:O$131,$BC$58:$BC$92),0)</f>
        <v/>
      </c>
      <c r="P140" s="39">
        <f>IFERROR(P101*$BC62/SUMPRODUCT(P$97:P$131,$BC$58:$BC$92),0)</f>
        <v/>
      </c>
      <c r="Q140" s="39">
        <f>IFERROR(Q101*$BC62/SUMPRODUCT(Q$97:Q$131,$BC$58:$BC$92),0)</f>
        <v/>
      </c>
      <c r="R140" s="39">
        <f>IFERROR(R101*$BC62/SUMPRODUCT(R$97:R$131,$BC$58:$BC$92),0)</f>
        <v/>
      </c>
      <c r="S140" s="39">
        <f>IFERROR(S101*$BC62/SUMPRODUCT(S$97:S$131,$BC$58:$BC$92),0)</f>
        <v/>
      </c>
      <c r="T140" s="39">
        <f>IFERROR(T101*$BC62/SUMPRODUCT(T$97:T$131,$BC$58:$BC$92),0)</f>
        <v/>
      </c>
      <c r="U140" s="39">
        <f>IFERROR(U101*$BC62/SUMPRODUCT(U$97:U$131,$BC$58:$BC$92),0)</f>
        <v/>
      </c>
      <c r="V140" s="39">
        <f>IFERROR(V101*$BC62/SUMPRODUCT(V$97:V$131,$BC$58:$BC$92),0)</f>
        <v/>
      </c>
      <c r="W140" s="39">
        <f>IFERROR(W101*$BC62/SUMPRODUCT(W$97:W$131,$BC$58:$BC$92),0)</f>
        <v/>
      </c>
      <c r="X140" s="39">
        <f>IFERROR(X101*$BC62/SUMPRODUCT(X$97:X$131,$BC$58:$BC$92),0)</f>
        <v/>
      </c>
      <c r="Y140" s="39">
        <f>IFERROR(Y101*$BC62/SUMPRODUCT(Y$97:Y$131,$BC$58:$BC$92),0)</f>
        <v/>
      </c>
      <c r="Z140" s="39">
        <f>IFERROR(Z101*$BC62/SUMPRODUCT(Z$97:Z$131,$BC$58:$BC$92),0)</f>
        <v/>
      </c>
      <c r="AA140" s="39">
        <f>IFERROR(AA101*$BC62/SUMPRODUCT(AA$97:AA$131,$BC$58:$BC$92),0)</f>
        <v/>
      </c>
      <c r="AB140" s="39">
        <f>IFERROR(AB101*$BC62/SUMPRODUCT(AB$97:AB$131,$BC$58:$BC$92),0)</f>
        <v/>
      </c>
      <c r="AC140" s="39">
        <f>IFERROR(AC101*$BC62/SUMPRODUCT(AC$97:AC$131,$BC$58:$BC$92),0)</f>
        <v/>
      </c>
      <c r="AD140" s="39">
        <f>IFERROR(AD101*$BC62/SUMPRODUCT(AD$97:AD$131,$BC$58:$BC$92),0)</f>
        <v/>
      </c>
      <c r="AE140" s="39">
        <f>IFERROR(AE101*$BC62/SUMPRODUCT(AE$97:AE$131,$BC$58:$BC$92),0)</f>
        <v/>
      </c>
      <c r="AF140" s="39">
        <f>IFERROR(AF101*$BC62/SUMPRODUCT(AF$97:AF$131,$BC$58:$BC$92),0)</f>
        <v/>
      </c>
      <c r="AG140" s="39">
        <f>IFERROR(AG101*$BC62/SUMPRODUCT(AG$97:AG$131,$BC$58:$BC$92),0)</f>
        <v/>
      </c>
      <c r="AH140" s="39">
        <f>IFERROR(AH101*$BC62/SUMPRODUCT(AH$97:AH$131,$BC$58:$BC$92),0)</f>
        <v/>
      </c>
      <c r="AI140" s="39">
        <f>IFERROR(AI101*$BC62/SUMPRODUCT(AI$97:AI$131,$BC$58:$BC$92),0)</f>
        <v/>
      </c>
      <c r="AJ140" s="39">
        <f>IFERROR(AJ101*$BC62/SUMPRODUCT(AJ$97:AJ$131,$BC$58:$BC$92),0)</f>
        <v/>
      </c>
      <c r="AK140" s="39">
        <f>IFERROR(AK101*$BC62/SUMPRODUCT(AK$97:AK$131,$BC$58:$BC$92),0)</f>
        <v/>
      </c>
      <c r="AL140" s="39">
        <f>IFERROR(AL101*$BC62/SUMPRODUCT(AL$97:AL$131,$BC$58:$BC$92),0)</f>
        <v/>
      </c>
      <c r="AM140" s="39">
        <f>IFERROR(AM101*$BC62/SUMPRODUCT(AM$97:AM$131,$BC$58:$BC$92),0)</f>
        <v/>
      </c>
      <c r="AN140" s="39">
        <f>IFERROR(AN101*$BC62/SUMPRODUCT(AN$97:AN$131,$BC$58:$BC$92),0)</f>
        <v/>
      </c>
      <c r="AO140" s="39">
        <f>IFERROR(AO101*$BC62/SUMPRODUCT(AO$97:AO$131,$BC$58:$BC$92),0)</f>
        <v/>
      </c>
      <c r="AP140" s="39">
        <f>IFERROR(AP101*$BC62/SUMPRODUCT(AP$97:AP$131,$BC$58:$BC$92),0)</f>
        <v/>
      </c>
      <c r="AQ140" s="39">
        <f>IFERROR(AQ101*$BC62/SUMPRODUCT(AQ$97:AQ$131,$BC$58:$BC$92),0)</f>
        <v/>
      </c>
      <c r="AR140" s="39">
        <f>IFERROR(AR101*$BC62/SUMPRODUCT(AR$97:AR$131,$BC$58:$BC$92),0)</f>
        <v/>
      </c>
      <c r="AS140" s="39">
        <f>IFERROR(AS101*$BC62/SUMPRODUCT(AS$97:AS$131,$BC$58:$BC$92),0)</f>
        <v/>
      </c>
      <c r="AT140" s="39">
        <f>IFERROR(AT101*$BC62/SUMPRODUCT(AT$97:AT$131,$BC$58:$BC$92),0)</f>
        <v/>
      </c>
      <c r="AU140" s="39">
        <f>IFERROR(AU101*$BC62/SUMPRODUCT(AU$97:AU$131,$BC$58:$BC$92),0)</f>
        <v/>
      </c>
      <c r="AV140" s="39">
        <f>IFERROR(AV101*$BC62/SUMPRODUCT(AV$97:AV$131,$BC$58:$BC$92),0)</f>
        <v/>
      </c>
      <c r="AW140" s="39">
        <f>IFERROR(AW101*$BC62/SUMPRODUCT(AW$97:AW$131,$BC$58:$BC$92),0)</f>
        <v/>
      </c>
      <c r="AX140" s="39">
        <f>IFERROR(AX101*$BC62/SUMPRODUCT(AX$97:AX$131,$BC$58:$BC$92),0)</f>
        <v/>
      </c>
      <c r="AY140" s="39">
        <f>IFERROR(AY101*$BC62/SUMPRODUCT(AY$97:AY$131,$BC$58:$BC$92),0)</f>
        <v/>
      </c>
      <c r="AZ140" s="39">
        <f>IFERROR(AZ101*$BC62/SUMPRODUCT(AZ$97:AZ$131,$BC$58:$BC$92),0)</f>
        <v/>
      </c>
      <c r="BA140" s="39">
        <f>IFERROR(BA101*$BC62/SUMPRODUCT(BA$97:BA$131,$BC$58:$BC$92),0)</f>
        <v/>
      </c>
      <c r="BB140" s="39">
        <f>IFERROR(BB101*$BC62/SUMPRODUCT(BB$97:BB$131,$BC$58:$BC$92),0)</f>
        <v/>
      </c>
    </row>
    <row r="141" ht="16.5" customHeight="1" s="179">
      <c r="C141" s="66" t="n"/>
      <c r="D141" s="237">
        <f>D102</f>
        <v/>
      </c>
      <c r="E141" s="141">
        <f>IFERROR(E102*$BC63/SUMPRODUCT(E$97:E$131,$BC$58:$BC$92),0)</f>
        <v/>
      </c>
      <c r="F141" s="141">
        <f>IFERROR(F102*$BC63/SUMPRODUCT(F$97:F$131,$BC$58:$BC$92),0)</f>
        <v/>
      </c>
      <c r="G141" s="141">
        <f>IFERROR(G102*$BC63/SUMPRODUCT(G$97:G$131,$BC$58:$BC$92),0)</f>
        <v/>
      </c>
      <c r="H141" s="39">
        <f>IFERROR(H102*$BC63/SUMPRODUCT(H$97:H$131,$BC$58:$BC$92),0)</f>
        <v/>
      </c>
      <c r="I141" s="39">
        <f>IFERROR(I102*$BC63/SUMPRODUCT(I$97:I$131,$BC$58:$BC$92),0)</f>
        <v/>
      </c>
      <c r="J141" s="39">
        <f>IFERROR(J102*$BC63/SUMPRODUCT(J$97:J$131,$BC$58:$BC$92),0)</f>
        <v/>
      </c>
      <c r="K141" s="39">
        <f>IFERROR(K102*$BC63/SUMPRODUCT(K$97:K$131,$BC$58:$BC$92),0)</f>
        <v/>
      </c>
      <c r="L141" s="39">
        <f>IFERROR(L102*$BC63/SUMPRODUCT(L$97:L$131,$BC$58:$BC$92),0)</f>
        <v/>
      </c>
      <c r="M141" s="39">
        <f>IFERROR(M102*$BC63/SUMPRODUCT(M$97:M$131,$BC$58:$BC$92),0)</f>
        <v/>
      </c>
      <c r="N141" s="39">
        <f>IFERROR(N102*$BC63/SUMPRODUCT(N$97:N$131,$BC$58:$BC$92),0)</f>
        <v/>
      </c>
      <c r="O141" s="39">
        <f>IFERROR(O102*$BC63/SUMPRODUCT(O$97:O$131,$BC$58:$BC$92),0)</f>
        <v/>
      </c>
      <c r="P141" s="39">
        <f>IFERROR(P102*$BC63/SUMPRODUCT(P$97:P$131,$BC$58:$BC$92),0)</f>
        <v/>
      </c>
      <c r="Q141" s="39">
        <f>IFERROR(Q102*$BC63/SUMPRODUCT(Q$97:Q$131,$BC$58:$BC$92),0)</f>
        <v/>
      </c>
      <c r="R141" s="39">
        <f>IFERROR(R102*$BC63/SUMPRODUCT(R$97:R$131,$BC$58:$BC$92),0)</f>
        <v/>
      </c>
      <c r="S141" s="39">
        <f>IFERROR(S102*$BC63/SUMPRODUCT(S$97:S$131,$BC$58:$BC$92),0)</f>
        <v/>
      </c>
      <c r="T141" s="39">
        <f>IFERROR(T102*$BC63/SUMPRODUCT(T$97:T$131,$BC$58:$BC$92),0)</f>
        <v/>
      </c>
      <c r="U141" s="39">
        <f>IFERROR(U102*$BC63/SUMPRODUCT(U$97:U$131,$BC$58:$BC$92),0)</f>
        <v/>
      </c>
      <c r="V141" s="39">
        <f>IFERROR(V102*$BC63/SUMPRODUCT(V$97:V$131,$BC$58:$BC$92),0)</f>
        <v/>
      </c>
      <c r="W141" s="39">
        <f>IFERROR(W102*$BC63/SUMPRODUCT(W$97:W$131,$BC$58:$BC$92),0)</f>
        <v/>
      </c>
      <c r="X141" s="39">
        <f>IFERROR(X102*$BC63/SUMPRODUCT(X$97:X$131,$BC$58:$BC$92),0)</f>
        <v/>
      </c>
      <c r="Y141" s="39">
        <f>IFERROR(Y102*$BC63/SUMPRODUCT(Y$97:Y$131,$BC$58:$BC$92),0)</f>
        <v/>
      </c>
      <c r="Z141" s="39">
        <f>IFERROR(Z102*$BC63/SUMPRODUCT(Z$97:Z$131,$BC$58:$BC$92),0)</f>
        <v/>
      </c>
      <c r="AA141" s="39">
        <f>IFERROR(AA102*$BC63/SUMPRODUCT(AA$97:AA$131,$BC$58:$BC$92),0)</f>
        <v/>
      </c>
      <c r="AB141" s="39">
        <f>IFERROR(AB102*$BC63/SUMPRODUCT(AB$97:AB$131,$BC$58:$BC$92),0)</f>
        <v/>
      </c>
      <c r="AC141" s="39">
        <f>IFERROR(AC102*$BC63/SUMPRODUCT(AC$97:AC$131,$BC$58:$BC$92),0)</f>
        <v/>
      </c>
      <c r="AD141" s="39">
        <f>IFERROR(AD102*$BC63/SUMPRODUCT(AD$97:AD$131,$BC$58:$BC$92),0)</f>
        <v/>
      </c>
      <c r="AE141" s="39">
        <f>IFERROR(AE102*$BC63/SUMPRODUCT(AE$97:AE$131,$BC$58:$BC$92),0)</f>
        <v/>
      </c>
      <c r="AF141" s="39">
        <f>IFERROR(AF102*$BC63/SUMPRODUCT(AF$97:AF$131,$BC$58:$BC$92),0)</f>
        <v/>
      </c>
      <c r="AG141" s="39">
        <f>IFERROR(AG102*$BC63/SUMPRODUCT(AG$97:AG$131,$BC$58:$BC$92),0)</f>
        <v/>
      </c>
      <c r="AH141" s="39">
        <f>IFERROR(AH102*$BC63/SUMPRODUCT(AH$97:AH$131,$BC$58:$BC$92),0)</f>
        <v/>
      </c>
      <c r="AI141" s="39">
        <f>IFERROR(AI102*$BC63/SUMPRODUCT(AI$97:AI$131,$BC$58:$BC$92),0)</f>
        <v/>
      </c>
      <c r="AJ141" s="39">
        <f>IFERROR(AJ102*$BC63/SUMPRODUCT(AJ$97:AJ$131,$BC$58:$BC$92),0)</f>
        <v/>
      </c>
      <c r="AK141" s="39">
        <f>IFERROR(AK102*$BC63/SUMPRODUCT(AK$97:AK$131,$BC$58:$BC$92),0)</f>
        <v/>
      </c>
      <c r="AL141" s="39">
        <f>IFERROR(AL102*$BC63/SUMPRODUCT(AL$97:AL$131,$BC$58:$BC$92),0)</f>
        <v/>
      </c>
      <c r="AM141" s="39">
        <f>IFERROR(AM102*$BC63/SUMPRODUCT(AM$97:AM$131,$BC$58:$BC$92),0)</f>
        <v/>
      </c>
      <c r="AN141" s="39">
        <f>IFERROR(AN102*$BC63/SUMPRODUCT(AN$97:AN$131,$BC$58:$BC$92),0)</f>
        <v/>
      </c>
      <c r="AO141" s="39">
        <f>IFERROR(AO102*$BC63/SUMPRODUCT(AO$97:AO$131,$BC$58:$BC$92),0)</f>
        <v/>
      </c>
      <c r="AP141" s="39">
        <f>IFERROR(AP102*$BC63/SUMPRODUCT(AP$97:AP$131,$BC$58:$BC$92),0)</f>
        <v/>
      </c>
      <c r="AQ141" s="39">
        <f>IFERROR(AQ102*$BC63/SUMPRODUCT(AQ$97:AQ$131,$BC$58:$BC$92),0)</f>
        <v/>
      </c>
      <c r="AR141" s="39">
        <f>IFERROR(AR102*$BC63/SUMPRODUCT(AR$97:AR$131,$BC$58:$BC$92),0)</f>
        <v/>
      </c>
      <c r="AS141" s="39">
        <f>IFERROR(AS102*$BC63/SUMPRODUCT(AS$97:AS$131,$BC$58:$BC$92),0)</f>
        <v/>
      </c>
      <c r="AT141" s="39">
        <f>IFERROR(AT102*$BC63/SUMPRODUCT(AT$97:AT$131,$BC$58:$BC$92),0)</f>
        <v/>
      </c>
      <c r="AU141" s="39">
        <f>IFERROR(AU102*$BC63/SUMPRODUCT(AU$97:AU$131,$BC$58:$BC$92),0)</f>
        <v/>
      </c>
      <c r="AV141" s="39">
        <f>IFERROR(AV102*$BC63/SUMPRODUCT(AV$97:AV$131,$BC$58:$BC$92),0)</f>
        <v/>
      </c>
      <c r="AW141" s="39">
        <f>IFERROR(AW102*$BC63/SUMPRODUCT(AW$97:AW$131,$BC$58:$BC$92),0)</f>
        <v/>
      </c>
      <c r="AX141" s="39">
        <f>IFERROR(AX102*$BC63/SUMPRODUCT(AX$97:AX$131,$BC$58:$BC$92),0)</f>
        <v/>
      </c>
      <c r="AY141" s="39">
        <f>IFERROR(AY102*$BC63/SUMPRODUCT(AY$97:AY$131,$BC$58:$BC$92),0)</f>
        <v/>
      </c>
      <c r="AZ141" s="39">
        <f>IFERROR(AZ102*$BC63/SUMPRODUCT(AZ$97:AZ$131,$BC$58:$BC$92),0)</f>
        <v/>
      </c>
      <c r="BA141" s="39">
        <f>IFERROR(BA102*$BC63/SUMPRODUCT(BA$97:BA$131,$BC$58:$BC$92),0)</f>
        <v/>
      </c>
      <c r="BB141" s="39">
        <f>IFERROR(BB102*$BC63/SUMPRODUCT(BB$97:BB$131,$BC$58:$BC$92),0)</f>
        <v/>
      </c>
    </row>
    <row r="142">
      <c r="C142" s="1" t="n"/>
      <c r="D142" s="237">
        <f>D103</f>
        <v/>
      </c>
      <c r="E142" s="141">
        <f>IFERROR(E103*$BC64/SUMPRODUCT(E$97:E$131,$BC$58:$BC$92),0)</f>
        <v/>
      </c>
      <c r="F142" s="141">
        <f>IFERROR(F103*$BC64/SUMPRODUCT(F$97:F$131,$BC$58:$BC$92),0)</f>
        <v/>
      </c>
      <c r="G142" s="141">
        <f>IFERROR(G103*$BC64/SUMPRODUCT(G$97:G$131,$BC$58:$BC$92),0)</f>
        <v/>
      </c>
      <c r="H142" s="39">
        <f>IFERROR(H103*$BC64/SUMPRODUCT(H$97:H$131,$BC$58:$BC$92),0)</f>
        <v/>
      </c>
      <c r="I142" s="39">
        <f>IFERROR(I103*$BC64/SUMPRODUCT(I$97:I$131,$BC$58:$BC$92),0)</f>
        <v/>
      </c>
      <c r="J142" s="39">
        <f>IFERROR(J103*$BC64/SUMPRODUCT(J$97:J$131,$BC$58:$BC$92),0)</f>
        <v/>
      </c>
      <c r="K142" s="39">
        <f>IFERROR(K103*$BC64/SUMPRODUCT(K$97:K$131,$BC$58:$BC$92),0)</f>
        <v/>
      </c>
      <c r="L142" s="39">
        <f>IFERROR(L103*$BC64/SUMPRODUCT(L$97:L$131,$BC$58:$BC$92),0)</f>
        <v/>
      </c>
      <c r="M142" s="39">
        <f>IFERROR(M103*$BC64/SUMPRODUCT(M$97:M$131,$BC$58:$BC$92),0)</f>
        <v/>
      </c>
      <c r="N142" s="39">
        <f>IFERROR(N103*$BC64/SUMPRODUCT(N$97:N$131,$BC$58:$BC$92),0)</f>
        <v/>
      </c>
      <c r="O142" s="39">
        <f>IFERROR(O103*$BC64/SUMPRODUCT(O$97:O$131,$BC$58:$BC$92),0)</f>
        <v/>
      </c>
      <c r="P142" s="39">
        <f>IFERROR(P103*$BC64/SUMPRODUCT(P$97:P$131,$BC$58:$BC$92),0)</f>
        <v/>
      </c>
      <c r="Q142" s="39">
        <f>IFERROR(Q103*$BC64/SUMPRODUCT(Q$97:Q$131,$BC$58:$BC$92),0)</f>
        <v/>
      </c>
      <c r="R142" s="39">
        <f>IFERROR(R103*$BC64/SUMPRODUCT(R$97:R$131,$BC$58:$BC$92),0)</f>
        <v/>
      </c>
      <c r="S142" s="39">
        <f>IFERROR(S103*$BC64/SUMPRODUCT(S$97:S$131,$BC$58:$BC$92),0)</f>
        <v/>
      </c>
      <c r="T142" s="39">
        <f>IFERROR(T103*$BC64/SUMPRODUCT(T$97:T$131,$BC$58:$BC$92),0)</f>
        <v/>
      </c>
      <c r="U142" s="39">
        <f>IFERROR(U103*$BC64/SUMPRODUCT(U$97:U$131,$BC$58:$BC$92),0)</f>
        <v/>
      </c>
      <c r="V142" s="39">
        <f>IFERROR(V103*$BC64/SUMPRODUCT(V$97:V$131,$BC$58:$BC$92),0)</f>
        <v/>
      </c>
      <c r="W142" s="39">
        <f>IFERROR(W103*$BC64/SUMPRODUCT(W$97:W$131,$BC$58:$BC$92),0)</f>
        <v/>
      </c>
      <c r="X142" s="39">
        <f>IFERROR(X103*$BC64/SUMPRODUCT(X$97:X$131,$BC$58:$BC$92),0)</f>
        <v/>
      </c>
      <c r="Y142" s="39">
        <f>IFERROR(Y103*$BC64/SUMPRODUCT(Y$97:Y$131,$BC$58:$BC$92),0)</f>
        <v/>
      </c>
      <c r="Z142" s="39">
        <f>IFERROR(Z103*$BC64/SUMPRODUCT(Z$97:Z$131,$BC$58:$BC$92),0)</f>
        <v/>
      </c>
      <c r="AA142" s="39">
        <f>IFERROR(AA103*$BC64/SUMPRODUCT(AA$97:AA$131,$BC$58:$BC$92),0)</f>
        <v/>
      </c>
      <c r="AB142" s="39">
        <f>IFERROR(AB103*$BC64/SUMPRODUCT(AB$97:AB$131,$BC$58:$BC$92),0)</f>
        <v/>
      </c>
      <c r="AC142" s="39">
        <f>IFERROR(AC103*$BC64/SUMPRODUCT(AC$97:AC$131,$BC$58:$BC$92),0)</f>
        <v/>
      </c>
      <c r="AD142" s="39">
        <f>IFERROR(AD103*$BC64/SUMPRODUCT(AD$97:AD$131,$BC$58:$BC$92),0)</f>
        <v/>
      </c>
      <c r="AE142" s="39">
        <f>IFERROR(AE103*$BC64/SUMPRODUCT(AE$97:AE$131,$BC$58:$BC$92),0)</f>
        <v/>
      </c>
      <c r="AF142" s="39">
        <f>IFERROR(AF103*$BC64/SUMPRODUCT(AF$97:AF$131,$BC$58:$BC$92),0)</f>
        <v/>
      </c>
      <c r="AG142" s="39">
        <f>IFERROR(AG103*$BC64/SUMPRODUCT(AG$97:AG$131,$BC$58:$BC$92),0)</f>
        <v/>
      </c>
      <c r="AH142" s="39">
        <f>IFERROR(AH103*$BC64/SUMPRODUCT(AH$97:AH$131,$BC$58:$BC$92),0)</f>
        <v/>
      </c>
      <c r="AI142" s="39">
        <f>IFERROR(AI103*$BC64/SUMPRODUCT(AI$97:AI$131,$BC$58:$BC$92),0)</f>
        <v/>
      </c>
      <c r="AJ142" s="39">
        <f>IFERROR(AJ103*$BC64/SUMPRODUCT(AJ$97:AJ$131,$BC$58:$BC$92),0)</f>
        <v/>
      </c>
      <c r="AK142" s="39">
        <f>IFERROR(AK103*$BC64/SUMPRODUCT(AK$97:AK$131,$BC$58:$BC$92),0)</f>
        <v/>
      </c>
      <c r="AL142" s="39">
        <f>IFERROR(AL103*$BC64/SUMPRODUCT(AL$97:AL$131,$BC$58:$BC$92),0)</f>
        <v/>
      </c>
      <c r="AM142" s="39">
        <f>IFERROR(AM103*$BC64/SUMPRODUCT(AM$97:AM$131,$BC$58:$BC$92),0)</f>
        <v/>
      </c>
      <c r="AN142" s="39">
        <f>IFERROR(AN103*$BC64/SUMPRODUCT(AN$97:AN$131,$BC$58:$BC$92),0)</f>
        <v/>
      </c>
      <c r="AO142" s="39">
        <f>IFERROR(AO103*$BC64/SUMPRODUCT(AO$97:AO$131,$BC$58:$BC$92),0)</f>
        <v/>
      </c>
      <c r="AP142" s="39">
        <f>IFERROR(AP103*$BC64/SUMPRODUCT(AP$97:AP$131,$BC$58:$BC$92),0)</f>
        <v/>
      </c>
      <c r="AQ142" s="39">
        <f>IFERROR(AQ103*$BC64/SUMPRODUCT(AQ$97:AQ$131,$BC$58:$BC$92),0)</f>
        <v/>
      </c>
      <c r="AR142" s="39">
        <f>IFERROR(AR103*$BC64/SUMPRODUCT(AR$97:AR$131,$BC$58:$BC$92),0)</f>
        <v/>
      </c>
      <c r="AS142" s="39">
        <f>IFERROR(AS103*$BC64/SUMPRODUCT(AS$97:AS$131,$BC$58:$BC$92),0)</f>
        <v/>
      </c>
      <c r="AT142" s="39">
        <f>IFERROR(AT103*$BC64/SUMPRODUCT(AT$97:AT$131,$BC$58:$BC$92),0)</f>
        <v/>
      </c>
      <c r="AU142" s="39">
        <f>IFERROR(AU103*$BC64/SUMPRODUCT(AU$97:AU$131,$BC$58:$BC$92),0)</f>
        <v/>
      </c>
      <c r="AV142" s="39">
        <f>IFERROR(AV103*$BC64/SUMPRODUCT(AV$97:AV$131,$BC$58:$BC$92),0)</f>
        <v/>
      </c>
      <c r="AW142" s="39">
        <f>IFERROR(AW103*$BC64/SUMPRODUCT(AW$97:AW$131,$BC$58:$BC$92),0)</f>
        <v/>
      </c>
      <c r="AX142" s="39">
        <f>IFERROR(AX103*$BC64/SUMPRODUCT(AX$97:AX$131,$BC$58:$BC$92),0)</f>
        <v/>
      </c>
      <c r="AY142" s="39">
        <f>IFERROR(AY103*$BC64/SUMPRODUCT(AY$97:AY$131,$BC$58:$BC$92),0)</f>
        <v/>
      </c>
      <c r="AZ142" s="39">
        <f>IFERROR(AZ103*$BC64/SUMPRODUCT(AZ$97:AZ$131,$BC$58:$BC$92),0)</f>
        <v/>
      </c>
      <c r="BA142" s="39">
        <f>IFERROR(BA103*$BC64/SUMPRODUCT(BA$97:BA$131,$BC$58:$BC$92),0)</f>
        <v/>
      </c>
      <c r="BB142" s="39">
        <f>IFERROR(BB103*$BC64/SUMPRODUCT(BB$97:BB$131,$BC$58:$BC$92),0)</f>
        <v/>
      </c>
    </row>
    <row r="143">
      <c r="C143" s="1" t="n"/>
      <c r="D143" s="237">
        <f>D104</f>
        <v/>
      </c>
      <c r="E143" s="141">
        <f>IFERROR(E104*$BC65/SUMPRODUCT(E$97:E$131,$BC$58:$BC$92),0)</f>
        <v/>
      </c>
      <c r="F143" s="141">
        <f>IFERROR(F104*$BC65/SUMPRODUCT(F$97:F$131,$BC$58:$BC$92),0)</f>
        <v/>
      </c>
      <c r="G143" s="141">
        <f>IFERROR(G104*$BC65/SUMPRODUCT(G$97:G$131,$BC$58:$BC$92),0)</f>
        <v/>
      </c>
      <c r="H143" s="39">
        <f>IFERROR(H104*$BC65/SUMPRODUCT(H$97:H$131,$BC$58:$BC$92),0)</f>
        <v/>
      </c>
      <c r="I143" s="39">
        <f>IFERROR(I104*$BC65/SUMPRODUCT(I$97:I$131,$BC$58:$BC$92),0)</f>
        <v/>
      </c>
      <c r="J143" s="39">
        <f>IFERROR(J104*$BC65/SUMPRODUCT(J$97:J$131,$BC$58:$BC$92),0)</f>
        <v/>
      </c>
      <c r="K143" s="39">
        <f>IFERROR(K104*$BC65/SUMPRODUCT(K$97:K$131,$BC$58:$BC$92),0)</f>
        <v/>
      </c>
      <c r="L143" s="39">
        <f>IFERROR(L104*$BC65/SUMPRODUCT(L$97:L$131,$BC$58:$BC$92),0)</f>
        <v/>
      </c>
      <c r="M143" s="39">
        <f>IFERROR(M104*$BC65/SUMPRODUCT(M$97:M$131,$BC$58:$BC$92),0)</f>
        <v/>
      </c>
      <c r="N143" s="39">
        <f>IFERROR(N104*$BC65/SUMPRODUCT(N$97:N$131,$BC$58:$BC$92),0)</f>
        <v/>
      </c>
      <c r="O143" s="39">
        <f>IFERROR(O104*$BC65/SUMPRODUCT(O$97:O$131,$BC$58:$BC$92),0)</f>
        <v/>
      </c>
      <c r="P143" s="39">
        <f>IFERROR(P104*$BC65/SUMPRODUCT(P$97:P$131,$BC$58:$BC$92),0)</f>
        <v/>
      </c>
      <c r="Q143" s="39">
        <f>IFERROR(Q104*$BC65/SUMPRODUCT(Q$97:Q$131,$BC$58:$BC$92),0)</f>
        <v/>
      </c>
      <c r="R143" s="39">
        <f>IFERROR(R104*$BC65/SUMPRODUCT(R$97:R$131,$BC$58:$BC$92),0)</f>
        <v/>
      </c>
      <c r="S143" s="39">
        <f>IFERROR(S104*$BC65/SUMPRODUCT(S$97:S$131,$BC$58:$BC$92),0)</f>
        <v/>
      </c>
      <c r="T143" s="39">
        <f>IFERROR(T104*$BC65/SUMPRODUCT(T$97:T$131,$BC$58:$BC$92),0)</f>
        <v/>
      </c>
      <c r="U143" s="39">
        <f>IFERROR(U104*$BC65/SUMPRODUCT(U$97:U$131,$BC$58:$BC$92),0)</f>
        <v/>
      </c>
      <c r="V143" s="39">
        <f>IFERROR(V104*$BC65/SUMPRODUCT(V$97:V$131,$BC$58:$BC$92),0)</f>
        <v/>
      </c>
      <c r="W143" s="39">
        <f>IFERROR(W104*$BC65/SUMPRODUCT(W$97:W$131,$BC$58:$BC$92),0)</f>
        <v/>
      </c>
      <c r="X143" s="39">
        <f>IFERROR(X104*$BC65/SUMPRODUCT(X$97:X$131,$BC$58:$BC$92),0)</f>
        <v/>
      </c>
      <c r="Y143" s="39">
        <f>IFERROR(Y104*$BC65/SUMPRODUCT(Y$97:Y$131,$BC$58:$BC$92),0)</f>
        <v/>
      </c>
      <c r="Z143" s="39">
        <f>IFERROR(Z104*$BC65/SUMPRODUCT(Z$97:Z$131,$BC$58:$BC$92),0)</f>
        <v/>
      </c>
      <c r="AA143" s="39">
        <f>IFERROR(AA104*$BC65/SUMPRODUCT(AA$97:AA$131,$BC$58:$BC$92),0)</f>
        <v/>
      </c>
      <c r="AB143" s="39">
        <f>IFERROR(AB104*$BC65/SUMPRODUCT(AB$97:AB$131,$BC$58:$BC$92),0)</f>
        <v/>
      </c>
      <c r="AC143" s="39">
        <f>IFERROR(AC104*$BC65/SUMPRODUCT(AC$97:AC$131,$BC$58:$BC$92),0)</f>
        <v/>
      </c>
      <c r="AD143" s="39">
        <f>IFERROR(AD104*$BC65/SUMPRODUCT(AD$97:AD$131,$BC$58:$BC$92),0)</f>
        <v/>
      </c>
      <c r="AE143" s="39">
        <f>IFERROR(AE104*$BC65/SUMPRODUCT(AE$97:AE$131,$BC$58:$BC$92),0)</f>
        <v/>
      </c>
      <c r="AF143" s="39">
        <f>IFERROR(AF104*$BC65/SUMPRODUCT(AF$97:AF$131,$BC$58:$BC$92),0)</f>
        <v/>
      </c>
      <c r="AG143" s="39">
        <f>IFERROR(AG104*$BC65/SUMPRODUCT(AG$97:AG$131,$BC$58:$BC$92),0)</f>
        <v/>
      </c>
      <c r="AH143" s="39">
        <f>IFERROR(AH104*$BC65/SUMPRODUCT(AH$97:AH$131,$BC$58:$BC$92),0)</f>
        <v/>
      </c>
      <c r="AI143" s="39">
        <f>IFERROR(AI104*$BC65/SUMPRODUCT(AI$97:AI$131,$BC$58:$BC$92),0)</f>
        <v/>
      </c>
      <c r="AJ143" s="39">
        <f>IFERROR(AJ104*$BC65/SUMPRODUCT(AJ$97:AJ$131,$BC$58:$BC$92),0)</f>
        <v/>
      </c>
      <c r="AK143" s="39">
        <f>IFERROR(AK104*$BC65/SUMPRODUCT(AK$97:AK$131,$BC$58:$BC$92),0)</f>
        <v/>
      </c>
      <c r="AL143" s="39">
        <f>IFERROR(AL104*$BC65/SUMPRODUCT(AL$97:AL$131,$BC$58:$BC$92),0)</f>
        <v/>
      </c>
      <c r="AM143" s="39">
        <f>IFERROR(AM104*$BC65/SUMPRODUCT(AM$97:AM$131,$BC$58:$BC$92),0)</f>
        <v/>
      </c>
      <c r="AN143" s="39">
        <f>IFERROR(AN104*$BC65/SUMPRODUCT(AN$97:AN$131,$BC$58:$BC$92),0)</f>
        <v/>
      </c>
      <c r="AO143" s="39">
        <f>IFERROR(AO104*$BC65/SUMPRODUCT(AO$97:AO$131,$BC$58:$BC$92),0)</f>
        <v/>
      </c>
      <c r="AP143" s="39">
        <f>IFERROR(AP104*$BC65/SUMPRODUCT(AP$97:AP$131,$BC$58:$BC$92),0)</f>
        <v/>
      </c>
      <c r="AQ143" s="39">
        <f>IFERROR(AQ104*$BC65/SUMPRODUCT(AQ$97:AQ$131,$BC$58:$BC$92),0)</f>
        <v/>
      </c>
      <c r="AR143" s="39">
        <f>IFERROR(AR104*$BC65/SUMPRODUCT(AR$97:AR$131,$BC$58:$BC$92),0)</f>
        <v/>
      </c>
      <c r="AS143" s="39">
        <f>IFERROR(AS104*$BC65/SUMPRODUCT(AS$97:AS$131,$BC$58:$BC$92),0)</f>
        <v/>
      </c>
      <c r="AT143" s="39">
        <f>IFERROR(AT104*$BC65/SUMPRODUCT(AT$97:AT$131,$BC$58:$BC$92),0)</f>
        <v/>
      </c>
      <c r="AU143" s="39">
        <f>IFERROR(AU104*$BC65/SUMPRODUCT(AU$97:AU$131,$BC$58:$BC$92),0)</f>
        <v/>
      </c>
      <c r="AV143" s="39">
        <f>IFERROR(AV104*$BC65/SUMPRODUCT(AV$97:AV$131,$BC$58:$BC$92),0)</f>
        <v/>
      </c>
      <c r="AW143" s="39">
        <f>IFERROR(AW104*$BC65/SUMPRODUCT(AW$97:AW$131,$BC$58:$BC$92),0)</f>
        <v/>
      </c>
      <c r="AX143" s="39">
        <f>IFERROR(AX104*$BC65/SUMPRODUCT(AX$97:AX$131,$BC$58:$BC$92),0)</f>
        <v/>
      </c>
      <c r="AY143" s="39">
        <f>IFERROR(AY104*$BC65/SUMPRODUCT(AY$97:AY$131,$BC$58:$BC$92),0)</f>
        <v/>
      </c>
      <c r="AZ143" s="39">
        <f>IFERROR(AZ104*$BC65/SUMPRODUCT(AZ$97:AZ$131,$BC$58:$BC$92),0)</f>
        <v/>
      </c>
      <c r="BA143" s="39">
        <f>IFERROR(BA104*$BC65/SUMPRODUCT(BA$97:BA$131,$BC$58:$BC$92),0)</f>
        <v/>
      </c>
      <c r="BB143" s="39">
        <f>IFERROR(BB104*$BC65/SUMPRODUCT(BB$97:BB$131,$BC$58:$BC$92),0)</f>
        <v/>
      </c>
    </row>
    <row r="144">
      <c r="C144" s="1" t="n"/>
      <c r="D144" s="237">
        <f>D105</f>
        <v/>
      </c>
      <c r="E144" s="141">
        <f>IFERROR(E105*$BC66/SUMPRODUCT(E$97:E$131,$BC$58:$BC$92),0)</f>
        <v/>
      </c>
      <c r="F144" s="141">
        <f>IFERROR(F105*$BC66/SUMPRODUCT(F$97:F$131,$BC$58:$BC$92),0)</f>
        <v/>
      </c>
      <c r="G144" s="141">
        <f>IFERROR(G105*$BC66/SUMPRODUCT(G$97:G$131,$BC$58:$BC$92),0)</f>
        <v/>
      </c>
      <c r="H144" s="39">
        <f>IFERROR(H105*$BC66/SUMPRODUCT(H$97:H$131,$BC$58:$BC$92),0)</f>
        <v/>
      </c>
      <c r="I144" s="39">
        <f>IFERROR(I105*$BC66/SUMPRODUCT(I$97:I$131,$BC$58:$BC$92),0)</f>
        <v/>
      </c>
      <c r="J144" s="39">
        <f>IFERROR(J105*$BC66/SUMPRODUCT(J$97:J$131,$BC$58:$BC$92),0)</f>
        <v/>
      </c>
      <c r="K144" s="39">
        <f>IFERROR(K105*$BC66/SUMPRODUCT(K$97:K$131,$BC$58:$BC$92),0)</f>
        <v/>
      </c>
      <c r="L144" s="39">
        <f>IFERROR(L105*$BC66/SUMPRODUCT(L$97:L$131,$BC$58:$BC$92),0)</f>
        <v/>
      </c>
      <c r="M144" s="39">
        <f>IFERROR(M105*$BC66/SUMPRODUCT(M$97:M$131,$BC$58:$BC$92),0)</f>
        <v/>
      </c>
      <c r="N144" s="39">
        <f>IFERROR(N105*$BC66/SUMPRODUCT(N$97:N$131,$BC$58:$BC$92),0)</f>
        <v/>
      </c>
      <c r="O144" s="39">
        <f>IFERROR(O105*$BC66/SUMPRODUCT(O$97:O$131,$BC$58:$BC$92),0)</f>
        <v/>
      </c>
      <c r="P144" s="39">
        <f>IFERROR(P105*$BC66/SUMPRODUCT(P$97:P$131,$BC$58:$BC$92),0)</f>
        <v/>
      </c>
      <c r="Q144" s="39">
        <f>IFERROR(Q105*$BC66/SUMPRODUCT(Q$97:Q$131,$BC$58:$BC$92),0)</f>
        <v/>
      </c>
      <c r="R144" s="39">
        <f>IFERROR(R105*$BC66/SUMPRODUCT(R$97:R$131,$BC$58:$BC$92),0)</f>
        <v/>
      </c>
      <c r="S144" s="39">
        <f>IFERROR(S105*$BC66/SUMPRODUCT(S$97:S$131,$BC$58:$BC$92),0)</f>
        <v/>
      </c>
      <c r="T144" s="39">
        <f>IFERROR(T105*$BC66/SUMPRODUCT(T$97:T$131,$BC$58:$BC$92),0)</f>
        <v/>
      </c>
      <c r="U144" s="39">
        <f>IFERROR(U105*$BC66/SUMPRODUCT(U$97:U$131,$BC$58:$BC$92),0)</f>
        <v/>
      </c>
      <c r="V144" s="39">
        <f>IFERROR(V105*$BC66/SUMPRODUCT(V$97:V$131,$BC$58:$BC$92),0)</f>
        <v/>
      </c>
      <c r="W144" s="39">
        <f>IFERROR(W105*$BC66/SUMPRODUCT(W$97:W$131,$BC$58:$BC$92),0)</f>
        <v/>
      </c>
      <c r="X144" s="39">
        <f>IFERROR(X105*$BC66/SUMPRODUCT(X$97:X$131,$BC$58:$BC$92),0)</f>
        <v/>
      </c>
      <c r="Y144" s="39">
        <f>IFERROR(Y105*$BC66/SUMPRODUCT(Y$97:Y$131,$BC$58:$BC$92),0)</f>
        <v/>
      </c>
      <c r="Z144" s="39">
        <f>IFERROR(Z105*$BC66/SUMPRODUCT(Z$97:Z$131,$BC$58:$BC$92),0)</f>
        <v/>
      </c>
      <c r="AA144" s="39">
        <f>IFERROR(AA105*$BC66/SUMPRODUCT(AA$97:AA$131,$BC$58:$BC$92),0)</f>
        <v/>
      </c>
      <c r="AB144" s="39">
        <f>IFERROR(AB105*$BC66/SUMPRODUCT(AB$97:AB$131,$BC$58:$BC$92),0)</f>
        <v/>
      </c>
      <c r="AC144" s="39">
        <f>IFERROR(AC105*$BC66/SUMPRODUCT(AC$97:AC$131,$BC$58:$BC$92),0)</f>
        <v/>
      </c>
      <c r="AD144" s="39">
        <f>IFERROR(AD105*$BC66/SUMPRODUCT(AD$97:AD$131,$BC$58:$BC$92),0)</f>
        <v/>
      </c>
      <c r="AE144" s="39">
        <f>IFERROR(AE105*$BC66/SUMPRODUCT(AE$97:AE$131,$BC$58:$BC$92),0)</f>
        <v/>
      </c>
      <c r="AF144" s="39">
        <f>IFERROR(AF105*$BC66/SUMPRODUCT(AF$97:AF$131,$BC$58:$BC$92),0)</f>
        <v/>
      </c>
      <c r="AG144" s="39">
        <f>IFERROR(AG105*$BC66/SUMPRODUCT(AG$97:AG$131,$BC$58:$BC$92),0)</f>
        <v/>
      </c>
      <c r="AH144" s="39">
        <f>IFERROR(AH105*$BC66/SUMPRODUCT(AH$97:AH$131,$BC$58:$BC$92),0)</f>
        <v/>
      </c>
      <c r="AI144" s="39">
        <f>IFERROR(AI105*$BC66/SUMPRODUCT(AI$97:AI$131,$BC$58:$BC$92),0)</f>
        <v/>
      </c>
      <c r="AJ144" s="39">
        <f>IFERROR(AJ105*$BC66/SUMPRODUCT(AJ$97:AJ$131,$BC$58:$BC$92),0)</f>
        <v/>
      </c>
      <c r="AK144" s="39">
        <f>IFERROR(AK105*$BC66/SUMPRODUCT(AK$97:AK$131,$BC$58:$BC$92),0)</f>
        <v/>
      </c>
      <c r="AL144" s="39">
        <f>IFERROR(AL105*$BC66/SUMPRODUCT(AL$97:AL$131,$BC$58:$BC$92),0)</f>
        <v/>
      </c>
      <c r="AM144" s="39">
        <f>IFERROR(AM105*$BC66/SUMPRODUCT(AM$97:AM$131,$BC$58:$BC$92),0)</f>
        <v/>
      </c>
      <c r="AN144" s="39">
        <f>IFERROR(AN105*$BC66/SUMPRODUCT(AN$97:AN$131,$BC$58:$BC$92),0)</f>
        <v/>
      </c>
      <c r="AO144" s="39">
        <f>IFERROR(AO105*$BC66/SUMPRODUCT(AO$97:AO$131,$BC$58:$BC$92),0)</f>
        <v/>
      </c>
      <c r="AP144" s="39">
        <f>IFERROR(AP105*$BC66/SUMPRODUCT(AP$97:AP$131,$BC$58:$BC$92),0)</f>
        <v/>
      </c>
      <c r="AQ144" s="39">
        <f>IFERROR(AQ105*$BC66/SUMPRODUCT(AQ$97:AQ$131,$BC$58:$BC$92),0)</f>
        <v/>
      </c>
      <c r="AR144" s="39">
        <f>IFERROR(AR105*$BC66/SUMPRODUCT(AR$97:AR$131,$BC$58:$BC$92),0)</f>
        <v/>
      </c>
      <c r="AS144" s="39">
        <f>IFERROR(AS105*$BC66/SUMPRODUCT(AS$97:AS$131,$BC$58:$BC$92),0)</f>
        <v/>
      </c>
      <c r="AT144" s="39">
        <f>IFERROR(AT105*$BC66/SUMPRODUCT(AT$97:AT$131,$BC$58:$BC$92),0)</f>
        <v/>
      </c>
      <c r="AU144" s="39">
        <f>IFERROR(AU105*$BC66/SUMPRODUCT(AU$97:AU$131,$BC$58:$BC$92),0)</f>
        <v/>
      </c>
      <c r="AV144" s="39">
        <f>IFERROR(AV105*$BC66/SUMPRODUCT(AV$97:AV$131,$BC$58:$BC$92),0)</f>
        <v/>
      </c>
      <c r="AW144" s="39">
        <f>IFERROR(AW105*$BC66/SUMPRODUCT(AW$97:AW$131,$BC$58:$BC$92),0)</f>
        <v/>
      </c>
      <c r="AX144" s="39">
        <f>IFERROR(AX105*$BC66/SUMPRODUCT(AX$97:AX$131,$BC$58:$BC$92),0)</f>
        <v/>
      </c>
      <c r="AY144" s="39">
        <f>IFERROR(AY105*$BC66/SUMPRODUCT(AY$97:AY$131,$BC$58:$BC$92),0)</f>
        <v/>
      </c>
      <c r="AZ144" s="39">
        <f>IFERROR(AZ105*$BC66/SUMPRODUCT(AZ$97:AZ$131,$BC$58:$BC$92),0)</f>
        <v/>
      </c>
      <c r="BA144" s="39">
        <f>IFERROR(BA105*$BC66/SUMPRODUCT(BA$97:BA$131,$BC$58:$BC$92),0)</f>
        <v/>
      </c>
      <c r="BB144" s="39">
        <f>IFERROR(BB105*$BC66/SUMPRODUCT(BB$97:BB$131,$BC$58:$BC$92),0)</f>
        <v/>
      </c>
    </row>
    <row r="145">
      <c r="C145" s="1" t="n"/>
      <c r="D145" s="237">
        <f>D106</f>
        <v/>
      </c>
      <c r="E145" s="141">
        <f>IFERROR(E106*$BC67/SUMPRODUCT(E$97:E$131,$BC$58:$BC$92),0)</f>
        <v/>
      </c>
      <c r="F145" s="141">
        <f>IFERROR(F106*$BC67/SUMPRODUCT(F$97:F$131,$BC$58:$BC$92),0)</f>
        <v/>
      </c>
      <c r="G145" s="141">
        <f>IFERROR(G106*$BC67/SUMPRODUCT(G$97:G$131,$BC$58:$BC$92),0)</f>
        <v/>
      </c>
      <c r="H145" s="39">
        <f>IFERROR(H106*$BC67/SUMPRODUCT(H$97:H$131,$BC$58:$BC$92),0)</f>
        <v/>
      </c>
      <c r="I145" s="39">
        <f>IFERROR(I106*$BC67/SUMPRODUCT(I$97:I$131,$BC$58:$BC$92),0)</f>
        <v/>
      </c>
      <c r="J145" s="39">
        <f>IFERROR(J106*$BC67/SUMPRODUCT(J$97:J$131,$BC$58:$BC$92),0)</f>
        <v/>
      </c>
      <c r="K145" s="39">
        <f>IFERROR(K106*$BC67/SUMPRODUCT(K$97:K$131,$BC$58:$BC$92),0)</f>
        <v/>
      </c>
      <c r="L145" s="39">
        <f>IFERROR(L106*$BC67/SUMPRODUCT(L$97:L$131,$BC$58:$BC$92),0)</f>
        <v/>
      </c>
      <c r="M145" s="39">
        <f>IFERROR(M106*$BC67/SUMPRODUCT(M$97:M$131,$BC$58:$BC$92),0)</f>
        <v/>
      </c>
      <c r="N145" s="39">
        <f>IFERROR(N106*$BC67/SUMPRODUCT(N$97:N$131,$BC$58:$BC$92),0)</f>
        <v/>
      </c>
      <c r="O145" s="39">
        <f>IFERROR(O106*$BC67/SUMPRODUCT(O$97:O$131,$BC$58:$BC$92),0)</f>
        <v/>
      </c>
      <c r="P145" s="39">
        <f>IFERROR(P106*$BC67/SUMPRODUCT(P$97:P$131,$BC$58:$BC$92),0)</f>
        <v/>
      </c>
      <c r="Q145" s="39">
        <f>IFERROR(Q106*$BC67/SUMPRODUCT(Q$97:Q$131,$BC$58:$BC$92),0)</f>
        <v/>
      </c>
      <c r="R145" s="39">
        <f>IFERROR(R106*$BC67/SUMPRODUCT(R$97:R$131,$BC$58:$BC$92),0)</f>
        <v/>
      </c>
      <c r="S145" s="39">
        <f>IFERROR(S106*$BC67/SUMPRODUCT(S$97:S$131,$BC$58:$BC$92),0)</f>
        <v/>
      </c>
      <c r="T145" s="39">
        <f>IFERROR(T106*$BC67/SUMPRODUCT(T$97:T$131,$BC$58:$BC$92),0)</f>
        <v/>
      </c>
      <c r="U145" s="39">
        <f>IFERROR(U106*$BC67/SUMPRODUCT(U$97:U$131,$BC$58:$BC$92),0)</f>
        <v/>
      </c>
      <c r="V145" s="39">
        <f>IFERROR(V106*$BC67/SUMPRODUCT(V$97:V$131,$BC$58:$BC$92),0)</f>
        <v/>
      </c>
      <c r="W145" s="39">
        <f>IFERROR(W106*$BC67/SUMPRODUCT(W$97:W$131,$BC$58:$BC$92),0)</f>
        <v/>
      </c>
      <c r="X145" s="39">
        <f>IFERROR(X106*$BC67/SUMPRODUCT(X$97:X$131,$BC$58:$BC$92),0)</f>
        <v/>
      </c>
      <c r="Y145" s="39">
        <f>IFERROR(Y106*$BC67/SUMPRODUCT(Y$97:Y$131,$BC$58:$BC$92),0)</f>
        <v/>
      </c>
      <c r="Z145" s="39">
        <f>IFERROR(Z106*$BC67/SUMPRODUCT(Z$97:Z$131,$BC$58:$BC$92),0)</f>
        <v/>
      </c>
      <c r="AA145" s="39">
        <f>IFERROR(AA106*$BC67/SUMPRODUCT(AA$97:AA$131,$BC$58:$BC$92),0)</f>
        <v/>
      </c>
      <c r="AB145" s="39">
        <f>IFERROR(AB106*$BC67/SUMPRODUCT(AB$97:AB$131,$BC$58:$BC$92),0)</f>
        <v/>
      </c>
      <c r="AC145" s="39">
        <f>IFERROR(AC106*$BC67/SUMPRODUCT(AC$97:AC$131,$BC$58:$BC$92),0)</f>
        <v/>
      </c>
      <c r="AD145" s="39">
        <f>IFERROR(AD106*$BC67/SUMPRODUCT(AD$97:AD$131,$BC$58:$BC$92),0)</f>
        <v/>
      </c>
      <c r="AE145" s="39">
        <f>IFERROR(AE106*$BC67/SUMPRODUCT(AE$97:AE$131,$BC$58:$BC$92),0)</f>
        <v/>
      </c>
      <c r="AF145" s="39">
        <f>IFERROR(AF106*$BC67/SUMPRODUCT(AF$97:AF$131,$BC$58:$BC$92),0)</f>
        <v/>
      </c>
      <c r="AG145" s="39">
        <f>IFERROR(AG106*$BC67/SUMPRODUCT(AG$97:AG$131,$BC$58:$BC$92),0)</f>
        <v/>
      </c>
      <c r="AH145" s="39">
        <f>IFERROR(AH106*$BC67/SUMPRODUCT(AH$97:AH$131,$BC$58:$BC$92),0)</f>
        <v/>
      </c>
      <c r="AI145" s="39">
        <f>IFERROR(AI106*$BC67/SUMPRODUCT(AI$97:AI$131,$BC$58:$BC$92),0)</f>
        <v/>
      </c>
      <c r="AJ145" s="39">
        <f>IFERROR(AJ106*$BC67/SUMPRODUCT(AJ$97:AJ$131,$BC$58:$BC$92),0)</f>
        <v/>
      </c>
      <c r="AK145" s="39">
        <f>IFERROR(AK106*$BC67/SUMPRODUCT(AK$97:AK$131,$BC$58:$BC$92),0)</f>
        <v/>
      </c>
      <c r="AL145" s="39">
        <f>IFERROR(AL106*$BC67/SUMPRODUCT(AL$97:AL$131,$BC$58:$BC$92),0)</f>
        <v/>
      </c>
      <c r="AM145" s="39">
        <f>IFERROR(AM106*$BC67/SUMPRODUCT(AM$97:AM$131,$BC$58:$BC$92),0)</f>
        <v/>
      </c>
      <c r="AN145" s="39">
        <f>IFERROR(AN106*$BC67/SUMPRODUCT(AN$97:AN$131,$BC$58:$BC$92),0)</f>
        <v/>
      </c>
      <c r="AO145" s="39">
        <f>IFERROR(AO106*$BC67/SUMPRODUCT(AO$97:AO$131,$BC$58:$BC$92),0)</f>
        <v/>
      </c>
      <c r="AP145" s="39">
        <f>IFERROR(AP106*$BC67/SUMPRODUCT(AP$97:AP$131,$BC$58:$BC$92),0)</f>
        <v/>
      </c>
      <c r="AQ145" s="39">
        <f>IFERROR(AQ106*$BC67/SUMPRODUCT(AQ$97:AQ$131,$BC$58:$BC$92),0)</f>
        <v/>
      </c>
      <c r="AR145" s="39">
        <f>IFERROR(AR106*$BC67/SUMPRODUCT(AR$97:AR$131,$BC$58:$BC$92),0)</f>
        <v/>
      </c>
      <c r="AS145" s="39">
        <f>IFERROR(AS106*$BC67/SUMPRODUCT(AS$97:AS$131,$BC$58:$BC$92),0)</f>
        <v/>
      </c>
      <c r="AT145" s="39">
        <f>IFERROR(AT106*$BC67/SUMPRODUCT(AT$97:AT$131,$BC$58:$BC$92),0)</f>
        <v/>
      </c>
      <c r="AU145" s="39">
        <f>IFERROR(AU106*$BC67/SUMPRODUCT(AU$97:AU$131,$BC$58:$BC$92),0)</f>
        <v/>
      </c>
      <c r="AV145" s="39">
        <f>IFERROR(AV106*$BC67/SUMPRODUCT(AV$97:AV$131,$BC$58:$BC$92),0)</f>
        <v/>
      </c>
      <c r="AW145" s="39">
        <f>IFERROR(AW106*$BC67/SUMPRODUCT(AW$97:AW$131,$BC$58:$BC$92),0)</f>
        <v/>
      </c>
      <c r="AX145" s="39">
        <f>IFERROR(AX106*$BC67/SUMPRODUCT(AX$97:AX$131,$BC$58:$BC$92),0)</f>
        <v/>
      </c>
      <c r="AY145" s="39">
        <f>IFERROR(AY106*$BC67/SUMPRODUCT(AY$97:AY$131,$BC$58:$BC$92),0)</f>
        <v/>
      </c>
      <c r="AZ145" s="39">
        <f>IFERROR(AZ106*$BC67/SUMPRODUCT(AZ$97:AZ$131,$BC$58:$BC$92),0)</f>
        <v/>
      </c>
      <c r="BA145" s="39">
        <f>IFERROR(BA106*$BC67/SUMPRODUCT(BA$97:BA$131,$BC$58:$BC$92),0)</f>
        <v/>
      </c>
      <c r="BB145" s="39">
        <f>IFERROR(BB106*$BC67/SUMPRODUCT(BB$97:BB$131,$BC$58:$BC$92),0)</f>
        <v/>
      </c>
    </row>
    <row r="146">
      <c r="C146" s="1" t="n"/>
      <c r="D146" s="237">
        <f>D107</f>
        <v/>
      </c>
      <c r="E146" s="141">
        <f>IFERROR(E107*$BC68/SUMPRODUCT(E$97:E$131,$BC$58:$BC$92),0)</f>
        <v/>
      </c>
      <c r="F146" s="141">
        <f>IFERROR(F107*$BC68/SUMPRODUCT(F$97:F$131,$BC$58:$BC$92),0)</f>
        <v/>
      </c>
      <c r="G146" s="141">
        <f>IFERROR(G107*$BC68/SUMPRODUCT(G$97:G$131,$BC$58:$BC$92),0)</f>
        <v/>
      </c>
      <c r="H146" s="39">
        <f>IFERROR(H107*$BC68/SUMPRODUCT(H$97:H$131,$BC$58:$BC$92),0)</f>
        <v/>
      </c>
      <c r="I146" s="39">
        <f>IFERROR(I107*$BC68/SUMPRODUCT(I$97:I$131,$BC$58:$BC$92),0)</f>
        <v/>
      </c>
      <c r="J146" s="39">
        <f>IFERROR(J107*$BC68/SUMPRODUCT(J$97:J$131,$BC$58:$BC$92),0)</f>
        <v/>
      </c>
      <c r="K146" s="39">
        <f>IFERROR(K107*$BC68/SUMPRODUCT(K$97:K$131,$BC$58:$BC$92),0)</f>
        <v/>
      </c>
      <c r="L146" s="39">
        <f>IFERROR(L107*$BC68/SUMPRODUCT(L$97:L$131,$BC$58:$BC$92),0)</f>
        <v/>
      </c>
      <c r="M146" s="39">
        <f>IFERROR(M107*$BC68/SUMPRODUCT(M$97:M$131,$BC$58:$BC$92),0)</f>
        <v/>
      </c>
      <c r="N146" s="39">
        <f>IFERROR(N107*$BC68/SUMPRODUCT(N$97:N$131,$BC$58:$BC$92),0)</f>
        <v/>
      </c>
      <c r="O146" s="39">
        <f>IFERROR(O107*$BC68/SUMPRODUCT(O$97:O$131,$BC$58:$BC$92),0)</f>
        <v/>
      </c>
      <c r="P146" s="39">
        <f>IFERROR(P107*$BC68/SUMPRODUCT(P$97:P$131,$BC$58:$BC$92),0)</f>
        <v/>
      </c>
      <c r="Q146" s="39">
        <f>IFERROR(Q107*$BC68/SUMPRODUCT(Q$97:Q$131,$BC$58:$BC$92),0)</f>
        <v/>
      </c>
      <c r="R146" s="39">
        <f>IFERROR(R107*$BC68/SUMPRODUCT(R$97:R$131,$BC$58:$BC$92),0)</f>
        <v/>
      </c>
      <c r="S146" s="39">
        <f>IFERROR(S107*$BC68/SUMPRODUCT(S$97:S$131,$BC$58:$BC$92),0)</f>
        <v/>
      </c>
      <c r="T146" s="39">
        <f>IFERROR(T107*$BC68/SUMPRODUCT(T$97:T$131,$BC$58:$BC$92),0)</f>
        <v/>
      </c>
      <c r="U146" s="39">
        <f>IFERROR(U107*$BC68/SUMPRODUCT(U$97:U$131,$BC$58:$BC$92),0)</f>
        <v/>
      </c>
      <c r="V146" s="39">
        <f>IFERROR(V107*$BC68/SUMPRODUCT(V$97:V$131,$BC$58:$BC$92),0)</f>
        <v/>
      </c>
      <c r="W146" s="39">
        <f>IFERROR(W107*$BC68/SUMPRODUCT(W$97:W$131,$BC$58:$BC$92),0)</f>
        <v/>
      </c>
      <c r="X146" s="39">
        <f>IFERROR(X107*$BC68/SUMPRODUCT(X$97:X$131,$BC$58:$BC$92),0)</f>
        <v/>
      </c>
      <c r="Y146" s="39">
        <f>IFERROR(Y107*$BC68/SUMPRODUCT(Y$97:Y$131,$BC$58:$BC$92),0)</f>
        <v/>
      </c>
      <c r="Z146" s="39">
        <f>IFERROR(Z107*$BC68/SUMPRODUCT(Z$97:Z$131,$BC$58:$BC$92),0)</f>
        <v/>
      </c>
      <c r="AA146" s="39">
        <f>IFERROR(AA107*$BC68/SUMPRODUCT(AA$97:AA$131,$BC$58:$BC$92),0)</f>
        <v/>
      </c>
      <c r="AB146" s="39">
        <f>IFERROR(AB107*$BC68/SUMPRODUCT(AB$97:AB$131,$BC$58:$BC$92),0)</f>
        <v/>
      </c>
      <c r="AC146" s="39">
        <f>IFERROR(AC107*$BC68/SUMPRODUCT(AC$97:AC$131,$BC$58:$BC$92),0)</f>
        <v/>
      </c>
      <c r="AD146" s="39">
        <f>IFERROR(AD107*$BC68/SUMPRODUCT(AD$97:AD$131,$BC$58:$BC$92),0)</f>
        <v/>
      </c>
      <c r="AE146" s="39">
        <f>IFERROR(AE107*$BC68/SUMPRODUCT(AE$97:AE$131,$BC$58:$BC$92),0)</f>
        <v/>
      </c>
      <c r="AF146" s="39">
        <f>IFERROR(AF107*$BC68/SUMPRODUCT(AF$97:AF$131,$BC$58:$BC$92),0)</f>
        <v/>
      </c>
      <c r="AG146" s="39">
        <f>IFERROR(AG107*$BC68/SUMPRODUCT(AG$97:AG$131,$BC$58:$BC$92),0)</f>
        <v/>
      </c>
      <c r="AH146" s="39">
        <f>IFERROR(AH107*$BC68/SUMPRODUCT(AH$97:AH$131,$BC$58:$BC$92),0)</f>
        <v/>
      </c>
      <c r="AI146" s="39">
        <f>IFERROR(AI107*$BC68/SUMPRODUCT(AI$97:AI$131,$BC$58:$BC$92),0)</f>
        <v/>
      </c>
      <c r="AJ146" s="39">
        <f>IFERROR(AJ107*$BC68/SUMPRODUCT(AJ$97:AJ$131,$BC$58:$BC$92),0)</f>
        <v/>
      </c>
      <c r="AK146" s="39">
        <f>IFERROR(AK107*$BC68/SUMPRODUCT(AK$97:AK$131,$BC$58:$BC$92),0)</f>
        <v/>
      </c>
      <c r="AL146" s="39">
        <f>IFERROR(AL107*$BC68/SUMPRODUCT(AL$97:AL$131,$BC$58:$BC$92),0)</f>
        <v/>
      </c>
      <c r="AM146" s="39">
        <f>IFERROR(AM107*$BC68/SUMPRODUCT(AM$97:AM$131,$BC$58:$BC$92),0)</f>
        <v/>
      </c>
      <c r="AN146" s="39">
        <f>IFERROR(AN107*$BC68/SUMPRODUCT(AN$97:AN$131,$BC$58:$BC$92),0)</f>
        <v/>
      </c>
      <c r="AO146" s="39">
        <f>IFERROR(AO107*$BC68/SUMPRODUCT(AO$97:AO$131,$BC$58:$BC$92),0)</f>
        <v/>
      </c>
      <c r="AP146" s="39">
        <f>IFERROR(AP107*$BC68/SUMPRODUCT(AP$97:AP$131,$BC$58:$BC$92),0)</f>
        <v/>
      </c>
      <c r="AQ146" s="39">
        <f>IFERROR(AQ107*$BC68/SUMPRODUCT(AQ$97:AQ$131,$BC$58:$BC$92),0)</f>
        <v/>
      </c>
      <c r="AR146" s="39">
        <f>IFERROR(AR107*$BC68/SUMPRODUCT(AR$97:AR$131,$BC$58:$BC$92),0)</f>
        <v/>
      </c>
      <c r="AS146" s="39">
        <f>IFERROR(AS107*$BC68/SUMPRODUCT(AS$97:AS$131,$BC$58:$BC$92),0)</f>
        <v/>
      </c>
      <c r="AT146" s="39">
        <f>IFERROR(AT107*$BC68/SUMPRODUCT(AT$97:AT$131,$BC$58:$BC$92),0)</f>
        <v/>
      </c>
      <c r="AU146" s="39">
        <f>IFERROR(AU107*$BC68/SUMPRODUCT(AU$97:AU$131,$BC$58:$BC$92),0)</f>
        <v/>
      </c>
      <c r="AV146" s="39">
        <f>IFERROR(AV107*$BC68/SUMPRODUCT(AV$97:AV$131,$BC$58:$BC$92),0)</f>
        <v/>
      </c>
      <c r="AW146" s="39">
        <f>IFERROR(AW107*$BC68/SUMPRODUCT(AW$97:AW$131,$BC$58:$BC$92),0)</f>
        <v/>
      </c>
      <c r="AX146" s="39">
        <f>IFERROR(AX107*$BC68/SUMPRODUCT(AX$97:AX$131,$BC$58:$BC$92),0)</f>
        <v/>
      </c>
      <c r="AY146" s="39">
        <f>IFERROR(AY107*$BC68/SUMPRODUCT(AY$97:AY$131,$BC$58:$BC$92),0)</f>
        <v/>
      </c>
      <c r="AZ146" s="39">
        <f>IFERROR(AZ107*$BC68/SUMPRODUCT(AZ$97:AZ$131,$BC$58:$BC$92),0)</f>
        <v/>
      </c>
      <c r="BA146" s="39">
        <f>IFERROR(BA107*$BC68/SUMPRODUCT(BA$97:BA$131,$BC$58:$BC$92),0)</f>
        <v/>
      </c>
      <c r="BB146" s="39">
        <f>IFERROR(BB107*$BC68/SUMPRODUCT(BB$97:BB$131,$BC$58:$BC$92),0)</f>
        <v/>
      </c>
    </row>
    <row r="147">
      <c r="C147" s="1" t="n"/>
      <c r="D147" s="237">
        <f>D108</f>
        <v/>
      </c>
      <c r="E147" s="141">
        <f>IFERROR(E108*$BC69/SUMPRODUCT(E$97:E$131,$BC$58:$BC$92),0)</f>
        <v/>
      </c>
      <c r="F147" s="141">
        <f>IFERROR(F108*$BC69/SUMPRODUCT(F$97:F$131,$BC$58:$BC$92),0)</f>
        <v/>
      </c>
      <c r="G147" s="141">
        <f>IFERROR(G108*$BC69/SUMPRODUCT(G$97:G$131,$BC$58:$BC$92),0)</f>
        <v/>
      </c>
      <c r="H147" s="39">
        <f>IFERROR(H108*$BC69/SUMPRODUCT(H$97:H$131,$BC$58:$BC$92),0)</f>
        <v/>
      </c>
      <c r="I147" s="39">
        <f>IFERROR(I108*$BC69/SUMPRODUCT(I$97:I$131,$BC$58:$BC$92),0)</f>
        <v/>
      </c>
      <c r="J147" s="39">
        <f>IFERROR(J108*$BC69/SUMPRODUCT(J$97:J$131,$BC$58:$BC$92),0)</f>
        <v/>
      </c>
      <c r="K147" s="39">
        <f>IFERROR(K108*$BC69/SUMPRODUCT(K$97:K$131,$BC$58:$BC$92),0)</f>
        <v/>
      </c>
      <c r="L147" s="39">
        <f>IFERROR(L108*$BC69/SUMPRODUCT(L$97:L$131,$BC$58:$BC$92),0)</f>
        <v/>
      </c>
      <c r="M147" s="39">
        <f>IFERROR(M108*$BC69/SUMPRODUCT(M$97:M$131,$BC$58:$BC$92),0)</f>
        <v/>
      </c>
      <c r="N147" s="39">
        <f>IFERROR(N108*$BC69/SUMPRODUCT(N$97:N$131,$BC$58:$BC$92),0)</f>
        <v/>
      </c>
      <c r="O147" s="39">
        <f>IFERROR(O108*$BC69/SUMPRODUCT(O$97:O$131,$BC$58:$BC$92),0)</f>
        <v/>
      </c>
      <c r="P147" s="39">
        <f>IFERROR(P108*$BC69/SUMPRODUCT(P$97:P$131,$BC$58:$BC$92),0)</f>
        <v/>
      </c>
      <c r="Q147" s="39">
        <f>IFERROR(Q108*$BC69/SUMPRODUCT(Q$97:Q$131,$BC$58:$BC$92),0)</f>
        <v/>
      </c>
      <c r="R147" s="39">
        <f>IFERROR(R108*$BC69/SUMPRODUCT(R$97:R$131,$BC$58:$BC$92),0)</f>
        <v/>
      </c>
      <c r="S147" s="39">
        <f>IFERROR(S108*$BC69/SUMPRODUCT(S$97:S$131,$BC$58:$BC$92),0)</f>
        <v/>
      </c>
      <c r="T147" s="39">
        <f>IFERROR(T108*$BC69/SUMPRODUCT(T$97:T$131,$BC$58:$BC$92),0)</f>
        <v/>
      </c>
      <c r="U147" s="39">
        <f>IFERROR(U108*$BC69/SUMPRODUCT(U$97:U$131,$BC$58:$BC$92),0)</f>
        <v/>
      </c>
      <c r="V147" s="39">
        <f>IFERROR(V108*$BC69/SUMPRODUCT(V$97:V$131,$BC$58:$BC$92),0)</f>
        <v/>
      </c>
      <c r="W147" s="39">
        <f>IFERROR(W108*$BC69/SUMPRODUCT(W$97:W$131,$BC$58:$BC$92),0)</f>
        <v/>
      </c>
      <c r="X147" s="39">
        <f>IFERROR(X108*$BC69/SUMPRODUCT(X$97:X$131,$BC$58:$BC$92),0)</f>
        <v/>
      </c>
      <c r="Y147" s="39">
        <f>IFERROR(Y108*$BC69/SUMPRODUCT(Y$97:Y$131,$BC$58:$BC$92),0)</f>
        <v/>
      </c>
      <c r="Z147" s="39">
        <f>IFERROR(Z108*$BC69/SUMPRODUCT(Z$97:Z$131,$BC$58:$BC$92),0)</f>
        <v/>
      </c>
      <c r="AA147" s="39">
        <f>IFERROR(AA108*$BC69/SUMPRODUCT(AA$97:AA$131,$BC$58:$BC$92),0)</f>
        <v/>
      </c>
      <c r="AB147" s="39">
        <f>IFERROR(AB108*$BC69/SUMPRODUCT(AB$97:AB$131,$BC$58:$BC$92),0)</f>
        <v/>
      </c>
      <c r="AC147" s="39">
        <f>IFERROR(AC108*$BC69/SUMPRODUCT(AC$97:AC$131,$BC$58:$BC$92),0)</f>
        <v/>
      </c>
      <c r="AD147" s="39">
        <f>IFERROR(AD108*$BC69/SUMPRODUCT(AD$97:AD$131,$BC$58:$BC$92),0)</f>
        <v/>
      </c>
      <c r="AE147" s="39">
        <f>IFERROR(AE108*$BC69/SUMPRODUCT(AE$97:AE$131,$BC$58:$BC$92),0)</f>
        <v/>
      </c>
      <c r="AF147" s="39">
        <f>IFERROR(AF108*$BC69/SUMPRODUCT(AF$97:AF$131,$BC$58:$BC$92),0)</f>
        <v/>
      </c>
      <c r="AG147" s="39">
        <f>IFERROR(AG108*$BC69/SUMPRODUCT(AG$97:AG$131,$BC$58:$BC$92),0)</f>
        <v/>
      </c>
      <c r="AH147" s="39">
        <f>IFERROR(AH108*$BC69/SUMPRODUCT(AH$97:AH$131,$BC$58:$BC$92),0)</f>
        <v/>
      </c>
      <c r="AI147" s="39">
        <f>IFERROR(AI108*$BC69/SUMPRODUCT(AI$97:AI$131,$BC$58:$BC$92),0)</f>
        <v/>
      </c>
      <c r="AJ147" s="39">
        <f>IFERROR(AJ108*$BC69/SUMPRODUCT(AJ$97:AJ$131,$BC$58:$BC$92),0)</f>
        <v/>
      </c>
      <c r="AK147" s="39">
        <f>IFERROR(AK108*$BC69/SUMPRODUCT(AK$97:AK$131,$BC$58:$BC$92),0)</f>
        <v/>
      </c>
      <c r="AL147" s="39">
        <f>IFERROR(AL108*$BC69/SUMPRODUCT(AL$97:AL$131,$BC$58:$BC$92),0)</f>
        <v/>
      </c>
      <c r="AM147" s="39">
        <f>IFERROR(AM108*$BC69/SUMPRODUCT(AM$97:AM$131,$BC$58:$BC$92),0)</f>
        <v/>
      </c>
      <c r="AN147" s="39">
        <f>IFERROR(AN108*$BC69/SUMPRODUCT(AN$97:AN$131,$BC$58:$BC$92),0)</f>
        <v/>
      </c>
      <c r="AO147" s="39">
        <f>IFERROR(AO108*$BC69/SUMPRODUCT(AO$97:AO$131,$BC$58:$BC$92),0)</f>
        <v/>
      </c>
      <c r="AP147" s="39">
        <f>IFERROR(AP108*$BC69/SUMPRODUCT(AP$97:AP$131,$BC$58:$BC$92),0)</f>
        <v/>
      </c>
      <c r="AQ147" s="39">
        <f>IFERROR(AQ108*$BC69/SUMPRODUCT(AQ$97:AQ$131,$BC$58:$BC$92),0)</f>
        <v/>
      </c>
      <c r="AR147" s="39">
        <f>IFERROR(AR108*$BC69/SUMPRODUCT(AR$97:AR$131,$BC$58:$BC$92),0)</f>
        <v/>
      </c>
      <c r="AS147" s="39">
        <f>IFERROR(AS108*$BC69/SUMPRODUCT(AS$97:AS$131,$BC$58:$BC$92),0)</f>
        <v/>
      </c>
      <c r="AT147" s="39">
        <f>IFERROR(AT108*$BC69/SUMPRODUCT(AT$97:AT$131,$BC$58:$BC$92),0)</f>
        <v/>
      </c>
      <c r="AU147" s="39">
        <f>IFERROR(AU108*$BC69/SUMPRODUCT(AU$97:AU$131,$BC$58:$BC$92),0)</f>
        <v/>
      </c>
      <c r="AV147" s="39">
        <f>IFERROR(AV108*$BC69/SUMPRODUCT(AV$97:AV$131,$BC$58:$BC$92),0)</f>
        <v/>
      </c>
      <c r="AW147" s="39">
        <f>IFERROR(AW108*$BC69/SUMPRODUCT(AW$97:AW$131,$BC$58:$BC$92),0)</f>
        <v/>
      </c>
      <c r="AX147" s="39">
        <f>IFERROR(AX108*$BC69/SUMPRODUCT(AX$97:AX$131,$BC$58:$BC$92),0)</f>
        <v/>
      </c>
      <c r="AY147" s="39">
        <f>IFERROR(AY108*$BC69/SUMPRODUCT(AY$97:AY$131,$BC$58:$BC$92),0)</f>
        <v/>
      </c>
      <c r="AZ147" s="39">
        <f>IFERROR(AZ108*$BC69/SUMPRODUCT(AZ$97:AZ$131,$BC$58:$BC$92),0)</f>
        <v/>
      </c>
      <c r="BA147" s="39">
        <f>IFERROR(BA108*$BC69/SUMPRODUCT(BA$97:BA$131,$BC$58:$BC$92),0)</f>
        <v/>
      </c>
      <c r="BB147" s="39">
        <f>IFERROR(BB108*$BC69/SUMPRODUCT(BB$97:BB$131,$BC$58:$BC$92),0)</f>
        <v/>
      </c>
    </row>
    <row r="148">
      <c r="C148" s="1" t="n"/>
      <c r="D148" s="237">
        <f>D109</f>
        <v/>
      </c>
      <c r="E148" s="141">
        <f>IFERROR(E109*$BC70/SUMPRODUCT(E$97:E$131,$BC$58:$BC$92),0)</f>
        <v/>
      </c>
      <c r="F148" s="141">
        <f>IFERROR(F109*$BC70/SUMPRODUCT(F$97:F$131,$BC$58:$BC$92),0)</f>
        <v/>
      </c>
      <c r="G148" s="141">
        <f>IFERROR(G109*$BC70/SUMPRODUCT(G$97:G$131,$BC$58:$BC$92),0)</f>
        <v/>
      </c>
      <c r="H148" s="39">
        <f>IFERROR(H109*$BC70/SUMPRODUCT(H$97:H$131,$BC$58:$BC$92),0)</f>
        <v/>
      </c>
      <c r="I148" s="39">
        <f>IFERROR(I109*$BC70/SUMPRODUCT(I$97:I$131,$BC$58:$BC$92),0)</f>
        <v/>
      </c>
      <c r="J148" s="39">
        <f>IFERROR(J109*$BC70/SUMPRODUCT(J$97:J$131,$BC$58:$BC$92),0)</f>
        <v/>
      </c>
      <c r="K148" s="39">
        <f>IFERROR(K109*$BC70/SUMPRODUCT(K$97:K$131,$BC$58:$BC$92),0)</f>
        <v/>
      </c>
      <c r="L148" s="39">
        <f>IFERROR(L109*$BC70/SUMPRODUCT(L$97:L$131,$BC$58:$BC$92),0)</f>
        <v/>
      </c>
      <c r="M148" s="39">
        <f>IFERROR(M109*$BC70/SUMPRODUCT(M$97:M$131,$BC$58:$BC$92),0)</f>
        <v/>
      </c>
      <c r="N148" s="39">
        <f>IFERROR(N109*$BC70/SUMPRODUCT(N$97:N$131,$BC$58:$BC$92),0)</f>
        <v/>
      </c>
      <c r="O148" s="39">
        <f>IFERROR(O109*$BC70/SUMPRODUCT(O$97:O$131,$BC$58:$BC$92),0)</f>
        <v/>
      </c>
      <c r="P148" s="39">
        <f>IFERROR(P109*$BC70/SUMPRODUCT(P$97:P$131,$BC$58:$BC$92),0)</f>
        <v/>
      </c>
      <c r="Q148" s="39">
        <f>IFERROR(Q109*$BC70/SUMPRODUCT(Q$97:Q$131,$BC$58:$BC$92),0)</f>
        <v/>
      </c>
      <c r="R148" s="39">
        <f>IFERROR(R109*$BC70/SUMPRODUCT(R$97:R$131,$BC$58:$BC$92),0)</f>
        <v/>
      </c>
      <c r="S148" s="39">
        <f>IFERROR(S109*$BC70/SUMPRODUCT(S$97:S$131,$BC$58:$BC$92),0)</f>
        <v/>
      </c>
      <c r="T148" s="39">
        <f>IFERROR(T109*$BC70/SUMPRODUCT(T$97:T$131,$BC$58:$BC$92),0)</f>
        <v/>
      </c>
      <c r="U148" s="39">
        <f>IFERROR(U109*$BC70/SUMPRODUCT(U$97:U$131,$BC$58:$BC$92),0)</f>
        <v/>
      </c>
      <c r="V148" s="39">
        <f>IFERROR(V109*$BC70/SUMPRODUCT(V$97:V$131,$BC$58:$BC$92),0)</f>
        <v/>
      </c>
      <c r="W148" s="39">
        <f>IFERROR(W109*$BC70/SUMPRODUCT(W$97:W$131,$BC$58:$BC$92),0)</f>
        <v/>
      </c>
      <c r="X148" s="39">
        <f>IFERROR(X109*$BC70/SUMPRODUCT(X$97:X$131,$BC$58:$BC$92),0)</f>
        <v/>
      </c>
      <c r="Y148" s="39">
        <f>IFERROR(Y109*$BC70/SUMPRODUCT(Y$97:Y$131,$BC$58:$BC$92),0)</f>
        <v/>
      </c>
      <c r="Z148" s="39">
        <f>IFERROR(Z109*$BC70/SUMPRODUCT(Z$97:Z$131,$BC$58:$BC$92),0)</f>
        <v/>
      </c>
      <c r="AA148" s="39">
        <f>IFERROR(AA109*$BC70/SUMPRODUCT(AA$97:AA$131,$BC$58:$BC$92),0)</f>
        <v/>
      </c>
      <c r="AB148" s="39">
        <f>IFERROR(AB109*$BC70/SUMPRODUCT(AB$97:AB$131,$BC$58:$BC$92),0)</f>
        <v/>
      </c>
      <c r="AC148" s="39">
        <f>IFERROR(AC109*$BC70/SUMPRODUCT(AC$97:AC$131,$BC$58:$BC$92),0)</f>
        <v/>
      </c>
      <c r="AD148" s="39">
        <f>IFERROR(AD109*$BC70/SUMPRODUCT(AD$97:AD$131,$BC$58:$BC$92),0)</f>
        <v/>
      </c>
      <c r="AE148" s="39">
        <f>IFERROR(AE109*$BC70/SUMPRODUCT(AE$97:AE$131,$BC$58:$BC$92),0)</f>
        <v/>
      </c>
      <c r="AF148" s="39">
        <f>IFERROR(AF109*$BC70/SUMPRODUCT(AF$97:AF$131,$BC$58:$BC$92),0)</f>
        <v/>
      </c>
      <c r="AG148" s="39">
        <f>IFERROR(AG109*$BC70/SUMPRODUCT(AG$97:AG$131,$BC$58:$BC$92),0)</f>
        <v/>
      </c>
      <c r="AH148" s="39">
        <f>IFERROR(AH109*$BC70/SUMPRODUCT(AH$97:AH$131,$BC$58:$BC$92),0)</f>
        <v/>
      </c>
      <c r="AI148" s="39">
        <f>IFERROR(AI109*$BC70/SUMPRODUCT(AI$97:AI$131,$BC$58:$BC$92),0)</f>
        <v/>
      </c>
      <c r="AJ148" s="39">
        <f>IFERROR(AJ109*$BC70/SUMPRODUCT(AJ$97:AJ$131,$BC$58:$BC$92),0)</f>
        <v/>
      </c>
      <c r="AK148" s="39">
        <f>IFERROR(AK109*$BC70/SUMPRODUCT(AK$97:AK$131,$BC$58:$BC$92),0)</f>
        <v/>
      </c>
      <c r="AL148" s="39">
        <f>IFERROR(AL109*$BC70/SUMPRODUCT(AL$97:AL$131,$BC$58:$BC$92),0)</f>
        <v/>
      </c>
      <c r="AM148" s="39">
        <f>IFERROR(AM109*$BC70/SUMPRODUCT(AM$97:AM$131,$BC$58:$BC$92),0)</f>
        <v/>
      </c>
      <c r="AN148" s="39">
        <f>IFERROR(AN109*$BC70/SUMPRODUCT(AN$97:AN$131,$BC$58:$BC$92),0)</f>
        <v/>
      </c>
      <c r="AO148" s="39">
        <f>IFERROR(AO109*$BC70/SUMPRODUCT(AO$97:AO$131,$BC$58:$BC$92),0)</f>
        <v/>
      </c>
      <c r="AP148" s="39">
        <f>IFERROR(AP109*$BC70/SUMPRODUCT(AP$97:AP$131,$BC$58:$BC$92),0)</f>
        <v/>
      </c>
      <c r="AQ148" s="39">
        <f>IFERROR(AQ109*$BC70/SUMPRODUCT(AQ$97:AQ$131,$BC$58:$BC$92),0)</f>
        <v/>
      </c>
      <c r="AR148" s="39">
        <f>IFERROR(AR109*$BC70/SUMPRODUCT(AR$97:AR$131,$BC$58:$BC$92),0)</f>
        <v/>
      </c>
      <c r="AS148" s="39">
        <f>IFERROR(AS109*$BC70/SUMPRODUCT(AS$97:AS$131,$BC$58:$BC$92),0)</f>
        <v/>
      </c>
      <c r="AT148" s="39">
        <f>IFERROR(AT109*$BC70/SUMPRODUCT(AT$97:AT$131,$BC$58:$BC$92),0)</f>
        <v/>
      </c>
      <c r="AU148" s="39">
        <f>IFERROR(AU109*$BC70/SUMPRODUCT(AU$97:AU$131,$BC$58:$BC$92),0)</f>
        <v/>
      </c>
      <c r="AV148" s="39">
        <f>IFERROR(AV109*$BC70/SUMPRODUCT(AV$97:AV$131,$BC$58:$BC$92),0)</f>
        <v/>
      </c>
      <c r="AW148" s="39">
        <f>IFERROR(AW109*$BC70/SUMPRODUCT(AW$97:AW$131,$BC$58:$BC$92),0)</f>
        <v/>
      </c>
      <c r="AX148" s="39">
        <f>IFERROR(AX109*$BC70/SUMPRODUCT(AX$97:AX$131,$BC$58:$BC$92),0)</f>
        <v/>
      </c>
      <c r="AY148" s="39">
        <f>IFERROR(AY109*$BC70/SUMPRODUCT(AY$97:AY$131,$BC$58:$BC$92),0)</f>
        <v/>
      </c>
      <c r="AZ148" s="39">
        <f>IFERROR(AZ109*$BC70/SUMPRODUCT(AZ$97:AZ$131,$BC$58:$BC$92),0)</f>
        <v/>
      </c>
      <c r="BA148" s="39">
        <f>IFERROR(BA109*$BC70/SUMPRODUCT(BA$97:BA$131,$BC$58:$BC$92),0)</f>
        <v/>
      </c>
      <c r="BB148" s="39">
        <f>IFERROR(BB109*$BC70/SUMPRODUCT(BB$97:BB$131,$BC$58:$BC$92),0)</f>
        <v/>
      </c>
    </row>
    <row r="149">
      <c r="C149" s="1" t="n"/>
      <c r="D149" s="237">
        <f>D110</f>
        <v/>
      </c>
      <c r="E149" s="141">
        <f>IFERROR(E110*$BC71/SUMPRODUCT(E$97:E$131,$BC$58:$BC$92),0)</f>
        <v/>
      </c>
      <c r="F149" s="141">
        <f>IFERROR(F110*$BC71/SUMPRODUCT(F$97:F$131,$BC$58:$BC$92),0)</f>
        <v/>
      </c>
      <c r="G149" s="141">
        <f>IFERROR(G110*$BC71/SUMPRODUCT(G$97:G$131,$BC$58:$BC$92),0)</f>
        <v/>
      </c>
      <c r="H149" s="39">
        <f>IFERROR(H110*$BC71/SUMPRODUCT(H$97:H$131,$BC$58:$BC$92),0)</f>
        <v/>
      </c>
      <c r="I149" s="39">
        <f>IFERROR(I110*$BC71/SUMPRODUCT(I$97:I$131,$BC$58:$BC$92),0)</f>
        <v/>
      </c>
      <c r="J149" s="39">
        <f>IFERROR(J110*$BC71/SUMPRODUCT(J$97:J$131,$BC$58:$BC$92),0)</f>
        <v/>
      </c>
      <c r="K149" s="39">
        <f>IFERROR(K110*$BC71/SUMPRODUCT(K$97:K$131,$BC$58:$BC$92),0)</f>
        <v/>
      </c>
      <c r="L149" s="39">
        <f>IFERROR(L110*$BC71/SUMPRODUCT(L$97:L$131,$BC$58:$BC$92),0)</f>
        <v/>
      </c>
      <c r="M149" s="39">
        <f>IFERROR(M110*$BC71/SUMPRODUCT(M$97:M$131,$BC$58:$BC$92),0)</f>
        <v/>
      </c>
      <c r="N149" s="39">
        <f>IFERROR(N110*$BC71/SUMPRODUCT(N$97:N$131,$BC$58:$BC$92),0)</f>
        <v/>
      </c>
      <c r="O149" s="39">
        <f>IFERROR(O110*$BC71/SUMPRODUCT(O$97:O$131,$BC$58:$BC$92),0)</f>
        <v/>
      </c>
      <c r="P149" s="39">
        <f>IFERROR(P110*$BC71/SUMPRODUCT(P$97:P$131,$BC$58:$BC$92),0)</f>
        <v/>
      </c>
      <c r="Q149" s="39">
        <f>IFERROR(Q110*$BC71/SUMPRODUCT(Q$97:Q$131,$BC$58:$BC$92),0)</f>
        <v/>
      </c>
      <c r="R149" s="39">
        <f>IFERROR(R110*$BC71/SUMPRODUCT(R$97:R$131,$BC$58:$BC$92),0)</f>
        <v/>
      </c>
      <c r="S149" s="39">
        <f>IFERROR(S110*$BC71/SUMPRODUCT(S$97:S$131,$BC$58:$BC$92),0)</f>
        <v/>
      </c>
      <c r="T149" s="39">
        <f>IFERROR(T110*$BC71/SUMPRODUCT(T$97:T$131,$BC$58:$BC$92),0)</f>
        <v/>
      </c>
      <c r="U149" s="39">
        <f>IFERROR(U110*$BC71/SUMPRODUCT(U$97:U$131,$BC$58:$BC$92),0)</f>
        <v/>
      </c>
      <c r="V149" s="39">
        <f>IFERROR(V110*$BC71/SUMPRODUCT(V$97:V$131,$BC$58:$BC$92),0)</f>
        <v/>
      </c>
      <c r="W149" s="39">
        <f>IFERROR(W110*$BC71/SUMPRODUCT(W$97:W$131,$BC$58:$BC$92),0)</f>
        <v/>
      </c>
      <c r="X149" s="39">
        <f>IFERROR(X110*$BC71/SUMPRODUCT(X$97:X$131,$BC$58:$BC$92),0)</f>
        <v/>
      </c>
      <c r="Y149" s="39">
        <f>IFERROR(Y110*$BC71/SUMPRODUCT(Y$97:Y$131,$BC$58:$BC$92),0)</f>
        <v/>
      </c>
      <c r="Z149" s="39">
        <f>IFERROR(Z110*$BC71/SUMPRODUCT(Z$97:Z$131,$BC$58:$BC$92),0)</f>
        <v/>
      </c>
      <c r="AA149" s="39">
        <f>IFERROR(AA110*$BC71/SUMPRODUCT(AA$97:AA$131,$BC$58:$BC$92),0)</f>
        <v/>
      </c>
      <c r="AB149" s="39">
        <f>IFERROR(AB110*$BC71/SUMPRODUCT(AB$97:AB$131,$BC$58:$BC$92),0)</f>
        <v/>
      </c>
      <c r="AC149" s="39">
        <f>IFERROR(AC110*$BC71/SUMPRODUCT(AC$97:AC$131,$BC$58:$BC$92),0)</f>
        <v/>
      </c>
      <c r="AD149" s="39">
        <f>IFERROR(AD110*$BC71/SUMPRODUCT(AD$97:AD$131,$BC$58:$BC$92),0)</f>
        <v/>
      </c>
      <c r="AE149" s="39">
        <f>IFERROR(AE110*$BC71/SUMPRODUCT(AE$97:AE$131,$BC$58:$BC$92),0)</f>
        <v/>
      </c>
      <c r="AF149" s="39">
        <f>IFERROR(AF110*$BC71/SUMPRODUCT(AF$97:AF$131,$BC$58:$BC$92),0)</f>
        <v/>
      </c>
      <c r="AG149" s="39">
        <f>IFERROR(AG110*$BC71/SUMPRODUCT(AG$97:AG$131,$BC$58:$BC$92),0)</f>
        <v/>
      </c>
      <c r="AH149" s="39">
        <f>IFERROR(AH110*$BC71/SUMPRODUCT(AH$97:AH$131,$BC$58:$BC$92),0)</f>
        <v/>
      </c>
      <c r="AI149" s="39">
        <f>IFERROR(AI110*$BC71/SUMPRODUCT(AI$97:AI$131,$BC$58:$BC$92),0)</f>
        <v/>
      </c>
      <c r="AJ149" s="39">
        <f>IFERROR(AJ110*$BC71/SUMPRODUCT(AJ$97:AJ$131,$BC$58:$BC$92),0)</f>
        <v/>
      </c>
      <c r="AK149" s="39">
        <f>IFERROR(AK110*$BC71/SUMPRODUCT(AK$97:AK$131,$BC$58:$BC$92),0)</f>
        <v/>
      </c>
      <c r="AL149" s="39">
        <f>IFERROR(AL110*$BC71/SUMPRODUCT(AL$97:AL$131,$BC$58:$BC$92),0)</f>
        <v/>
      </c>
      <c r="AM149" s="39">
        <f>IFERROR(AM110*$BC71/SUMPRODUCT(AM$97:AM$131,$BC$58:$BC$92),0)</f>
        <v/>
      </c>
      <c r="AN149" s="39">
        <f>IFERROR(AN110*$BC71/SUMPRODUCT(AN$97:AN$131,$BC$58:$BC$92),0)</f>
        <v/>
      </c>
      <c r="AO149" s="39">
        <f>IFERROR(AO110*$BC71/SUMPRODUCT(AO$97:AO$131,$BC$58:$BC$92),0)</f>
        <v/>
      </c>
      <c r="AP149" s="39">
        <f>IFERROR(AP110*$BC71/SUMPRODUCT(AP$97:AP$131,$BC$58:$BC$92),0)</f>
        <v/>
      </c>
      <c r="AQ149" s="39">
        <f>IFERROR(AQ110*$BC71/SUMPRODUCT(AQ$97:AQ$131,$BC$58:$BC$92),0)</f>
        <v/>
      </c>
      <c r="AR149" s="39">
        <f>IFERROR(AR110*$BC71/SUMPRODUCT(AR$97:AR$131,$BC$58:$BC$92),0)</f>
        <v/>
      </c>
      <c r="AS149" s="39">
        <f>IFERROR(AS110*$BC71/SUMPRODUCT(AS$97:AS$131,$BC$58:$BC$92),0)</f>
        <v/>
      </c>
      <c r="AT149" s="39">
        <f>IFERROR(AT110*$BC71/SUMPRODUCT(AT$97:AT$131,$BC$58:$BC$92),0)</f>
        <v/>
      </c>
      <c r="AU149" s="39">
        <f>IFERROR(AU110*$BC71/SUMPRODUCT(AU$97:AU$131,$BC$58:$BC$92),0)</f>
        <v/>
      </c>
      <c r="AV149" s="39">
        <f>IFERROR(AV110*$BC71/SUMPRODUCT(AV$97:AV$131,$BC$58:$BC$92),0)</f>
        <v/>
      </c>
      <c r="AW149" s="39">
        <f>IFERROR(AW110*$BC71/SUMPRODUCT(AW$97:AW$131,$BC$58:$BC$92),0)</f>
        <v/>
      </c>
      <c r="AX149" s="39">
        <f>IFERROR(AX110*$BC71/SUMPRODUCT(AX$97:AX$131,$BC$58:$BC$92),0)</f>
        <v/>
      </c>
      <c r="AY149" s="39">
        <f>IFERROR(AY110*$BC71/SUMPRODUCT(AY$97:AY$131,$BC$58:$BC$92),0)</f>
        <v/>
      </c>
      <c r="AZ149" s="39">
        <f>IFERROR(AZ110*$BC71/SUMPRODUCT(AZ$97:AZ$131,$BC$58:$BC$92),0)</f>
        <v/>
      </c>
      <c r="BA149" s="39">
        <f>IFERROR(BA110*$BC71/SUMPRODUCT(BA$97:BA$131,$BC$58:$BC$92),0)</f>
        <v/>
      </c>
      <c r="BB149" s="39">
        <f>IFERROR(BB110*$BC71/SUMPRODUCT(BB$97:BB$131,$BC$58:$BC$92),0)</f>
        <v/>
      </c>
    </row>
    <row r="150">
      <c r="C150" s="1" t="n"/>
      <c r="D150" s="237">
        <f>D111</f>
        <v/>
      </c>
      <c r="E150" s="141">
        <f>IFERROR(E111*$BC72/SUMPRODUCT(E$97:E$131,$BC$58:$BC$92),0)</f>
        <v/>
      </c>
      <c r="F150" s="141">
        <f>IFERROR(F111*$BC72/SUMPRODUCT(F$97:F$131,$BC$58:$BC$92),0)</f>
        <v/>
      </c>
      <c r="G150" s="141">
        <f>IFERROR(G111*$BC72/SUMPRODUCT(G$97:G$131,$BC$58:$BC$92),0)</f>
        <v/>
      </c>
      <c r="H150" s="39">
        <f>IFERROR(H111*$BC72/SUMPRODUCT(H$97:H$131,$BC$58:$BC$92),0)</f>
        <v/>
      </c>
      <c r="I150" s="39">
        <f>IFERROR(I111*$BC72/SUMPRODUCT(I$97:I$131,$BC$58:$BC$92),0)</f>
        <v/>
      </c>
      <c r="J150" s="39">
        <f>IFERROR(J111*$BC72/SUMPRODUCT(J$97:J$131,$BC$58:$BC$92),0)</f>
        <v/>
      </c>
      <c r="K150" s="39">
        <f>IFERROR(K111*$BC72/SUMPRODUCT(K$97:K$131,$BC$58:$BC$92),0)</f>
        <v/>
      </c>
      <c r="L150" s="39">
        <f>IFERROR(L111*$BC72/SUMPRODUCT(L$97:L$131,$BC$58:$BC$92),0)</f>
        <v/>
      </c>
      <c r="M150" s="39">
        <f>IFERROR(M111*$BC72/SUMPRODUCT(M$97:M$131,$BC$58:$BC$92),0)</f>
        <v/>
      </c>
      <c r="N150" s="39">
        <f>IFERROR(N111*$BC72/SUMPRODUCT(N$97:N$131,$BC$58:$BC$92),0)</f>
        <v/>
      </c>
      <c r="O150" s="39">
        <f>IFERROR(O111*$BC72/SUMPRODUCT(O$97:O$131,$BC$58:$BC$92),0)</f>
        <v/>
      </c>
      <c r="P150" s="39">
        <f>IFERROR(P111*$BC72/SUMPRODUCT(P$97:P$131,$BC$58:$BC$92),0)</f>
        <v/>
      </c>
      <c r="Q150" s="39">
        <f>IFERROR(Q111*$BC72/SUMPRODUCT(Q$97:Q$131,$BC$58:$BC$92),0)</f>
        <v/>
      </c>
      <c r="R150" s="39">
        <f>IFERROR(R111*$BC72/SUMPRODUCT(R$97:R$131,$BC$58:$BC$92),0)</f>
        <v/>
      </c>
      <c r="S150" s="39">
        <f>IFERROR(S111*$BC72/SUMPRODUCT(S$97:S$131,$BC$58:$BC$92),0)</f>
        <v/>
      </c>
      <c r="T150" s="39">
        <f>IFERROR(T111*$BC72/SUMPRODUCT(T$97:T$131,$BC$58:$BC$92),0)</f>
        <v/>
      </c>
      <c r="U150" s="39">
        <f>IFERROR(U111*$BC72/SUMPRODUCT(U$97:U$131,$BC$58:$BC$92),0)</f>
        <v/>
      </c>
      <c r="V150" s="39">
        <f>IFERROR(V111*$BC72/SUMPRODUCT(V$97:V$131,$BC$58:$BC$92),0)</f>
        <v/>
      </c>
      <c r="W150" s="39">
        <f>IFERROR(W111*$BC72/SUMPRODUCT(W$97:W$131,$BC$58:$BC$92),0)</f>
        <v/>
      </c>
      <c r="X150" s="39">
        <f>IFERROR(X111*$BC72/SUMPRODUCT(X$97:X$131,$BC$58:$BC$92),0)</f>
        <v/>
      </c>
      <c r="Y150" s="39">
        <f>IFERROR(Y111*$BC72/SUMPRODUCT(Y$97:Y$131,$BC$58:$BC$92),0)</f>
        <v/>
      </c>
      <c r="Z150" s="39">
        <f>IFERROR(Z111*$BC72/SUMPRODUCT(Z$97:Z$131,$BC$58:$BC$92),0)</f>
        <v/>
      </c>
      <c r="AA150" s="39">
        <f>IFERROR(AA111*$BC72/SUMPRODUCT(AA$97:AA$131,$BC$58:$BC$92),0)</f>
        <v/>
      </c>
      <c r="AB150" s="39">
        <f>IFERROR(AB111*$BC72/SUMPRODUCT(AB$97:AB$131,$BC$58:$BC$92),0)</f>
        <v/>
      </c>
      <c r="AC150" s="39">
        <f>IFERROR(AC111*$BC72/SUMPRODUCT(AC$97:AC$131,$BC$58:$BC$92),0)</f>
        <v/>
      </c>
      <c r="AD150" s="39">
        <f>IFERROR(AD111*$BC72/SUMPRODUCT(AD$97:AD$131,$BC$58:$BC$92),0)</f>
        <v/>
      </c>
      <c r="AE150" s="39">
        <f>IFERROR(AE111*$BC72/SUMPRODUCT(AE$97:AE$131,$BC$58:$BC$92),0)</f>
        <v/>
      </c>
      <c r="AF150" s="39">
        <f>IFERROR(AF111*$BC72/SUMPRODUCT(AF$97:AF$131,$BC$58:$BC$92),0)</f>
        <v/>
      </c>
      <c r="AG150" s="39">
        <f>IFERROR(AG111*$BC72/SUMPRODUCT(AG$97:AG$131,$BC$58:$BC$92),0)</f>
        <v/>
      </c>
      <c r="AH150" s="39">
        <f>IFERROR(AH111*$BC72/SUMPRODUCT(AH$97:AH$131,$BC$58:$BC$92),0)</f>
        <v/>
      </c>
      <c r="AI150" s="39">
        <f>IFERROR(AI111*$BC72/SUMPRODUCT(AI$97:AI$131,$BC$58:$BC$92),0)</f>
        <v/>
      </c>
      <c r="AJ150" s="39">
        <f>IFERROR(AJ111*$BC72/SUMPRODUCT(AJ$97:AJ$131,$BC$58:$BC$92),0)</f>
        <v/>
      </c>
      <c r="AK150" s="39">
        <f>IFERROR(AK111*$BC72/SUMPRODUCT(AK$97:AK$131,$BC$58:$BC$92),0)</f>
        <v/>
      </c>
      <c r="AL150" s="39">
        <f>IFERROR(AL111*$BC72/SUMPRODUCT(AL$97:AL$131,$BC$58:$BC$92),0)</f>
        <v/>
      </c>
      <c r="AM150" s="39">
        <f>IFERROR(AM111*$BC72/SUMPRODUCT(AM$97:AM$131,$BC$58:$BC$92),0)</f>
        <v/>
      </c>
      <c r="AN150" s="39">
        <f>IFERROR(AN111*$BC72/SUMPRODUCT(AN$97:AN$131,$BC$58:$BC$92),0)</f>
        <v/>
      </c>
      <c r="AO150" s="39">
        <f>IFERROR(AO111*$BC72/SUMPRODUCT(AO$97:AO$131,$BC$58:$BC$92),0)</f>
        <v/>
      </c>
      <c r="AP150" s="39">
        <f>IFERROR(AP111*$BC72/SUMPRODUCT(AP$97:AP$131,$BC$58:$BC$92),0)</f>
        <v/>
      </c>
      <c r="AQ150" s="39">
        <f>IFERROR(AQ111*$BC72/SUMPRODUCT(AQ$97:AQ$131,$BC$58:$BC$92),0)</f>
        <v/>
      </c>
      <c r="AR150" s="39">
        <f>IFERROR(AR111*$BC72/SUMPRODUCT(AR$97:AR$131,$BC$58:$BC$92),0)</f>
        <v/>
      </c>
      <c r="AS150" s="39">
        <f>IFERROR(AS111*$BC72/SUMPRODUCT(AS$97:AS$131,$BC$58:$BC$92),0)</f>
        <v/>
      </c>
      <c r="AT150" s="39">
        <f>IFERROR(AT111*$BC72/SUMPRODUCT(AT$97:AT$131,$BC$58:$BC$92),0)</f>
        <v/>
      </c>
      <c r="AU150" s="39">
        <f>IFERROR(AU111*$BC72/SUMPRODUCT(AU$97:AU$131,$BC$58:$BC$92),0)</f>
        <v/>
      </c>
      <c r="AV150" s="39">
        <f>IFERROR(AV111*$BC72/SUMPRODUCT(AV$97:AV$131,$BC$58:$BC$92),0)</f>
        <v/>
      </c>
      <c r="AW150" s="39">
        <f>IFERROR(AW111*$BC72/SUMPRODUCT(AW$97:AW$131,$BC$58:$BC$92),0)</f>
        <v/>
      </c>
      <c r="AX150" s="39">
        <f>IFERROR(AX111*$BC72/SUMPRODUCT(AX$97:AX$131,$BC$58:$BC$92),0)</f>
        <v/>
      </c>
      <c r="AY150" s="39">
        <f>IFERROR(AY111*$BC72/SUMPRODUCT(AY$97:AY$131,$BC$58:$BC$92),0)</f>
        <v/>
      </c>
      <c r="AZ150" s="39">
        <f>IFERROR(AZ111*$BC72/SUMPRODUCT(AZ$97:AZ$131,$BC$58:$BC$92),0)</f>
        <v/>
      </c>
      <c r="BA150" s="39">
        <f>IFERROR(BA111*$BC72/SUMPRODUCT(BA$97:BA$131,$BC$58:$BC$92),0)</f>
        <v/>
      </c>
      <c r="BB150" s="39">
        <f>IFERROR(BB111*$BC72/SUMPRODUCT(BB$97:BB$131,$BC$58:$BC$92),0)</f>
        <v/>
      </c>
    </row>
    <row r="151">
      <c r="C151" s="1" t="n"/>
      <c r="D151" s="237">
        <f>D112</f>
        <v/>
      </c>
      <c r="E151" s="141">
        <f>IFERROR(E112*$BC73/SUMPRODUCT(E$97:E$131,$BC$58:$BC$92),0)</f>
        <v/>
      </c>
      <c r="F151" s="141">
        <f>IFERROR(F112*$BC73/SUMPRODUCT(F$97:F$131,$BC$58:$BC$92),0)</f>
        <v/>
      </c>
      <c r="G151" s="141">
        <f>IFERROR(G112*$BC73/SUMPRODUCT(G$97:G$131,$BC$58:$BC$92),0)</f>
        <v/>
      </c>
      <c r="H151" s="39">
        <f>IFERROR(H112*$BC73/SUMPRODUCT(H$97:H$131,$BC$58:$BC$92),0)</f>
        <v/>
      </c>
      <c r="I151" s="39">
        <f>IFERROR(I112*$BC73/SUMPRODUCT(I$97:I$131,$BC$58:$BC$92),0)</f>
        <v/>
      </c>
      <c r="J151" s="39">
        <f>IFERROR(J112*$BC73/SUMPRODUCT(J$97:J$131,$BC$58:$BC$92),0)</f>
        <v/>
      </c>
      <c r="K151" s="39">
        <f>IFERROR(K112*$BC73/SUMPRODUCT(K$97:K$131,$BC$58:$BC$92),0)</f>
        <v/>
      </c>
      <c r="L151" s="39">
        <f>IFERROR(L112*$BC73/SUMPRODUCT(L$97:L$131,$BC$58:$BC$92),0)</f>
        <v/>
      </c>
      <c r="M151" s="39">
        <f>IFERROR(M112*$BC73/SUMPRODUCT(M$97:M$131,$BC$58:$BC$92),0)</f>
        <v/>
      </c>
      <c r="N151" s="39">
        <f>IFERROR(N112*$BC73/SUMPRODUCT(N$97:N$131,$BC$58:$BC$92),0)</f>
        <v/>
      </c>
      <c r="O151" s="39">
        <f>IFERROR(O112*$BC73/SUMPRODUCT(O$97:O$131,$BC$58:$BC$92),0)</f>
        <v/>
      </c>
      <c r="P151" s="39">
        <f>IFERROR(P112*$BC73/SUMPRODUCT(P$97:P$131,$BC$58:$BC$92),0)</f>
        <v/>
      </c>
      <c r="Q151" s="39">
        <f>IFERROR(Q112*$BC73/SUMPRODUCT(Q$97:Q$131,$BC$58:$BC$92),0)</f>
        <v/>
      </c>
      <c r="R151" s="39">
        <f>IFERROR(R112*$BC73/SUMPRODUCT(R$97:R$131,$BC$58:$BC$92),0)</f>
        <v/>
      </c>
      <c r="S151" s="39">
        <f>IFERROR(S112*$BC73/SUMPRODUCT(S$97:S$131,$BC$58:$BC$92),0)</f>
        <v/>
      </c>
      <c r="T151" s="39">
        <f>IFERROR(T112*$BC73/SUMPRODUCT(T$97:T$131,$BC$58:$BC$92),0)</f>
        <v/>
      </c>
      <c r="U151" s="39">
        <f>IFERROR(U112*$BC73/SUMPRODUCT(U$97:U$131,$BC$58:$BC$92),0)</f>
        <v/>
      </c>
      <c r="V151" s="39">
        <f>IFERROR(V112*$BC73/SUMPRODUCT(V$97:V$131,$BC$58:$BC$92),0)</f>
        <v/>
      </c>
      <c r="W151" s="39">
        <f>IFERROR(W112*$BC73/SUMPRODUCT(W$97:W$131,$BC$58:$BC$92),0)</f>
        <v/>
      </c>
      <c r="X151" s="39">
        <f>IFERROR(X112*$BC73/SUMPRODUCT(X$97:X$131,$BC$58:$BC$92),0)</f>
        <v/>
      </c>
      <c r="Y151" s="39">
        <f>IFERROR(Y112*$BC73/SUMPRODUCT(Y$97:Y$131,$BC$58:$BC$92),0)</f>
        <v/>
      </c>
      <c r="Z151" s="39">
        <f>IFERROR(Z112*$BC73/SUMPRODUCT(Z$97:Z$131,$BC$58:$BC$92),0)</f>
        <v/>
      </c>
      <c r="AA151" s="39">
        <f>IFERROR(AA112*$BC73/SUMPRODUCT(AA$97:AA$131,$BC$58:$BC$92),0)</f>
        <v/>
      </c>
      <c r="AB151" s="39">
        <f>IFERROR(AB112*$BC73/SUMPRODUCT(AB$97:AB$131,$BC$58:$BC$92),0)</f>
        <v/>
      </c>
      <c r="AC151" s="39">
        <f>IFERROR(AC112*$BC73/SUMPRODUCT(AC$97:AC$131,$BC$58:$BC$92),0)</f>
        <v/>
      </c>
      <c r="AD151" s="39">
        <f>IFERROR(AD112*$BC73/SUMPRODUCT(AD$97:AD$131,$BC$58:$BC$92),0)</f>
        <v/>
      </c>
      <c r="AE151" s="39">
        <f>IFERROR(AE112*$BC73/SUMPRODUCT(AE$97:AE$131,$BC$58:$BC$92),0)</f>
        <v/>
      </c>
      <c r="AF151" s="39">
        <f>IFERROR(AF112*$BC73/SUMPRODUCT(AF$97:AF$131,$BC$58:$BC$92),0)</f>
        <v/>
      </c>
      <c r="AG151" s="39">
        <f>IFERROR(AG112*$BC73/SUMPRODUCT(AG$97:AG$131,$BC$58:$BC$92),0)</f>
        <v/>
      </c>
      <c r="AH151" s="39">
        <f>IFERROR(AH112*$BC73/SUMPRODUCT(AH$97:AH$131,$BC$58:$BC$92),0)</f>
        <v/>
      </c>
      <c r="AI151" s="39">
        <f>IFERROR(AI112*$BC73/SUMPRODUCT(AI$97:AI$131,$BC$58:$BC$92),0)</f>
        <v/>
      </c>
      <c r="AJ151" s="39">
        <f>IFERROR(AJ112*$BC73/SUMPRODUCT(AJ$97:AJ$131,$BC$58:$BC$92),0)</f>
        <v/>
      </c>
      <c r="AK151" s="39">
        <f>IFERROR(AK112*$BC73/SUMPRODUCT(AK$97:AK$131,$BC$58:$BC$92),0)</f>
        <v/>
      </c>
      <c r="AL151" s="39">
        <f>IFERROR(AL112*$BC73/SUMPRODUCT(AL$97:AL$131,$BC$58:$BC$92),0)</f>
        <v/>
      </c>
      <c r="AM151" s="39">
        <f>IFERROR(AM112*$BC73/SUMPRODUCT(AM$97:AM$131,$BC$58:$BC$92),0)</f>
        <v/>
      </c>
      <c r="AN151" s="39">
        <f>IFERROR(AN112*$BC73/SUMPRODUCT(AN$97:AN$131,$BC$58:$BC$92),0)</f>
        <v/>
      </c>
      <c r="AO151" s="39">
        <f>IFERROR(AO112*$BC73/SUMPRODUCT(AO$97:AO$131,$BC$58:$BC$92),0)</f>
        <v/>
      </c>
      <c r="AP151" s="39">
        <f>IFERROR(AP112*$BC73/SUMPRODUCT(AP$97:AP$131,$BC$58:$BC$92),0)</f>
        <v/>
      </c>
      <c r="AQ151" s="39">
        <f>IFERROR(AQ112*$BC73/SUMPRODUCT(AQ$97:AQ$131,$BC$58:$BC$92),0)</f>
        <v/>
      </c>
      <c r="AR151" s="39">
        <f>IFERROR(AR112*$BC73/SUMPRODUCT(AR$97:AR$131,$BC$58:$BC$92),0)</f>
        <v/>
      </c>
      <c r="AS151" s="39">
        <f>IFERROR(AS112*$BC73/SUMPRODUCT(AS$97:AS$131,$BC$58:$BC$92),0)</f>
        <v/>
      </c>
      <c r="AT151" s="39">
        <f>IFERROR(AT112*$BC73/SUMPRODUCT(AT$97:AT$131,$BC$58:$BC$92),0)</f>
        <v/>
      </c>
      <c r="AU151" s="39">
        <f>IFERROR(AU112*$BC73/SUMPRODUCT(AU$97:AU$131,$BC$58:$BC$92),0)</f>
        <v/>
      </c>
      <c r="AV151" s="39">
        <f>IFERROR(AV112*$BC73/SUMPRODUCT(AV$97:AV$131,$BC$58:$BC$92),0)</f>
        <v/>
      </c>
      <c r="AW151" s="39">
        <f>IFERROR(AW112*$BC73/SUMPRODUCT(AW$97:AW$131,$BC$58:$BC$92),0)</f>
        <v/>
      </c>
      <c r="AX151" s="39">
        <f>IFERROR(AX112*$BC73/SUMPRODUCT(AX$97:AX$131,$BC$58:$BC$92),0)</f>
        <v/>
      </c>
      <c r="AY151" s="39">
        <f>IFERROR(AY112*$BC73/SUMPRODUCT(AY$97:AY$131,$BC$58:$BC$92),0)</f>
        <v/>
      </c>
      <c r="AZ151" s="39">
        <f>IFERROR(AZ112*$BC73/SUMPRODUCT(AZ$97:AZ$131,$BC$58:$BC$92),0)</f>
        <v/>
      </c>
      <c r="BA151" s="39">
        <f>IFERROR(BA112*$BC73/SUMPRODUCT(BA$97:BA$131,$BC$58:$BC$92),0)</f>
        <v/>
      </c>
      <c r="BB151" s="39">
        <f>IFERROR(BB112*$BC73/SUMPRODUCT(BB$97:BB$131,$BC$58:$BC$92),0)</f>
        <v/>
      </c>
    </row>
    <row r="152">
      <c r="C152" s="1" t="n"/>
      <c r="D152" s="237">
        <f>D113</f>
        <v/>
      </c>
      <c r="E152" s="141">
        <f>IFERROR(E113*$BC74/SUMPRODUCT(E$97:E$131,$BC$58:$BC$92),0)</f>
        <v/>
      </c>
      <c r="F152" s="141">
        <f>IFERROR(F113*$BC74/SUMPRODUCT(F$97:F$131,$BC$58:$BC$92),0)</f>
        <v/>
      </c>
      <c r="G152" s="141">
        <f>IFERROR(G113*$BC74/SUMPRODUCT(G$97:G$131,$BC$58:$BC$92),0)</f>
        <v/>
      </c>
      <c r="H152" s="39">
        <f>IFERROR(H113*$BC74/SUMPRODUCT(H$97:H$131,$BC$58:$BC$92),0)</f>
        <v/>
      </c>
      <c r="I152" s="39">
        <f>IFERROR(I113*$BC74/SUMPRODUCT(I$97:I$131,$BC$58:$BC$92),0)</f>
        <v/>
      </c>
      <c r="J152" s="39">
        <f>IFERROR(J113*$BC74/SUMPRODUCT(J$97:J$131,$BC$58:$BC$92),0)</f>
        <v/>
      </c>
      <c r="K152" s="39">
        <f>IFERROR(K113*$BC74/SUMPRODUCT(K$97:K$131,$BC$58:$BC$92),0)</f>
        <v/>
      </c>
      <c r="L152" s="39">
        <f>IFERROR(L113*$BC74/SUMPRODUCT(L$97:L$131,$BC$58:$BC$92),0)</f>
        <v/>
      </c>
      <c r="M152" s="39">
        <f>IFERROR(M113*$BC74/SUMPRODUCT(M$97:M$131,$BC$58:$BC$92),0)</f>
        <v/>
      </c>
      <c r="N152" s="39">
        <f>IFERROR(N113*$BC74/SUMPRODUCT(N$97:N$131,$BC$58:$BC$92),0)</f>
        <v/>
      </c>
      <c r="O152" s="39">
        <f>IFERROR(O113*$BC74/SUMPRODUCT(O$97:O$131,$BC$58:$BC$92),0)</f>
        <v/>
      </c>
      <c r="P152" s="39">
        <f>IFERROR(P113*$BC74/SUMPRODUCT(P$97:P$131,$BC$58:$BC$92),0)</f>
        <v/>
      </c>
      <c r="Q152" s="39">
        <f>IFERROR(Q113*$BC74/SUMPRODUCT(Q$97:Q$131,$BC$58:$BC$92),0)</f>
        <v/>
      </c>
      <c r="R152" s="39">
        <f>IFERROR(R113*$BC74/SUMPRODUCT(R$97:R$131,$BC$58:$BC$92),0)</f>
        <v/>
      </c>
      <c r="S152" s="39">
        <f>IFERROR(S113*$BC74/SUMPRODUCT(S$97:S$131,$BC$58:$BC$92),0)</f>
        <v/>
      </c>
      <c r="T152" s="39">
        <f>IFERROR(T113*$BC74/SUMPRODUCT(T$97:T$131,$BC$58:$BC$92),0)</f>
        <v/>
      </c>
      <c r="U152" s="39">
        <f>IFERROR(U113*$BC74/SUMPRODUCT(U$97:U$131,$BC$58:$BC$92),0)</f>
        <v/>
      </c>
      <c r="V152" s="39">
        <f>IFERROR(V113*$BC74/SUMPRODUCT(V$97:V$131,$BC$58:$BC$92),0)</f>
        <v/>
      </c>
      <c r="W152" s="39">
        <f>IFERROR(W113*$BC74/SUMPRODUCT(W$97:W$131,$BC$58:$BC$92),0)</f>
        <v/>
      </c>
      <c r="X152" s="39">
        <f>IFERROR(X113*$BC74/SUMPRODUCT(X$97:X$131,$BC$58:$BC$92),0)</f>
        <v/>
      </c>
      <c r="Y152" s="39">
        <f>IFERROR(Y113*$BC74/SUMPRODUCT(Y$97:Y$131,$BC$58:$BC$92),0)</f>
        <v/>
      </c>
      <c r="Z152" s="39">
        <f>IFERROR(Z113*$BC74/SUMPRODUCT(Z$97:Z$131,$BC$58:$BC$92),0)</f>
        <v/>
      </c>
      <c r="AA152" s="39">
        <f>IFERROR(AA113*$BC74/SUMPRODUCT(AA$97:AA$131,$BC$58:$BC$92),0)</f>
        <v/>
      </c>
      <c r="AB152" s="39">
        <f>IFERROR(AB113*$BC74/SUMPRODUCT(AB$97:AB$131,$BC$58:$BC$92),0)</f>
        <v/>
      </c>
      <c r="AC152" s="39">
        <f>IFERROR(AC113*$BC74/SUMPRODUCT(AC$97:AC$131,$BC$58:$BC$92),0)</f>
        <v/>
      </c>
      <c r="AD152" s="39">
        <f>IFERROR(AD113*$BC74/SUMPRODUCT(AD$97:AD$131,$BC$58:$BC$92),0)</f>
        <v/>
      </c>
      <c r="AE152" s="39">
        <f>IFERROR(AE113*$BC74/SUMPRODUCT(AE$97:AE$131,$BC$58:$BC$92),0)</f>
        <v/>
      </c>
      <c r="AF152" s="39">
        <f>IFERROR(AF113*$BC74/SUMPRODUCT(AF$97:AF$131,$BC$58:$BC$92),0)</f>
        <v/>
      </c>
      <c r="AG152" s="39">
        <f>IFERROR(AG113*$BC74/SUMPRODUCT(AG$97:AG$131,$BC$58:$BC$92),0)</f>
        <v/>
      </c>
      <c r="AH152" s="39">
        <f>IFERROR(AH113*$BC74/SUMPRODUCT(AH$97:AH$131,$BC$58:$BC$92),0)</f>
        <v/>
      </c>
      <c r="AI152" s="39">
        <f>IFERROR(AI113*$BC74/SUMPRODUCT(AI$97:AI$131,$BC$58:$BC$92),0)</f>
        <v/>
      </c>
      <c r="AJ152" s="39">
        <f>IFERROR(AJ113*$BC74/SUMPRODUCT(AJ$97:AJ$131,$BC$58:$BC$92),0)</f>
        <v/>
      </c>
      <c r="AK152" s="39">
        <f>IFERROR(AK113*$BC74/SUMPRODUCT(AK$97:AK$131,$BC$58:$BC$92),0)</f>
        <v/>
      </c>
      <c r="AL152" s="39">
        <f>IFERROR(AL113*$BC74/SUMPRODUCT(AL$97:AL$131,$BC$58:$BC$92),0)</f>
        <v/>
      </c>
      <c r="AM152" s="39">
        <f>IFERROR(AM113*$BC74/SUMPRODUCT(AM$97:AM$131,$BC$58:$BC$92),0)</f>
        <v/>
      </c>
      <c r="AN152" s="39">
        <f>IFERROR(AN113*$BC74/SUMPRODUCT(AN$97:AN$131,$BC$58:$BC$92),0)</f>
        <v/>
      </c>
      <c r="AO152" s="39">
        <f>IFERROR(AO113*$BC74/SUMPRODUCT(AO$97:AO$131,$BC$58:$BC$92),0)</f>
        <v/>
      </c>
      <c r="AP152" s="39">
        <f>IFERROR(AP113*$BC74/SUMPRODUCT(AP$97:AP$131,$BC$58:$BC$92),0)</f>
        <v/>
      </c>
      <c r="AQ152" s="39">
        <f>IFERROR(AQ113*$BC74/SUMPRODUCT(AQ$97:AQ$131,$BC$58:$BC$92),0)</f>
        <v/>
      </c>
      <c r="AR152" s="39">
        <f>IFERROR(AR113*$BC74/SUMPRODUCT(AR$97:AR$131,$BC$58:$BC$92),0)</f>
        <v/>
      </c>
      <c r="AS152" s="39">
        <f>IFERROR(AS113*$BC74/SUMPRODUCT(AS$97:AS$131,$BC$58:$BC$92),0)</f>
        <v/>
      </c>
      <c r="AT152" s="39">
        <f>IFERROR(AT113*$BC74/SUMPRODUCT(AT$97:AT$131,$BC$58:$BC$92),0)</f>
        <v/>
      </c>
      <c r="AU152" s="39">
        <f>IFERROR(AU113*$BC74/SUMPRODUCT(AU$97:AU$131,$BC$58:$BC$92),0)</f>
        <v/>
      </c>
      <c r="AV152" s="39">
        <f>IFERROR(AV113*$BC74/SUMPRODUCT(AV$97:AV$131,$BC$58:$BC$92),0)</f>
        <v/>
      </c>
      <c r="AW152" s="39">
        <f>IFERROR(AW113*$BC74/SUMPRODUCT(AW$97:AW$131,$BC$58:$BC$92),0)</f>
        <v/>
      </c>
      <c r="AX152" s="39">
        <f>IFERROR(AX113*$BC74/SUMPRODUCT(AX$97:AX$131,$BC$58:$BC$92),0)</f>
        <v/>
      </c>
      <c r="AY152" s="39">
        <f>IFERROR(AY113*$BC74/SUMPRODUCT(AY$97:AY$131,$BC$58:$BC$92),0)</f>
        <v/>
      </c>
      <c r="AZ152" s="39">
        <f>IFERROR(AZ113*$BC74/SUMPRODUCT(AZ$97:AZ$131,$BC$58:$BC$92),0)</f>
        <v/>
      </c>
      <c r="BA152" s="39">
        <f>IFERROR(BA113*$BC74/SUMPRODUCT(BA$97:BA$131,$BC$58:$BC$92),0)</f>
        <v/>
      </c>
      <c r="BB152" s="39">
        <f>IFERROR(BB113*$BC74/SUMPRODUCT(BB$97:BB$131,$BC$58:$BC$92),0)</f>
        <v/>
      </c>
    </row>
    <row r="153">
      <c r="C153" s="1" t="n"/>
      <c r="D153" s="237">
        <f>D114</f>
        <v/>
      </c>
      <c r="E153" s="141">
        <f>IFERROR(E114*$BC75/SUMPRODUCT(E$97:E$131,$BC$58:$BC$92),0)</f>
        <v/>
      </c>
      <c r="F153" s="141">
        <f>IFERROR(F114*$BC75/SUMPRODUCT(F$97:F$131,$BC$58:$BC$92),0)</f>
        <v/>
      </c>
      <c r="G153" s="141">
        <f>IFERROR(G114*$BC75/SUMPRODUCT(G$97:G$131,$BC$58:$BC$92),0)</f>
        <v/>
      </c>
      <c r="H153" s="39">
        <f>IFERROR(H114*$BC75/SUMPRODUCT(H$97:H$131,$BC$58:$BC$92),0)</f>
        <v/>
      </c>
      <c r="I153" s="39">
        <f>IFERROR(I114*$BC75/SUMPRODUCT(I$97:I$131,$BC$58:$BC$92),0)</f>
        <v/>
      </c>
      <c r="J153" s="39">
        <f>IFERROR(J114*$BC75/SUMPRODUCT(J$97:J$131,$BC$58:$BC$92),0)</f>
        <v/>
      </c>
      <c r="K153" s="39">
        <f>IFERROR(K114*$BC75/SUMPRODUCT(K$97:K$131,$BC$58:$BC$92),0)</f>
        <v/>
      </c>
      <c r="L153" s="39">
        <f>IFERROR(L114*$BC75/SUMPRODUCT(L$97:L$131,$BC$58:$BC$92),0)</f>
        <v/>
      </c>
      <c r="M153" s="39">
        <f>IFERROR(M114*$BC75/SUMPRODUCT(M$97:M$131,$BC$58:$BC$92),0)</f>
        <v/>
      </c>
      <c r="N153" s="39">
        <f>IFERROR(N114*$BC75/SUMPRODUCT(N$97:N$131,$BC$58:$BC$92),0)</f>
        <v/>
      </c>
      <c r="O153" s="39">
        <f>IFERROR(O114*$BC75/SUMPRODUCT(O$97:O$131,$BC$58:$BC$92),0)</f>
        <v/>
      </c>
      <c r="P153" s="39">
        <f>IFERROR(P114*$BC75/SUMPRODUCT(P$97:P$131,$BC$58:$BC$92),0)</f>
        <v/>
      </c>
      <c r="Q153" s="39">
        <f>IFERROR(Q114*$BC75/SUMPRODUCT(Q$97:Q$131,$BC$58:$BC$92),0)</f>
        <v/>
      </c>
      <c r="R153" s="39">
        <f>IFERROR(R114*$BC75/SUMPRODUCT(R$97:R$131,$BC$58:$BC$92),0)</f>
        <v/>
      </c>
      <c r="S153" s="39">
        <f>IFERROR(S114*$BC75/SUMPRODUCT(S$97:S$131,$BC$58:$BC$92),0)</f>
        <v/>
      </c>
      <c r="T153" s="39">
        <f>IFERROR(T114*$BC75/SUMPRODUCT(T$97:T$131,$BC$58:$BC$92),0)</f>
        <v/>
      </c>
      <c r="U153" s="39">
        <f>IFERROR(U114*$BC75/SUMPRODUCT(U$97:U$131,$BC$58:$BC$92),0)</f>
        <v/>
      </c>
      <c r="V153" s="39">
        <f>IFERROR(V114*$BC75/SUMPRODUCT(V$97:V$131,$BC$58:$BC$92),0)</f>
        <v/>
      </c>
      <c r="W153" s="39">
        <f>IFERROR(W114*$BC75/SUMPRODUCT(W$97:W$131,$BC$58:$BC$92),0)</f>
        <v/>
      </c>
      <c r="X153" s="39">
        <f>IFERROR(X114*$BC75/SUMPRODUCT(X$97:X$131,$BC$58:$BC$92),0)</f>
        <v/>
      </c>
      <c r="Y153" s="39">
        <f>IFERROR(Y114*$BC75/SUMPRODUCT(Y$97:Y$131,$BC$58:$BC$92),0)</f>
        <v/>
      </c>
      <c r="Z153" s="39">
        <f>IFERROR(Z114*$BC75/SUMPRODUCT(Z$97:Z$131,$BC$58:$BC$92),0)</f>
        <v/>
      </c>
      <c r="AA153" s="39">
        <f>IFERROR(AA114*$BC75/SUMPRODUCT(AA$97:AA$131,$BC$58:$BC$92),0)</f>
        <v/>
      </c>
      <c r="AB153" s="39">
        <f>IFERROR(AB114*$BC75/SUMPRODUCT(AB$97:AB$131,$BC$58:$BC$92),0)</f>
        <v/>
      </c>
      <c r="AC153" s="39">
        <f>IFERROR(AC114*$BC75/SUMPRODUCT(AC$97:AC$131,$BC$58:$BC$92),0)</f>
        <v/>
      </c>
      <c r="AD153" s="39">
        <f>IFERROR(AD114*$BC75/SUMPRODUCT(AD$97:AD$131,$BC$58:$BC$92),0)</f>
        <v/>
      </c>
      <c r="AE153" s="39">
        <f>IFERROR(AE114*$BC75/SUMPRODUCT(AE$97:AE$131,$BC$58:$BC$92),0)</f>
        <v/>
      </c>
      <c r="AF153" s="39">
        <f>IFERROR(AF114*$BC75/SUMPRODUCT(AF$97:AF$131,$BC$58:$BC$92),0)</f>
        <v/>
      </c>
      <c r="AG153" s="39">
        <f>IFERROR(AG114*$BC75/SUMPRODUCT(AG$97:AG$131,$BC$58:$BC$92),0)</f>
        <v/>
      </c>
      <c r="AH153" s="39">
        <f>IFERROR(AH114*$BC75/SUMPRODUCT(AH$97:AH$131,$BC$58:$BC$92),0)</f>
        <v/>
      </c>
      <c r="AI153" s="39">
        <f>IFERROR(AI114*$BC75/SUMPRODUCT(AI$97:AI$131,$BC$58:$BC$92),0)</f>
        <v/>
      </c>
      <c r="AJ153" s="39">
        <f>IFERROR(AJ114*$BC75/SUMPRODUCT(AJ$97:AJ$131,$BC$58:$BC$92),0)</f>
        <v/>
      </c>
      <c r="AK153" s="39">
        <f>IFERROR(AK114*$BC75/SUMPRODUCT(AK$97:AK$131,$BC$58:$BC$92),0)</f>
        <v/>
      </c>
      <c r="AL153" s="39">
        <f>IFERROR(AL114*$BC75/SUMPRODUCT(AL$97:AL$131,$BC$58:$BC$92),0)</f>
        <v/>
      </c>
      <c r="AM153" s="39">
        <f>IFERROR(AM114*$BC75/SUMPRODUCT(AM$97:AM$131,$BC$58:$BC$92),0)</f>
        <v/>
      </c>
      <c r="AN153" s="39">
        <f>IFERROR(AN114*$BC75/SUMPRODUCT(AN$97:AN$131,$BC$58:$BC$92),0)</f>
        <v/>
      </c>
      <c r="AO153" s="39">
        <f>IFERROR(AO114*$BC75/SUMPRODUCT(AO$97:AO$131,$BC$58:$BC$92),0)</f>
        <v/>
      </c>
      <c r="AP153" s="39">
        <f>IFERROR(AP114*$BC75/SUMPRODUCT(AP$97:AP$131,$BC$58:$BC$92),0)</f>
        <v/>
      </c>
      <c r="AQ153" s="39">
        <f>IFERROR(AQ114*$BC75/SUMPRODUCT(AQ$97:AQ$131,$BC$58:$BC$92),0)</f>
        <v/>
      </c>
      <c r="AR153" s="39">
        <f>IFERROR(AR114*$BC75/SUMPRODUCT(AR$97:AR$131,$BC$58:$BC$92),0)</f>
        <v/>
      </c>
      <c r="AS153" s="39">
        <f>IFERROR(AS114*$BC75/SUMPRODUCT(AS$97:AS$131,$BC$58:$BC$92),0)</f>
        <v/>
      </c>
      <c r="AT153" s="39">
        <f>IFERROR(AT114*$BC75/SUMPRODUCT(AT$97:AT$131,$BC$58:$BC$92),0)</f>
        <v/>
      </c>
      <c r="AU153" s="39">
        <f>IFERROR(AU114*$BC75/SUMPRODUCT(AU$97:AU$131,$BC$58:$BC$92),0)</f>
        <v/>
      </c>
      <c r="AV153" s="39">
        <f>IFERROR(AV114*$BC75/SUMPRODUCT(AV$97:AV$131,$BC$58:$BC$92),0)</f>
        <v/>
      </c>
      <c r="AW153" s="39">
        <f>IFERROR(AW114*$BC75/SUMPRODUCT(AW$97:AW$131,$BC$58:$BC$92),0)</f>
        <v/>
      </c>
      <c r="AX153" s="39">
        <f>IFERROR(AX114*$BC75/SUMPRODUCT(AX$97:AX$131,$BC$58:$BC$92),0)</f>
        <v/>
      </c>
      <c r="AY153" s="39">
        <f>IFERROR(AY114*$BC75/SUMPRODUCT(AY$97:AY$131,$BC$58:$BC$92),0)</f>
        <v/>
      </c>
      <c r="AZ153" s="39">
        <f>IFERROR(AZ114*$BC75/SUMPRODUCT(AZ$97:AZ$131,$BC$58:$BC$92),0)</f>
        <v/>
      </c>
      <c r="BA153" s="39">
        <f>IFERROR(BA114*$BC75/SUMPRODUCT(BA$97:BA$131,$BC$58:$BC$92),0)</f>
        <v/>
      </c>
      <c r="BB153" s="39">
        <f>IFERROR(BB114*$BC75/SUMPRODUCT(BB$97:BB$131,$BC$58:$BC$92),0)</f>
        <v/>
      </c>
    </row>
    <row r="154">
      <c r="C154" s="1" t="n"/>
      <c r="D154" s="237">
        <f>D115</f>
        <v/>
      </c>
      <c r="E154" s="141">
        <f>IFERROR(E115*$BC76/SUMPRODUCT(E$97:E$131,$BC$58:$BC$92),0)</f>
        <v/>
      </c>
      <c r="F154" s="141">
        <f>IFERROR(F115*$BC76/SUMPRODUCT(F$97:F$131,$BC$58:$BC$92),0)</f>
        <v/>
      </c>
      <c r="G154" s="141">
        <f>IFERROR(G115*$BC76/SUMPRODUCT(G$97:G$131,$BC$58:$BC$92),0)</f>
        <v/>
      </c>
      <c r="H154" s="39">
        <f>IFERROR(H115*$BC76/SUMPRODUCT(H$97:H$131,$BC$58:$BC$92),0)</f>
        <v/>
      </c>
      <c r="I154" s="39">
        <f>IFERROR(I115*$BC76/SUMPRODUCT(I$97:I$131,$BC$58:$BC$92),0)</f>
        <v/>
      </c>
      <c r="J154" s="39">
        <f>IFERROR(J115*$BC76/SUMPRODUCT(J$97:J$131,$BC$58:$BC$92),0)</f>
        <v/>
      </c>
      <c r="K154" s="39">
        <f>IFERROR(K115*$BC76/SUMPRODUCT(K$97:K$131,$BC$58:$BC$92),0)</f>
        <v/>
      </c>
      <c r="L154" s="39">
        <f>IFERROR(L115*$BC76/SUMPRODUCT(L$97:L$131,$BC$58:$BC$92),0)</f>
        <v/>
      </c>
      <c r="M154" s="39">
        <f>IFERROR(M115*$BC76/SUMPRODUCT(M$97:M$131,$BC$58:$BC$92),0)</f>
        <v/>
      </c>
      <c r="N154" s="39">
        <f>IFERROR(N115*$BC76/SUMPRODUCT(N$97:N$131,$BC$58:$BC$92),0)</f>
        <v/>
      </c>
      <c r="O154" s="39">
        <f>IFERROR(O115*$BC76/SUMPRODUCT(O$97:O$131,$BC$58:$BC$92),0)</f>
        <v/>
      </c>
      <c r="P154" s="39">
        <f>IFERROR(P115*$BC76/SUMPRODUCT(P$97:P$131,$BC$58:$BC$92),0)</f>
        <v/>
      </c>
      <c r="Q154" s="39">
        <f>IFERROR(Q115*$BC76/SUMPRODUCT(Q$97:Q$131,$BC$58:$BC$92),0)</f>
        <v/>
      </c>
      <c r="R154" s="39">
        <f>IFERROR(R115*$BC76/SUMPRODUCT(R$97:R$131,$BC$58:$BC$92),0)</f>
        <v/>
      </c>
      <c r="S154" s="39">
        <f>IFERROR(S115*$BC76/SUMPRODUCT(S$97:S$131,$BC$58:$BC$92),0)</f>
        <v/>
      </c>
      <c r="T154" s="39">
        <f>IFERROR(T115*$BC76/SUMPRODUCT(T$97:T$131,$BC$58:$BC$92),0)</f>
        <v/>
      </c>
      <c r="U154" s="39">
        <f>IFERROR(U115*$BC76/SUMPRODUCT(U$97:U$131,$BC$58:$BC$92),0)</f>
        <v/>
      </c>
      <c r="V154" s="39">
        <f>IFERROR(V115*$BC76/SUMPRODUCT(V$97:V$131,$BC$58:$BC$92),0)</f>
        <v/>
      </c>
      <c r="W154" s="39">
        <f>IFERROR(W115*$BC76/SUMPRODUCT(W$97:W$131,$BC$58:$BC$92),0)</f>
        <v/>
      </c>
      <c r="X154" s="39">
        <f>IFERROR(X115*$BC76/SUMPRODUCT(X$97:X$131,$BC$58:$BC$92),0)</f>
        <v/>
      </c>
      <c r="Y154" s="39">
        <f>IFERROR(Y115*$BC76/SUMPRODUCT(Y$97:Y$131,$BC$58:$BC$92),0)</f>
        <v/>
      </c>
      <c r="Z154" s="39">
        <f>IFERROR(Z115*$BC76/SUMPRODUCT(Z$97:Z$131,$BC$58:$BC$92),0)</f>
        <v/>
      </c>
      <c r="AA154" s="39">
        <f>IFERROR(AA115*$BC76/SUMPRODUCT(AA$97:AA$131,$BC$58:$BC$92),0)</f>
        <v/>
      </c>
      <c r="AB154" s="39">
        <f>IFERROR(AB115*$BC76/SUMPRODUCT(AB$97:AB$131,$BC$58:$BC$92),0)</f>
        <v/>
      </c>
      <c r="AC154" s="39">
        <f>IFERROR(AC115*$BC76/SUMPRODUCT(AC$97:AC$131,$BC$58:$BC$92),0)</f>
        <v/>
      </c>
      <c r="AD154" s="39">
        <f>IFERROR(AD115*$BC76/SUMPRODUCT(AD$97:AD$131,$BC$58:$BC$92),0)</f>
        <v/>
      </c>
      <c r="AE154" s="39">
        <f>IFERROR(AE115*$BC76/SUMPRODUCT(AE$97:AE$131,$BC$58:$BC$92),0)</f>
        <v/>
      </c>
      <c r="AF154" s="39">
        <f>IFERROR(AF115*$BC76/SUMPRODUCT(AF$97:AF$131,$BC$58:$BC$92),0)</f>
        <v/>
      </c>
      <c r="AG154" s="39">
        <f>IFERROR(AG115*$BC76/SUMPRODUCT(AG$97:AG$131,$BC$58:$BC$92),0)</f>
        <v/>
      </c>
      <c r="AH154" s="39">
        <f>IFERROR(AH115*$BC76/SUMPRODUCT(AH$97:AH$131,$BC$58:$BC$92),0)</f>
        <v/>
      </c>
      <c r="AI154" s="39">
        <f>IFERROR(AI115*$BC76/SUMPRODUCT(AI$97:AI$131,$BC$58:$BC$92),0)</f>
        <v/>
      </c>
      <c r="AJ154" s="39">
        <f>IFERROR(AJ115*$BC76/SUMPRODUCT(AJ$97:AJ$131,$BC$58:$BC$92),0)</f>
        <v/>
      </c>
      <c r="AK154" s="39">
        <f>IFERROR(AK115*$BC76/SUMPRODUCT(AK$97:AK$131,$BC$58:$BC$92),0)</f>
        <v/>
      </c>
      <c r="AL154" s="39">
        <f>IFERROR(AL115*$BC76/SUMPRODUCT(AL$97:AL$131,$BC$58:$BC$92),0)</f>
        <v/>
      </c>
      <c r="AM154" s="39">
        <f>IFERROR(AM115*$BC76/SUMPRODUCT(AM$97:AM$131,$BC$58:$BC$92),0)</f>
        <v/>
      </c>
      <c r="AN154" s="39">
        <f>IFERROR(AN115*$BC76/SUMPRODUCT(AN$97:AN$131,$BC$58:$BC$92),0)</f>
        <v/>
      </c>
      <c r="AO154" s="39">
        <f>IFERROR(AO115*$BC76/SUMPRODUCT(AO$97:AO$131,$BC$58:$BC$92),0)</f>
        <v/>
      </c>
      <c r="AP154" s="39">
        <f>IFERROR(AP115*$BC76/SUMPRODUCT(AP$97:AP$131,$BC$58:$BC$92),0)</f>
        <v/>
      </c>
      <c r="AQ154" s="39">
        <f>IFERROR(AQ115*$BC76/SUMPRODUCT(AQ$97:AQ$131,$BC$58:$BC$92),0)</f>
        <v/>
      </c>
      <c r="AR154" s="39">
        <f>IFERROR(AR115*$BC76/SUMPRODUCT(AR$97:AR$131,$BC$58:$BC$92),0)</f>
        <v/>
      </c>
      <c r="AS154" s="39">
        <f>IFERROR(AS115*$BC76/SUMPRODUCT(AS$97:AS$131,$BC$58:$BC$92),0)</f>
        <v/>
      </c>
      <c r="AT154" s="39">
        <f>IFERROR(AT115*$BC76/SUMPRODUCT(AT$97:AT$131,$BC$58:$BC$92),0)</f>
        <v/>
      </c>
      <c r="AU154" s="39">
        <f>IFERROR(AU115*$BC76/SUMPRODUCT(AU$97:AU$131,$BC$58:$BC$92),0)</f>
        <v/>
      </c>
      <c r="AV154" s="39">
        <f>IFERROR(AV115*$BC76/SUMPRODUCT(AV$97:AV$131,$BC$58:$BC$92),0)</f>
        <v/>
      </c>
      <c r="AW154" s="39">
        <f>IFERROR(AW115*$BC76/SUMPRODUCT(AW$97:AW$131,$BC$58:$BC$92),0)</f>
        <v/>
      </c>
      <c r="AX154" s="39">
        <f>IFERROR(AX115*$BC76/SUMPRODUCT(AX$97:AX$131,$BC$58:$BC$92),0)</f>
        <v/>
      </c>
      <c r="AY154" s="39">
        <f>IFERROR(AY115*$BC76/SUMPRODUCT(AY$97:AY$131,$BC$58:$BC$92),0)</f>
        <v/>
      </c>
      <c r="AZ154" s="39">
        <f>IFERROR(AZ115*$BC76/SUMPRODUCT(AZ$97:AZ$131,$BC$58:$BC$92),0)</f>
        <v/>
      </c>
      <c r="BA154" s="39">
        <f>IFERROR(BA115*$BC76/SUMPRODUCT(BA$97:BA$131,$BC$58:$BC$92),0)</f>
        <v/>
      </c>
      <c r="BB154" s="39">
        <f>IFERROR(BB115*$BC76/SUMPRODUCT(BB$97:BB$131,$BC$58:$BC$92),0)</f>
        <v/>
      </c>
    </row>
    <row r="155">
      <c r="C155" s="1" t="n"/>
      <c r="D155" s="237">
        <f>D116</f>
        <v/>
      </c>
      <c r="E155" s="141">
        <f>IFERROR(E116*$BC77/SUMPRODUCT(E$97:E$131,$BC$58:$BC$92),0)</f>
        <v/>
      </c>
      <c r="F155" s="141">
        <f>IFERROR(F116*$BC77/SUMPRODUCT(F$97:F$131,$BC$58:$BC$92),0)</f>
        <v/>
      </c>
      <c r="G155" s="141">
        <f>IFERROR(G116*$BC77/SUMPRODUCT(G$97:G$131,$BC$58:$BC$92),0)</f>
        <v/>
      </c>
      <c r="H155" s="39">
        <f>IFERROR(H116*$BC77/SUMPRODUCT(H$97:H$131,$BC$58:$BC$92),0)</f>
        <v/>
      </c>
      <c r="I155" s="39">
        <f>IFERROR(I116*$BC77/SUMPRODUCT(I$97:I$131,$BC$58:$BC$92),0)</f>
        <v/>
      </c>
      <c r="J155" s="39">
        <f>IFERROR(J116*$BC77/SUMPRODUCT(J$97:J$131,$BC$58:$BC$92),0)</f>
        <v/>
      </c>
      <c r="K155" s="39">
        <f>IFERROR(K116*$BC77/SUMPRODUCT(K$97:K$131,$BC$58:$BC$92),0)</f>
        <v/>
      </c>
      <c r="L155" s="39">
        <f>IFERROR(L116*$BC77/SUMPRODUCT(L$97:L$131,$BC$58:$BC$92),0)</f>
        <v/>
      </c>
      <c r="M155" s="39">
        <f>IFERROR(M116*$BC77/SUMPRODUCT(M$97:M$131,$BC$58:$BC$92),0)</f>
        <v/>
      </c>
      <c r="N155" s="39">
        <f>IFERROR(N116*$BC77/SUMPRODUCT(N$97:N$131,$BC$58:$BC$92),0)</f>
        <v/>
      </c>
      <c r="O155" s="39">
        <f>IFERROR(O116*$BC77/SUMPRODUCT(O$97:O$131,$BC$58:$BC$92),0)</f>
        <v/>
      </c>
      <c r="P155" s="39">
        <f>IFERROR(P116*$BC77/SUMPRODUCT(P$97:P$131,$BC$58:$BC$92),0)</f>
        <v/>
      </c>
      <c r="Q155" s="39">
        <f>IFERROR(Q116*$BC77/SUMPRODUCT(Q$97:Q$131,$BC$58:$BC$92),0)</f>
        <v/>
      </c>
      <c r="R155" s="39">
        <f>IFERROR(R116*$BC77/SUMPRODUCT(R$97:R$131,$BC$58:$BC$92),0)</f>
        <v/>
      </c>
      <c r="S155" s="39">
        <f>IFERROR(S116*$BC77/SUMPRODUCT(S$97:S$131,$BC$58:$BC$92),0)</f>
        <v/>
      </c>
      <c r="T155" s="39">
        <f>IFERROR(T116*$BC77/SUMPRODUCT(T$97:T$131,$BC$58:$BC$92),0)</f>
        <v/>
      </c>
      <c r="U155" s="39">
        <f>IFERROR(U116*$BC77/SUMPRODUCT(U$97:U$131,$BC$58:$BC$92),0)</f>
        <v/>
      </c>
      <c r="V155" s="39">
        <f>IFERROR(V116*$BC77/SUMPRODUCT(V$97:V$131,$BC$58:$BC$92),0)</f>
        <v/>
      </c>
      <c r="W155" s="39">
        <f>IFERROR(W116*$BC77/SUMPRODUCT(W$97:W$131,$BC$58:$BC$92),0)</f>
        <v/>
      </c>
      <c r="X155" s="39">
        <f>IFERROR(X116*$BC77/SUMPRODUCT(X$97:X$131,$BC$58:$BC$92),0)</f>
        <v/>
      </c>
      <c r="Y155" s="39">
        <f>IFERROR(Y116*$BC77/SUMPRODUCT(Y$97:Y$131,$BC$58:$BC$92),0)</f>
        <v/>
      </c>
      <c r="Z155" s="39">
        <f>IFERROR(Z116*$BC77/SUMPRODUCT(Z$97:Z$131,$BC$58:$BC$92),0)</f>
        <v/>
      </c>
      <c r="AA155" s="39">
        <f>IFERROR(AA116*$BC77/SUMPRODUCT(AA$97:AA$131,$BC$58:$BC$92),0)</f>
        <v/>
      </c>
      <c r="AB155" s="39">
        <f>IFERROR(AB116*$BC77/SUMPRODUCT(AB$97:AB$131,$BC$58:$BC$92),0)</f>
        <v/>
      </c>
      <c r="AC155" s="39">
        <f>IFERROR(AC116*$BC77/SUMPRODUCT(AC$97:AC$131,$BC$58:$BC$92),0)</f>
        <v/>
      </c>
      <c r="AD155" s="39">
        <f>IFERROR(AD116*$BC77/SUMPRODUCT(AD$97:AD$131,$BC$58:$BC$92),0)</f>
        <v/>
      </c>
      <c r="AE155" s="39">
        <f>IFERROR(AE116*$BC77/SUMPRODUCT(AE$97:AE$131,$BC$58:$BC$92),0)</f>
        <v/>
      </c>
      <c r="AF155" s="39">
        <f>IFERROR(AF116*$BC77/SUMPRODUCT(AF$97:AF$131,$BC$58:$BC$92),0)</f>
        <v/>
      </c>
      <c r="AG155" s="39">
        <f>IFERROR(AG116*$BC77/SUMPRODUCT(AG$97:AG$131,$BC$58:$BC$92),0)</f>
        <v/>
      </c>
      <c r="AH155" s="39">
        <f>IFERROR(AH116*$BC77/SUMPRODUCT(AH$97:AH$131,$BC$58:$BC$92),0)</f>
        <v/>
      </c>
      <c r="AI155" s="39">
        <f>IFERROR(AI116*$BC77/SUMPRODUCT(AI$97:AI$131,$BC$58:$BC$92),0)</f>
        <v/>
      </c>
      <c r="AJ155" s="39">
        <f>IFERROR(AJ116*$BC77/SUMPRODUCT(AJ$97:AJ$131,$BC$58:$BC$92),0)</f>
        <v/>
      </c>
      <c r="AK155" s="39">
        <f>IFERROR(AK116*$BC77/SUMPRODUCT(AK$97:AK$131,$BC$58:$BC$92),0)</f>
        <v/>
      </c>
      <c r="AL155" s="39">
        <f>IFERROR(AL116*$BC77/SUMPRODUCT(AL$97:AL$131,$BC$58:$BC$92),0)</f>
        <v/>
      </c>
      <c r="AM155" s="39">
        <f>IFERROR(AM116*$BC77/SUMPRODUCT(AM$97:AM$131,$BC$58:$BC$92),0)</f>
        <v/>
      </c>
      <c r="AN155" s="39">
        <f>IFERROR(AN116*$BC77/SUMPRODUCT(AN$97:AN$131,$BC$58:$BC$92),0)</f>
        <v/>
      </c>
      <c r="AO155" s="39">
        <f>IFERROR(AO116*$BC77/SUMPRODUCT(AO$97:AO$131,$BC$58:$BC$92),0)</f>
        <v/>
      </c>
      <c r="AP155" s="39">
        <f>IFERROR(AP116*$BC77/SUMPRODUCT(AP$97:AP$131,$BC$58:$BC$92),0)</f>
        <v/>
      </c>
      <c r="AQ155" s="39">
        <f>IFERROR(AQ116*$BC77/SUMPRODUCT(AQ$97:AQ$131,$BC$58:$BC$92),0)</f>
        <v/>
      </c>
      <c r="AR155" s="39">
        <f>IFERROR(AR116*$BC77/SUMPRODUCT(AR$97:AR$131,$BC$58:$BC$92),0)</f>
        <v/>
      </c>
      <c r="AS155" s="39">
        <f>IFERROR(AS116*$BC77/SUMPRODUCT(AS$97:AS$131,$BC$58:$BC$92),0)</f>
        <v/>
      </c>
      <c r="AT155" s="39">
        <f>IFERROR(AT116*$BC77/SUMPRODUCT(AT$97:AT$131,$BC$58:$BC$92),0)</f>
        <v/>
      </c>
      <c r="AU155" s="39">
        <f>IFERROR(AU116*$BC77/SUMPRODUCT(AU$97:AU$131,$BC$58:$BC$92),0)</f>
        <v/>
      </c>
      <c r="AV155" s="39">
        <f>IFERROR(AV116*$BC77/SUMPRODUCT(AV$97:AV$131,$BC$58:$BC$92),0)</f>
        <v/>
      </c>
      <c r="AW155" s="39">
        <f>IFERROR(AW116*$BC77/SUMPRODUCT(AW$97:AW$131,$BC$58:$BC$92),0)</f>
        <v/>
      </c>
      <c r="AX155" s="39">
        <f>IFERROR(AX116*$BC77/SUMPRODUCT(AX$97:AX$131,$BC$58:$BC$92),0)</f>
        <v/>
      </c>
      <c r="AY155" s="39">
        <f>IFERROR(AY116*$BC77/SUMPRODUCT(AY$97:AY$131,$BC$58:$BC$92),0)</f>
        <v/>
      </c>
      <c r="AZ155" s="39">
        <f>IFERROR(AZ116*$BC77/SUMPRODUCT(AZ$97:AZ$131,$BC$58:$BC$92),0)</f>
        <v/>
      </c>
      <c r="BA155" s="39">
        <f>IFERROR(BA116*$BC77/SUMPRODUCT(BA$97:BA$131,$BC$58:$BC$92),0)</f>
        <v/>
      </c>
      <c r="BB155" s="39">
        <f>IFERROR(BB116*$BC77/SUMPRODUCT(BB$97:BB$131,$BC$58:$BC$92),0)</f>
        <v/>
      </c>
    </row>
    <row r="156">
      <c r="C156" s="1" t="n"/>
      <c r="D156" s="237">
        <f>D117</f>
        <v/>
      </c>
      <c r="E156" s="141">
        <f>IFERROR(E117*$BC78/SUMPRODUCT(E$97:E$131,$BC$58:$BC$92),0)</f>
        <v/>
      </c>
      <c r="F156" s="141">
        <f>IFERROR(F117*$BC78/SUMPRODUCT(F$97:F$131,$BC$58:$BC$92),0)</f>
        <v/>
      </c>
      <c r="G156" s="141">
        <f>IFERROR(G117*$BC78/SUMPRODUCT(G$97:G$131,$BC$58:$BC$92),0)</f>
        <v/>
      </c>
      <c r="H156" s="39">
        <f>IFERROR(H117*$BC78/SUMPRODUCT(H$97:H$131,$BC$58:$BC$92),0)</f>
        <v/>
      </c>
      <c r="I156" s="39">
        <f>IFERROR(I117*$BC78/SUMPRODUCT(I$97:I$131,$BC$58:$BC$92),0)</f>
        <v/>
      </c>
      <c r="J156" s="39">
        <f>IFERROR(J117*$BC78/SUMPRODUCT(J$97:J$131,$BC$58:$BC$92),0)</f>
        <v/>
      </c>
      <c r="K156" s="39">
        <f>IFERROR(K117*$BC78/SUMPRODUCT(K$97:K$131,$BC$58:$BC$92),0)</f>
        <v/>
      </c>
      <c r="L156" s="39">
        <f>IFERROR(L117*$BC78/SUMPRODUCT(L$97:L$131,$BC$58:$BC$92),0)</f>
        <v/>
      </c>
      <c r="M156" s="39">
        <f>IFERROR(M117*$BC78/SUMPRODUCT(M$97:M$131,$BC$58:$BC$92),0)</f>
        <v/>
      </c>
      <c r="N156" s="39">
        <f>IFERROR(N117*$BC78/SUMPRODUCT(N$97:N$131,$BC$58:$BC$92),0)</f>
        <v/>
      </c>
      <c r="O156" s="39">
        <f>IFERROR(O117*$BC78/SUMPRODUCT(O$97:O$131,$BC$58:$BC$92),0)</f>
        <v/>
      </c>
      <c r="P156" s="39">
        <f>IFERROR(P117*$BC78/SUMPRODUCT(P$97:P$131,$BC$58:$BC$92),0)</f>
        <v/>
      </c>
      <c r="Q156" s="39">
        <f>IFERROR(Q117*$BC78/SUMPRODUCT(Q$97:Q$131,$BC$58:$BC$92),0)</f>
        <v/>
      </c>
      <c r="R156" s="39">
        <f>IFERROR(R117*$BC78/SUMPRODUCT(R$97:R$131,$BC$58:$BC$92),0)</f>
        <v/>
      </c>
      <c r="S156" s="39">
        <f>IFERROR(S117*$BC78/SUMPRODUCT(S$97:S$131,$BC$58:$BC$92),0)</f>
        <v/>
      </c>
      <c r="T156" s="39">
        <f>IFERROR(T117*$BC78/SUMPRODUCT(T$97:T$131,$BC$58:$BC$92),0)</f>
        <v/>
      </c>
      <c r="U156" s="39">
        <f>IFERROR(U117*$BC78/SUMPRODUCT(U$97:U$131,$BC$58:$BC$92),0)</f>
        <v/>
      </c>
      <c r="V156" s="39">
        <f>IFERROR(V117*$BC78/SUMPRODUCT(V$97:V$131,$BC$58:$BC$92),0)</f>
        <v/>
      </c>
      <c r="W156" s="39">
        <f>IFERROR(W117*$BC78/SUMPRODUCT(W$97:W$131,$BC$58:$BC$92),0)</f>
        <v/>
      </c>
      <c r="X156" s="39">
        <f>IFERROR(X117*$BC78/SUMPRODUCT(X$97:X$131,$BC$58:$BC$92),0)</f>
        <v/>
      </c>
      <c r="Y156" s="39">
        <f>IFERROR(Y117*$BC78/SUMPRODUCT(Y$97:Y$131,$BC$58:$BC$92),0)</f>
        <v/>
      </c>
      <c r="Z156" s="39">
        <f>IFERROR(Z117*$BC78/SUMPRODUCT(Z$97:Z$131,$BC$58:$BC$92),0)</f>
        <v/>
      </c>
      <c r="AA156" s="39">
        <f>IFERROR(AA117*$BC78/SUMPRODUCT(AA$97:AA$131,$BC$58:$BC$92),0)</f>
        <v/>
      </c>
      <c r="AB156" s="39">
        <f>IFERROR(AB117*$BC78/SUMPRODUCT(AB$97:AB$131,$BC$58:$BC$92),0)</f>
        <v/>
      </c>
      <c r="AC156" s="39">
        <f>IFERROR(AC117*$BC78/SUMPRODUCT(AC$97:AC$131,$BC$58:$BC$92),0)</f>
        <v/>
      </c>
      <c r="AD156" s="39">
        <f>IFERROR(AD117*$BC78/SUMPRODUCT(AD$97:AD$131,$BC$58:$BC$92),0)</f>
        <v/>
      </c>
      <c r="AE156" s="39">
        <f>IFERROR(AE117*$BC78/SUMPRODUCT(AE$97:AE$131,$BC$58:$BC$92),0)</f>
        <v/>
      </c>
      <c r="AF156" s="39">
        <f>IFERROR(AF117*$BC78/SUMPRODUCT(AF$97:AF$131,$BC$58:$BC$92),0)</f>
        <v/>
      </c>
      <c r="AG156" s="39">
        <f>IFERROR(AG117*$BC78/SUMPRODUCT(AG$97:AG$131,$BC$58:$BC$92),0)</f>
        <v/>
      </c>
      <c r="AH156" s="39">
        <f>IFERROR(AH117*$BC78/SUMPRODUCT(AH$97:AH$131,$BC$58:$BC$92),0)</f>
        <v/>
      </c>
      <c r="AI156" s="39">
        <f>IFERROR(AI117*$BC78/SUMPRODUCT(AI$97:AI$131,$BC$58:$BC$92),0)</f>
        <v/>
      </c>
      <c r="AJ156" s="39">
        <f>IFERROR(AJ117*$BC78/SUMPRODUCT(AJ$97:AJ$131,$BC$58:$BC$92),0)</f>
        <v/>
      </c>
      <c r="AK156" s="39">
        <f>IFERROR(AK117*$BC78/SUMPRODUCT(AK$97:AK$131,$BC$58:$BC$92),0)</f>
        <v/>
      </c>
      <c r="AL156" s="39">
        <f>IFERROR(AL117*$BC78/SUMPRODUCT(AL$97:AL$131,$BC$58:$BC$92),0)</f>
        <v/>
      </c>
      <c r="AM156" s="39">
        <f>IFERROR(AM117*$BC78/SUMPRODUCT(AM$97:AM$131,$BC$58:$BC$92),0)</f>
        <v/>
      </c>
      <c r="AN156" s="39">
        <f>IFERROR(AN117*$BC78/SUMPRODUCT(AN$97:AN$131,$BC$58:$BC$92),0)</f>
        <v/>
      </c>
      <c r="AO156" s="39">
        <f>IFERROR(AO117*$BC78/SUMPRODUCT(AO$97:AO$131,$BC$58:$BC$92),0)</f>
        <v/>
      </c>
      <c r="AP156" s="39">
        <f>IFERROR(AP117*$BC78/SUMPRODUCT(AP$97:AP$131,$BC$58:$BC$92),0)</f>
        <v/>
      </c>
      <c r="AQ156" s="39">
        <f>IFERROR(AQ117*$BC78/SUMPRODUCT(AQ$97:AQ$131,$BC$58:$BC$92),0)</f>
        <v/>
      </c>
      <c r="AR156" s="39">
        <f>IFERROR(AR117*$BC78/SUMPRODUCT(AR$97:AR$131,$BC$58:$BC$92),0)</f>
        <v/>
      </c>
      <c r="AS156" s="39">
        <f>IFERROR(AS117*$BC78/SUMPRODUCT(AS$97:AS$131,$BC$58:$BC$92),0)</f>
        <v/>
      </c>
      <c r="AT156" s="39">
        <f>IFERROR(AT117*$BC78/SUMPRODUCT(AT$97:AT$131,$BC$58:$BC$92),0)</f>
        <v/>
      </c>
      <c r="AU156" s="39">
        <f>IFERROR(AU117*$BC78/SUMPRODUCT(AU$97:AU$131,$BC$58:$BC$92),0)</f>
        <v/>
      </c>
      <c r="AV156" s="39">
        <f>IFERROR(AV117*$BC78/SUMPRODUCT(AV$97:AV$131,$BC$58:$BC$92),0)</f>
        <v/>
      </c>
      <c r="AW156" s="39">
        <f>IFERROR(AW117*$BC78/SUMPRODUCT(AW$97:AW$131,$BC$58:$BC$92),0)</f>
        <v/>
      </c>
      <c r="AX156" s="39">
        <f>IFERROR(AX117*$BC78/SUMPRODUCT(AX$97:AX$131,$BC$58:$BC$92),0)</f>
        <v/>
      </c>
      <c r="AY156" s="39">
        <f>IFERROR(AY117*$BC78/SUMPRODUCT(AY$97:AY$131,$BC$58:$BC$92),0)</f>
        <v/>
      </c>
      <c r="AZ156" s="39">
        <f>IFERROR(AZ117*$BC78/SUMPRODUCT(AZ$97:AZ$131,$BC$58:$BC$92),0)</f>
        <v/>
      </c>
      <c r="BA156" s="39">
        <f>IFERROR(BA117*$BC78/SUMPRODUCT(BA$97:BA$131,$BC$58:$BC$92),0)</f>
        <v/>
      </c>
      <c r="BB156" s="39">
        <f>IFERROR(BB117*$BC78/SUMPRODUCT(BB$97:BB$131,$BC$58:$BC$92),0)</f>
        <v/>
      </c>
    </row>
    <row r="157">
      <c r="C157" s="1" t="n"/>
      <c r="D157" s="237">
        <f>D118</f>
        <v/>
      </c>
      <c r="E157" s="141">
        <f>IFERROR(E118*$BC79/SUMPRODUCT(E$97:E$131,$BC$58:$BC$92),0)</f>
        <v/>
      </c>
      <c r="F157" s="141">
        <f>IFERROR(F118*$BC79/SUMPRODUCT(F$97:F$131,$BC$58:$BC$92),0)</f>
        <v/>
      </c>
      <c r="G157" s="141">
        <f>IFERROR(G118*$BC79/SUMPRODUCT(G$97:G$131,$BC$58:$BC$92),0)</f>
        <v/>
      </c>
      <c r="H157" s="39">
        <f>IFERROR(H118*$BC79/SUMPRODUCT(H$97:H$131,$BC$58:$BC$92),0)</f>
        <v/>
      </c>
      <c r="I157" s="39">
        <f>IFERROR(I118*$BC79/SUMPRODUCT(I$97:I$131,$BC$58:$BC$92),0)</f>
        <v/>
      </c>
      <c r="J157" s="39">
        <f>IFERROR(J118*$BC79/SUMPRODUCT(J$97:J$131,$BC$58:$BC$92),0)</f>
        <v/>
      </c>
      <c r="K157" s="39">
        <f>IFERROR(K118*$BC79/SUMPRODUCT(K$97:K$131,$BC$58:$BC$92),0)</f>
        <v/>
      </c>
      <c r="L157" s="39">
        <f>IFERROR(L118*$BC79/SUMPRODUCT(L$97:L$131,$BC$58:$BC$92),0)</f>
        <v/>
      </c>
      <c r="M157" s="39">
        <f>IFERROR(M118*$BC79/SUMPRODUCT(M$97:M$131,$BC$58:$BC$92),0)</f>
        <v/>
      </c>
      <c r="N157" s="39">
        <f>IFERROR(N118*$BC79/SUMPRODUCT(N$97:N$131,$BC$58:$BC$92),0)</f>
        <v/>
      </c>
      <c r="O157" s="39">
        <f>IFERROR(O118*$BC79/SUMPRODUCT(O$97:O$131,$BC$58:$BC$92),0)</f>
        <v/>
      </c>
      <c r="P157" s="39">
        <f>IFERROR(P118*$BC79/SUMPRODUCT(P$97:P$131,$BC$58:$BC$92),0)</f>
        <v/>
      </c>
      <c r="Q157" s="39">
        <f>IFERROR(Q118*$BC79/SUMPRODUCT(Q$97:Q$131,$BC$58:$BC$92),0)</f>
        <v/>
      </c>
      <c r="R157" s="39">
        <f>IFERROR(R118*$BC79/SUMPRODUCT(R$97:R$131,$BC$58:$BC$92),0)</f>
        <v/>
      </c>
      <c r="S157" s="39">
        <f>IFERROR(S118*$BC79/SUMPRODUCT(S$97:S$131,$BC$58:$BC$92),0)</f>
        <v/>
      </c>
      <c r="T157" s="39">
        <f>IFERROR(T118*$BC79/SUMPRODUCT(T$97:T$131,$BC$58:$BC$92),0)</f>
        <v/>
      </c>
      <c r="U157" s="39">
        <f>IFERROR(U118*$BC79/SUMPRODUCT(U$97:U$131,$BC$58:$BC$92),0)</f>
        <v/>
      </c>
      <c r="V157" s="39">
        <f>IFERROR(V118*$BC79/SUMPRODUCT(V$97:V$131,$BC$58:$BC$92),0)</f>
        <v/>
      </c>
      <c r="W157" s="39">
        <f>IFERROR(W118*$BC79/SUMPRODUCT(W$97:W$131,$BC$58:$BC$92),0)</f>
        <v/>
      </c>
      <c r="X157" s="39">
        <f>IFERROR(X118*$BC79/SUMPRODUCT(X$97:X$131,$BC$58:$BC$92),0)</f>
        <v/>
      </c>
      <c r="Y157" s="39">
        <f>IFERROR(Y118*$BC79/SUMPRODUCT(Y$97:Y$131,$BC$58:$BC$92),0)</f>
        <v/>
      </c>
      <c r="Z157" s="39">
        <f>IFERROR(Z118*$BC79/SUMPRODUCT(Z$97:Z$131,$BC$58:$BC$92),0)</f>
        <v/>
      </c>
      <c r="AA157" s="39">
        <f>IFERROR(AA118*$BC79/SUMPRODUCT(AA$97:AA$131,$BC$58:$BC$92),0)</f>
        <v/>
      </c>
      <c r="AB157" s="39">
        <f>IFERROR(AB118*$BC79/SUMPRODUCT(AB$97:AB$131,$BC$58:$BC$92),0)</f>
        <v/>
      </c>
      <c r="AC157" s="39">
        <f>IFERROR(AC118*$BC79/SUMPRODUCT(AC$97:AC$131,$BC$58:$BC$92),0)</f>
        <v/>
      </c>
      <c r="AD157" s="39">
        <f>IFERROR(AD118*$BC79/SUMPRODUCT(AD$97:AD$131,$BC$58:$BC$92),0)</f>
        <v/>
      </c>
      <c r="AE157" s="39">
        <f>IFERROR(AE118*$BC79/SUMPRODUCT(AE$97:AE$131,$BC$58:$BC$92),0)</f>
        <v/>
      </c>
      <c r="AF157" s="39">
        <f>IFERROR(AF118*$BC79/SUMPRODUCT(AF$97:AF$131,$BC$58:$BC$92),0)</f>
        <v/>
      </c>
      <c r="AG157" s="39">
        <f>IFERROR(AG118*$BC79/SUMPRODUCT(AG$97:AG$131,$BC$58:$BC$92),0)</f>
        <v/>
      </c>
      <c r="AH157" s="39">
        <f>IFERROR(AH118*$BC79/SUMPRODUCT(AH$97:AH$131,$BC$58:$BC$92),0)</f>
        <v/>
      </c>
      <c r="AI157" s="39">
        <f>IFERROR(AI118*$BC79/SUMPRODUCT(AI$97:AI$131,$BC$58:$BC$92),0)</f>
        <v/>
      </c>
      <c r="AJ157" s="39">
        <f>IFERROR(AJ118*$BC79/SUMPRODUCT(AJ$97:AJ$131,$BC$58:$BC$92),0)</f>
        <v/>
      </c>
      <c r="AK157" s="39">
        <f>IFERROR(AK118*$BC79/SUMPRODUCT(AK$97:AK$131,$BC$58:$BC$92),0)</f>
        <v/>
      </c>
      <c r="AL157" s="39">
        <f>IFERROR(AL118*$BC79/SUMPRODUCT(AL$97:AL$131,$BC$58:$BC$92),0)</f>
        <v/>
      </c>
      <c r="AM157" s="39">
        <f>IFERROR(AM118*$BC79/SUMPRODUCT(AM$97:AM$131,$BC$58:$BC$92),0)</f>
        <v/>
      </c>
      <c r="AN157" s="39">
        <f>IFERROR(AN118*$BC79/SUMPRODUCT(AN$97:AN$131,$BC$58:$BC$92),0)</f>
        <v/>
      </c>
      <c r="AO157" s="39">
        <f>IFERROR(AO118*$BC79/SUMPRODUCT(AO$97:AO$131,$BC$58:$BC$92),0)</f>
        <v/>
      </c>
      <c r="AP157" s="39">
        <f>IFERROR(AP118*$BC79/SUMPRODUCT(AP$97:AP$131,$BC$58:$BC$92),0)</f>
        <v/>
      </c>
      <c r="AQ157" s="39">
        <f>IFERROR(AQ118*$BC79/SUMPRODUCT(AQ$97:AQ$131,$BC$58:$BC$92),0)</f>
        <v/>
      </c>
      <c r="AR157" s="39">
        <f>IFERROR(AR118*$BC79/SUMPRODUCT(AR$97:AR$131,$BC$58:$BC$92),0)</f>
        <v/>
      </c>
      <c r="AS157" s="39">
        <f>IFERROR(AS118*$BC79/SUMPRODUCT(AS$97:AS$131,$BC$58:$BC$92),0)</f>
        <v/>
      </c>
      <c r="AT157" s="39">
        <f>IFERROR(AT118*$BC79/SUMPRODUCT(AT$97:AT$131,$BC$58:$BC$92),0)</f>
        <v/>
      </c>
      <c r="AU157" s="39">
        <f>IFERROR(AU118*$BC79/SUMPRODUCT(AU$97:AU$131,$BC$58:$BC$92),0)</f>
        <v/>
      </c>
      <c r="AV157" s="39">
        <f>IFERROR(AV118*$BC79/SUMPRODUCT(AV$97:AV$131,$BC$58:$BC$92),0)</f>
        <v/>
      </c>
      <c r="AW157" s="39">
        <f>IFERROR(AW118*$BC79/SUMPRODUCT(AW$97:AW$131,$BC$58:$BC$92),0)</f>
        <v/>
      </c>
      <c r="AX157" s="39">
        <f>IFERROR(AX118*$BC79/SUMPRODUCT(AX$97:AX$131,$BC$58:$BC$92),0)</f>
        <v/>
      </c>
      <c r="AY157" s="39">
        <f>IFERROR(AY118*$BC79/SUMPRODUCT(AY$97:AY$131,$BC$58:$BC$92),0)</f>
        <v/>
      </c>
      <c r="AZ157" s="39">
        <f>IFERROR(AZ118*$BC79/SUMPRODUCT(AZ$97:AZ$131,$BC$58:$BC$92),0)</f>
        <v/>
      </c>
      <c r="BA157" s="39">
        <f>IFERROR(BA118*$BC79/SUMPRODUCT(BA$97:BA$131,$BC$58:$BC$92),0)</f>
        <v/>
      </c>
      <c r="BB157" s="39">
        <f>IFERROR(BB118*$BC79/SUMPRODUCT(BB$97:BB$131,$BC$58:$BC$92),0)</f>
        <v/>
      </c>
    </row>
    <row r="158">
      <c r="C158" s="1" t="n"/>
      <c r="D158" s="237">
        <f>D119</f>
        <v/>
      </c>
      <c r="E158" s="141">
        <f>IFERROR(E119*$BC80/SUMPRODUCT(E$97:E$131,$BC$58:$BC$92),0)</f>
        <v/>
      </c>
      <c r="F158" s="141">
        <f>IFERROR(F119*$BC80/SUMPRODUCT(F$97:F$131,$BC$58:$BC$92),0)</f>
        <v/>
      </c>
      <c r="G158" s="141">
        <f>IFERROR(G119*$BC80/SUMPRODUCT(G$97:G$131,$BC$58:$BC$92),0)</f>
        <v/>
      </c>
      <c r="H158" s="39">
        <f>IFERROR(H119*$BC80/SUMPRODUCT(H$97:H$131,$BC$58:$BC$92),0)</f>
        <v/>
      </c>
      <c r="I158" s="39">
        <f>IFERROR(I119*$BC80/SUMPRODUCT(I$97:I$131,$BC$58:$BC$92),0)</f>
        <v/>
      </c>
      <c r="J158" s="39">
        <f>IFERROR(J119*$BC80/SUMPRODUCT(J$97:J$131,$BC$58:$BC$92),0)</f>
        <v/>
      </c>
      <c r="K158" s="39">
        <f>IFERROR(K119*$BC80/SUMPRODUCT(K$97:K$131,$BC$58:$BC$92),0)</f>
        <v/>
      </c>
      <c r="L158" s="39">
        <f>IFERROR(L119*$BC80/SUMPRODUCT(L$97:L$131,$BC$58:$BC$92),0)</f>
        <v/>
      </c>
      <c r="M158" s="39">
        <f>IFERROR(M119*$BC80/SUMPRODUCT(M$97:M$131,$BC$58:$BC$92),0)</f>
        <v/>
      </c>
      <c r="N158" s="39">
        <f>IFERROR(N119*$BC80/SUMPRODUCT(N$97:N$131,$BC$58:$BC$92),0)</f>
        <v/>
      </c>
      <c r="O158" s="39">
        <f>IFERROR(O119*$BC80/SUMPRODUCT(O$97:O$131,$BC$58:$BC$92),0)</f>
        <v/>
      </c>
      <c r="P158" s="39">
        <f>IFERROR(P119*$BC80/SUMPRODUCT(P$97:P$131,$BC$58:$BC$92),0)</f>
        <v/>
      </c>
      <c r="Q158" s="39">
        <f>IFERROR(Q119*$BC80/SUMPRODUCT(Q$97:Q$131,$BC$58:$BC$92),0)</f>
        <v/>
      </c>
      <c r="R158" s="39">
        <f>IFERROR(R119*$BC80/SUMPRODUCT(R$97:R$131,$BC$58:$BC$92),0)</f>
        <v/>
      </c>
      <c r="S158" s="39">
        <f>IFERROR(S119*$BC80/SUMPRODUCT(S$97:S$131,$BC$58:$BC$92),0)</f>
        <v/>
      </c>
      <c r="T158" s="39">
        <f>IFERROR(T119*$BC80/SUMPRODUCT(T$97:T$131,$BC$58:$BC$92),0)</f>
        <v/>
      </c>
      <c r="U158" s="39">
        <f>IFERROR(U119*$BC80/SUMPRODUCT(U$97:U$131,$BC$58:$BC$92),0)</f>
        <v/>
      </c>
      <c r="V158" s="39">
        <f>IFERROR(V119*$BC80/SUMPRODUCT(V$97:V$131,$BC$58:$BC$92),0)</f>
        <v/>
      </c>
      <c r="W158" s="39">
        <f>IFERROR(W119*$BC80/SUMPRODUCT(W$97:W$131,$BC$58:$BC$92),0)</f>
        <v/>
      </c>
      <c r="X158" s="39">
        <f>IFERROR(X119*$BC80/SUMPRODUCT(X$97:X$131,$BC$58:$BC$92),0)</f>
        <v/>
      </c>
      <c r="Y158" s="39">
        <f>IFERROR(Y119*$BC80/SUMPRODUCT(Y$97:Y$131,$BC$58:$BC$92),0)</f>
        <v/>
      </c>
      <c r="Z158" s="39">
        <f>IFERROR(Z119*$BC80/SUMPRODUCT(Z$97:Z$131,$BC$58:$BC$92),0)</f>
        <v/>
      </c>
      <c r="AA158" s="39">
        <f>IFERROR(AA119*$BC80/SUMPRODUCT(AA$97:AA$131,$BC$58:$BC$92),0)</f>
        <v/>
      </c>
      <c r="AB158" s="39">
        <f>IFERROR(AB119*$BC80/SUMPRODUCT(AB$97:AB$131,$BC$58:$BC$92),0)</f>
        <v/>
      </c>
      <c r="AC158" s="39">
        <f>IFERROR(AC119*$BC80/SUMPRODUCT(AC$97:AC$131,$BC$58:$BC$92),0)</f>
        <v/>
      </c>
      <c r="AD158" s="39">
        <f>IFERROR(AD119*$BC80/SUMPRODUCT(AD$97:AD$131,$BC$58:$BC$92),0)</f>
        <v/>
      </c>
      <c r="AE158" s="39">
        <f>IFERROR(AE119*$BC80/SUMPRODUCT(AE$97:AE$131,$BC$58:$BC$92),0)</f>
        <v/>
      </c>
      <c r="AF158" s="39">
        <f>IFERROR(AF119*$BC80/SUMPRODUCT(AF$97:AF$131,$BC$58:$BC$92),0)</f>
        <v/>
      </c>
      <c r="AG158" s="39">
        <f>IFERROR(AG119*$BC80/SUMPRODUCT(AG$97:AG$131,$BC$58:$BC$92),0)</f>
        <v/>
      </c>
      <c r="AH158" s="39">
        <f>IFERROR(AH119*$BC80/SUMPRODUCT(AH$97:AH$131,$BC$58:$BC$92),0)</f>
        <v/>
      </c>
      <c r="AI158" s="39">
        <f>IFERROR(AI119*$BC80/SUMPRODUCT(AI$97:AI$131,$BC$58:$BC$92),0)</f>
        <v/>
      </c>
      <c r="AJ158" s="39">
        <f>IFERROR(AJ119*$BC80/SUMPRODUCT(AJ$97:AJ$131,$BC$58:$BC$92),0)</f>
        <v/>
      </c>
      <c r="AK158" s="39">
        <f>IFERROR(AK119*$BC80/SUMPRODUCT(AK$97:AK$131,$BC$58:$BC$92),0)</f>
        <v/>
      </c>
      <c r="AL158" s="39">
        <f>IFERROR(AL119*$BC80/SUMPRODUCT(AL$97:AL$131,$BC$58:$BC$92),0)</f>
        <v/>
      </c>
      <c r="AM158" s="39">
        <f>IFERROR(AM119*$BC80/SUMPRODUCT(AM$97:AM$131,$BC$58:$BC$92),0)</f>
        <v/>
      </c>
      <c r="AN158" s="39">
        <f>IFERROR(AN119*$BC80/SUMPRODUCT(AN$97:AN$131,$BC$58:$BC$92),0)</f>
        <v/>
      </c>
      <c r="AO158" s="39">
        <f>IFERROR(AO119*$BC80/SUMPRODUCT(AO$97:AO$131,$BC$58:$BC$92),0)</f>
        <v/>
      </c>
      <c r="AP158" s="39">
        <f>IFERROR(AP119*$BC80/SUMPRODUCT(AP$97:AP$131,$BC$58:$BC$92),0)</f>
        <v/>
      </c>
      <c r="AQ158" s="39">
        <f>IFERROR(AQ119*$BC80/SUMPRODUCT(AQ$97:AQ$131,$BC$58:$BC$92),0)</f>
        <v/>
      </c>
      <c r="AR158" s="39">
        <f>IFERROR(AR119*$BC80/SUMPRODUCT(AR$97:AR$131,$BC$58:$BC$92),0)</f>
        <v/>
      </c>
      <c r="AS158" s="39">
        <f>IFERROR(AS119*$BC80/SUMPRODUCT(AS$97:AS$131,$BC$58:$BC$92),0)</f>
        <v/>
      </c>
      <c r="AT158" s="39">
        <f>IFERROR(AT119*$BC80/SUMPRODUCT(AT$97:AT$131,$BC$58:$BC$92),0)</f>
        <v/>
      </c>
      <c r="AU158" s="39">
        <f>IFERROR(AU119*$BC80/SUMPRODUCT(AU$97:AU$131,$BC$58:$BC$92),0)</f>
        <v/>
      </c>
      <c r="AV158" s="39">
        <f>IFERROR(AV119*$BC80/SUMPRODUCT(AV$97:AV$131,$BC$58:$BC$92),0)</f>
        <v/>
      </c>
      <c r="AW158" s="39">
        <f>IFERROR(AW119*$BC80/SUMPRODUCT(AW$97:AW$131,$BC$58:$BC$92),0)</f>
        <v/>
      </c>
      <c r="AX158" s="39">
        <f>IFERROR(AX119*$BC80/SUMPRODUCT(AX$97:AX$131,$BC$58:$BC$92),0)</f>
        <v/>
      </c>
      <c r="AY158" s="39">
        <f>IFERROR(AY119*$BC80/SUMPRODUCT(AY$97:AY$131,$BC$58:$BC$92),0)</f>
        <v/>
      </c>
      <c r="AZ158" s="39">
        <f>IFERROR(AZ119*$BC80/SUMPRODUCT(AZ$97:AZ$131,$BC$58:$BC$92),0)</f>
        <v/>
      </c>
      <c r="BA158" s="39">
        <f>IFERROR(BA119*$BC80/SUMPRODUCT(BA$97:BA$131,$BC$58:$BC$92),0)</f>
        <v/>
      </c>
      <c r="BB158" s="39">
        <f>IFERROR(BB119*$BC80/SUMPRODUCT(BB$97:BB$131,$BC$58:$BC$92),0)</f>
        <v/>
      </c>
    </row>
    <row r="159">
      <c r="C159" s="1" t="n"/>
      <c r="D159" s="237">
        <f>D120</f>
        <v/>
      </c>
      <c r="E159" s="141">
        <f>IFERROR(E120*$BC81/SUMPRODUCT(E$97:E$131,$BC$58:$BC$92),0)</f>
        <v/>
      </c>
      <c r="F159" s="141">
        <f>IFERROR(F120*$BC81/SUMPRODUCT(F$97:F$131,$BC$58:$BC$92),0)</f>
        <v/>
      </c>
      <c r="G159" s="141">
        <f>IFERROR(G120*$BC81/SUMPRODUCT(G$97:G$131,$BC$58:$BC$92),0)</f>
        <v/>
      </c>
      <c r="H159" s="39">
        <f>IFERROR(H120*$BC81/SUMPRODUCT(H$97:H$131,$BC$58:$BC$92),0)</f>
        <v/>
      </c>
      <c r="I159" s="39">
        <f>IFERROR(I120*$BC81/SUMPRODUCT(I$97:I$131,$BC$58:$BC$92),0)</f>
        <v/>
      </c>
      <c r="J159" s="39">
        <f>IFERROR(J120*$BC81/SUMPRODUCT(J$97:J$131,$BC$58:$BC$92),0)</f>
        <v/>
      </c>
      <c r="K159" s="39">
        <f>IFERROR(K120*$BC81/SUMPRODUCT(K$97:K$131,$BC$58:$BC$92),0)</f>
        <v/>
      </c>
      <c r="L159" s="39">
        <f>IFERROR(L120*$BC81/SUMPRODUCT(L$97:L$131,$BC$58:$BC$92),0)</f>
        <v/>
      </c>
      <c r="M159" s="39">
        <f>IFERROR(M120*$BC81/SUMPRODUCT(M$97:M$131,$BC$58:$BC$92),0)</f>
        <v/>
      </c>
      <c r="N159" s="39">
        <f>IFERROR(N120*$BC81/SUMPRODUCT(N$97:N$131,$BC$58:$BC$92),0)</f>
        <v/>
      </c>
      <c r="O159" s="39">
        <f>IFERROR(O120*$BC81/SUMPRODUCT(O$97:O$131,$BC$58:$BC$92),0)</f>
        <v/>
      </c>
      <c r="P159" s="39">
        <f>IFERROR(P120*$BC81/SUMPRODUCT(P$97:P$131,$BC$58:$BC$92),0)</f>
        <v/>
      </c>
      <c r="Q159" s="39">
        <f>IFERROR(Q120*$BC81/SUMPRODUCT(Q$97:Q$131,$BC$58:$BC$92),0)</f>
        <v/>
      </c>
      <c r="R159" s="39">
        <f>IFERROR(R120*$BC81/SUMPRODUCT(R$97:R$131,$BC$58:$BC$92),0)</f>
        <v/>
      </c>
      <c r="S159" s="39">
        <f>IFERROR(S120*$BC81/SUMPRODUCT(S$97:S$131,$BC$58:$BC$92),0)</f>
        <v/>
      </c>
      <c r="T159" s="39">
        <f>IFERROR(T120*$BC81/SUMPRODUCT(T$97:T$131,$BC$58:$BC$92),0)</f>
        <v/>
      </c>
      <c r="U159" s="39">
        <f>IFERROR(U120*$BC81/SUMPRODUCT(U$97:U$131,$BC$58:$BC$92),0)</f>
        <v/>
      </c>
      <c r="V159" s="39">
        <f>IFERROR(V120*$BC81/SUMPRODUCT(V$97:V$131,$BC$58:$BC$92),0)</f>
        <v/>
      </c>
      <c r="W159" s="39">
        <f>IFERROR(W120*$BC81/SUMPRODUCT(W$97:W$131,$BC$58:$BC$92),0)</f>
        <v/>
      </c>
      <c r="X159" s="39">
        <f>IFERROR(X120*$BC81/SUMPRODUCT(X$97:X$131,$BC$58:$BC$92),0)</f>
        <v/>
      </c>
      <c r="Y159" s="39">
        <f>IFERROR(Y120*$BC81/SUMPRODUCT(Y$97:Y$131,$BC$58:$BC$92),0)</f>
        <v/>
      </c>
      <c r="Z159" s="39">
        <f>IFERROR(Z120*$BC81/SUMPRODUCT(Z$97:Z$131,$BC$58:$BC$92),0)</f>
        <v/>
      </c>
      <c r="AA159" s="39">
        <f>IFERROR(AA120*$BC81/SUMPRODUCT(AA$97:AA$131,$BC$58:$BC$92),0)</f>
        <v/>
      </c>
      <c r="AB159" s="39">
        <f>IFERROR(AB120*$BC81/SUMPRODUCT(AB$97:AB$131,$BC$58:$BC$92),0)</f>
        <v/>
      </c>
      <c r="AC159" s="39">
        <f>IFERROR(AC120*$BC81/SUMPRODUCT(AC$97:AC$131,$BC$58:$BC$92),0)</f>
        <v/>
      </c>
      <c r="AD159" s="39">
        <f>IFERROR(AD120*$BC81/SUMPRODUCT(AD$97:AD$131,$BC$58:$BC$92),0)</f>
        <v/>
      </c>
      <c r="AE159" s="39">
        <f>IFERROR(AE120*$BC81/SUMPRODUCT(AE$97:AE$131,$BC$58:$BC$92),0)</f>
        <v/>
      </c>
      <c r="AF159" s="39">
        <f>IFERROR(AF120*$BC81/SUMPRODUCT(AF$97:AF$131,$BC$58:$BC$92),0)</f>
        <v/>
      </c>
      <c r="AG159" s="39">
        <f>IFERROR(AG120*$BC81/SUMPRODUCT(AG$97:AG$131,$BC$58:$BC$92),0)</f>
        <v/>
      </c>
      <c r="AH159" s="39">
        <f>IFERROR(AH120*$BC81/SUMPRODUCT(AH$97:AH$131,$BC$58:$BC$92),0)</f>
        <v/>
      </c>
      <c r="AI159" s="39">
        <f>IFERROR(AI120*$BC81/SUMPRODUCT(AI$97:AI$131,$BC$58:$BC$92),0)</f>
        <v/>
      </c>
      <c r="AJ159" s="39">
        <f>IFERROR(AJ120*$BC81/SUMPRODUCT(AJ$97:AJ$131,$BC$58:$BC$92),0)</f>
        <v/>
      </c>
      <c r="AK159" s="39">
        <f>IFERROR(AK120*$BC81/SUMPRODUCT(AK$97:AK$131,$BC$58:$BC$92),0)</f>
        <v/>
      </c>
      <c r="AL159" s="39">
        <f>IFERROR(AL120*$BC81/SUMPRODUCT(AL$97:AL$131,$BC$58:$BC$92),0)</f>
        <v/>
      </c>
      <c r="AM159" s="39">
        <f>IFERROR(AM120*$BC81/SUMPRODUCT(AM$97:AM$131,$BC$58:$BC$92),0)</f>
        <v/>
      </c>
      <c r="AN159" s="39">
        <f>IFERROR(AN120*$BC81/SUMPRODUCT(AN$97:AN$131,$BC$58:$BC$92),0)</f>
        <v/>
      </c>
      <c r="AO159" s="39">
        <f>IFERROR(AO120*$BC81/SUMPRODUCT(AO$97:AO$131,$BC$58:$BC$92),0)</f>
        <v/>
      </c>
      <c r="AP159" s="39">
        <f>IFERROR(AP120*$BC81/SUMPRODUCT(AP$97:AP$131,$BC$58:$BC$92),0)</f>
        <v/>
      </c>
      <c r="AQ159" s="39">
        <f>IFERROR(AQ120*$BC81/SUMPRODUCT(AQ$97:AQ$131,$BC$58:$BC$92),0)</f>
        <v/>
      </c>
      <c r="AR159" s="39">
        <f>IFERROR(AR120*$BC81/SUMPRODUCT(AR$97:AR$131,$BC$58:$BC$92),0)</f>
        <v/>
      </c>
      <c r="AS159" s="39">
        <f>IFERROR(AS120*$BC81/SUMPRODUCT(AS$97:AS$131,$BC$58:$BC$92),0)</f>
        <v/>
      </c>
      <c r="AT159" s="39">
        <f>IFERROR(AT120*$BC81/SUMPRODUCT(AT$97:AT$131,$BC$58:$BC$92),0)</f>
        <v/>
      </c>
      <c r="AU159" s="39">
        <f>IFERROR(AU120*$BC81/SUMPRODUCT(AU$97:AU$131,$BC$58:$BC$92),0)</f>
        <v/>
      </c>
      <c r="AV159" s="39">
        <f>IFERROR(AV120*$BC81/SUMPRODUCT(AV$97:AV$131,$BC$58:$BC$92),0)</f>
        <v/>
      </c>
      <c r="AW159" s="39">
        <f>IFERROR(AW120*$BC81/SUMPRODUCT(AW$97:AW$131,$BC$58:$BC$92),0)</f>
        <v/>
      </c>
      <c r="AX159" s="39">
        <f>IFERROR(AX120*$BC81/SUMPRODUCT(AX$97:AX$131,$BC$58:$BC$92),0)</f>
        <v/>
      </c>
      <c r="AY159" s="39">
        <f>IFERROR(AY120*$BC81/SUMPRODUCT(AY$97:AY$131,$BC$58:$BC$92),0)</f>
        <v/>
      </c>
      <c r="AZ159" s="39">
        <f>IFERROR(AZ120*$BC81/SUMPRODUCT(AZ$97:AZ$131,$BC$58:$BC$92),0)</f>
        <v/>
      </c>
      <c r="BA159" s="39">
        <f>IFERROR(BA120*$BC81/SUMPRODUCT(BA$97:BA$131,$BC$58:$BC$92),0)</f>
        <v/>
      </c>
      <c r="BB159" s="39">
        <f>IFERROR(BB120*$BC81/SUMPRODUCT(BB$97:BB$131,$BC$58:$BC$92),0)</f>
        <v/>
      </c>
    </row>
    <row r="160">
      <c r="C160" s="1" t="n"/>
      <c r="D160" s="237">
        <f>D121</f>
        <v/>
      </c>
      <c r="E160" s="141">
        <f>IFERROR(E121*$BC82/SUMPRODUCT(E$97:E$131,$BC$58:$BC$92),0)</f>
        <v/>
      </c>
      <c r="F160" s="141">
        <f>IFERROR(F121*$BC82/SUMPRODUCT(F$97:F$131,$BC$58:$BC$92),0)</f>
        <v/>
      </c>
      <c r="G160" s="141">
        <f>IFERROR(G121*$BC82/SUMPRODUCT(G$97:G$131,$BC$58:$BC$92),0)</f>
        <v/>
      </c>
      <c r="H160" s="39">
        <f>IFERROR(H121*$BC82/SUMPRODUCT(H$97:H$131,$BC$58:$BC$92),0)</f>
        <v/>
      </c>
      <c r="I160" s="39">
        <f>IFERROR(I121*$BC82/SUMPRODUCT(I$97:I$131,$BC$58:$BC$92),0)</f>
        <v/>
      </c>
      <c r="J160" s="39">
        <f>IFERROR(J121*$BC82/SUMPRODUCT(J$97:J$131,$BC$58:$BC$92),0)</f>
        <v/>
      </c>
      <c r="K160" s="39">
        <f>IFERROR(K121*$BC82/SUMPRODUCT(K$97:K$131,$BC$58:$BC$92),0)</f>
        <v/>
      </c>
      <c r="L160" s="39">
        <f>IFERROR(L121*$BC82/SUMPRODUCT(L$97:L$131,$BC$58:$BC$92),0)</f>
        <v/>
      </c>
      <c r="M160" s="39">
        <f>IFERROR(M121*$BC82/SUMPRODUCT(M$97:M$131,$BC$58:$BC$92),0)</f>
        <v/>
      </c>
      <c r="N160" s="39">
        <f>IFERROR(N121*$BC82/SUMPRODUCT(N$97:N$131,$BC$58:$BC$92),0)</f>
        <v/>
      </c>
      <c r="O160" s="39">
        <f>IFERROR(O121*$BC82/SUMPRODUCT(O$97:O$131,$BC$58:$BC$92),0)</f>
        <v/>
      </c>
      <c r="P160" s="39">
        <f>IFERROR(P121*$BC82/SUMPRODUCT(P$97:P$131,$BC$58:$BC$92),0)</f>
        <v/>
      </c>
      <c r="Q160" s="39">
        <f>IFERROR(Q121*$BC82/SUMPRODUCT(Q$97:Q$131,$BC$58:$BC$92),0)</f>
        <v/>
      </c>
      <c r="R160" s="39">
        <f>IFERROR(R121*$BC82/SUMPRODUCT(R$97:R$131,$BC$58:$BC$92),0)</f>
        <v/>
      </c>
      <c r="S160" s="39">
        <f>IFERROR(S121*$BC82/SUMPRODUCT(S$97:S$131,$BC$58:$BC$92),0)</f>
        <v/>
      </c>
      <c r="T160" s="39">
        <f>IFERROR(T121*$BC82/SUMPRODUCT(T$97:T$131,$BC$58:$BC$92),0)</f>
        <v/>
      </c>
      <c r="U160" s="39">
        <f>IFERROR(U121*$BC82/SUMPRODUCT(U$97:U$131,$BC$58:$BC$92),0)</f>
        <v/>
      </c>
      <c r="V160" s="39">
        <f>IFERROR(V121*$BC82/SUMPRODUCT(V$97:V$131,$BC$58:$BC$92),0)</f>
        <v/>
      </c>
      <c r="W160" s="39">
        <f>IFERROR(W121*$BC82/SUMPRODUCT(W$97:W$131,$BC$58:$BC$92),0)</f>
        <v/>
      </c>
      <c r="X160" s="39">
        <f>IFERROR(X121*$BC82/SUMPRODUCT(X$97:X$131,$BC$58:$BC$92),0)</f>
        <v/>
      </c>
      <c r="Y160" s="39">
        <f>IFERROR(Y121*$BC82/SUMPRODUCT(Y$97:Y$131,$BC$58:$BC$92),0)</f>
        <v/>
      </c>
      <c r="Z160" s="39">
        <f>IFERROR(Z121*$BC82/SUMPRODUCT(Z$97:Z$131,$BC$58:$BC$92),0)</f>
        <v/>
      </c>
      <c r="AA160" s="39">
        <f>IFERROR(AA121*$BC82/SUMPRODUCT(AA$97:AA$131,$BC$58:$BC$92),0)</f>
        <v/>
      </c>
      <c r="AB160" s="39">
        <f>IFERROR(AB121*$BC82/SUMPRODUCT(AB$97:AB$131,$BC$58:$BC$92),0)</f>
        <v/>
      </c>
      <c r="AC160" s="39">
        <f>IFERROR(AC121*$BC82/SUMPRODUCT(AC$97:AC$131,$BC$58:$BC$92),0)</f>
        <v/>
      </c>
      <c r="AD160" s="39">
        <f>IFERROR(AD121*$BC82/SUMPRODUCT(AD$97:AD$131,$BC$58:$BC$92),0)</f>
        <v/>
      </c>
      <c r="AE160" s="39">
        <f>IFERROR(AE121*$BC82/SUMPRODUCT(AE$97:AE$131,$BC$58:$BC$92),0)</f>
        <v/>
      </c>
      <c r="AF160" s="39">
        <f>IFERROR(AF121*$BC82/SUMPRODUCT(AF$97:AF$131,$BC$58:$BC$92),0)</f>
        <v/>
      </c>
      <c r="AG160" s="39">
        <f>IFERROR(AG121*$BC82/SUMPRODUCT(AG$97:AG$131,$BC$58:$BC$92),0)</f>
        <v/>
      </c>
      <c r="AH160" s="39">
        <f>IFERROR(AH121*$BC82/SUMPRODUCT(AH$97:AH$131,$BC$58:$BC$92),0)</f>
        <v/>
      </c>
      <c r="AI160" s="39">
        <f>IFERROR(AI121*$BC82/SUMPRODUCT(AI$97:AI$131,$BC$58:$BC$92),0)</f>
        <v/>
      </c>
      <c r="AJ160" s="39">
        <f>IFERROR(AJ121*$BC82/SUMPRODUCT(AJ$97:AJ$131,$BC$58:$BC$92),0)</f>
        <v/>
      </c>
      <c r="AK160" s="39">
        <f>IFERROR(AK121*$BC82/SUMPRODUCT(AK$97:AK$131,$BC$58:$BC$92),0)</f>
        <v/>
      </c>
      <c r="AL160" s="39">
        <f>IFERROR(AL121*$BC82/SUMPRODUCT(AL$97:AL$131,$BC$58:$BC$92),0)</f>
        <v/>
      </c>
      <c r="AM160" s="39">
        <f>IFERROR(AM121*$BC82/SUMPRODUCT(AM$97:AM$131,$BC$58:$BC$92),0)</f>
        <v/>
      </c>
      <c r="AN160" s="39">
        <f>IFERROR(AN121*$BC82/SUMPRODUCT(AN$97:AN$131,$BC$58:$BC$92),0)</f>
        <v/>
      </c>
      <c r="AO160" s="39">
        <f>IFERROR(AO121*$BC82/SUMPRODUCT(AO$97:AO$131,$BC$58:$BC$92),0)</f>
        <v/>
      </c>
      <c r="AP160" s="39">
        <f>IFERROR(AP121*$BC82/SUMPRODUCT(AP$97:AP$131,$BC$58:$BC$92),0)</f>
        <v/>
      </c>
      <c r="AQ160" s="39">
        <f>IFERROR(AQ121*$BC82/SUMPRODUCT(AQ$97:AQ$131,$BC$58:$BC$92),0)</f>
        <v/>
      </c>
      <c r="AR160" s="39">
        <f>IFERROR(AR121*$BC82/SUMPRODUCT(AR$97:AR$131,$BC$58:$BC$92),0)</f>
        <v/>
      </c>
      <c r="AS160" s="39">
        <f>IFERROR(AS121*$BC82/SUMPRODUCT(AS$97:AS$131,$BC$58:$BC$92),0)</f>
        <v/>
      </c>
      <c r="AT160" s="39">
        <f>IFERROR(AT121*$BC82/SUMPRODUCT(AT$97:AT$131,$BC$58:$BC$92),0)</f>
        <v/>
      </c>
      <c r="AU160" s="39">
        <f>IFERROR(AU121*$BC82/SUMPRODUCT(AU$97:AU$131,$BC$58:$BC$92),0)</f>
        <v/>
      </c>
      <c r="AV160" s="39">
        <f>IFERROR(AV121*$BC82/SUMPRODUCT(AV$97:AV$131,$BC$58:$BC$92),0)</f>
        <v/>
      </c>
      <c r="AW160" s="39">
        <f>IFERROR(AW121*$BC82/SUMPRODUCT(AW$97:AW$131,$BC$58:$BC$92),0)</f>
        <v/>
      </c>
      <c r="AX160" s="39">
        <f>IFERROR(AX121*$BC82/SUMPRODUCT(AX$97:AX$131,$BC$58:$BC$92),0)</f>
        <v/>
      </c>
      <c r="AY160" s="39">
        <f>IFERROR(AY121*$BC82/SUMPRODUCT(AY$97:AY$131,$BC$58:$BC$92),0)</f>
        <v/>
      </c>
      <c r="AZ160" s="39">
        <f>IFERROR(AZ121*$BC82/SUMPRODUCT(AZ$97:AZ$131,$BC$58:$BC$92),0)</f>
        <v/>
      </c>
      <c r="BA160" s="39">
        <f>IFERROR(BA121*$BC82/SUMPRODUCT(BA$97:BA$131,$BC$58:$BC$92),0)</f>
        <v/>
      </c>
      <c r="BB160" s="39">
        <f>IFERROR(BB121*$BC82/SUMPRODUCT(BB$97:BB$131,$BC$58:$BC$92),0)</f>
        <v/>
      </c>
    </row>
    <row r="161">
      <c r="C161" s="1" t="n"/>
      <c r="D161" s="237">
        <f>D122</f>
        <v/>
      </c>
      <c r="E161" s="141">
        <f>IFERROR(E122*$BC83/SUMPRODUCT(E$97:E$131,$BC$58:$BC$92),0)</f>
        <v/>
      </c>
      <c r="F161" s="141">
        <f>IFERROR(F122*$BC83/SUMPRODUCT(F$97:F$131,$BC$58:$BC$92),0)</f>
        <v/>
      </c>
      <c r="G161" s="141">
        <f>IFERROR(G122*$BC83/SUMPRODUCT(G$97:G$131,$BC$58:$BC$92),0)</f>
        <v/>
      </c>
      <c r="H161" s="39">
        <f>IFERROR(H122*$BC83/SUMPRODUCT(H$97:H$131,$BC$58:$BC$92),0)</f>
        <v/>
      </c>
      <c r="I161" s="39">
        <f>IFERROR(I122*$BC83/SUMPRODUCT(I$97:I$131,$BC$58:$BC$92),0)</f>
        <v/>
      </c>
      <c r="J161" s="39">
        <f>IFERROR(J122*$BC83/SUMPRODUCT(J$97:J$131,$BC$58:$BC$92),0)</f>
        <v/>
      </c>
      <c r="K161" s="39">
        <f>IFERROR(K122*$BC83/SUMPRODUCT(K$97:K$131,$BC$58:$BC$92),0)</f>
        <v/>
      </c>
      <c r="L161" s="39">
        <f>IFERROR(L122*$BC83/SUMPRODUCT(L$97:L$131,$BC$58:$BC$92),0)</f>
        <v/>
      </c>
      <c r="M161" s="39">
        <f>IFERROR(M122*$BC83/SUMPRODUCT(M$97:M$131,$BC$58:$BC$92),0)</f>
        <v/>
      </c>
      <c r="N161" s="39">
        <f>IFERROR(N122*$BC83/SUMPRODUCT(N$97:N$131,$BC$58:$BC$92),0)</f>
        <v/>
      </c>
      <c r="O161" s="39">
        <f>IFERROR(O122*$BC83/SUMPRODUCT(O$97:O$131,$BC$58:$BC$92),0)</f>
        <v/>
      </c>
      <c r="P161" s="39">
        <f>IFERROR(P122*$BC83/SUMPRODUCT(P$97:P$131,$BC$58:$BC$92),0)</f>
        <v/>
      </c>
      <c r="Q161" s="39">
        <f>IFERROR(Q122*$BC83/SUMPRODUCT(Q$97:Q$131,$BC$58:$BC$92),0)</f>
        <v/>
      </c>
      <c r="R161" s="39">
        <f>IFERROR(R122*$BC83/SUMPRODUCT(R$97:R$131,$BC$58:$BC$92),0)</f>
        <v/>
      </c>
      <c r="S161" s="39">
        <f>IFERROR(S122*$BC83/SUMPRODUCT(S$97:S$131,$BC$58:$BC$92),0)</f>
        <v/>
      </c>
      <c r="T161" s="39">
        <f>IFERROR(T122*$BC83/SUMPRODUCT(T$97:T$131,$BC$58:$BC$92),0)</f>
        <v/>
      </c>
      <c r="U161" s="39">
        <f>IFERROR(U122*$BC83/SUMPRODUCT(U$97:U$131,$BC$58:$BC$92),0)</f>
        <v/>
      </c>
      <c r="V161" s="39">
        <f>IFERROR(V122*$BC83/SUMPRODUCT(V$97:V$131,$BC$58:$BC$92),0)</f>
        <v/>
      </c>
      <c r="W161" s="39">
        <f>IFERROR(W122*$BC83/SUMPRODUCT(W$97:W$131,$BC$58:$BC$92),0)</f>
        <v/>
      </c>
      <c r="X161" s="39">
        <f>IFERROR(X122*$BC83/SUMPRODUCT(X$97:X$131,$BC$58:$BC$92),0)</f>
        <v/>
      </c>
      <c r="Y161" s="39">
        <f>IFERROR(Y122*$BC83/SUMPRODUCT(Y$97:Y$131,$BC$58:$BC$92),0)</f>
        <v/>
      </c>
      <c r="Z161" s="39">
        <f>IFERROR(Z122*$BC83/SUMPRODUCT(Z$97:Z$131,$BC$58:$BC$92),0)</f>
        <v/>
      </c>
      <c r="AA161" s="39">
        <f>IFERROR(AA122*$BC83/SUMPRODUCT(AA$97:AA$131,$BC$58:$BC$92),0)</f>
        <v/>
      </c>
      <c r="AB161" s="39">
        <f>IFERROR(AB122*$BC83/SUMPRODUCT(AB$97:AB$131,$BC$58:$BC$92),0)</f>
        <v/>
      </c>
      <c r="AC161" s="39">
        <f>IFERROR(AC122*$BC83/SUMPRODUCT(AC$97:AC$131,$BC$58:$BC$92),0)</f>
        <v/>
      </c>
      <c r="AD161" s="39">
        <f>IFERROR(AD122*$BC83/SUMPRODUCT(AD$97:AD$131,$BC$58:$BC$92),0)</f>
        <v/>
      </c>
      <c r="AE161" s="39">
        <f>IFERROR(AE122*$BC83/SUMPRODUCT(AE$97:AE$131,$BC$58:$BC$92),0)</f>
        <v/>
      </c>
      <c r="AF161" s="39">
        <f>IFERROR(AF122*$BC83/SUMPRODUCT(AF$97:AF$131,$BC$58:$BC$92),0)</f>
        <v/>
      </c>
      <c r="AG161" s="39">
        <f>IFERROR(AG122*$BC83/SUMPRODUCT(AG$97:AG$131,$BC$58:$BC$92),0)</f>
        <v/>
      </c>
      <c r="AH161" s="39">
        <f>IFERROR(AH122*$BC83/SUMPRODUCT(AH$97:AH$131,$BC$58:$BC$92),0)</f>
        <v/>
      </c>
      <c r="AI161" s="39">
        <f>IFERROR(AI122*$BC83/SUMPRODUCT(AI$97:AI$131,$BC$58:$BC$92),0)</f>
        <v/>
      </c>
      <c r="AJ161" s="39">
        <f>IFERROR(AJ122*$BC83/SUMPRODUCT(AJ$97:AJ$131,$BC$58:$BC$92),0)</f>
        <v/>
      </c>
      <c r="AK161" s="39">
        <f>IFERROR(AK122*$BC83/SUMPRODUCT(AK$97:AK$131,$BC$58:$BC$92),0)</f>
        <v/>
      </c>
      <c r="AL161" s="39">
        <f>IFERROR(AL122*$BC83/SUMPRODUCT(AL$97:AL$131,$BC$58:$BC$92),0)</f>
        <v/>
      </c>
      <c r="AM161" s="39">
        <f>IFERROR(AM122*$BC83/SUMPRODUCT(AM$97:AM$131,$BC$58:$BC$92),0)</f>
        <v/>
      </c>
      <c r="AN161" s="39">
        <f>IFERROR(AN122*$BC83/SUMPRODUCT(AN$97:AN$131,$BC$58:$BC$92),0)</f>
        <v/>
      </c>
      <c r="AO161" s="39">
        <f>IFERROR(AO122*$BC83/SUMPRODUCT(AO$97:AO$131,$BC$58:$BC$92),0)</f>
        <v/>
      </c>
      <c r="AP161" s="39">
        <f>IFERROR(AP122*$BC83/SUMPRODUCT(AP$97:AP$131,$BC$58:$BC$92),0)</f>
        <v/>
      </c>
      <c r="AQ161" s="39">
        <f>IFERROR(AQ122*$BC83/SUMPRODUCT(AQ$97:AQ$131,$BC$58:$BC$92),0)</f>
        <v/>
      </c>
      <c r="AR161" s="39">
        <f>IFERROR(AR122*$BC83/SUMPRODUCT(AR$97:AR$131,$BC$58:$BC$92),0)</f>
        <v/>
      </c>
      <c r="AS161" s="39">
        <f>IFERROR(AS122*$BC83/SUMPRODUCT(AS$97:AS$131,$BC$58:$BC$92),0)</f>
        <v/>
      </c>
      <c r="AT161" s="39">
        <f>IFERROR(AT122*$BC83/SUMPRODUCT(AT$97:AT$131,$BC$58:$BC$92),0)</f>
        <v/>
      </c>
      <c r="AU161" s="39">
        <f>IFERROR(AU122*$BC83/SUMPRODUCT(AU$97:AU$131,$BC$58:$BC$92),0)</f>
        <v/>
      </c>
      <c r="AV161" s="39">
        <f>IFERROR(AV122*$BC83/SUMPRODUCT(AV$97:AV$131,$BC$58:$BC$92),0)</f>
        <v/>
      </c>
      <c r="AW161" s="39">
        <f>IFERROR(AW122*$BC83/SUMPRODUCT(AW$97:AW$131,$BC$58:$BC$92),0)</f>
        <v/>
      </c>
      <c r="AX161" s="39">
        <f>IFERROR(AX122*$BC83/SUMPRODUCT(AX$97:AX$131,$BC$58:$BC$92),0)</f>
        <v/>
      </c>
      <c r="AY161" s="39">
        <f>IFERROR(AY122*$BC83/SUMPRODUCT(AY$97:AY$131,$BC$58:$BC$92),0)</f>
        <v/>
      </c>
      <c r="AZ161" s="39">
        <f>IFERROR(AZ122*$BC83/SUMPRODUCT(AZ$97:AZ$131,$BC$58:$BC$92),0)</f>
        <v/>
      </c>
      <c r="BA161" s="39">
        <f>IFERROR(BA122*$BC83/SUMPRODUCT(BA$97:BA$131,$BC$58:$BC$92),0)</f>
        <v/>
      </c>
      <c r="BB161" s="39">
        <f>IFERROR(BB122*$BC83/SUMPRODUCT(BB$97:BB$131,$BC$58:$BC$92),0)</f>
        <v/>
      </c>
    </row>
    <row r="162">
      <c r="C162" s="1" t="n"/>
      <c r="D162" s="237">
        <f>D123</f>
        <v/>
      </c>
      <c r="E162" s="141">
        <f>IFERROR(E123*$BC84/SUMPRODUCT(E$97:E$131,$BC$58:$BC$92),0)</f>
        <v/>
      </c>
      <c r="F162" s="141">
        <f>IFERROR(F123*$BC84/SUMPRODUCT(F$97:F$131,$BC$58:$BC$92),0)</f>
        <v/>
      </c>
      <c r="G162" s="141">
        <f>IFERROR(G123*$BC84/SUMPRODUCT(G$97:G$131,$BC$58:$BC$92),0)</f>
        <v/>
      </c>
      <c r="H162" s="39">
        <f>IFERROR(H123*$BC84/SUMPRODUCT(H$97:H$131,$BC$58:$BC$92),0)</f>
        <v/>
      </c>
      <c r="I162" s="39">
        <f>IFERROR(I123*$BC84/SUMPRODUCT(I$97:I$131,$BC$58:$BC$92),0)</f>
        <v/>
      </c>
      <c r="J162" s="39">
        <f>IFERROR(J123*$BC84/SUMPRODUCT(J$97:J$131,$BC$58:$BC$92),0)</f>
        <v/>
      </c>
      <c r="K162" s="39">
        <f>IFERROR(K123*$BC84/SUMPRODUCT(K$97:K$131,$BC$58:$BC$92),0)</f>
        <v/>
      </c>
      <c r="L162" s="39">
        <f>IFERROR(L123*$BC84/SUMPRODUCT(L$97:L$131,$BC$58:$BC$92),0)</f>
        <v/>
      </c>
      <c r="M162" s="39">
        <f>IFERROR(M123*$BC84/SUMPRODUCT(M$97:M$131,$BC$58:$BC$92),0)</f>
        <v/>
      </c>
      <c r="N162" s="39">
        <f>IFERROR(N123*$BC84/SUMPRODUCT(N$97:N$131,$BC$58:$BC$92),0)</f>
        <v/>
      </c>
      <c r="O162" s="39">
        <f>IFERROR(O123*$BC84/SUMPRODUCT(O$97:O$131,$BC$58:$BC$92),0)</f>
        <v/>
      </c>
      <c r="P162" s="39">
        <f>IFERROR(P123*$BC84/SUMPRODUCT(P$97:P$131,$BC$58:$BC$92),0)</f>
        <v/>
      </c>
      <c r="Q162" s="39">
        <f>IFERROR(Q123*$BC84/SUMPRODUCT(Q$97:Q$131,$BC$58:$BC$92),0)</f>
        <v/>
      </c>
      <c r="R162" s="39">
        <f>IFERROR(R123*$BC84/SUMPRODUCT(R$97:R$131,$BC$58:$BC$92),0)</f>
        <v/>
      </c>
      <c r="S162" s="39">
        <f>IFERROR(S123*$BC84/SUMPRODUCT(S$97:S$131,$BC$58:$BC$92),0)</f>
        <v/>
      </c>
      <c r="T162" s="39">
        <f>IFERROR(T123*$BC84/SUMPRODUCT(T$97:T$131,$BC$58:$BC$92),0)</f>
        <v/>
      </c>
      <c r="U162" s="39">
        <f>IFERROR(U123*$BC84/SUMPRODUCT(U$97:U$131,$BC$58:$BC$92),0)</f>
        <v/>
      </c>
      <c r="V162" s="39">
        <f>IFERROR(V123*$BC84/SUMPRODUCT(V$97:V$131,$BC$58:$BC$92),0)</f>
        <v/>
      </c>
      <c r="W162" s="39">
        <f>IFERROR(W123*$BC84/SUMPRODUCT(W$97:W$131,$BC$58:$BC$92),0)</f>
        <v/>
      </c>
      <c r="X162" s="39">
        <f>IFERROR(X123*$BC84/SUMPRODUCT(X$97:X$131,$BC$58:$BC$92),0)</f>
        <v/>
      </c>
      <c r="Y162" s="39">
        <f>IFERROR(Y123*$BC84/SUMPRODUCT(Y$97:Y$131,$BC$58:$BC$92),0)</f>
        <v/>
      </c>
      <c r="Z162" s="39">
        <f>IFERROR(Z123*$BC84/SUMPRODUCT(Z$97:Z$131,$BC$58:$BC$92),0)</f>
        <v/>
      </c>
      <c r="AA162" s="39">
        <f>IFERROR(AA123*$BC84/SUMPRODUCT(AA$97:AA$131,$BC$58:$BC$92),0)</f>
        <v/>
      </c>
      <c r="AB162" s="39">
        <f>IFERROR(AB123*$BC84/SUMPRODUCT(AB$97:AB$131,$BC$58:$BC$92),0)</f>
        <v/>
      </c>
      <c r="AC162" s="39">
        <f>IFERROR(AC123*$BC84/SUMPRODUCT(AC$97:AC$131,$BC$58:$BC$92),0)</f>
        <v/>
      </c>
      <c r="AD162" s="39">
        <f>IFERROR(AD123*$BC84/SUMPRODUCT(AD$97:AD$131,$BC$58:$BC$92),0)</f>
        <v/>
      </c>
      <c r="AE162" s="39">
        <f>IFERROR(AE123*$BC84/SUMPRODUCT(AE$97:AE$131,$BC$58:$BC$92),0)</f>
        <v/>
      </c>
      <c r="AF162" s="39">
        <f>IFERROR(AF123*$BC84/SUMPRODUCT(AF$97:AF$131,$BC$58:$BC$92),0)</f>
        <v/>
      </c>
      <c r="AG162" s="39">
        <f>IFERROR(AG123*$BC84/SUMPRODUCT(AG$97:AG$131,$BC$58:$BC$92),0)</f>
        <v/>
      </c>
      <c r="AH162" s="39">
        <f>IFERROR(AH123*$BC84/SUMPRODUCT(AH$97:AH$131,$BC$58:$BC$92),0)</f>
        <v/>
      </c>
      <c r="AI162" s="39">
        <f>IFERROR(AI123*$BC84/SUMPRODUCT(AI$97:AI$131,$BC$58:$BC$92),0)</f>
        <v/>
      </c>
      <c r="AJ162" s="39">
        <f>IFERROR(AJ123*$BC84/SUMPRODUCT(AJ$97:AJ$131,$BC$58:$BC$92),0)</f>
        <v/>
      </c>
      <c r="AK162" s="39">
        <f>IFERROR(AK123*$BC84/SUMPRODUCT(AK$97:AK$131,$BC$58:$BC$92),0)</f>
        <v/>
      </c>
      <c r="AL162" s="39">
        <f>IFERROR(AL123*$BC84/SUMPRODUCT(AL$97:AL$131,$BC$58:$BC$92),0)</f>
        <v/>
      </c>
      <c r="AM162" s="39">
        <f>IFERROR(AM123*$BC84/SUMPRODUCT(AM$97:AM$131,$BC$58:$BC$92),0)</f>
        <v/>
      </c>
      <c r="AN162" s="39">
        <f>IFERROR(AN123*$BC84/SUMPRODUCT(AN$97:AN$131,$BC$58:$BC$92),0)</f>
        <v/>
      </c>
      <c r="AO162" s="39">
        <f>IFERROR(AO123*$BC84/SUMPRODUCT(AO$97:AO$131,$BC$58:$BC$92),0)</f>
        <v/>
      </c>
      <c r="AP162" s="39">
        <f>IFERROR(AP123*$BC84/SUMPRODUCT(AP$97:AP$131,$BC$58:$BC$92),0)</f>
        <v/>
      </c>
      <c r="AQ162" s="39">
        <f>IFERROR(AQ123*$BC84/SUMPRODUCT(AQ$97:AQ$131,$BC$58:$BC$92),0)</f>
        <v/>
      </c>
      <c r="AR162" s="39">
        <f>IFERROR(AR123*$BC84/SUMPRODUCT(AR$97:AR$131,$BC$58:$BC$92),0)</f>
        <v/>
      </c>
      <c r="AS162" s="39">
        <f>IFERROR(AS123*$BC84/SUMPRODUCT(AS$97:AS$131,$BC$58:$BC$92),0)</f>
        <v/>
      </c>
      <c r="AT162" s="39">
        <f>IFERROR(AT123*$BC84/SUMPRODUCT(AT$97:AT$131,$BC$58:$BC$92),0)</f>
        <v/>
      </c>
      <c r="AU162" s="39">
        <f>IFERROR(AU123*$BC84/SUMPRODUCT(AU$97:AU$131,$BC$58:$BC$92),0)</f>
        <v/>
      </c>
      <c r="AV162" s="39">
        <f>IFERROR(AV123*$BC84/SUMPRODUCT(AV$97:AV$131,$BC$58:$BC$92),0)</f>
        <v/>
      </c>
      <c r="AW162" s="39">
        <f>IFERROR(AW123*$BC84/SUMPRODUCT(AW$97:AW$131,$BC$58:$BC$92),0)</f>
        <v/>
      </c>
      <c r="AX162" s="39">
        <f>IFERROR(AX123*$BC84/SUMPRODUCT(AX$97:AX$131,$BC$58:$BC$92),0)</f>
        <v/>
      </c>
      <c r="AY162" s="39">
        <f>IFERROR(AY123*$BC84/SUMPRODUCT(AY$97:AY$131,$BC$58:$BC$92),0)</f>
        <v/>
      </c>
      <c r="AZ162" s="39">
        <f>IFERROR(AZ123*$BC84/SUMPRODUCT(AZ$97:AZ$131,$BC$58:$BC$92),0)</f>
        <v/>
      </c>
      <c r="BA162" s="39">
        <f>IFERROR(BA123*$BC84/SUMPRODUCT(BA$97:BA$131,$BC$58:$BC$92),0)</f>
        <v/>
      </c>
      <c r="BB162" s="39">
        <f>IFERROR(BB123*$BC84/SUMPRODUCT(BB$97:BB$131,$BC$58:$BC$92),0)</f>
        <v/>
      </c>
    </row>
    <row r="163">
      <c r="C163" s="1" t="n"/>
      <c r="D163" s="237">
        <f>D124</f>
        <v/>
      </c>
      <c r="E163" s="39">
        <f>IFERROR(E124*$BC85/SUMPRODUCT(E$97:E$131,$BC$58:$BC$92),0)</f>
        <v/>
      </c>
      <c r="F163" s="39">
        <f>IFERROR(F124*$BC85/SUMPRODUCT(F$97:F$131,$BC$58:$BC$92),0)</f>
        <v/>
      </c>
      <c r="G163" s="39">
        <f>IFERROR(G124*$BC85/SUMPRODUCT(G$97:G$131,$BC$58:$BC$92),0)</f>
        <v/>
      </c>
      <c r="H163" s="39">
        <f>IFERROR(H124*$BC85/SUMPRODUCT(H$97:H$131,$BC$58:$BC$92),0)</f>
        <v/>
      </c>
      <c r="I163" s="39">
        <f>IFERROR(I124*$BC85/SUMPRODUCT(I$97:I$131,$BC$58:$BC$92),0)</f>
        <v/>
      </c>
      <c r="J163" s="39">
        <f>IFERROR(J124*$BC85/SUMPRODUCT(J$97:J$131,$BC$58:$BC$92),0)</f>
        <v/>
      </c>
      <c r="K163" s="39">
        <f>IFERROR(K124*$BC85/SUMPRODUCT(K$97:K$131,$BC$58:$BC$92),0)</f>
        <v/>
      </c>
      <c r="L163" s="39">
        <f>IFERROR(L124*$BC85/SUMPRODUCT(L$97:L$131,$BC$58:$BC$92),0)</f>
        <v/>
      </c>
      <c r="M163" s="39">
        <f>IFERROR(M124*$BC85/SUMPRODUCT(M$97:M$131,$BC$58:$BC$92),0)</f>
        <v/>
      </c>
      <c r="N163" s="39">
        <f>IFERROR(N124*$BC85/SUMPRODUCT(N$97:N$131,$BC$58:$BC$92),0)</f>
        <v/>
      </c>
      <c r="O163" s="39">
        <f>IFERROR(O124*$BC85/SUMPRODUCT(O$97:O$131,$BC$58:$BC$92),0)</f>
        <v/>
      </c>
      <c r="P163" s="39">
        <f>IFERROR(P124*$BC85/SUMPRODUCT(P$97:P$131,$BC$58:$BC$92),0)</f>
        <v/>
      </c>
      <c r="Q163" s="39">
        <f>IFERROR(Q124*$BC85/SUMPRODUCT(Q$97:Q$131,$BC$58:$BC$92),0)</f>
        <v/>
      </c>
      <c r="R163" s="39">
        <f>IFERROR(R124*$BC85/SUMPRODUCT(R$97:R$131,$BC$58:$BC$92),0)</f>
        <v/>
      </c>
      <c r="S163" s="39">
        <f>IFERROR(S124*$BC85/SUMPRODUCT(S$97:S$131,$BC$58:$BC$92),0)</f>
        <v/>
      </c>
      <c r="T163" s="39">
        <f>IFERROR(T124*$BC85/SUMPRODUCT(T$97:T$131,$BC$58:$BC$92),0)</f>
        <v/>
      </c>
      <c r="U163" s="39">
        <f>IFERROR(U124*$BC85/SUMPRODUCT(U$97:U$131,$BC$58:$BC$92),0)</f>
        <v/>
      </c>
      <c r="V163" s="39">
        <f>IFERROR(V124*$BC85/SUMPRODUCT(V$97:V$131,$BC$58:$BC$92),0)</f>
        <v/>
      </c>
      <c r="W163" s="39">
        <f>IFERROR(W124*$BC85/SUMPRODUCT(W$97:W$131,$BC$58:$BC$92),0)</f>
        <v/>
      </c>
      <c r="X163" s="39">
        <f>IFERROR(X124*$BC85/SUMPRODUCT(X$97:X$131,$BC$58:$BC$92),0)</f>
        <v/>
      </c>
      <c r="Y163" s="39">
        <f>IFERROR(Y124*$BC85/SUMPRODUCT(Y$97:Y$131,$BC$58:$BC$92),0)</f>
        <v/>
      </c>
      <c r="Z163" s="39">
        <f>IFERROR(Z124*$BC85/SUMPRODUCT(Z$97:Z$131,$BC$58:$BC$92),0)</f>
        <v/>
      </c>
      <c r="AA163" s="39">
        <f>IFERROR(AA124*$BC85/SUMPRODUCT(AA$97:AA$131,$BC$58:$BC$92),0)</f>
        <v/>
      </c>
      <c r="AB163" s="39">
        <f>IFERROR(AB124*$BC85/SUMPRODUCT(AB$97:AB$131,$BC$58:$BC$92),0)</f>
        <v/>
      </c>
      <c r="AC163" s="39">
        <f>IFERROR(AC124*$BC85/SUMPRODUCT(AC$97:AC$131,$BC$58:$BC$92),0)</f>
        <v/>
      </c>
      <c r="AD163" s="39">
        <f>IFERROR(AD124*$BC85/SUMPRODUCT(AD$97:AD$131,$BC$58:$BC$92),0)</f>
        <v/>
      </c>
      <c r="AE163" s="39">
        <f>IFERROR(AE124*$BC85/SUMPRODUCT(AE$97:AE$131,$BC$58:$BC$92),0)</f>
        <v/>
      </c>
      <c r="AF163" s="39">
        <f>IFERROR(AF124*$BC85/SUMPRODUCT(AF$97:AF$131,$BC$58:$BC$92),0)</f>
        <v/>
      </c>
      <c r="AG163" s="39">
        <f>IFERROR(AG124*$BC85/SUMPRODUCT(AG$97:AG$131,$BC$58:$BC$92),0)</f>
        <v/>
      </c>
      <c r="AH163" s="39">
        <f>IFERROR(AH124*$BC85/SUMPRODUCT(AH$97:AH$131,$BC$58:$BC$92),0)</f>
        <v/>
      </c>
      <c r="AI163" s="39">
        <f>IFERROR(AI124*$BC85/SUMPRODUCT(AI$97:AI$131,$BC$58:$BC$92),0)</f>
        <v/>
      </c>
      <c r="AJ163" s="39">
        <f>IFERROR(AJ124*$BC85/SUMPRODUCT(AJ$97:AJ$131,$BC$58:$BC$92),0)</f>
        <v/>
      </c>
      <c r="AK163" s="39">
        <f>IFERROR(AK124*$BC85/SUMPRODUCT(AK$97:AK$131,$BC$58:$BC$92),0)</f>
        <v/>
      </c>
      <c r="AL163" s="39">
        <f>IFERROR(AL124*$BC85/SUMPRODUCT(AL$97:AL$131,$BC$58:$BC$92),0)</f>
        <v/>
      </c>
      <c r="AM163" s="39">
        <f>IFERROR(AM124*$BC85/SUMPRODUCT(AM$97:AM$131,$BC$58:$BC$92),0)</f>
        <v/>
      </c>
      <c r="AN163" s="39">
        <f>IFERROR(AN124*$BC85/SUMPRODUCT(AN$97:AN$131,$BC$58:$BC$92),0)</f>
        <v/>
      </c>
      <c r="AO163" s="39">
        <f>IFERROR(AO124*$BC85/SUMPRODUCT(AO$97:AO$131,$BC$58:$BC$92),0)</f>
        <v/>
      </c>
      <c r="AP163" s="39">
        <f>IFERROR(AP124*$BC85/SUMPRODUCT(AP$97:AP$131,$BC$58:$BC$92),0)</f>
        <v/>
      </c>
      <c r="AQ163" s="39">
        <f>IFERROR(AQ124*$BC85/SUMPRODUCT(AQ$97:AQ$131,$BC$58:$BC$92),0)</f>
        <v/>
      </c>
      <c r="AR163" s="39">
        <f>IFERROR(AR124*$BC85/SUMPRODUCT(AR$97:AR$131,$BC$58:$BC$92),0)</f>
        <v/>
      </c>
      <c r="AS163" s="39">
        <f>IFERROR(AS124*$BC85/SUMPRODUCT(AS$97:AS$131,$BC$58:$BC$92),0)</f>
        <v/>
      </c>
      <c r="AT163" s="39">
        <f>IFERROR(AT124*$BC85/SUMPRODUCT(AT$97:AT$131,$BC$58:$BC$92),0)</f>
        <v/>
      </c>
      <c r="AU163" s="39">
        <f>IFERROR(AU124*$BC85/SUMPRODUCT(AU$97:AU$131,$BC$58:$BC$92),0)</f>
        <v/>
      </c>
      <c r="AV163" s="39">
        <f>IFERROR(AV124*$BC85/SUMPRODUCT(AV$97:AV$131,$BC$58:$BC$92),0)</f>
        <v/>
      </c>
      <c r="AW163" s="39">
        <f>IFERROR(AW124*$BC85/SUMPRODUCT(AW$97:AW$131,$BC$58:$BC$92),0)</f>
        <v/>
      </c>
      <c r="AX163" s="39">
        <f>IFERROR(AX124*$BC85/SUMPRODUCT(AX$97:AX$131,$BC$58:$BC$92),0)</f>
        <v/>
      </c>
      <c r="AY163" s="39">
        <f>IFERROR(AY124*$BC85/SUMPRODUCT(AY$97:AY$131,$BC$58:$BC$92),0)</f>
        <v/>
      </c>
      <c r="AZ163" s="39">
        <f>IFERROR(AZ124*$BC85/SUMPRODUCT(AZ$97:AZ$131,$BC$58:$BC$92),0)</f>
        <v/>
      </c>
      <c r="BA163" s="39">
        <f>IFERROR(BA124*$BC85/SUMPRODUCT(BA$97:BA$131,$BC$58:$BC$92),0)</f>
        <v/>
      </c>
      <c r="BB163" s="39">
        <f>IFERROR(BB124*$BC85/SUMPRODUCT(BB$97:BB$131,$BC$58:$BC$92),0)</f>
        <v/>
      </c>
    </row>
    <row r="164">
      <c r="C164" s="1" t="n"/>
      <c r="D164" s="237">
        <f>D125</f>
        <v/>
      </c>
      <c r="E164" s="39">
        <f>IFERROR(E125*$BC86/SUMPRODUCT(E$97:E$131,$BC$58:$BC$92),0)</f>
        <v/>
      </c>
      <c r="F164" s="39">
        <f>IFERROR(F125*$BC86/SUMPRODUCT(F$97:F$131,$BC$58:$BC$92),0)</f>
        <v/>
      </c>
      <c r="G164" s="39">
        <f>IFERROR(G125*$BC86/SUMPRODUCT(G$97:G$131,$BC$58:$BC$92),0)</f>
        <v/>
      </c>
      <c r="H164" s="39">
        <f>IFERROR(H125*$BC86/SUMPRODUCT(H$97:H$131,$BC$58:$BC$92),0)</f>
        <v/>
      </c>
      <c r="I164" s="39">
        <f>IFERROR(I125*$BC86/SUMPRODUCT(I$97:I$131,$BC$58:$BC$92),0)</f>
        <v/>
      </c>
      <c r="J164" s="39">
        <f>IFERROR(J125*$BC86/SUMPRODUCT(J$97:J$131,$BC$58:$BC$92),0)</f>
        <v/>
      </c>
      <c r="K164" s="39">
        <f>IFERROR(K125*$BC86/SUMPRODUCT(K$97:K$131,$BC$58:$BC$92),0)</f>
        <v/>
      </c>
      <c r="L164" s="39">
        <f>IFERROR(L125*$BC86/SUMPRODUCT(L$97:L$131,$BC$58:$BC$92),0)</f>
        <v/>
      </c>
      <c r="M164" s="39">
        <f>IFERROR(M125*$BC86/SUMPRODUCT(M$97:M$131,$BC$58:$BC$92),0)</f>
        <v/>
      </c>
      <c r="N164" s="39">
        <f>IFERROR(N125*$BC86/SUMPRODUCT(N$97:N$131,$BC$58:$BC$92),0)</f>
        <v/>
      </c>
      <c r="O164" s="39">
        <f>IFERROR(O125*$BC86/SUMPRODUCT(O$97:O$131,$BC$58:$BC$92),0)</f>
        <v/>
      </c>
      <c r="P164" s="39">
        <f>IFERROR(P125*$BC86/SUMPRODUCT(P$97:P$131,$BC$58:$BC$92),0)</f>
        <v/>
      </c>
      <c r="Q164" s="39">
        <f>IFERROR(Q125*$BC86/SUMPRODUCT(Q$97:Q$131,$BC$58:$BC$92),0)</f>
        <v/>
      </c>
      <c r="R164" s="39">
        <f>IFERROR(R125*$BC86/SUMPRODUCT(R$97:R$131,$BC$58:$BC$92),0)</f>
        <v/>
      </c>
      <c r="S164" s="39">
        <f>IFERROR(S125*$BC86/SUMPRODUCT(S$97:S$131,$BC$58:$BC$92),0)</f>
        <v/>
      </c>
      <c r="T164" s="39">
        <f>IFERROR(T125*$BC86/SUMPRODUCT(T$97:T$131,$BC$58:$BC$92),0)</f>
        <v/>
      </c>
      <c r="U164" s="39">
        <f>IFERROR(U125*$BC86/SUMPRODUCT(U$97:U$131,$BC$58:$BC$92),0)</f>
        <v/>
      </c>
      <c r="V164" s="39">
        <f>IFERROR(V125*$BC86/SUMPRODUCT(V$97:V$131,$BC$58:$BC$92),0)</f>
        <v/>
      </c>
      <c r="W164" s="39">
        <f>IFERROR(W125*$BC86/SUMPRODUCT(W$97:W$131,$BC$58:$BC$92),0)</f>
        <v/>
      </c>
      <c r="X164" s="39">
        <f>IFERROR(X125*$BC86/SUMPRODUCT(X$97:X$131,$BC$58:$BC$92),0)</f>
        <v/>
      </c>
      <c r="Y164" s="39">
        <f>IFERROR(Y125*$BC86/SUMPRODUCT(Y$97:Y$131,$BC$58:$BC$92),0)</f>
        <v/>
      </c>
      <c r="Z164" s="39">
        <f>IFERROR(Z125*$BC86/SUMPRODUCT(Z$97:Z$131,$BC$58:$BC$92),0)</f>
        <v/>
      </c>
      <c r="AA164" s="39">
        <f>IFERROR(AA125*$BC86/SUMPRODUCT(AA$97:AA$131,$BC$58:$BC$92),0)</f>
        <v/>
      </c>
      <c r="AB164" s="39">
        <f>IFERROR(AB125*$BC86/SUMPRODUCT(AB$97:AB$131,$BC$58:$BC$92),0)</f>
        <v/>
      </c>
      <c r="AC164" s="39">
        <f>IFERROR(AC125*$BC86/SUMPRODUCT(AC$97:AC$131,$BC$58:$BC$92),0)</f>
        <v/>
      </c>
      <c r="AD164" s="39">
        <f>IFERROR(AD125*$BC86/SUMPRODUCT(AD$97:AD$131,$BC$58:$BC$92),0)</f>
        <v/>
      </c>
      <c r="AE164" s="39">
        <f>IFERROR(AE125*$BC86/SUMPRODUCT(AE$97:AE$131,$BC$58:$BC$92),0)</f>
        <v/>
      </c>
      <c r="AF164" s="39">
        <f>IFERROR(AF125*$BC86/SUMPRODUCT(AF$97:AF$131,$BC$58:$BC$92),0)</f>
        <v/>
      </c>
      <c r="AG164" s="39">
        <f>IFERROR(AG125*$BC86/SUMPRODUCT(AG$97:AG$131,$BC$58:$BC$92),0)</f>
        <v/>
      </c>
      <c r="AH164" s="39">
        <f>IFERROR(AH125*$BC86/SUMPRODUCT(AH$97:AH$131,$BC$58:$BC$92),0)</f>
        <v/>
      </c>
      <c r="AI164" s="39">
        <f>IFERROR(AI125*$BC86/SUMPRODUCT(AI$97:AI$131,$BC$58:$BC$92),0)</f>
        <v/>
      </c>
      <c r="AJ164" s="39">
        <f>IFERROR(AJ125*$BC86/SUMPRODUCT(AJ$97:AJ$131,$BC$58:$BC$92),0)</f>
        <v/>
      </c>
      <c r="AK164" s="39">
        <f>IFERROR(AK125*$BC86/SUMPRODUCT(AK$97:AK$131,$BC$58:$BC$92),0)</f>
        <v/>
      </c>
      <c r="AL164" s="39">
        <f>IFERROR(AL125*$BC86/SUMPRODUCT(AL$97:AL$131,$BC$58:$BC$92),0)</f>
        <v/>
      </c>
      <c r="AM164" s="39">
        <f>IFERROR(AM125*$BC86/SUMPRODUCT(AM$97:AM$131,$BC$58:$BC$92),0)</f>
        <v/>
      </c>
      <c r="AN164" s="39">
        <f>IFERROR(AN125*$BC86/SUMPRODUCT(AN$97:AN$131,$BC$58:$BC$92),0)</f>
        <v/>
      </c>
      <c r="AO164" s="39">
        <f>IFERROR(AO125*$BC86/SUMPRODUCT(AO$97:AO$131,$BC$58:$BC$92),0)</f>
        <v/>
      </c>
      <c r="AP164" s="39">
        <f>IFERROR(AP125*$BC86/SUMPRODUCT(AP$97:AP$131,$BC$58:$BC$92),0)</f>
        <v/>
      </c>
      <c r="AQ164" s="39">
        <f>IFERROR(AQ125*$BC86/SUMPRODUCT(AQ$97:AQ$131,$BC$58:$BC$92),0)</f>
        <v/>
      </c>
      <c r="AR164" s="39">
        <f>IFERROR(AR125*$BC86/SUMPRODUCT(AR$97:AR$131,$BC$58:$BC$92),0)</f>
        <v/>
      </c>
      <c r="AS164" s="39">
        <f>IFERROR(AS125*$BC86/SUMPRODUCT(AS$97:AS$131,$BC$58:$BC$92),0)</f>
        <v/>
      </c>
      <c r="AT164" s="39">
        <f>IFERROR(AT125*$BC86/SUMPRODUCT(AT$97:AT$131,$BC$58:$BC$92),0)</f>
        <v/>
      </c>
      <c r="AU164" s="39">
        <f>IFERROR(AU125*$BC86/SUMPRODUCT(AU$97:AU$131,$BC$58:$BC$92),0)</f>
        <v/>
      </c>
      <c r="AV164" s="39">
        <f>IFERROR(AV125*$BC86/SUMPRODUCT(AV$97:AV$131,$BC$58:$BC$92),0)</f>
        <v/>
      </c>
      <c r="AW164" s="39">
        <f>IFERROR(AW125*$BC86/SUMPRODUCT(AW$97:AW$131,$BC$58:$BC$92),0)</f>
        <v/>
      </c>
      <c r="AX164" s="39">
        <f>IFERROR(AX125*$BC86/SUMPRODUCT(AX$97:AX$131,$BC$58:$BC$92),0)</f>
        <v/>
      </c>
      <c r="AY164" s="39">
        <f>IFERROR(AY125*$BC86/SUMPRODUCT(AY$97:AY$131,$BC$58:$BC$92),0)</f>
        <v/>
      </c>
      <c r="AZ164" s="39">
        <f>IFERROR(AZ125*$BC86/SUMPRODUCT(AZ$97:AZ$131,$BC$58:$BC$92),0)</f>
        <v/>
      </c>
      <c r="BA164" s="39">
        <f>IFERROR(BA125*$BC86/SUMPRODUCT(BA$97:BA$131,$BC$58:$BC$92),0)</f>
        <v/>
      </c>
      <c r="BB164" s="39">
        <f>IFERROR(BB125*$BC86/SUMPRODUCT(BB$97:BB$131,$BC$58:$BC$92),0)</f>
        <v/>
      </c>
    </row>
    <row r="165">
      <c r="C165" s="1" t="n"/>
      <c r="D165" s="237">
        <f>D126</f>
        <v/>
      </c>
      <c r="E165" s="39">
        <f>IFERROR(E126*$BC87/SUMPRODUCT(E$97:E$131,$BC$58:$BC$92),0)</f>
        <v/>
      </c>
      <c r="F165" s="39">
        <f>IFERROR(F126*$BC87/SUMPRODUCT(F$97:F$131,$BC$58:$BC$92),0)</f>
        <v/>
      </c>
      <c r="G165" s="39">
        <f>IFERROR(G126*$BC87/SUMPRODUCT(G$97:G$131,$BC$58:$BC$92),0)</f>
        <v/>
      </c>
      <c r="H165" s="39">
        <f>IFERROR(H126*$BC87/SUMPRODUCT(H$97:H$131,$BC$58:$BC$92),0)</f>
        <v/>
      </c>
      <c r="I165" s="39">
        <f>IFERROR(I126*$BC87/SUMPRODUCT(I$97:I$131,$BC$58:$BC$92),0)</f>
        <v/>
      </c>
      <c r="J165" s="39">
        <f>IFERROR(J126*$BC87/SUMPRODUCT(J$97:J$131,$BC$58:$BC$92),0)</f>
        <v/>
      </c>
      <c r="K165" s="39">
        <f>IFERROR(K126*$BC87/SUMPRODUCT(K$97:K$131,$BC$58:$BC$92),0)</f>
        <v/>
      </c>
      <c r="L165" s="39">
        <f>IFERROR(L126*$BC87/SUMPRODUCT(L$97:L$131,$BC$58:$BC$92),0)</f>
        <v/>
      </c>
      <c r="M165" s="39">
        <f>IFERROR(M126*$BC87/SUMPRODUCT(M$97:M$131,$BC$58:$BC$92),0)</f>
        <v/>
      </c>
      <c r="N165" s="39">
        <f>IFERROR(N126*$BC87/SUMPRODUCT(N$97:N$131,$BC$58:$BC$92),0)</f>
        <v/>
      </c>
      <c r="O165" s="39">
        <f>IFERROR(O126*$BC87/SUMPRODUCT(O$97:O$131,$BC$58:$BC$92),0)</f>
        <v/>
      </c>
      <c r="P165" s="39">
        <f>IFERROR(P126*$BC87/SUMPRODUCT(P$97:P$131,$BC$58:$BC$92),0)</f>
        <v/>
      </c>
      <c r="Q165" s="39">
        <f>IFERROR(Q126*$BC87/SUMPRODUCT(Q$97:Q$131,$BC$58:$BC$92),0)</f>
        <v/>
      </c>
      <c r="R165" s="39">
        <f>IFERROR(R126*$BC87/SUMPRODUCT(R$97:R$131,$BC$58:$BC$92),0)</f>
        <v/>
      </c>
      <c r="S165" s="39">
        <f>IFERROR(S126*$BC87/SUMPRODUCT(S$97:S$131,$BC$58:$BC$92),0)</f>
        <v/>
      </c>
      <c r="T165" s="39">
        <f>IFERROR(T126*$BC87/SUMPRODUCT(T$97:T$131,$BC$58:$BC$92),0)</f>
        <v/>
      </c>
      <c r="U165" s="39">
        <f>IFERROR(U126*$BC87/SUMPRODUCT(U$97:U$131,$BC$58:$BC$92),0)</f>
        <v/>
      </c>
      <c r="V165" s="39">
        <f>IFERROR(V126*$BC87/SUMPRODUCT(V$97:V$131,$BC$58:$BC$92),0)</f>
        <v/>
      </c>
      <c r="W165" s="39">
        <f>IFERROR(W126*$BC87/SUMPRODUCT(W$97:W$131,$BC$58:$BC$92),0)</f>
        <v/>
      </c>
      <c r="X165" s="39">
        <f>IFERROR(X126*$BC87/SUMPRODUCT(X$97:X$131,$BC$58:$BC$92),0)</f>
        <v/>
      </c>
      <c r="Y165" s="39">
        <f>IFERROR(Y126*$BC87/SUMPRODUCT(Y$97:Y$131,$BC$58:$BC$92),0)</f>
        <v/>
      </c>
      <c r="Z165" s="39">
        <f>IFERROR(Z126*$BC87/SUMPRODUCT(Z$97:Z$131,$BC$58:$BC$92),0)</f>
        <v/>
      </c>
      <c r="AA165" s="39">
        <f>IFERROR(AA126*$BC87/SUMPRODUCT(AA$97:AA$131,$BC$58:$BC$92),0)</f>
        <v/>
      </c>
      <c r="AB165" s="39">
        <f>IFERROR(AB126*$BC87/SUMPRODUCT(AB$97:AB$131,$BC$58:$BC$92),0)</f>
        <v/>
      </c>
      <c r="AC165" s="39">
        <f>IFERROR(AC126*$BC87/SUMPRODUCT(AC$97:AC$131,$BC$58:$BC$92),0)</f>
        <v/>
      </c>
      <c r="AD165" s="39">
        <f>IFERROR(AD126*$BC87/SUMPRODUCT(AD$97:AD$131,$BC$58:$BC$92),0)</f>
        <v/>
      </c>
      <c r="AE165" s="39">
        <f>IFERROR(AE126*$BC87/SUMPRODUCT(AE$97:AE$131,$BC$58:$BC$92),0)</f>
        <v/>
      </c>
      <c r="AF165" s="39">
        <f>IFERROR(AF126*$BC87/SUMPRODUCT(AF$97:AF$131,$BC$58:$BC$92),0)</f>
        <v/>
      </c>
      <c r="AG165" s="39">
        <f>IFERROR(AG126*$BC87/SUMPRODUCT(AG$97:AG$131,$BC$58:$BC$92),0)</f>
        <v/>
      </c>
      <c r="AH165" s="39">
        <f>IFERROR(AH126*$BC87/SUMPRODUCT(AH$97:AH$131,$BC$58:$BC$92),0)</f>
        <v/>
      </c>
      <c r="AI165" s="39">
        <f>IFERROR(AI126*$BC87/SUMPRODUCT(AI$97:AI$131,$BC$58:$BC$92),0)</f>
        <v/>
      </c>
      <c r="AJ165" s="39">
        <f>IFERROR(AJ126*$BC87/SUMPRODUCT(AJ$97:AJ$131,$BC$58:$BC$92),0)</f>
        <v/>
      </c>
      <c r="AK165" s="39">
        <f>IFERROR(AK126*$BC87/SUMPRODUCT(AK$97:AK$131,$BC$58:$BC$92),0)</f>
        <v/>
      </c>
      <c r="AL165" s="39">
        <f>IFERROR(AL126*$BC87/SUMPRODUCT(AL$97:AL$131,$BC$58:$BC$92),0)</f>
        <v/>
      </c>
      <c r="AM165" s="39">
        <f>IFERROR(AM126*$BC87/SUMPRODUCT(AM$97:AM$131,$BC$58:$BC$92),0)</f>
        <v/>
      </c>
      <c r="AN165" s="39">
        <f>IFERROR(AN126*$BC87/SUMPRODUCT(AN$97:AN$131,$BC$58:$BC$92),0)</f>
        <v/>
      </c>
      <c r="AO165" s="39">
        <f>IFERROR(AO126*$BC87/SUMPRODUCT(AO$97:AO$131,$BC$58:$BC$92),0)</f>
        <v/>
      </c>
      <c r="AP165" s="39">
        <f>IFERROR(AP126*$BC87/SUMPRODUCT(AP$97:AP$131,$BC$58:$BC$92),0)</f>
        <v/>
      </c>
      <c r="AQ165" s="39">
        <f>IFERROR(AQ126*$BC87/SUMPRODUCT(AQ$97:AQ$131,$BC$58:$BC$92),0)</f>
        <v/>
      </c>
      <c r="AR165" s="39">
        <f>IFERROR(AR126*$BC87/SUMPRODUCT(AR$97:AR$131,$BC$58:$BC$92),0)</f>
        <v/>
      </c>
      <c r="AS165" s="39">
        <f>IFERROR(AS126*$BC87/SUMPRODUCT(AS$97:AS$131,$BC$58:$BC$92),0)</f>
        <v/>
      </c>
      <c r="AT165" s="39">
        <f>IFERROR(AT126*$BC87/SUMPRODUCT(AT$97:AT$131,$BC$58:$BC$92),0)</f>
        <v/>
      </c>
      <c r="AU165" s="39">
        <f>IFERROR(AU126*$BC87/SUMPRODUCT(AU$97:AU$131,$BC$58:$BC$92),0)</f>
        <v/>
      </c>
      <c r="AV165" s="39">
        <f>IFERROR(AV126*$BC87/SUMPRODUCT(AV$97:AV$131,$BC$58:$BC$92),0)</f>
        <v/>
      </c>
      <c r="AW165" s="39">
        <f>IFERROR(AW126*$BC87/SUMPRODUCT(AW$97:AW$131,$BC$58:$BC$92),0)</f>
        <v/>
      </c>
      <c r="AX165" s="39">
        <f>IFERROR(AX126*$BC87/SUMPRODUCT(AX$97:AX$131,$BC$58:$BC$92),0)</f>
        <v/>
      </c>
      <c r="AY165" s="39">
        <f>IFERROR(AY126*$BC87/SUMPRODUCT(AY$97:AY$131,$BC$58:$BC$92),0)</f>
        <v/>
      </c>
      <c r="AZ165" s="39">
        <f>IFERROR(AZ126*$BC87/SUMPRODUCT(AZ$97:AZ$131,$BC$58:$BC$92),0)</f>
        <v/>
      </c>
      <c r="BA165" s="39">
        <f>IFERROR(BA126*$BC87/SUMPRODUCT(BA$97:BA$131,$BC$58:$BC$92),0)</f>
        <v/>
      </c>
      <c r="BB165" s="39">
        <f>IFERROR(BB126*$BC87/SUMPRODUCT(BB$97:BB$131,$BC$58:$BC$92),0)</f>
        <v/>
      </c>
    </row>
    <row r="166">
      <c r="C166" s="1" t="n"/>
      <c r="D166" s="237">
        <f>D127</f>
        <v/>
      </c>
      <c r="E166" s="39">
        <f>IFERROR(E127*$BC88/SUMPRODUCT(E$97:E$131,$BC$58:$BC$92),0)</f>
        <v/>
      </c>
      <c r="F166" s="39">
        <f>IFERROR(F127*$BC88/SUMPRODUCT(F$97:F$131,$BC$58:$BC$92),0)</f>
        <v/>
      </c>
      <c r="G166" s="39">
        <f>IFERROR(G127*$BC88/SUMPRODUCT(G$97:G$131,$BC$58:$BC$92),0)</f>
        <v/>
      </c>
      <c r="H166" s="39">
        <f>IFERROR(H127*$BC88/SUMPRODUCT(H$97:H$131,$BC$58:$BC$92),0)</f>
        <v/>
      </c>
      <c r="I166" s="39">
        <f>IFERROR(I127*$BC88/SUMPRODUCT(I$97:I$131,$BC$58:$BC$92),0)</f>
        <v/>
      </c>
      <c r="J166" s="39">
        <f>IFERROR(J127*$BC88/SUMPRODUCT(J$97:J$131,$BC$58:$BC$92),0)</f>
        <v/>
      </c>
      <c r="K166" s="39">
        <f>IFERROR(K127*$BC88/SUMPRODUCT(K$97:K$131,$BC$58:$BC$92),0)</f>
        <v/>
      </c>
      <c r="L166" s="39">
        <f>IFERROR(L127*$BC88/SUMPRODUCT(L$97:L$131,$BC$58:$BC$92),0)</f>
        <v/>
      </c>
      <c r="M166" s="39">
        <f>IFERROR(M127*$BC88/SUMPRODUCT(M$97:M$131,$BC$58:$BC$92),0)</f>
        <v/>
      </c>
      <c r="N166" s="39">
        <f>IFERROR(N127*$BC88/SUMPRODUCT(N$97:N$131,$BC$58:$BC$92),0)</f>
        <v/>
      </c>
      <c r="O166" s="39">
        <f>IFERROR(O127*$BC88/SUMPRODUCT(O$97:O$131,$BC$58:$BC$92),0)</f>
        <v/>
      </c>
      <c r="P166" s="39">
        <f>IFERROR(P127*$BC88/SUMPRODUCT(P$97:P$131,$BC$58:$BC$92),0)</f>
        <v/>
      </c>
      <c r="Q166" s="39">
        <f>IFERROR(Q127*$BC88/SUMPRODUCT(Q$97:Q$131,$BC$58:$BC$92),0)</f>
        <v/>
      </c>
      <c r="R166" s="39">
        <f>IFERROR(R127*$BC88/SUMPRODUCT(R$97:R$131,$BC$58:$BC$92),0)</f>
        <v/>
      </c>
      <c r="S166" s="39">
        <f>IFERROR(S127*$BC88/SUMPRODUCT(S$97:S$131,$BC$58:$BC$92),0)</f>
        <v/>
      </c>
      <c r="T166" s="39">
        <f>IFERROR(T127*$BC88/SUMPRODUCT(T$97:T$131,$BC$58:$BC$92),0)</f>
        <v/>
      </c>
      <c r="U166" s="39">
        <f>IFERROR(U127*$BC88/SUMPRODUCT(U$97:U$131,$BC$58:$BC$92),0)</f>
        <v/>
      </c>
      <c r="V166" s="39">
        <f>IFERROR(V127*$BC88/SUMPRODUCT(V$97:V$131,$BC$58:$BC$92),0)</f>
        <v/>
      </c>
      <c r="W166" s="39">
        <f>IFERROR(W127*$BC88/SUMPRODUCT(W$97:W$131,$BC$58:$BC$92),0)</f>
        <v/>
      </c>
      <c r="X166" s="39">
        <f>IFERROR(X127*$BC88/SUMPRODUCT(X$97:X$131,$BC$58:$BC$92),0)</f>
        <v/>
      </c>
      <c r="Y166" s="39">
        <f>IFERROR(Y127*$BC88/SUMPRODUCT(Y$97:Y$131,$BC$58:$BC$92),0)</f>
        <v/>
      </c>
      <c r="Z166" s="39">
        <f>IFERROR(Z127*$BC88/SUMPRODUCT(Z$97:Z$131,$BC$58:$BC$92),0)</f>
        <v/>
      </c>
      <c r="AA166" s="39">
        <f>IFERROR(AA127*$BC88/SUMPRODUCT(AA$97:AA$131,$BC$58:$BC$92),0)</f>
        <v/>
      </c>
      <c r="AB166" s="39">
        <f>IFERROR(AB127*$BC88/SUMPRODUCT(AB$97:AB$131,$BC$58:$BC$92),0)</f>
        <v/>
      </c>
      <c r="AC166" s="39">
        <f>IFERROR(AC127*$BC88/SUMPRODUCT(AC$97:AC$131,$BC$58:$BC$92),0)</f>
        <v/>
      </c>
      <c r="AD166" s="39">
        <f>IFERROR(AD127*$BC88/SUMPRODUCT(AD$97:AD$131,$BC$58:$BC$92),0)</f>
        <v/>
      </c>
      <c r="AE166" s="39">
        <f>IFERROR(AE127*$BC88/SUMPRODUCT(AE$97:AE$131,$BC$58:$BC$92),0)</f>
        <v/>
      </c>
      <c r="AF166" s="39">
        <f>IFERROR(AF127*$BC88/SUMPRODUCT(AF$97:AF$131,$BC$58:$BC$92),0)</f>
        <v/>
      </c>
      <c r="AG166" s="39">
        <f>IFERROR(AG127*$BC88/SUMPRODUCT(AG$97:AG$131,$BC$58:$BC$92),0)</f>
        <v/>
      </c>
      <c r="AH166" s="39">
        <f>IFERROR(AH127*$BC88/SUMPRODUCT(AH$97:AH$131,$BC$58:$BC$92),0)</f>
        <v/>
      </c>
      <c r="AI166" s="39">
        <f>IFERROR(AI127*$BC88/SUMPRODUCT(AI$97:AI$131,$BC$58:$BC$92),0)</f>
        <v/>
      </c>
      <c r="AJ166" s="39">
        <f>IFERROR(AJ127*$BC88/SUMPRODUCT(AJ$97:AJ$131,$BC$58:$BC$92),0)</f>
        <v/>
      </c>
      <c r="AK166" s="39">
        <f>IFERROR(AK127*$BC88/SUMPRODUCT(AK$97:AK$131,$BC$58:$BC$92),0)</f>
        <v/>
      </c>
      <c r="AL166" s="39">
        <f>IFERROR(AL127*$BC88/SUMPRODUCT(AL$97:AL$131,$BC$58:$BC$92),0)</f>
        <v/>
      </c>
      <c r="AM166" s="39">
        <f>IFERROR(AM127*$BC88/SUMPRODUCT(AM$97:AM$131,$BC$58:$BC$92),0)</f>
        <v/>
      </c>
      <c r="AN166" s="39">
        <f>IFERROR(AN127*$BC88/SUMPRODUCT(AN$97:AN$131,$BC$58:$BC$92),0)</f>
        <v/>
      </c>
      <c r="AO166" s="39">
        <f>IFERROR(AO127*$BC88/SUMPRODUCT(AO$97:AO$131,$BC$58:$BC$92),0)</f>
        <v/>
      </c>
      <c r="AP166" s="39">
        <f>IFERROR(AP127*$BC88/SUMPRODUCT(AP$97:AP$131,$BC$58:$BC$92),0)</f>
        <v/>
      </c>
      <c r="AQ166" s="39">
        <f>IFERROR(AQ127*$BC88/SUMPRODUCT(AQ$97:AQ$131,$BC$58:$BC$92),0)</f>
        <v/>
      </c>
      <c r="AR166" s="39">
        <f>IFERROR(AR127*$BC88/SUMPRODUCT(AR$97:AR$131,$BC$58:$BC$92),0)</f>
        <v/>
      </c>
      <c r="AS166" s="39">
        <f>IFERROR(AS127*$BC88/SUMPRODUCT(AS$97:AS$131,$BC$58:$BC$92),0)</f>
        <v/>
      </c>
      <c r="AT166" s="39">
        <f>IFERROR(AT127*$BC88/SUMPRODUCT(AT$97:AT$131,$BC$58:$BC$92),0)</f>
        <v/>
      </c>
      <c r="AU166" s="39">
        <f>IFERROR(AU127*$BC88/SUMPRODUCT(AU$97:AU$131,$BC$58:$BC$92),0)</f>
        <v/>
      </c>
      <c r="AV166" s="39">
        <f>IFERROR(AV127*$BC88/SUMPRODUCT(AV$97:AV$131,$BC$58:$BC$92),0)</f>
        <v/>
      </c>
      <c r="AW166" s="39">
        <f>IFERROR(AW127*$BC88/SUMPRODUCT(AW$97:AW$131,$BC$58:$BC$92),0)</f>
        <v/>
      </c>
      <c r="AX166" s="39">
        <f>IFERROR(AX127*$BC88/SUMPRODUCT(AX$97:AX$131,$BC$58:$BC$92),0)</f>
        <v/>
      </c>
      <c r="AY166" s="39">
        <f>IFERROR(AY127*$BC88/SUMPRODUCT(AY$97:AY$131,$BC$58:$BC$92),0)</f>
        <v/>
      </c>
      <c r="AZ166" s="39">
        <f>IFERROR(AZ127*$BC88/SUMPRODUCT(AZ$97:AZ$131,$BC$58:$BC$92),0)</f>
        <v/>
      </c>
      <c r="BA166" s="39">
        <f>IFERROR(BA127*$BC88/SUMPRODUCT(BA$97:BA$131,$BC$58:$BC$92),0)</f>
        <v/>
      </c>
      <c r="BB166" s="39">
        <f>IFERROR(BB127*$BC88/SUMPRODUCT(BB$97:BB$131,$BC$58:$BC$92),0)</f>
        <v/>
      </c>
    </row>
    <row r="167">
      <c r="C167" s="1" t="n"/>
      <c r="D167" s="237">
        <f>D128</f>
        <v/>
      </c>
      <c r="E167" s="39">
        <f>IFERROR(E128*$BC89/SUMPRODUCT(E$97:E$131,$BC$58:$BC$92),0)</f>
        <v/>
      </c>
      <c r="F167" s="39">
        <f>IFERROR(F128*$BC89/SUMPRODUCT(F$97:F$131,$BC$58:$BC$92),0)</f>
        <v/>
      </c>
      <c r="G167" s="39">
        <f>IFERROR(G128*$BC89/SUMPRODUCT(G$97:G$131,$BC$58:$BC$92),0)</f>
        <v/>
      </c>
      <c r="H167" s="39">
        <f>IFERROR(H128*$BC89/SUMPRODUCT(H$97:H$131,$BC$58:$BC$92),0)</f>
        <v/>
      </c>
      <c r="I167" s="39">
        <f>IFERROR(I128*$BC89/SUMPRODUCT(I$97:I$131,$BC$58:$BC$92),0)</f>
        <v/>
      </c>
      <c r="J167" s="39">
        <f>IFERROR(J128*$BC89/SUMPRODUCT(J$97:J$131,$BC$58:$BC$92),0)</f>
        <v/>
      </c>
      <c r="K167" s="39">
        <f>IFERROR(K128*$BC89/SUMPRODUCT(K$97:K$131,$BC$58:$BC$92),0)</f>
        <v/>
      </c>
      <c r="L167" s="39">
        <f>IFERROR(L128*$BC89/SUMPRODUCT(L$97:L$131,$BC$58:$BC$92),0)</f>
        <v/>
      </c>
      <c r="M167" s="39">
        <f>IFERROR(M128*$BC89/SUMPRODUCT(M$97:M$131,$BC$58:$BC$92),0)</f>
        <v/>
      </c>
      <c r="N167" s="39">
        <f>IFERROR(N128*$BC89/SUMPRODUCT(N$97:N$131,$BC$58:$BC$92),0)</f>
        <v/>
      </c>
      <c r="O167" s="39">
        <f>IFERROR(O128*$BC89/SUMPRODUCT(O$97:O$131,$BC$58:$BC$92),0)</f>
        <v/>
      </c>
      <c r="P167" s="39">
        <f>IFERROR(P128*$BC89/SUMPRODUCT(P$97:P$131,$BC$58:$BC$92),0)</f>
        <v/>
      </c>
      <c r="Q167" s="39">
        <f>IFERROR(Q128*$BC89/SUMPRODUCT(Q$97:Q$131,$BC$58:$BC$92),0)</f>
        <v/>
      </c>
      <c r="R167" s="39">
        <f>IFERROR(R128*$BC89/SUMPRODUCT(R$97:R$131,$BC$58:$BC$92),0)</f>
        <v/>
      </c>
      <c r="S167" s="39">
        <f>IFERROR(S128*$BC89/SUMPRODUCT(S$97:S$131,$BC$58:$BC$92),0)</f>
        <v/>
      </c>
      <c r="T167" s="39">
        <f>IFERROR(T128*$BC89/SUMPRODUCT(T$97:T$131,$BC$58:$BC$92),0)</f>
        <v/>
      </c>
      <c r="U167" s="39">
        <f>IFERROR(U128*$BC89/SUMPRODUCT(U$97:U$131,$BC$58:$BC$92),0)</f>
        <v/>
      </c>
      <c r="V167" s="39">
        <f>IFERROR(V128*$BC89/SUMPRODUCT(V$97:V$131,$BC$58:$BC$92),0)</f>
        <v/>
      </c>
      <c r="W167" s="39">
        <f>IFERROR(W128*$BC89/SUMPRODUCT(W$97:W$131,$BC$58:$BC$92),0)</f>
        <v/>
      </c>
      <c r="X167" s="39">
        <f>IFERROR(X128*$BC89/SUMPRODUCT(X$97:X$131,$BC$58:$BC$92),0)</f>
        <v/>
      </c>
      <c r="Y167" s="39">
        <f>IFERROR(Y128*$BC89/SUMPRODUCT(Y$97:Y$131,$BC$58:$BC$92),0)</f>
        <v/>
      </c>
      <c r="Z167" s="39">
        <f>IFERROR(Z128*$BC89/SUMPRODUCT(Z$97:Z$131,$BC$58:$BC$92),0)</f>
        <v/>
      </c>
      <c r="AA167" s="39">
        <f>IFERROR(AA128*$BC89/SUMPRODUCT(AA$97:AA$131,$BC$58:$BC$92),0)</f>
        <v/>
      </c>
      <c r="AB167" s="39">
        <f>IFERROR(AB128*$BC89/SUMPRODUCT(AB$97:AB$131,$BC$58:$BC$92),0)</f>
        <v/>
      </c>
      <c r="AC167" s="39">
        <f>IFERROR(AC128*$BC89/SUMPRODUCT(AC$97:AC$131,$BC$58:$BC$92),0)</f>
        <v/>
      </c>
      <c r="AD167" s="39">
        <f>IFERROR(AD128*$BC89/SUMPRODUCT(AD$97:AD$131,$BC$58:$BC$92),0)</f>
        <v/>
      </c>
      <c r="AE167" s="39">
        <f>IFERROR(AE128*$BC89/SUMPRODUCT(AE$97:AE$131,$BC$58:$BC$92),0)</f>
        <v/>
      </c>
      <c r="AF167" s="39">
        <f>IFERROR(AF128*$BC89/SUMPRODUCT(AF$97:AF$131,$BC$58:$BC$92),0)</f>
        <v/>
      </c>
      <c r="AG167" s="39">
        <f>IFERROR(AG128*$BC89/SUMPRODUCT(AG$97:AG$131,$BC$58:$BC$92),0)</f>
        <v/>
      </c>
      <c r="AH167" s="39">
        <f>IFERROR(AH128*$BC89/SUMPRODUCT(AH$97:AH$131,$BC$58:$BC$92),0)</f>
        <v/>
      </c>
      <c r="AI167" s="39">
        <f>IFERROR(AI128*$BC89/SUMPRODUCT(AI$97:AI$131,$BC$58:$BC$92),0)</f>
        <v/>
      </c>
      <c r="AJ167" s="39">
        <f>IFERROR(AJ128*$BC89/SUMPRODUCT(AJ$97:AJ$131,$BC$58:$BC$92),0)</f>
        <v/>
      </c>
      <c r="AK167" s="39">
        <f>IFERROR(AK128*$BC89/SUMPRODUCT(AK$97:AK$131,$BC$58:$BC$92),0)</f>
        <v/>
      </c>
      <c r="AL167" s="39">
        <f>IFERROR(AL128*$BC89/SUMPRODUCT(AL$97:AL$131,$BC$58:$BC$92),0)</f>
        <v/>
      </c>
      <c r="AM167" s="39">
        <f>IFERROR(AM128*$BC89/SUMPRODUCT(AM$97:AM$131,$BC$58:$BC$92),0)</f>
        <v/>
      </c>
      <c r="AN167" s="39">
        <f>IFERROR(AN128*$BC89/SUMPRODUCT(AN$97:AN$131,$BC$58:$BC$92),0)</f>
        <v/>
      </c>
      <c r="AO167" s="39">
        <f>IFERROR(AO128*$BC89/SUMPRODUCT(AO$97:AO$131,$BC$58:$BC$92),0)</f>
        <v/>
      </c>
      <c r="AP167" s="39">
        <f>IFERROR(AP128*$BC89/SUMPRODUCT(AP$97:AP$131,$BC$58:$BC$92),0)</f>
        <v/>
      </c>
      <c r="AQ167" s="39">
        <f>IFERROR(AQ128*$BC89/SUMPRODUCT(AQ$97:AQ$131,$BC$58:$BC$92),0)</f>
        <v/>
      </c>
      <c r="AR167" s="39">
        <f>IFERROR(AR128*$BC89/SUMPRODUCT(AR$97:AR$131,$BC$58:$BC$92),0)</f>
        <v/>
      </c>
      <c r="AS167" s="39">
        <f>IFERROR(AS128*$BC89/SUMPRODUCT(AS$97:AS$131,$BC$58:$BC$92),0)</f>
        <v/>
      </c>
      <c r="AT167" s="39">
        <f>IFERROR(AT128*$BC89/SUMPRODUCT(AT$97:AT$131,$BC$58:$BC$92),0)</f>
        <v/>
      </c>
      <c r="AU167" s="39">
        <f>IFERROR(AU128*$BC89/SUMPRODUCT(AU$97:AU$131,$BC$58:$BC$92),0)</f>
        <v/>
      </c>
      <c r="AV167" s="39">
        <f>IFERROR(AV128*$BC89/SUMPRODUCT(AV$97:AV$131,$BC$58:$BC$92),0)</f>
        <v/>
      </c>
      <c r="AW167" s="39">
        <f>IFERROR(AW128*$BC89/SUMPRODUCT(AW$97:AW$131,$BC$58:$BC$92),0)</f>
        <v/>
      </c>
      <c r="AX167" s="39">
        <f>IFERROR(AX128*$BC89/SUMPRODUCT(AX$97:AX$131,$BC$58:$BC$92),0)</f>
        <v/>
      </c>
      <c r="AY167" s="39">
        <f>IFERROR(AY128*$BC89/SUMPRODUCT(AY$97:AY$131,$BC$58:$BC$92),0)</f>
        <v/>
      </c>
      <c r="AZ167" s="39">
        <f>IFERROR(AZ128*$BC89/SUMPRODUCT(AZ$97:AZ$131,$BC$58:$BC$92),0)</f>
        <v/>
      </c>
      <c r="BA167" s="39">
        <f>IFERROR(BA128*$BC89/SUMPRODUCT(BA$97:BA$131,$BC$58:$BC$92),0)</f>
        <v/>
      </c>
      <c r="BB167" s="39">
        <f>IFERROR(BB128*$BC89/SUMPRODUCT(BB$97:BB$131,$BC$58:$BC$92),0)</f>
        <v/>
      </c>
    </row>
    <row r="168">
      <c r="C168" s="1" t="n"/>
      <c r="D168" s="237">
        <f>D129</f>
        <v/>
      </c>
      <c r="E168" s="39">
        <f>IFERROR(E129*$BC90/SUMPRODUCT(E$97:E$131,$BC$58:$BC$92),0)</f>
        <v/>
      </c>
      <c r="F168" s="39">
        <f>IFERROR(F129*$BC90/SUMPRODUCT(F$97:F$131,$BC$58:$BC$92),0)</f>
        <v/>
      </c>
      <c r="G168" s="39">
        <f>IFERROR(G129*$BC90/SUMPRODUCT(G$97:G$131,$BC$58:$BC$92),0)</f>
        <v/>
      </c>
      <c r="H168" s="39">
        <f>IFERROR(H129*$BC90/SUMPRODUCT(H$97:H$131,$BC$58:$BC$92),0)</f>
        <v/>
      </c>
      <c r="I168" s="39">
        <f>IFERROR(I129*$BC90/SUMPRODUCT(I$97:I$131,$BC$58:$BC$92),0)</f>
        <v/>
      </c>
      <c r="J168" s="39">
        <f>IFERROR(J129*$BC90/SUMPRODUCT(J$97:J$131,$BC$58:$BC$92),0)</f>
        <v/>
      </c>
      <c r="K168" s="39">
        <f>IFERROR(K129*$BC90/SUMPRODUCT(K$97:K$131,$BC$58:$BC$92),0)</f>
        <v/>
      </c>
      <c r="L168" s="39">
        <f>IFERROR(L129*$BC90/SUMPRODUCT(L$97:L$131,$BC$58:$BC$92),0)</f>
        <v/>
      </c>
      <c r="M168" s="39">
        <f>IFERROR(M129*$BC90/SUMPRODUCT(M$97:M$131,$BC$58:$BC$92),0)</f>
        <v/>
      </c>
      <c r="N168" s="39">
        <f>IFERROR(N129*$BC90/SUMPRODUCT(N$97:N$131,$BC$58:$BC$92),0)</f>
        <v/>
      </c>
      <c r="O168" s="39">
        <f>IFERROR(O129*$BC90/SUMPRODUCT(O$97:O$131,$BC$58:$BC$92),0)</f>
        <v/>
      </c>
      <c r="P168" s="39">
        <f>IFERROR(P129*$BC90/SUMPRODUCT(P$97:P$131,$BC$58:$BC$92),0)</f>
        <v/>
      </c>
      <c r="Q168" s="39">
        <f>IFERROR(Q129*$BC90/SUMPRODUCT(Q$97:Q$131,$BC$58:$BC$92),0)</f>
        <v/>
      </c>
      <c r="R168" s="39">
        <f>IFERROR(R129*$BC90/SUMPRODUCT(R$97:R$131,$BC$58:$BC$92),0)</f>
        <v/>
      </c>
      <c r="S168" s="39">
        <f>IFERROR(S129*$BC90/SUMPRODUCT(S$97:S$131,$BC$58:$BC$92),0)</f>
        <v/>
      </c>
      <c r="T168" s="39">
        <f>IFERROR(T129*$BC90/SUMPRODUCT(T$97:T$131,$BC$58:$BC$92),0)</f>
        <v/>
      </c>
      <c r="U168" s="39">
        <f>IFERROR(U129*$BC90/SUMPRODUCT(U$97:U$131,$BC$58:$BC$92),0)</f>
        <v/>
      </c>
      <c r="V168" s="39">
        <f>IFERROR(V129*$BC90/SUMPRODUCT(V$97:V$131,$BC$58:$BC$92),0)</f>
        <v/>
      </c>
      <c r="W168" s="39">
        <f>IFERROR(W129*$BC90/SUMPRODUCT(W$97:W$131,$BC$58:$BC$92),0)</f>
        <v/>
      </c>
      <c r="X168" s="39">
        <f>IFERROR(X129*$BC90/SUMPRODUCT(X$97:X$131,$BC$58:$BC$92),0)</f>
        <v/>
      </c>
      <c r="Y168" s="39">
        <f>IFERROR(Y129*$BC90/SUMPRODUCT(Y$97:Y$131,$BC$58:$BC$92),0)</f>
        <v/>
      </c>
      <c r="Z168" s="39">
        <f>IFERROR(Z129*$BC90/SUMPRODUCT(Z$97:Z$131,$BC$58:$BC$92),0)</f>
        <v/>
      </c>
      <c r="AA168" s="39">
        <f>IFERROR(AA129*$BC90/SUMPRODUCT(AA$97:AA$131,$BC$58:$BC$92),0)</f>
        <v/>
      </c>
      <c r="AB168" s="39">
        <f>IFERROR(AB129*$BC90/SUMPRODUCT(AB$97:AB$131,$BC$58:$BC$92),0)</f>
        <v/>
      </c>
      <c r="AC168" s="39">
        <f>IFERROR(AC129*$BC90/SUMPRODUCT(AC$97:AC$131,$BC$58:$BC$92),0)</f>
        <v/>
      </c>
      <c r="AD168" s="39">
        <f>IFERROR(AD129*$BC90/SUMPRODUCT(AD$97:AD$131,$BC$58:$BC$92),0)</f>
        <v/>
      </c>
      <c r="AE168" s="39">
        <f>IFERROR(AE129*$BC90/SUMPRODUCT(AE$97:AE$131,$BC$58:$BC$92),0)</f>
        <v/>
      </c>
      <c r="AF168" s="39">
        <f>IFERROR(AF129*$BC90/SUMPRODUCT(AF$97:AF$131,$BC$58:$BC$92),0)</f>
        <v/>
      </c>
      <c r="AG168" s="39">
        <f>IFERROR(AG129*$BC90/SUMPRODUCT(AG$97:AG$131,$BC$58:$BC$92),0)</f>
        <v/>
      </c>
      <c r="AH168" s="39">
        <f>IFERROR(AH129*$BC90/SUMPRODUCT(AH$97:AH$131,$BC$58:$BC$92),0)</f>
        <v/>
      </c>
      <c r="AI168" s="39">
        <f>IFERROR(AI129*$BC90/SUMPRODUCT(AI$97:AI$131,$BC$58:$BC$92),0)</f>
        <v/>
      </c>
      <c r="AJ168" s="39">
        <f>IFERROR(AJ129*$BC90/SUMPRODUCT(AJ$97:AJ$131,$BC$58:$BC$92),0)</f>
        <v/>
      </c>
      <c r="AK168" s="39">
        <f>IFERROR(AK129*$BC90/SUMPRODUCT(AK$97:AK$131,$BC$58:$BC$92),0)</f>
        <v/>
      </c>
      <c r="AL168" s="39">
        <f>IFERROR(AL129*$BC90/SUMPRODUCT(AL$97:AL$131,$BC$58:$BC$92),0)</f>
        <v/>
      </c>
      <c r="AM168" s="39">
        <f>IFERROR(AM129*$BC90/SUMPRODUCT(AM$97:AM$131,$BC$58:$BC$92),0)</f>
        <v/>
      </c>
      <c r="AN168" s="39">
        <f>IFERROR(AN129*$BC90/SUMPRODUCT(AN$97:AN$131,$BC$58:$BC$92),0)</f>
        <v/>
      </c>
      <c r="AO168" s="39">
        <f>IFERROR(AO129*$BC90/SUMPRODUCT(AO$97:AO$131,$BC$58:$BC$92),0)</f>
        <v/>
      </c>
      <c r="AP168" s="39">
        <f>IFERROR(AP129*$BC90/SUMPRODUCT(AP$97:AP$131,$BC$58:$BC$92),0)</f>
        <v/>
      </c>
      <c r="AQ168" s="39">
        <f>IFERROR(AQ129*$BC90/SUMPRODUCT(AQ$97:AQ$131,$BC$58:$BC$92),0)</f>
        <v/>
      </c>
      <c r="AR168" s="39">
        <f>IFERROR(AR129*$BC90/SUMPRODUCT(AR$97:AR$131,$BC$58:$BC$92),0)</f>
        <v/>
      </c>
      <c r="AS168" s="39">
        <f>IFERROR(AS129*$BC90/SUMPRODUCT(AS$97:AS$131,$BC$58:$BC$92),0)</f>
        <v/>
      </c>
      <c r="AT168" s="39">
        <f>IFERROR(AT129*$BC90/SUMPRODUCT(AT$97:AT$131,$BC$58:$BC$92),0)</f>
        <v/>
      </c>
      <c r="AU168" s="39">
        <f>IFERROR(AU129*$BC90/SUMPRODUCT(AU$97:AU$131,$BC$58:$BC$92),0)</f>
        <v/>
      </c>
      <c r="AV168" s="39">
        <f>IFERROR(AV129*$BC90/SUMPRODUCT(AV$97:AV$131,$BC$58:$BC$92),0)</f>
        <v/>
      </c>
      <c r="AW168" s="39">
        <f>IFERROR(AW129*$BC90/SUMPRODUCT(AW$97:AW$131,$BC$58:$BC$92),0)</f>
        <v/>
      </c>
      <c r="AX168" s="39">
        <f>IFERROR(AX129*$BC90/SUMPRODUCT(AX$97:AX$131,$BC$58:$BC$92),0)</f>
        <v/>
      </c>
      <c r="AY168" s="39">
        <f>IFERROR(AY129*$BC90/SUMPRODUCT(AY$97:AY$131,$BC$58:$BC$92),0)</f>
        <v/>
      </c>
      <c r="AZ168" s="39">
        <f>IFERROR(AZ129*$BC90/SUMPRODUCT(AZ$97:AZ$131,$BC$58:$BC$92),0)</f>
        <v/>
      </c>
      <c r="BA168" s="39">
        <f>IFERROR(BA129*$BC90/SUMPRODUCT(BA$97:BA$131,$BC$58:$BC$92),0)</f>
        <v/>
      </c>
      <c r="BB168" s="39">
        <f>IFERROR(BB129*$BC90/SUMPRODUCT(BB$97:BB$131,$BC$58:$BC$92),0)</f>
        <v/>
      </c>
    </row>
    <row r="169">
      <c r="C169" s="1" t="n"/>
      <c r="D169" s="237">
        <f>D130</f>
        <v/>
      </c>
      <c r="E169" s="39">
        <f>IFERROR(E130*$BC91/SUMPRODUCT(E$97:E$131,$BC$58:$BC$92),0)</f>
        <v/>
      </c>
      <c r="F169" s="39">
        <f>IFERROR(F130*$BC91/SUMPRODUCT(F$97:F$131,$BC$58:$BC$92),0)</f>
        <v/>
      </c>
      <c r="G169" s="39">
        <f>IFERROR(G130*$BC91/SUMPRODUCT(G$97:G$131,$BC$58:$BC$92),0)</f>
        <v/>
      </c>
      <c r="H169" s="39">
        <f>IFERROR(H130*$BC91/SUMPRODUCT(H$97:H$131,$BC$58:$BC$92),0)</f>
        <v/>
      </c>
      <c r="I169" s="39">
        <f>IFERROR(I130*$BC91/SUMPRODUCT(I$97:I$131,$BC$58:$BC$92),0)</f>
        <v/>
      </c>
      <c r="J169" s="39">
        <f>IFERROR(J130*$BC91/SUMPRODUCT(J$97:J$131,$BC$58:$BC$92),0)</f>
        <v/>
      </c>
      <c r="K169" s="39">
        <f>IFERROR(K130*$BC91/SUMPRODUCT(K$97:K$131,$BC$58:$BC$92),0)</f>
        <v/>
      </c>
      <c r="L169" s="39">
        <f>IFERROR(L130*$BC91/SUMPRODUCT(L$97:L$131,$BC$58:$BC$92),0)</f>
        <v/>
      </c>
      <c r="M169" s="39">
        <f>IFERROR(M130*$BC91/SUMPRODUCT(M$97:M$131,$BC$58:$BC$92),0)</f>
        <v/>
      </c>
      <c r="N169" s="39">
        <f>IFERROR(N130*$BC91/SUMPRODUCT(N$97:N$131,$BC$58:$BC$92),0)</f>
        <v/>
      </c>
      <c r="O169" s="39">
        <f>IFERROR(O130*$BC91/SUMPRODUCT(O$97:O$131,$BC$58:$BC$92),0)</f>
        <v/>
      </c>
      <c r="P169" s="39">
        <f>IFERROR(P130*$BC91/SUMPRODUCT(P$97:P$131,$BC$58:$BC$92),0)</f>
        <v/>
      </c>
      <c r="Q169" s="39">
        <f>IFERROR(Q130*$BC91/SUMPRODUCT(Q$97:Q$131,$BC$58:$BC$92),0)</f>
        <v/>
      </c>
      <c r="R169" s="39">
        <f>IFERROR(R130*$BC91/SUMPRODUCT(R$97:R$131,$BC$58:$BC$92),0)</f>
        <v/>
      </c>
      <c r="S169" s="39">
        <f>IFERROR(S130*$BC91/SUMPRODUCT(S$97:S$131,$BC$58:$BC$92),0)</f>
        <v/>
      </c>
      <c r="T169" s="39">
        <f>IFERROR(T130*$BC91/SUMPRODUCT(T$97:T$131,$BC$58:$BC$92),0)</f>
        <v/>
      </c>
      <c r="U169" s="39">
        <f>IFERROR(U130*$BC91/SUMPRODUCT(U$97:U$131,$BC$58:$BC$92),0)</f>
        <v/>
      </c>
      <c r="V169" s="39">
        <f>IFERROR(V130*$BC91/SUMPRODUCT(V$97:V$131,$BC$58:$BC$92),0)</f>
        <v/>
      </c>
      <c r="W169" s="39">
        <f>IFERROR(W130*$BC91/SUMPRODUCT(W$97:W$131,$BC$58:$BC$92),0)</f>
        <v/>
      </c>
      <c r="X169" s="39">
        <f>IFERROR(X130*$BC91/SUMPRODUCT(X$97:X$131,$BC$58:$BC$92),0)</f>
        <v/>
      </c>
      <c r="Y169" s="39">
        <f>IFERROR(Y130*$BC91/SUMPRODUCT(Y$97:Y$131,$BC$58:$BC$92),0)</f>
        <v/>
      </c>
      <c r="Z169" s="39">
        <f>IFERROR(Z130*$BC91/SUMPRODUCT(Z$97:Z$131,$BC$58:$BC$92),0)</f>
        <v/>
      </c>
      <c r="AA169" s="39">
        <f>IFERROR(AA130*$BC91/SUMPRODUCT(AA$97:AA$131,$BC$58:$BC$92),0)</f>
        <v/>
      </c>
      <c r="AB169" s="39">
        <f>IFERROR(AB130*$BC91/SUMPRODUCT(AB$97:AB$131,$BC$58:$BC$92),0)</f>
        <v/>
      </c>
      <c r="AC169" s="39">
        <f>IFERROR(AC130*$BC91/SUMPRODUCT(AC$97:AC$131,$BC$58:$BC$92),0)</f>
        <v/>
      </c>
      <c r="AD169" s="39">
        <f>IFERROR(AD130*$BC91/SUMPRODUCT(AD$97:AD$131,$BC$58:$BC$92),0)</f>
        <v/>
      </c>
      <c r="AE169" s="39">
        <f>IFERROR(AE130*$BC91/SUMPRODUCT(AE$97:AE$131,$BC$58:$BC$92),0)</f>
        <v/>
      </c>
      <c r="AF169" s="39">
        <f>IFERROR(AF130*$BC91/SUMPRODUCT(AF$97:AF$131,$BC$58:$BC$92),0)</f>
        <v/>
      </c>
      <c r="AG169" s="39">
        <f>IFERROR(AG130*$BC91/SUMPRODUCT(AG$97:AG$131,$BC$58:$BC$92),0)</f>
        <v/>
      </c>
      <c r="AH169" s="39">
        <f>IFERROR(AH130*$BC91/SUMPRODUCT(AH$97:AH$131,$BC$58:$BC$92),0)</f>
        <v/>
      </c>
      <c r="AI169" s="39">
        <f>IFERROR(AI130*$BC91/SUMPRODUCT(AI$97:AI$131,$BC$58:$BC$92),0)</f>
        <v/>
      </c>
      <c r="AJ169" s="39">
        <f>IFERROR(AJ130*$BC91/SUMPRODUCT(AJ$97:AJ$131,$BC$58:$BC$92),0)</f>
        <v/>
      </c>
      <c r="AK169" s="39">
        <f>IFERROR(AK130*$BC91/SUMPRODUCT(AK$97:AK$131,$BC$58:$BC$92),0)</f>
        <v/>
      </c>
      <c r="AL169" s="39">
        <f>IFERROR(AL130*$BC91/SUMPRODUCT(AL$97:AL$131,$BC$58:$BC$92),0)</f>
        <v/>
      </c>
      <c r="AM169" s="39">
        <f>IFERROR(AM130*$BC91/SUMPRODUCT(AM$97:AM$131,$BC$58:$BC$92),0)</f>
        <v/>
      </c>
      <c r="AN169" s="39">
        <f>IFERROR(AN130*$BC91/SUMPRODUCT(AN$97:AN$131,$BC$58:$BC$92),0)</f>
        <v/>
      </c>
      <c r="AO169" s="39">
        <f>IFERROR(AO130*$BC91/SUMPRODUCT(AO$97:AO$131,$BC$58:$BC$92),0)</f>
        <v/>
      </c>
      <c r="AP169" s="39">
        <f>IFERROR(AP130*$BC91/SUMPRODUCT(AP$97:AP$131,$BC$58:$BC$92),0)</f>
        <v/>
      </c>
      <c r="AQ169" s="39">
        <f>IFERROR(AQ130*$BC91/SUMPRODUCT(AQ$97:AQ$131,$BC$58:$BC$92),0)</f>
        <v/>
      </c>
      <c r="AR169" s="39">
        <f>IFERROR(AR130*$BC91/SUMPRODUCT(AR$97:AR$131,$BC$58:$BC$92),0)</f>
        <v/>
      </c>
      <c r="AS169" s="39">
        <f>IFERROR(AS130*$BC91/SUMPRODUCT(AS$97:AS$131,$BC$58:$BC$92),0)</f>
        <v/>
      </c>
      <c r="AT169" s="39">
        <f>IFERROR(AT130*$BC91/SUMPRODUCT(AT$97:AT$131,$BC$58:$BC$92),0)</f>
        <v/>
      </c>
      <c r="AU169" s="39">
        <f>IFERROR(AU130*$BC91/SUMPRODUCT(AU$97:AU$131,$BC$58:$BC$92),0)</f>
        <v/>
      </c>
      <c r="AV169" s="39">
        <f>IFERROR(AV130*$BC91/SUMPRODUCT(AV$97:AV$131,$BC$58:$BC$92),0)</f>
        <v/>
      </c>
      <c r="AW169" s="39">
        <f>IFERROR(AW130*$BC91/SUMPRODUCT(AW$97:AW$131,$BC$58:$BC$92),0)</f>
        <v/>
      </c>
      <c r="AX169" s="39">
        <f>IFERROR(AX130*$BC91/SUMPRODUCT(AX$97:AX$131,$BC$58:$BC$92),0)</f>
        <v/>
      </c>
      <c r="AY169" s="39">
        <f>IFERROR(AY130*$BC91/SUMPRODUCT(AY$97:AY$131,$BC$58:$BC$92),0)</f>
        <v/>
      </c>
      <c r="AZ169" s="39">
        <f>IFERROR(AZ130*$BC91/SUMPRODUCT(AZ$97:AZ$131,$BC$58:$BC$92),0)</f>
        <v/>
      </c>
      <c r="BA169" s="39">
        <f>IFERROR(BA130*$BC91/SUMPRODUCT(BA$97:BA$131,$BC$58:$BC$92),0)</f>
        <v/>
      </c>
      <c r="BB169" s="39">
        <f>IFERROR(BB130*$BC91/SUMPRODUCT(BB$97:BB$131,$BC$58:$BC$92),0)</f>
        <v/>
      </c>
    </row>
    <row r="170">
      <c r="C170" s="1" t="n"/>
      <c r="D170" s="237">
        <f>D131</f>
        <v/>
      </c>
      <c r="E170" s="39">
        <f>IFERROR(E131*$BC92/SUMPRODUCT(E$97:E$131,$BC$58:$BC$92),0)</f>
        <v/>
      </c>
      <c r="F170" s="39">
        <f>IFERROR(F131*$BC92/SUMPRODUCT(F$97:F$131,$BC$58:$BC$92),0)</f>
        <v/>
      </c>
      <c r="G170" s="39">
        <f>IFERROR(G131*$BC92/SUMPRODUCT(G$97:G$131,$BC$58:$BC$92),0)</f>
        <v/>
      </c>
      <c r="H170" s="39">
        <f>IFERROR(H131*$BC92/SUMPRODUCT(H$97:H$131,$BC$58:$BC$92),0)</f>
        <v/>
      </c>
      <c r="I170" s="39">
        <f>IFERROR(I131*$BC92/SUMPRODUCT(I$97:I$131,$BC$58:$BC$92),0)</f>
        <v/>
      </c>
      <c r="J170" s="39">
        <f>IFERROR(J131*$BC92/SUMPRODUCT(J$97:J$131,$BC$58:$BC$92),0)</f>
        <v/>
      </c>
      <c r="K170" s="39">
        <f>IFERROR(K131*$BC92/SUMPRODUCT(K$97:K$131,$BC$58:$BC$92),0)</f>
        <v/>
      </c>
      <c r="L170" s="39">
        <f>IFERROR(L131*$BC92/SUMPRODUCT(L$97:L$131,$BC$58:$BC$92),0)</f>
        <v/>
      </c>
      <c r="M170" s="39">
        <f>IFERROR(M131*$BC92/SUMPRODUCT(M$97:M$131,$BC$58:$BC$92),0)</f>
        <v/>
      </c>
      <c r="N170" s="39">
        <f>IFERROR(N131*$BC92/SUMPRODUCT(N$97:N$131,$BC$58:$BC$92),0)</f>
        <v/>
      </c>
      <c r="O170" s="39">
        <f>IFERROR(O131*$BC92/SUMPRODUCT(O$97:O$131,$BC$58:$BC$92),0)</f>
        <v/>
      </c>
      <c r="P170" s="39">
        <f>IFERROR(P131*$BC92/SUMPRODUCT(P$97:P$131,$BC$58:$BC$92),0)</f>
        <v/>
      </c>
      <c r="Q170" s="39">
        <f>IFERROR(Q131*$BC92/SUMPRODUCT(Q$97:Q$131,$BC$58:$BC$92),0)</f>
        <v/>
      </c>
      <c r="R170" s="39">
        <f>IFERROR(R131*$BC92/SUMPRODUCT(R$97:R$131,$BC$58:$BC$92),0)</f>
        <v/>
      </c>
      <c r="S170" s="39">
        <f>IFERROR(S131*$BC92/SUMPRODUCT(S$97:S$131,$BC$58:$BC$92),0)</f>
        <v/>
      </c>
      <c r="T170" s="39">
        <f>IFERROR(T131*$BC92/SUMPRODUCT(T$97:T$131,$BC$58:$BC$92),0)</f>
        <v/>
      </c>
      <c r="U170" s="39">
        <f>IFERROR(U131*$BC92/SUMPRODUCT(U$97:U$131,$BC$58:$BC$92),0)</f>
        <v/>
      </c>
      <c r="V170" s="39">
        <f>IFERROR(V131*$BC92/SUMPRODUCT(V$97:V$131,$BC$58:$BC$92),0)</f>
        <v/>
      </c>
      <c r="W170" s="39">
        <f>IFERROR(W131*$BC92/SUMPRODUCT(W$97:W$131,$BC$58:$BC$92),0)</f>
        <v/>
      </c>
      <c r="X170" s="39">
        <f>IFERROR(X131*$BC92/SUMPRODUCT(X$97:X$131,$BC$58:$BC$92),0)</f>
        <v/>
      </c>
      <c r="Y170" s="39">
        <f>IFERROR(Y131*$BC92/SUMPRODUCT(Y$97:Y$131,$BC$58:$BC$92),0)</f>
        <v/>
      </c>
      <c r="Z170" s="39">
        <f>IFERROR(Z131*$BC92/SUMPRODUCT(Z$97:Z$131,$BC$58:$BC$92),0)</f>
        <v/>
      </c>
      <c r="AA170" s="39">
        <f>IFERROR(AA131*$BC92/SUMPRODUCT(AA$97:AA$131,$BC$58:$BC$92),0)</f>
        <v/>
      </c>
      <c r="AB170" s="39">
        <f>IFERROR(AB131*$BC92/SUMPRODUCT(AB$97:AB$131,$BC$58:$BC$92),0)</f>
        <v/>
      </c>
      <c r="AC170" s="39">
        <f>IFERROR(AC131*$BC92/SUMPRODUCT(AC$97:AC$131,$BC$58:$BC$92),0)</f>
        <v/>
      </c>
      <c r="AD170" s="39">
        <f>IFERROR(AD131*$BC92/SUMPRODUCT(AD$97:AD$131,$BC$58:$BC$92),0)</f>
        <v/>
      </c>
      <c r="AE170" s="39">
        <f>IFERROR(AE131*$BC92/SUMPRODUCT(AE$97:AE$131,$BC$58:$BC$92),0)</f>
        <v/>
      </c>
      <c r="AF170" s="39">
        <f>IFERROR(AF131*$BC92/SUMPRODUCT(AF$97:AF$131,$BC$58:$BC$92),0)</f>
        <v/>
      </c>
      <c r="AG170" s="39">
        <f>IFERROR(AG131*$BC92/SUMPRODUCT(AG$97:AG$131,$BC$58:$BC$92),0)</f>
        <v/>
      </c>
      <c r="AH170" s="39">
        <f>IFERROR(AH131*$BC92/SUMPRODUCT(AH$97:AH$131,$BC$58:$BC$92),0)</f>
        <v/>
      </c>
      <c r="AI170" s="39">
        <f>IFERROR(AI131*$BC92/SUMPRODUCT(AI$97:AI$131,$BC$58:$BC$92),0)</f>
        <v/>
      </c>
      <c r="AJ170" s="39">
        <f>IFERROR(AJ131*$BC92/SUMPRODUCT(AJ$97:AJ$131,$BC$58:$BC$92),0)</f>
        <v/>
      </c>
      <c r="AK170" s="39">
        <f>IFERROR(AK131*$BC92/SUMPRODUCT(AK$97:AK$131,$BC$58:$BC$92),0)</f>
        <v/>
      </c>
      <c r="AL170" s="39">
        <f>IFERROR(AL131*$BC92/SUMPRODUCT(AL$97:AL$131,$BC$58:$BC$92),0)</f>
        <v/>
      </c>
      <c r="AM170" s="39">
        <f>IFERROR(AM131*$BC92/SUMPRODUCT(AM$97:AM$131,$BC$58:$BC$92),0)</f>
        <v/>
      </c>
      <c r="AN170" s="39">
        <f>IFERROR(AN131*$BC92/SUMPRODUCT(AN$97:AN$131,$BC$58:$BC$92),0)</f>
        <v/>
      </c>
      <c r="AO170" s="39">
        <f>IFERROR(AO131*$BC92/SUMPRODUCT(AO$97:AO$131,$BC$58:$BC$92),0)</f>
        <v/>
      </c>
      <c r="AP170" s="39">
        <f>IFERROR(AP131*$BC92/SUMPRODUCT(AP$97:AP$131,$BC$58:$BC$92),0)</f>
        <v/>
      </c>
      <c r="AQ170" s="39">
        <f>IFERROR(AQ131*$BC92/SUMPRODUCT(AQ$97:AQ$131,$BC$58:$BC$92),0)</f>
        <v/>
      </c>
      <c r="AR170" s="39">
        <f>IFERROR(AR131*$BC92/SUMPRODUCT(AR$97:AR$131,$BC$58:$BC$92),0)</f>
        <v/>
      </c>
      <c r="AS170" s="39">
        <f>IFERROR(AS131*$BC92/SUMPRODUCT(AS$97:AS$131,$BC$58:$BC$92),0)</f>
        <v/>
      </c>
      <c r="AT170" s="39">
        <f>IFERROR(AT131*$BC92/SUMPRODUCT(AT$97:AT$131,$BC$58:$BC$92),0)</f>
        <v/>
      </c>
      <c r="AU170" s="39">
        <f>IFERROR(AU131*$BC92/SUMPRODUCT(AU$97:AU$131,$BC$58:$BC$92),0)</f>
        <v/>
      </c>
      <c r="AV170" s="39">
        <f>IFERROR(AV131*$BC92/SUMPRODUCT(AV$97:AV$131,$BC$58:$BC$92),0)</f>
        <v/>
      </c>
      <c r="AW170" s="39">
        <f>IFERROR(AW131*$BC92/SUMPRODUCT(AW$97:AW$131,$BC$58:$BC$92),0)</f>
        <v/>
      </c>
      <c r="AX170" s="39">
        <f>IFERROR(AX131*$BC92/SUMPRODUCT(AX$97:AX$131,$BC$58:$BC$92),0)</f>
        <v/>
      </c>
      <c r="AY170" s="39">
        <f>IFERROR(AY131*$BC92/SUMPRODUCT(AY$97:AY$131,$BC$58:$BC$92),0)</f>
        <v/>
      </c>
      <c r="AZ170" s="39">
        <f>IFERROR(AZ131*$BC92/SUMPRODUCT(AZ$97:AZ$131,$BC$58:$BC$92),0)</f>
        <v/>
      </c>
      <c r="BA170" s="39">
        <f>IFERROR(BA131*$BC92/SUMPRODUCT(BA$97:BA$131,$BC$58:$BC$92),0)</f>
        <v/>
      </c>
      <c r="BB170" s="39">
        <f>IFERROR(BB131*$BC92/SUMPRODUCT(BB$97:BB$131,$BC$58:$BC$92),0)</f>
        <v/>
      </c>
    </row>
    <row r="171">
      <c r="D171" s="232" t="n"/>
      <c r="E171" s="239" t="n"/>
      <c r="F171" s="239" t="n"/>
      <c r="G171" s="239" t="n"/>
      <c r="H171" s="239" t="n"/>
      <c r="I171" s="239" t="n"/>
      <c r="J171" s="239" t="n"/>
      <c r="K171" s="239" t="n"/>
      <c r="L171" s="239" t="n"/>
      <c r="M171" s="239" t="n"/>
      <c r="N171" s="239" t="n"/>
      <c r="O171" s="239" t="n"/>
      <c r="P171" s="239" t="n"/>
      <c r="Q171" s="239" t="n"/>
      <c r="R171" s="239" t="n"/>
      <c r="S171" s="239" t="n"/>
      <c r="T171" s="239" t="n"/>
      <c r="U171" s="239" t="n"/>
      <c r="V171" s="239" t="n"/>
      <c r="W171" s="239" t="n"/>
      <c r="X171" s="239" t="n"/>
      <c r="Y171" s="239" t="n"/>
      <c r="Z171" s="239" t="n"/>
      <c r="AA171" s="239" t="n"/>
      <c r="AB171" s="239" t="n"/>
      <c r="AC171" s="239" t="n"/>
      <c r="AD171" s="239" t="n"/>
      <c r="AE171" s="239" t="n"/>
      <c r="AF171" s="239" t="n"/>
      <c r="AG171" s="239" t="n"/>
      <c r="AH171" s="239" t="n"/>
      <c r="AI171" s="239" t="n"/>
      <c r="AJ171" s="239" t="n"/>
      <c r="AK171" s="239" t="n"/>
      <c r="AL171" s="239" t="n"/>
      <c r="AM171" s="239" t="n"/>
      <c r="AN171" s="239" t="n"/>
      <c r="AO171" s="239" t="n"/>
      <c r="AP171" s="239" t="n"/>
      <c r="AQ171" s="239" t="n"/>
      <c r="AR171" s="239" t="n"/>
      <c r="AS171" s="239" t="n"/>
      <c r="AT171" s="239" t="n"/>
      <c r="AU171" s="239" t="n"/>
      <c r="AV171" s="239" t="n"/>
      <c r="AW171" s="239" t="n"/>
      <c r="AX171" s="239" t="n"/>
      <c r="AY171" s="239" t="n"/>
      <c r="AZ171" s="239" t="n"/>
      <c r="BA171" s="239" t="n"/>
      <c r="BB171" s="239" t="n"/>
    </row>
    <row r="174" ht="30" customHeight="1" s="179">
      <c r="D174" s="19" t="inlineStr">
        <is>
          <t>Channel Absolute Quality Value</t>
        </is>
      </c>
      <c r="E174" s="12">
        <f>E135</f>
        <v/>
      </c>
      <c r="F174" s="12">
        <f>F135</f>
        <v/>
      </c>
      <c r="G174" s="12">
        <f>G135</f>
        <v/>
      </c>
      <c r="H174" s="12">
        <f>H135</f>
        <v/>
      </c>
      <c r="I174" s="12">
        <f>I135</f>
        <v/>
      </c>
      <c r="J174" s="12">
        <f>J135</f>
        <v/>
      </c>
      <c r="K174" s="12">
        <f>K135</f>
        <v/>
      </c>
      <c r="L174" s="12">
        <f>L135</f>
        <v/>
      </c>
      <c r="M174" s="12">
        <f>M135</f>
        <v/>
      </c>
      <c r="N174" s="12">
        <f>N135</f>
        <v/>
      </c>
      <c r="O174" s="12">
        <f>O135</f>
        <v/>
      </c>
      <c r="P174" s="12">
        <f>P135</f>
        <v/>
      </c>
      <c r="Q174" s="12">
        <f>Q135</f>
        <v/>
      </c>
      <c r="R174" s="12">
        <f>R135</f>
        <v/>
      </c>
      <c r="S174" s="12">
        <f>S135</f>
        <v/>
      </c>
      <c r="T174" s="12">
        <f>T135</f>
        <v/>
      </c>
      <c r="U174" s="12">
        <f>U135</f>
        <v/>
      </c>
      <c r="V174" s="12">
        <f>V135</f>
        <v/>
      </c>
      <c r="W174" s="12">
        <f>W135</f>
        <v/>
      </c>
      <c r="X174" s="12">
        <f>X135</f>
        <v/>
      </c>
      <c r="Y174" s="12">
        <f>Y135</f>
        <v/>
      </c>
      <c r="Z174" s="12">
        <f>Z135</f>
        <v/>
      </c>
      <c r="AA174" s="12">
        <f>AA135</f>
        <v/>
      </c>
      <c r="AB174" s="12">
        <f>AB135</f>
        <v/>
      </c>
      <c r="AC174" s="12">
        <f>AC135</f>
        <v/>
      </c>
      <c r="AD174" s="12">
        <f>AD135</f>
        <v/>
      </c>
      <c r="AE174" s="12">
        <f>AE135</f>
        <v/>
      </c>
      <c r="AF174" s="12">
        <f>AF135</f>
        <v/>
      </c>
      <c r="AG174" s="12">
        <f>AG135</f>
        <v/>
      </c>
      <c r="AH174" s="12">
        <f>AH135</f>
        <v/>
      </c>
      <c r="AI174" s="12">
        <f>AI135</f>
        <v/>
      </c>
      <c r="AJ174" s="12">
        <f>AJ135</f>
        <v/>
      </c>
      <c r="AK174" s="12">
        <f>AK135</f>
        <v/>
      </c>
      <c r="AL174" s="12">
        <f>AL135</f>
        <v/>
      </c>
      <c r="AM174" s="12">
        <f>AM135</f>
        <v/>
      </c>
      <c r="AN174" s="12">
        <f>AN135</f>
        <v/>
      </c>
      <c r="AO174" s="12">
        <f>AO135</f>
        <v/>
      </c>
      <c r="AP174" s="12">
        <f>AP135</f>
        <v/>
      </c>
      <c r="AQ174" s="12">
        <f>AQ135</f>
        <v/>
      </c>
      <c r="AR174" s="12">
        <f>AR135</f>
        <v/>
      </c>
      <c r="AS174" s="12">
        <f>AS135</f>
        <v/>
      </c>
      <c r="AT174" s="12">
        <f>AT135</f>
        <v/>
      </c>
      <c r="AU174" s="12">
        <f>AU135</f>
        <v/>
      </c>
      <c r="AV174" s="12">
        <f>AV135</f>
        <v/>
      </c>
      <c r="AW174" s="12">
        <f>AW135</f>
        <v/>
      </c>
      <c r="AX174" s="12">
        <f>AX135</f>
        <v/>
      </c>
      <c r="AY174" s="12">
        <f>AY135</f>
        <v/>
      </c>
      <c r="AZ174" s="12">
        <f>AZ135</f>
        <v/>
      </c>
      <c r="BA174" s="12">
        <f>BA135</f>
        <v/>
      </c>
      <c r="BB174" s="12">
        <f>BB135</f>
        <v/>
      </c>
    </row>
    <row r="175">
      <c r="D175" s="237">
        <f>D58</f>
        <v/>
      </c>
      <c r="E175" s="75">
        <f>IFERROR(E136*E$50/$BC58,0)</f>
        <v/>
      </c>
      <c r="F175" s="75">
        <f>IFERROR(F136*F$50/$BC58,0)</f>
        <v/>
      </c>
      <c r="G175" s="75">
        <f>IFERROR(G136*G$50/$BC58,0)</f>
        <v/>
      </c>
      <c r="H175" s="75">
        <f>IFERROR(H136*H$50/$BC58,0)</f>
        <v/>
      </c>
      <c r="I175" s="75">
        <f>IFERROR(I136*I$50/$BC58,0)</f>
        <v/>
      </c>
      <c r="J175" s="75">
        <f>IFERROR(J136*J$50/$BC58,0)</f>
        <v/>
      </c>
      <c r="K175" s="75">
        <f>IFERROR(K136*K$50/$BC58,0)</f>
        <v/>
      </c>
      <c r="L175" s="75">
        <f>IFERROR(L136*L$50/$BC58,0)</f>
        <v/>
      </c>
      <c r="M175" s="75">
        <f>IFERROR(M136*M$50/$BC58,0)</f>
        <v/>
      </c>
      <c r="N175" s="75">
        <f>IFERROR(N136*N$50/$BC58,0)</f>
        <v/>
      </c>
      <c r="O175" s="75">
        <f>IFERROR(O136*O$50/$BC58,0)</f>
        <v/>
      </c>
      <c r="P175" s="75">
        <f>IFERROR(P136*P$50/$BC58,0)</f>
        <v/>
      </c>
      <c r="Q175" s="75">
        <f>IFERROR(Q136*Q$50/$BC58,0)</f>
        <v/>
      </c>
      <c r="R175" s="75">
        <f>IFERROR(R136*R$50/$BC58,0)</f>
        <v/>
      </c>
      <c r="S175" s="75">
        <f>IFERROR(S136*S$50/$BC58,0)</f>
        <v/>
      </c>
      <c r="T175" s="75">
        <f>IFERROR(T136*T$50/$BC58,0)</f>
        <v/>
      </c>
      <c r="U175" s="75">
        <f>IFERROR(U136*U$50/$BC58,0)</f>
        <v/>
      </c>
      <c r="V175" s="75">
        <f>IFERROR(V136*V$50/$BC58,0)</f>
        <v/>
      </c>
      <c r="W175" s="75">
        <f>IFERROR(W136*W$50/$BC58,0)</f>
        <v/>
      </c>
      <c r="X175" s="75">
        <f>IFERROR(X136*X$50/$BC58,0)</f>
        <v/>
      </c>
      <c r="Y175" s="75">
        <f>IFERROR(Y136*Y$50/$BC58,0)</f>
        <v/>
      </c>
      <c r="Z175" s="75">
        <f>IFERROR(Z136*Z$50/$BC58,0)</f>
        <v/>
      </c>
      <c r="AA175" s="75">
        <f>IFERROR(AA136*AA$50/$BC58,0)</f>
        <v/>
      </c>
      <c r="AB175" s="75">
        <f>IFERROR(AB136*AB$50/$BC58,0)</f>
        <v/>
      </c>
      <c r="AC175" s="75">
        <f>IFERROR(AC136*AC$50/$BC58,0)</f>
        <v/>
      </c>
      <c r="AD175" s="75">
        <f>IFERROR(AD136*AD$50/$BC58,0)</f>
        <v/>
      </c>
      <c r="AE175" s="75">
        <f>IFERROR(AE136*AE$50/$BC58,0)</f>
        <v/>
      </c>
      <c r="AF175" s="75">
        <f>IFERROR(AF136*AF$50/$BC58,0)</f>
        <v/>
      </c>
      <c r="AG175" s="75">
        <f>IFERROR(AG136*AG$50/$BC58,0)</f>
        <v/>
      </c>
      <c r="AH175" s="75">
        <f>IFERROR(AH136*AH$50/$BC58,0)</f>
        <v/>
      </c>
      <c r="AI175" s="75">
        <f>IFERROR(AI136*AI$50/$BC58,0)</f>
        <v/>
      </c>
      <c r="AJ175" s="75">
        <f>IFERROR(AJ136*AJ$50/$BC58,0)</f>
        <v/>
      </c>
      <c r="AK175" s="75">
        <f>IFERROR(AK136*AK$50/$BC58,0)</f>
        <v/>
      </c>
      <c r="AL175" s="75">
        <f>IFERROR(AL136*AL$50/$BC58,0)</f>
        <v/>
      </c>
      <c r="AM175" s="75">
        <f>IFERROR(AM136*AM$50/$BC58,0)</f>
        <v/>
      </c>
      <c r="AN175" s="75">
        <f>IFERROR(AN136*AN$50/$BC58,0)</f>
        <v/>
      </c>
      <c r="AO175" s="75">
        <f>IFERROR(AO136*AO$50/$BC58,0)</f>
        <v/>
      </c>
      <c r="AP175" s="75">
        <f>IFERROR(AP136*AP$50/$BC58,0)</f>
        <v/>
      </c>
      <c r="AQ175" s="75">
        <f>IFERROR(AQ136*AQ$50/$BC58,0)</f>
        <v/>
      </c>
      <c r="AR175" s="75">
        <f>IFERROR(AR136*AR$50/$BC58,0)</f>
        <v/>
      </c>
      <c r="AS175" s="75">
        <f>IFERROR(AS136*AS$50/$BC58,0)</f>
        <v/>
      </c>
      <c r="AT175" s="75">
        <f>IFERROR(AT136*AT$50/$BC58,0)</f>
        <v/>
      </c>
      <c r="AU175" s="75">
        <f>IFERROR(AU136*AU$50/$BC58,0)</f>
        <v/>
      </c>
      <c r="AV175" s="75">
        <f>IFERROR(AV136*AV$50/$BC58,0)</f>
        <v/>
      </c>
      <c r="AW175" s="75">
        <f>IFERROR(AW136*AW$50/$BC58,0)</f>
        <v/>
      </c>
      <c r="AX175" s="75">
        <f>IFERROR(AX136*AX$50/$BC58,0)</f>
        <v/>
      </c>
      <c r="AY175" s="75">
        <f>IFERROR(AY136*AY$50/$BC58,0)</f>
        <v/>
      </c>
      <c r="AZ175" s="75">
        <f>IFERROR(AZ136*AZ$50/$BC58,0)</f>
        <v/>
      </c>
      <c r="BA175" s="75">
        <f>IFERROR(BA136*BA$50/$BC58,0)</f>
        <v/>
      </c>
      <c r="BB175" s="75">
        <f>IFERROR(BB136*BB$50/$BC58,0)</f>
        <v/>
      </c>
    </row>
    <row r="176">
      <c r="D176" s="237">
        <f>D59</f>
        <v/>
      </c>
      <c r="E176" s="75">
        <f>IFERROR(E137*E$50/$BC59,0)</f>
        <v/>
      </c>
      <c r="F176" s="75">
        <f>IFERROR(F137*F$50/$BC59,0)</f>
        <v/>
      </c>
      <c r="G176" s="75">
        <f>IFERROR(G137*G$50/$BC59,0)</f>
        <v/>
      </c>
      <c r="H176" s="75">
        <f>IFERROR(H137*H$50/$BC59,0)</f>
        <v/>
      </c>
      <c r="I176" s="75">
        <f>IFERROR(I137*I$50/$BC59,0)</f>
        <v/>
      </c>
      <c r="J176" s="75">
        <f>IFERROR(J137*J$50/$BC59,0)</f>
        <v/>
      </c>
      <c r="K176" s="75">
        <f>IFERROR(K137*K$50/$BC59,0)</f>
        <v/>
      </c>
      <c r="L176" s="75">
        <f>IFERROR(L137*L$50/$BC59,0)</f>
        <v/>
      </c>
      <c r="M176" s="75">
        <f>IFERROR(M137*M$50/$BC59,0)</f>
        <v/>
      </c>
      <c r="N176" s="75">
        <f>IFERROR(N137*N$50/$BC59,0)</f>
        <v/>
      </c>
      <c r="O176" s="75">
        <f>IFERROR(O137*O$50/$BC59,0)</f>
        <v/>
      </c>
      <c r="P176" s="75">
        <f>IFERROR(P137*P$50/$BC59,0)</f>
        <v/>
      </c>
      <c r="Q176" s="75">
        <f>IFERROR(Q137*Q$50/$BC59,0)</f>
        <v/>
      </c>
      <c r="R176" s="75">
        <f>IFERROR(R137*R$50/$BC59,0)</f>
        <v/>
      </c>
      <c r="S176" s="75">
        <f>IFERROR(S137*S$50/$BC59,0)</f>
        <v/>
      </c>
      <c r="T176" s="75">
        <f>IFERROR(T137*T$50/$BC59,0)</f>
        <v/>
      </c>
      <c r="U176" s="75">
        <f>IFERROR(U137*U$50/$BC59,0)</f>
        <v/>
      </c>
      <c r="V176" s="75">
        <f>IFERROR(V137*V$50/$BC59,0)</f>
        <v/>
      </c>
      <c r="W176" s="75">
        <f>IFERROR(W137*W$50/$BC59,0)</f>
        <v/>
      </c>
      <c r="X176" s="75">
        <f>IFERROR(X137*X$50/$BC59,0)</f>
        <v/>
      </c>
      <c r="Y176" s="75">
        <f>IFERROR(Y137*Y$50/$BC59,0)</f>
        <v/>
      </c>
      <c r="Z176" s="75">
        <f>IFERROR(Z137*Z$50/$BC59,0)</f>
        <v/>
      </c>
      <c r="AA176" s="75">
        <f>IFERROR(AA137*AA$50/$BC59,0)</f>
        <v/>
      </c>
      <c r="AB176" s="75">
        <f>IFERROR(AB137*AB$50/$BC59,0)</f>
        <v/>
      </c>
      <c r="AC176" s="75">
        <f>IFERROR(AC137*AC$50/$BC59,0)</f>
        <v/>
      </c>
      <c r="AD176" s="75">
        <f>IFERROR(AD137*AD$50/$BC59,0)</f>
        <v/>
      </c>
      <c r="AE176" s="75">
        <f>IFERROR(AE137*AE$50/$BC59,0)</f>
        <v/>
      </c>
      <c r="AF176" s="75">
        <f>IFERROR(AF137*AF$50/$BC59,0)</f>
        <v/>
      </c>
      <c r="AG176" s="75">
        <f>IFERROR(AG137*AG$50/$BC59,0)</f>
        <v/>
      </c>
      <c r="AH176" s="75">
        <f>IFERROR(AH137*AH$50/$BC59,0)</f>
        <v/>
      </c>
      <c r="AI176" s="75">
        <f>IFERROR(AI137*AI$50/$BC59,0)</f>
        <v/>
      </c>
      <c r="AJ176" s="75">
        <f>IFERROR(AJ137*AJ$50/$BC59,0)</f>
        <v/>
      </c>
      <c r="AK176" s="75">
        <f>IFERROR(AK137*AK$50/$BC59,0)</f>
        <v/>
      </c>
      <c r="AL176" s="75">
        <f>IFERROR(AL137*AL$50/$BC59,0)</f>
        <v/>
      </c>
      <c r="AM176" s="75">
        <f>IFERROR(AM137*AM$50/$BC59,0)</f>
        <v/>
      </c>
      <c r="AN176" s="75">
        <f>IFERROR(AN137*AN$50/$BC59,0)</f>
        <v/>
      </c>
      <c r="AO176" s="75">
        <f>IFERROR(AO137*AO$50/$BC59,0)</f>
        <v/>
      </c>
      <c r="AP176" s="75">
        <f>IFERROR(AP137*AP$50/$BC59,0)</f>
        <v/>
      </c>
      <c r="AQ176" s="75">
        <f>IFERROR(AQ137*AQ$50/$BC59,0)</f>
        <v/>
      </c>
      <c r="AR176" s="75">
        <f>IFERROR(AR137*AR$50/$BC59,0)</f>
        <v/>
      </c>
      <c r="AS176" s="75">
        <f>IFERROR(AS137*AS$50/$BC59,0)</f>
        <v/>
      </c>
      <c r="AT176" s="75">
        <f>IFERROR(AT137*AT$50/$BC59,0)</f>
        <v/>
      </c>
      <c r="AU176" s="75">
        <f>IFERROR(AU137*AU$50/$BC59,0)</f>
        <v/>
      </c>
      <c r="AV176" s="75">
        <f>IFERROR(AV137*AV$50/$BC59,0)</f>
        <v/>
      </c>
      <c r="AW176" s="75">
        <f>IFERROR(AW137*AW$50/$BC59,0)</f>
        <v/>
      </c>
      <c r="AX176" s="75">
        <f>IFERROR(AX137*AX$50/$BC59,0)</f>
        <v/>
      </c>
      <c r="AY176" s="75">
        <f>IFERROR(AY137*AY$50/$BC59,0)</f>
        <v/>
      </c>
      <c r="AZ176" s="75">
        <f>IFERROR(AZ137*AZ$50/$BC59,0)</f>
        <v/>
      </c>
      <c r="BA176" s="75">
        <f>IFERROR(BA137*BA$50/$BC59,0)</f>
        <v/>
      </c>
      <c r="BB176" s="75">
        <f>IFERROR(BB137*BB$50/$BC59,0)</f>
        <v/>
      </c>
    </row>
    <row r="177">
      <c r="D177" s="237">
        <f>D60</f>
        <v/>
      </c>
      <c r="E177" s="75">
        <f>IFERROR(E138*E$50/$BC60,0)</f>
        <v/>
      </c>
      <c r="F177" s="75">
        <f>IFERROR(F138*F$50/$BC60,0)</f>
        <v/>
      </c>
      <c r="G177" s="75">
        <f>IFERROR(G138*G$50/$BC60,0)</f>
        <v/>
      </c>
      <c r="H177" s="75">
        <f>IFERROR(H138*H$50/$BC60,0)</f>
        <v/>
      </c>
      <c r="I177" s="75">
        <f>IFERROR(I138*I$50/$BC60,0)</f>
        <v/>
      </c>
      <c r="J177" s="75">
        <f>IFERROR(J138*J$50/$BC60,0)</f>
        <v/>
      </c>
      <c r="K177" s="75">
        <f>IFERROR(K138*K$50/$BC60,0)</f>
        <v/>
      </c>
      <c r="L177" s="75">
        <f>IFERROR(L138*L$50/$BC60,0)</f>
        <v/>
      </c>
      <c r="M177" s="75">
        <f>IFERROR(M138*M$50/$BC60,0)</f>
        <v/>
      </c>
      <c r="N177" s="75">
        <f>IFERROR(N138*N$50/$BC60,0)</f>
        <v/>
      </c>
      <c r="O177" s="75">
        <f>IFERROR(O138*O$50/$BC60,0)</f>
        <v/>
      </c>
      <c r="P177" s="75">
        <f>IFERROR(P138*P$50/$BC60,0)</f>
        <v/>
      </c>
      <c r="Q177" s="75">
        <f>IFERROR(Q138*Q$50/$BC60,0)</f>
        <v/>
      </c>
      <c r="R177" s="75">
        <f>IFERROR(R138*R$50/$BC60,0)</f>
        <v/>
      </c>
      <c r="S177" s="75">
        <f>IFERROR(S138*S$50/$BC60,0)</f>
        <v/>
      </c>
      <c r="T177" s="75">
        <f>IFERROR(T138*T$50/$BC60,0)</f>
        <v/>
      </c>
      <c r="U177" s="75">
        <f>IFERROR(U138*U$50/$BC60,0)</f>
        <v/>
      </c>
      <c r="V177" s="75">
        <f>IFERROR(V138*V$50/$BC60,0)</f>
        <v/>
      </c>
      <c r="W177" s="75">
        <f>IFERROR(W138*W$50/$BC60,0)</f>
        <v/>
      </c>
      <c r="X177" s="75">
        <f>IFERROR(X138*X$50/$BC60,0)</f>
        <v/>
      </c>
      <c r="Y177" s="75">
        <f>IFERROR(Y138*Y$50/$BC60,0)</f>
        <v/>
      </c>
      <c r="Z177" s="75">
        <f>IFERROR(Z138*Z$50/$BC60,0)</f>
        <v/>
      </c>
      <c r="AA177" s="75">
        <f>IFERROR(AA138*AA$50/$BC60,0)</f>
        <v/>
      </c>
      <c r="AB177" s="75">
        <f>IFERROR(AB138*AB$50/$BC60,0)</f>
        <v/>
      </c>
      <c r="AC177" s="75">
        <f>IFERROR(AC138*AC$50/$BC60,0)</f>
        <v/>
      </c>
      <c r="AD177" s="75">
        <f>IFERROR(AD138*AD$50/$BC60,0)</f>
        <v/>
      </c>
      <c r="AE177" s="75">
        <f>IFERROR(AE138*AE$50/$BC60,0)</f>
        <v/>
      </c>
      <c r="AF177" s="75">
        <f>IFERROR(AF138*AF$50/$BC60,0)</f>
        <v/>
      </c>
      <c r="AG177" s="75">
        <f>IFERROR(AG138*AG$50/$BC60,0)</f>
        <v/>
      </c>
      <c r="AH177" s="75">
        <f>IFERROR(AH138*AH$50/$BC60,0)</f>
        <v/>
      </c>
      <c r="AI177" s="75">
        <f>IFERROR(AI138*AI$50/$BC60,0)</f>
        <v/>
      </c>
      <c r="AJ177" s="75">
        <f>IFERROR(AJ138*AJ$50/$BC60,0)</f>
        <v/>
      </c>
      <c r="AK177" s="75">
        <f>IFERROR(AK138*AK$50/$BC60,0)</f>
        <v/>
      </c>
      <c r="AL177" s="75">
        <f>IFERROR(AL138*AL$50/$BC60,0)</f>
        <v/>
      </c>
      <c r="AM177" s="75">
        <f>IFERROR(AM138*AM$50/$BC60,0)</f>
        <v/>
      </c>
      <c r="AN177" s="75">
        <f>IFERROR(AN138*AN$50/$BC60,0)</f>
        <v/>
      </c>
      <c r="AO177" s="75">
        <f>IFERROR(AO138*AO$50/$BC60,0)</f>
        <v/>
      </c>
      <c r="AP177" s="75">
        <f>IFERROR(AP138*AP$50/$BC60,0)</f>
        <v/>
      </c>
      <c r="AQ177" s="75">
        <f>IFERROR(AQ138*AQ$50/$BC60,0)</f>
        <v/>
      </c>
      <c r="AR177" s="75">
        <f>IFERROR(AR138*AR$50/$BC60,0)</f>
        <v/>
      </c>
      <c r="AS177" s="75">
        <f>IFERROR(AS138*AS$50/$BC60,0)</f>
        <v/>
      </c>
      <c r="AT177" s="75">
        <f>IFERROR(AT138*AT$50/$BC60,0)</f>
        <v/>
      </c>
      <c r="AU177" s="75">
        <f>IFERROR(AU138*AU$50/$BC60,0)</f>
        <v/>
      </c>
      <c r="AV177" s="75">
        <f>IFERROR(AV138*AV$50/$BC60,0)</f>
        <v/>
      </c>
      <c r="AW177" s="75">
        <f>IFERROR(AW138*AW$50/$BC60,0)</f>
        <v/>
      </c>
      <c r="AX177" s="75">
        <f>IFERROR(AX138*AX$50/$BC60,0)</f>
        <v/>
      </c>
      <c r="AY177" s="75">
        <f>IFERROR(AY138*AY$50/$BC60,0)</f>
        <v/>
      </c>
      <c r="AZ177" s="75">
        <f>IFERROR(AZ138*AZ$50/$BC60,0)</f>
        <v/>
      </c>
      <c r="BA177" s="75">
        <f>IFERROR(BA138*BA$50/$BC60,0)</f>
        <v/>
      </c>
      <c r="BB177" s="75">
        <f>IFERROR(BB138*BB$50/$BC60,0)</f>
        <v/>
      </c>
    </row>
    <row r="178">
      <c r="D178" s="237">
        <f>D61</f>
        <v/>
      </c>
      <c r="E178" s="75">
        <f>IFERROR(E139*E$50/$BC61,0)</f>
        <v/>
      </c>
      <c r="F178" s="75">
        <f>IFERROR(F139*F$50/$BC61,0)</f>
        <v/>
      </c>
      <c r="G178" s="75">
        <f>IFERROR(G139*G$50/$BC61,0)</f>
        <v/>
      </c>
      <c r="H178" s="75">
        <f>IFERROR(H139*H$50/$BC61,0)</f>
        <v/>
      </c>
      <c r="I178" s="75">
        <f>IFERROR(I139*I$50/$BC61,0)</f>
        <v/>
      </c>
      <c r="J178" s="75">
        <f>IFERROR(J139*J$50/$BC61,0)</f>
        <v/>
      </c>
      <c r="K178" s="75">
        <f>IFERROR(K139*K$50/$BC61,0)</f>
        <v/>
      </c>
      <c r="L178" s="75">
        <f>IFERROR(L139*L$50/$BC61,0)</f>
        <v/>
      </c>
      <c r="M178" s="75">
        <f>IFERROR(M139*M$50/$BC61,0)</f>
        <v/>
      </c>
      <c r="N178" s="75">
        <f>IFERROR(N139*N$50/$BC61,0)</f>
        <v/>
      </c>
      <c r="O178" s="75">
        <f>IFERROR(O139*O$50/$BC61,0)</f>
        <v/>
      </c>
      <c r="P178" s="75">
        <f>IFERROR(P139*P$50/$BC61,0)</f>
        <v/>
      </c>
      <c r="Q178" s="75">
        <f>IFERROR(Q139*Q$50/$BC61,0)</f>
        <v/>
      </c>
      <c r="R178" s="75">
        <f>IFERROR(R139*R$50/$BC61,0)</f>
        <v/>
      </c>
      <c r="S178" s="75">
        <f>IFERROR(S139*S$50/$BC61,0)</f>
        <v/>
      </c>
      <c r="T178" s="75">
        <f>IFERROR(T139*T$50/$BC61,0)</f>
        <v/>
      </c>
      <c r="U178" s="75">
        <f>IFERROR(U139*U$50/$BC61,0)</f>
        <v/>
      </c>
      <c r="V178" s="75">
        <f>IFERROR(V139*V$50/$BC61,0)</f>
        <v/>
      </c>
      <c r="W178" s="75">
        <f>IFERROR(W139*W$50/$BC61,0)</f>
        <v/>
      </c>
      <c r="X178" s="75">
        <f>IFERROR(X139*X$50/$BC61,0)</f>
        <v/>
      </c>
      <c r="Y178" s="75">
        <f>IFERROR(Y139*Y$50/$BC61,0)</f>
        <v/>
      </c>
      <c r="Z178" s="75">
        <f>IFERROR(Z139*Z$50/$BC61,0)</f>
        <v/>
      </c>
      <c r="AA178" s="75">
        <f>IFERROR(AA139*AA$50/$BC61,0)</f>
        <v/>
      </c>
      <c r="AB178" s="75">
        <f>IFERROR(AB139*AB$50/$BC61,0)</f>
        <v/>
      </c>
      <c r="AC178" s="75">
        <f>IFERROR(AC139*AC$50/$BC61,0)</f>
        <v/>
      </c>
      <c r="AD178" s="75">
        <f>IFERROR(AD139*AD$50/$BC61,0)</f>
        <v/>
      </c>
      <c r="AE178" s="75">
        <f>IFERROR(AE139*AE$50/$BC61,0)</f>
        <v/>
      </c>
      <c r="AF178" s="75">
        <f>IFERROR(AF139*AF$50/$BC61,0)</f>
        <v/>
      </c>
      <c r="AG178" s="75">
        <f>IFERROR(AG139*AG$50/$BC61,0)</f>
        <v/>
      </c>
      <c r="AH178" s="75">
        <f>IFERROR(AH139*AH$50/$BC61,0)</f>
        <v/>
      </c>
      <c r="AI178" s="75">
        <f>IFERROR(AI139*AI$50/$BC61,0)</f>
        <v/>
      </c>
      <c r="AJ178" s="75">
        <f>IFERROR(AJ139*AJ$50/$BC61,0)</f>
        <v/>
      </c>
      <c r="AK178" s="75">
        <f>IFERROR(AK139*AK$50/$BC61,0)</f>
        <v/>
      </c>
      <c r="AL178" s="75">
        <f>IFERROR(AL139*AL$50/$BC61,0)</f>
        <v/>
      </c>
      <c r="AM178" s="75">
        <f>IFERROR(AM139*AM$50/$BC61,0)</f>
        <v/>
      </c>
      <c r="AN178" s="75">
        <f>IFERROR(AN139*AN$50/$BC61,0)</f>
        <v/>
      </c>
      <c r="AO178" s="75">
        <f>IFERROR(AO139*AO$50/$BC61,0)</f>
        <v/>
      </c>
      <c r="AP178" s="75">
        <f>IFERROR(AP139*AP$50/$BC61,0)</f>
        <v/>
      </c>
      <c r="AQ178" s="75">
        <f>IFERROR(AQ139*AQ$50/$BC61,0)</f>
        <v/>
      </c>
      <c r="AR178" s="75">
        <f>IFERROR(AR139*AR$50/$BC61,0)</f>
        <v/>
      </c>
      <c r="AS178" s="75">
        <f>IFERROR(AS139*AS$50/$BC61,0)</f>
        <v/>
      </c>
      <c r="AT178" s="75">
        <f>IFERROR(AT139*AT$50/$BC61,0)</f>
        <v/>
      </c>
      <c r="AU178" s="75">
        <f>IFERROR(AU139*AU$50/$BC61,0)</f>
        <v/>
      </c>
      <c r="AV178" s="75">
        <f>IFERROR(AV139*AV$50/$BC61,0)</f>
        <v/>
      </c>
      <c r="AW178" s="75">
        <f>IFERROR(AW139*AW$50/$BC61,0)</f>
        <v/>
      </c>
      <c r="AX178" s="75">
        <f>IFERROR(AX139*AX$50/$BC61,0)</f>
        <v/>
      </c>
      <c r="AY178" s="75">
        <f>IFERROR(AY139*AY$50/$BC61,0)</f>
        <v/>
      </c>
      <c r="AZ178" s="75">
        <f>IFERROR(AZ139*AZ$50/$BC61,0)</f>
        <v/>
      </c>
      <c r="BA178" s="75">
        <f>IFERROR(BA139*BA$50/$BC61,0)</f>
        <v/>
      </c>
      <c r="BB178" s="75">
        <f>IFERROR(BB139*BB$50/$BC61,0)</f>
        <v/>
      </c>
    </row>
    <row r="179">
      <c r="D179" s="237">
        <f>D62</f>
        <v/>
      </c>
      <c r="E179" s="75">
        <f>IFERROR(E140*E$50/$BC62,0)</f>
        <v/>
      </c>
      <c r="F179" s="75">
        <f>IFERROR(F140*F$50/$BC62,0)</f>
        <v/>
      </c>
      <c r="G179" s="75">
        <f>IFERROR(G140*G$50/$BC62,0)</f>
        <v/>
      </c>
      <c r="H179" s="75">
        <f>IFERROR(H140*H$50/$BC62,0)</f>
        <v/>
      </c>
      <c r="I179" s="75">
        <f>IFERROR(I140*I$50/$BC62,0)</f>
        <v/>
      </c>
      <c r="J179" s="75">
        <f>IFERROR(J140*J$50/$BC62,0)</f>
        <v/>
      </c>
      <c r="K179" s="75">
        <f>IFERROR(K140*K$50/$BC62,0)</f>
        <v/>
      </c>
      <c r="L179" s="75">
        <f>IFERROR(L140*L$50/$BC62,0)</f>
        <v/>
      </c>
      <c r="M179" s="75">
        <f>IFERROR(M140*M$50/$BC62,0)</f>
        <v/>
      </c>
      <c r="N179" s="75">
        <f>IFERROR(N140*N$50/$BC62,0)</f>
        <v/>
      </c>
      <c r="O179" s="75">
        <f>IFERROR(O140*O$50/$BC62,0)</f>
        <v/>
      </c>
      <c r="P179" s="75">
        <f>IFERROR(P140*P$50/$BC62,0)</f>
        <v/>
      </c>
      <c r="Q179" s="75">
        <f>IFERROR(Q140*Q$50/$BC62,0)</f>
        <v/>
      </c>
      <c r="R179" s="75">
        <f>IFERROR(R140*R$50/$BC62,0)</f>
        <v/>
      </c>
      <c r="S179" s="75">
        <f>IFERROR(S140*S$50/$BC62,0)</f>
        <v/>
      </c>
      <c r="T179" s="75">
        <f>IFERROR(T140*T$50/$BC62,0)</f>
        <v/>
      </c>
      <c r="U179" s="75">
        <f>IFERROR(U140*U$50/$BC62,0)</f>
        <v/>
      </c>
      <c r="V179" s="75">
        <f>IFERROR(V140*V$50/$BC62,0)</f>
        <v/>
      </c>
      <c r="W179" s="75">
        <f>IFERROR(W140*W$50/$BC62,0)</f>
        <v/>
      </c>
      <c r="X179" s="75">
        <f>IFERROR(X140*X$50/$BC62,0)</f>
        <v/>
      </c>
      <c r="Y179" s="75">
        <f>IFERROR(Y140*Y$50/$BC62,0)</f>
        <v/>
      </c>
      <c r="Z179" s="75">
        <f>IFERROR(Z140*Z$50/$BC62,0)</f>
        <v/>
      </c>
      <c r="AA179" s="75">
        <f>IFERROR(AA140*AA$50/$BC62,0)</f>
        <v/>
      </c>
      <c r="AB179" s="75">
        <f>IFERROR(AB140*AB$50/$BC62,0)</f>
        <v/>
      </c>
      <c r="AC179" s="75">
        <f>IFERROR(AC140*AC$50/$BC62,0)</f>
        <v/>
      </c>
      <c r="AD179" s="75">
        <f>IFERROR(AD140*AD$50/$BC62,0)</f>
        <v/>
      </c>
      <c r="AE179" s="75">
        <f>IFERROR(AE140*AE$50/$BC62,0)</f>
        <v/>
      </c>
      <c r="AF179" s="75">
        <f>IFERROR(AF140*AF$50/$BC62,0)</f>
        <v/>
      </c>
      <c r="AG179" s="75">
        <f>IFERROR(AG140*AG$50/$BC62,0)</f>
        <v/>
      </c>
      <c r="AH179" s="75">
        <f>IFERROR(AH140*AH$50/$BC62,0)</f>
        <v/>
      </c>
      <c r="AI179" s="75">
        <f>IFERROR(AI140*AI$50/$BC62,0)</f>
        <v/>
      </c>
      <c r="AJ179" s="75">
        <f>IFERROR(AJ140*AJ$50/$BC62,0)</f>
        <v/>
      </c>
      <c r="AK179" s="75">
        <f>IFERROR(AK140*AK$50/$BC62,0)</f>
        <v/>
      </c>
      <c r="AL179" s="75">
        <f>IFERROR(AL140*AL$50/$BC62,0)</f>
        <v/>
      </c>
      <c r="AM179" s="75">
        <f>IFERROR(AM140*AM$50/$BC62,0)</f>
        <v/>
      </c>
      <c r="AN179" s="75">
        <f>IFERROR(AN140*AN$50/$BC62,0)</f>
        <v/>
      </c>
      <c r="AO179" s="75">
        <f>IFERROR(AO140*AO$50/$BC62,0)</f>
        <v/>
      </c>
      <c r="AP179" s="75">
        <f>IFERROR(AP140*AP$50/$BC62,0)</f>
        <v/>
      </c>
      <c r="AQ179" s="75">
        <f>IFERROR(AQ140*AQ$50/$BC62,0)</f>
        <v/>
      </c>
      <c r="AR179" s="75">
        <f>IFERROR(AR140*AR$50/$BC62,0)</f>
        <v/>
      </c>
      <c r="AS179" s="75">
        <f>IFERROR(AS140*AS$50/$BC62,0)</f>
        <v/>
      </c>
      <c r="AT179" s="75">
        <f>IFERROR(AT140*AT$50/$BC62,0)</f>
        <v/>
      </c>
      <c r="AU179" s="75">
        <f>IFERROR(AU140*AU$50/$BC62,0)</f>
        <v/>
      </c>
      <c r="AV179" s="75">
        <f>IFERROR(AV140*AV$50/$BC62,0)</f>
        <v/>
      </c>
      <c r="AW179" s="75">
        <f>IFERROR(AW140*AW$50/$BC62,0)</f>
        <v/>
      </c>
      <c r="AX179" s="75">
        <f>IFERROR(AX140*AX$50/$BC62,0)</f>
        <v/>
      </c>
      <c r="AY179" s="75">
        <f>IFERROR(AY140*AY$50/$BC62,0)</f>
        <v/>
      </c>
      <c r="AZ179" s="75">
        <f>IFERROR(AZ140*AZ$50/$BC62,0)</f>
        <v/>
      </c>
      <c r="BA179" s="75">
        <f>IFERROR(BA140*BA$50/$BC62,0)</f>
        <v/>
      </c>
      <c r="BB179" s="75">
        <f>IFERROR(BB140*BB$50/$BC62,0)</f>
        <v/>
      </c>
    </row>
    <row r="180">
      <c r="D180" s="237">
        <f>D63</f>
        <v/>
      </c>
      <c r="E180" s="75">
        <f>IFERROR(E141*E$50/$BC63,0)</f>
        <v/>
      </c>
      <c r="F180" s="75">
        <f>IFERROR(F141*F$50/$BC63,0)</f>
        <v/>
      </c>
      <c r="G180" s="75">
        <f>IFERROR(G141*G$50/$BC63,0)</f>
        <v/>
      </c>
      <c r="H180" s="75">
        <f>IFERROR(H141*H$50/$BC63,0)</f>
        <v/>
      </c>
      <c r="I180" s="75">
        <f>IFERROR(I141*I$50/$BC63,0)</f>
        <v/>
      </c>
      <c r="J180" s="75">
        <f>IFERROR(J141*J$50/$BC63,0)</f>
        <v/>
      </c>
      <c r="K180" s="75">
        <f>IFERROR(K141*K$50/$BC63,0)</f>
        <v/>
      </c>
      <c r="L180" s="75">
        <f>IFERROR(L141*L$50/$BC63,0)</f>
        <v/>
      </c>
      <c r="M180" s="75">
        <f>IFERROR(M141*M$50/$BC63,0)</f>
        <v/>
      </c>
      <c r="N180" s="75">
        <f>IFERROR(N141*N$50/$BC63,0)</f>
        <v/>
      </c>
      <c r="O180" s="75">
        <f>IFERROR(O141*O$50/$BC63,0)</f>
        <v/>
      </c>
      <c r="P180" s="75">
        <f>IFERROR(P141*P$50/$BC63,0)</f>
        <v/>
      </c>
      <c r="Q180" s="75">
        <f>IFERROR(Q141*Q$50/$BC63,0)</f>
        <v/>
      </c>
      <c r="R180" s="75">
        <f>IFERROR(R141*R$50/$BC63,0)</f>
        <v/>
      </c>
      <c r="S180" s="75">
        <f>IFERROR(S141*S$50/$BC63,0)</f>
        <v/>
      </c>
      <c r="T180" s="75">
        <f>IFERROR(T141*T$50/$BC63,0)</f>
        <v/>
      </c>
      <c r="U180" s="75">
        <f>IFERROR(U141*U$50/$BC63,0)</f>
        <v/>
      </c>
      <c r="V180" s="75">
        <f>IFERROR(V141*V$50/$BC63,0)</f>
        <v/>
      </c>
      <c r="W180" s="75">
        <f>IFERROR(W141*W$50/$BC63,0)</f>
        <v/>
      </c>
      <c r="X180" s="75">
        <f>IFERROR(X141*X$50/$BC63,0)</f>
        <v/>
      </c>
      <c r="Y180" s="75">
        <f>IFERROR(Y141*Y$50/$BC63,0)</f>
        <v/>
      </c>
      <c r="Z180" s="75">
        <f>IFERROR(Z141*Z$50/$BC63,0)</f>
        <v/>
      </c>
      <c r="AA180" s="75">
        <f>IFERROR(AA141*AA$50/$BC63,0)</f>
        <v/>
      </c>
      <c r="AB180" s="75">
        <f>IFERROR(AB141*AB$50/$BC63,0)</f>
        <v/>
      </c>
      <c r="AC180" s="75">
        <f>IFERROR(AC141*AC$50/$BC63,0)</f>
        <v/>
      </c>
      <c r="AD180" s="75">
        <f>IFERROR(AD141*AD$50/$BC63,0)</f>
        <v/>
      </c>
      <c r="AE180" s="75">
        <f>IFERROR(AE141*AE$50/$BC63,0)</f>
        <v/>
      </c>
      <c r="AF180" s="75">
        <f>IFERROR(AF141*AF$50/$BC63,0)</f>
        <v/>
      </c>
      <c r="AG180" s="75">
        <f>IFERROR(AG141*AG$50/$BC63,0)</f>
        <v/>
      </c>
      <c r="AH180" s="75">
        <f>IFERROR(AH141*AH$50/$BC63,0)</f>
        <v/>
      </c>
      <c r="AI180" s="75">
        <f>IFERROR(AI141*AI$50/$BC63,0)</f>
        <v/>
      </c>
      <c r="AJ180" s="75">
        <f>IFERROR(AJ141*AJ$50/$BC63,0)</f>
        <v/>
      </c>
      <c r="AK180" s="75">
        <f>IFERROR(AK141*AK$50/$BC63,0)</f>
        <v/>
      </c>
      <c r="AL180" s="75">
        <f>IFERROR(AL141*AL$50/$BC63,0)</f>
        <v/>
      </c>
      <c r="AM180" s="75">
        <f>IFERROR(AM141*AM$50/$BC63,0)</f>
        <v/>
      </c>
      <c r="AN180" s="75">
        <f>IFERROR(AN141*AN$50/$BC63,0)</f>
        <v/>
      </c>
      <c r="AO180" s="75">
        <f>IFERROR(AO141*AO$50/$BC63,0)</f>
        <v/>
      </c>
      <c r="AP180" s="75">
        <f>IFERROR(AP141*AP$50/$BC63,0)</f>
        <v/>
      </c>
      <c r="AQ180" s="75">
        <f>IFERROR(AQ141*AQ$50/$BC63,0)</f>
        <v/>
      </c>
      <c r="AR180" s="75">
        <f>IFERROR(AR141*AR$50/$BC63,0)</f>
        <v/>
      </c>
      <c r="AS180" s="75">
        <f>IFERROR(AS141*AS$50/$BC63,0)</f>
        <v/>
      </c>
      <c r="AT180" s="75">
        <f>IFERROR(AT141*AT$50/$BC63,0)</f>
        <v/>
      </c>
      <c r="AU180" s="75">
        <f>IFERROR(AU141*AU$50/$BC63,0)</f>
        <v/>
      </c>
      <c r="AV180" s="75">
        <f>IFERROR(AV141*AV$50/$BC63,0)</f>
        <v/>
      </c>
      <c r="AW180" s="75">
        <f>IFERROR(AW141*AW$50/$BC63,0)</f>
        <v/>
      </c>
      <c r="AX180" s="75">
        <f>IFERROR(AX141*AX$50/$BC63,0)</f>
        <v/>
      </c>
      <c r="AY180" s="75">
        <f>IFERROR(AY141*AY$50/$BC63,0)</f>
        <v/>
      </c>
      <c r="AZ180" s="75">
        <f>IFERROR(AZ141*AZ$50/$BC63,0)</f>
        <v/>
      </c>
      <c r="BA180" s="75">
        <f>IFERROR(BA141*BA$50/$BC63,0)</f>
        <v/>
      </c>
      <c r="BB180" s="75">
        <f>IFERROR(BB141*BB$50/$BC63,0)</f>
        <v/>
      </c>
    </row>
    <row r="181">
      <c r="D181" s="237">
        <f>D64</f>
        <v/>
      </c>
      <c r="E181" s="75">
        <f>IFERROR(E142*E$50/$BC64,0)</f>
        <v/>
      </c>
      <c r="F181" s="75">
        <f>IFERROR(F142*F$50/$BC64,0)</f>
        <v/>
      </c>
      <c r="G181" s="75">
        <f>IFERROR(G142*G$50/$BC64,0)</f>
        <v/>
      </c>
      <c r="H181" s="75">
        <f>IFERROR(H142*H$50/$BC64,0)</f>
        <v/>
      </c>
      <c r="I181" s="75">
        <f>IFERROR(I142*I$50/$BC64,0)</f>
        <v/>
      </c>
      <c r="J181" s="75">
        <f>IFERROR(J142*J$50/$BC64,0)</f>
        <v/>
      </c>
      <c r="K181" s="75">
        <f>IFERROR(K142*K$50/$BC64,0)</f>
        <v/>
      </c>
      <c r="L181" s="75">
        <f>IFERROR(L142*L$50/$BC64,0)</f>
        <v/>
      </c>
      <c r="M181" s="75">
        <f>IFERROR(M142*M$50/$BC64,0)</f>
        <v/>
      </c>
      <c r="N181" s="75">
        <f>IFERROR(N142*N$50/$BC64,0)</f>
        <v/>
      </c>
      <c r="O181" s="75">
        <f>IFERROR(O142*O$50/$BC64,0)</f>
        <v/>
      </c>
      <c r="P181" s="75">
        <f>IFERROR(P142*P$50/$BC64,0)</f>
        <v/>
      </c>
      <c r="Q181" s="75">
        <f>IFERROR(Q142*Q$50/$BC64,0)</f>
        <v/>
      </c>
      <c r="R181" s="75">
        <f>IFERROR(R142*R$50/$BC64,0)</f>
        <v/>
      </c>
      <c r="S181" s="75">
        <f>IFERROR(S142*S$50/$BC64,0)</f>
        <v/>
      </c>
      <c r="T181" s="75">
        <f>IFERROR(T142*T$50/$BC64,0)</f>
        <v/>
      </c>
      <c r="U181" s="75">
        <f>IFERROR(U142*U$50/$BC64,0)</f>
        <v/>
      </c>
      <c r="V181" s="75">
        <f>IFERROR(V142*V$50/$BC64,0)</f>
        <v/>
      </c>
      <c r="W181" s="75">
        <f>IFERROR(W142*W$50/$BC64,0)</f>
        <v/>
      </c>
      <c r="X181" s="75">
        <f>IFERROR(X142*X$50/$BC64,0)</f>
        <v/>
      </c>
      <c r="Y181" s="75">
        <f>IFERROR(Y142*Y$50/$BC64,0)</f>
        <v/>
      </c>
      <c r="Z181" s="75">
        <f>IFERROR(Z142*Z$50/$BC64,0)</f>
        <v/>
      </c>
      <c r="AA181" s="75">
        <f>IFERROR(AA142*AA$50/$BC64,0)</f>
        <v/>
      </c>
      <c r="AB181" s="75">
        <f>IFERROR(AB142*AB$50/$BC64,0)</f>
        <v/>
      </c>
      <c r="AC181" s="75">
        <f>IFERROR(AC142*AC$50/$BC64,0)</f>
        <v/>
      </c>
      <c r="AD181" s="75">
        <f>IFERROR(AD142*AD$50/$BC64,0)</f>
        <v/>
      </c>
      <c r="AE181" s="75">
        <f>IFERROR(AE142*AE$50/$BC64,0)</f>
        <v/>
      </c>
      <c r="AF181" s="75">
        <f>IFERROR(AF142*AF$50/$BC64,0)</f>
        <v/>
      </c>
      <c r="AG181" s="75">
        <f>IFERROR(AG142*AG$50/$BC64,0)</f>
        <v/>
      </c>
      <c r="AH181" s="75">
        <f>IFERROR(AH142*AH$50/$BC64,0)</f>
        <v/>
      </c>
      <c r="AI181" s="75">
        <f>IFERROR(AI142*AI$50/$BC64,0)</f>
        <v/>
      </c>
      <c r="AJ181" s="75">
        <f>IFERROR(AJ142*AJ$50/$BC64,0)</f>
        <v/>
      </c>
      <c r="AK181" s="75">
        <f>IFERROR(AK142*AK$50/$BC64,0)</f>
        <v/>
      </c>
      <c r="AL181" s="75">
        <f>IFERROR(AL142*AL$50/$BC64,0)</f>
        <v/>
      </c>
      <c r="AM181" s="75">
        <f>IFERROR(AM142*AM$50/$BC64,0)</f>
        <v/>
      </c>
      <c r="AN181" s="75">
        <f>IFERROR(AN142*AN$50/$BC64,0)</f>
        <v/>
      </c>
      <c r="AO181" s="75">
        <f>IFERROR(AO142*AO$50/$BC64,0)</f>
        <v/>
      </c>
      <c r="AP181" s="75">
        <f>IFERROR(AP142*AP$50/$BC64,0)</f>
        <v/>
      </c>
      <c r="AQ181" s="75">
        <f>IFERROR(AQ142*AQ$50/$BC64,0)</f>
        <v/>
      </c>
      <c r="AR181" s="75">
        <f>IFERROR(AR142*AR$50/$BC64,0)</f>
        <v/>
      </c>
      <c r="AS181" s="75">
        <f>IFERROR(AS142*AS$50/$BC64,0)</f>
        <v/>
      </c>
      <c r="AT181" s="75">
        <f>IFERROR(AT142*AT$50/$BC64,0)</f>
        <v/>
      </c>
      <c r="AU181" s="75">
        <f>IFERROR(AU142*AU$50/$BC64,0)</f>
        <v/>
      </c>
      <c r="AV181" s="75">
        <f>IFERROR(AV142*AV$50/$BC64,0)</f>
        <v/>
      </c>
      <c r="AW181" s="75">
        <f>IFERROR(AW142*AW$50/$BC64,0)</f>
        <v/>
      </c>
      <c r="AX181" s="75">
        <f>IFERROR(AX142*AX$50/$BC64,0)</f>
        <v/>
      </c>
      <c r="AY181" s="75">
        <f>IFERROR(AY142*AY$50/$BC64,0)</f>
        <v/>
      </c>
      <c r="AZ181" s="75">
        <f>IFERROR(AZ142*AZ$50/$BC64,0)</f>
        <v/>
      </c>
      <c r="BA181" s="75">
        <f>IFERROR(BA142*BA$50/$BC64,0)</f>
        <v/>
      </c>
      <c r="BB181" s="75">
        <f>IFERROR(BB142*BB$50/$BC64,0)</f>
        <v/>
      </c>
    </row>
    <row r="182">
      <c r="D182" s="237">
        <f>D65</f>
        <v/>
      </c>
      <c r="E182" s="75">
        <f>IFERROR(E143*E$50/$BC65,0)</f>
        <v/>
      </c>
      <c r="F182" s="75">
        <f>IFERROR(F143*F$50/$BC65,0)</f>
        <v/>
      </c>
      <c r="G182" s="75">
        <f>IFERROR(G143*G$50/$BC65,0)</f>
        <v/>
      </c>
      <c r="H182" s="75">
        <f>IFERROR(H143*H$50/$BC65,0)</f>
        <v/>
      </c>
      <c r="I182" s="75">
        <f>IFERROR(I143*I$50/$BC65,0)</f>
        <v/>
      </c>
      <c r="J182" s="75">
        <f>IFERROR(J143*J$50/$BC65,0)</f>
        <v/>
      </c>
      <c r="K182" s="75">
        <f>IFERROR(K143*K$50/$BC65,0)</f>
        <v/>
      </c>
      <c r="L182" s="75">
        <f>IFERROR(L143*L$50/$BC65,0)</f>
        <v/>
      </c>
      <c r="M182" s="75">
        <f>IFERROR(M143*M$50/$BC65,0)</f>
        <v/>
      </c>
      <c r="N182" s="75">
        <f>IFERROR(N143*N$50/$BC65,0)</f>
        <v/>
      </c>
      <c r="O182" s="75">
        <f>IFERROR(O143*O$50/$BC65,0)</f>
        <v/>
      </c>
      <c r="P182" s="75">
        <f>IFERROR(P143*P$50/$BC65,0)</f>
        <v/>
      </c>
      <c r="Q182" s="75">
        <f>IFERROR(Q143*Q$50/$BC65,0)</f>
        <v/>
      </c>
      <c r="R182" s="75">
        <f>IFERROR(R143*R$50/$BC65,0)</f>
        <v/>
      </c>
      <c r="S182" s="75">
        <f>IFERROR(S143*S$50/$BC65,0)</f>
        <v/>
      </c>
      <c r="T182" s="75">
        <f>IFERROR(T143*T$50/$BC65,0)</f>
        <v/>
      </c>
      <c r="U182" s="75">
        <f>IFERROR(U143*U$50/$BC65,0)</f>
        <v/>
      </c>
      <c r="V182" s="75">
        <f>IFERROR(V143*V$50/$BC65,0)</f>
        <v/>
      </c>
      <c r="W182" s="75">
        <f>IFERROR(W143*W$50/$BC65,0)</f>
        <v/>
      </c>
      <c r="X182" s="75">
        <f>IFERROR(X143*X$50/$BC65,0)</f>
        <v/>
      </c>
      <c r="Y182" s="75">
        <f>IFERROR(Y143*Y$50/$BC65,0)</f>
        <v/>
      </c>
      <c r="Z182" s="75">
        <f>IFERROR(Z143*Z$50/$BC65,0)</f>
        <v/>
      </c>
      <c r="AA182" s="75">
        <f>IFERROR(AA143*AA$50/$BC65,0)</f>
        <v/>
      </c>
      <c r="AB182" s="75">
        <f>IFERROR(AB143*AB$50/$BC65,0)</f>
        <v/>
      </c>
      <c r="AC182" s="75">
        <f>IFERROR(AC143*AC$50/$BC65,0)</f>
        <v/>
      </c>
      <c r="AD182" s="75">
        <f>IFERROR(AD143*AD$50/$BC65,0)</f>
        <v/>
      </c>
      <c r="AE182" s="75">
        <f>IFERROR(AE143*AE$50/$BC65,0)</f>
        <v/>
      </c>
      <c r="AF182" s="75">
        <f>IFERROR(AF143*AF$50/$BC65,0)</f>
        <v/>
      </c>
      <c r="AG182" s="75">
        <f>IFERROR(AG143*AG$50/$BC65,0)</f>
        <v/>
      </c>
      <c r="AH182" s="75">
        <f>IFERROR(AH143*AH$50/$BC65,0)</f>
        <v/>
      </c>
      <c r="AI182" s="75">
        <f>IFERROR(AI143*AI$50/$BC65,0)</f>
        <v/>
      </c>
      <c r="AJ182" s="75">
        <f>IFERROR(AJ143*AJ$50/$BC65,0)</f>
        <v/>
      </c>
      <c r="AK182" s="75">
        <f>IFERROR(AK143*AK$50/$BC65,0)</f>
        <v/>
      </c>
      <c r="AL182" s="75">
        <f>IFERROR(AL143*AL$50/$BC65,0)</f>
        <v/>
      </c>
      <c r="AM182" s="75">
        <f>IFERROR(AM143*AM$50/$BC65,0)</f>
        <v/>
      </c>
      <c r="AN182" s="75">
        <f>IFERROR(AN143*AN$50/$BC65,0)</f>
        <v/>
      </c>
      <c r="AO182" s="75">
        <f>IFERROR(AO143*AO$50/$BC65,0)</f>
        <v/>
      </c>
      <c r="AP182" s="75">
        <f>IFERROR(AP143*AP$50/$BC65,0)</f>
        <v/>
      </c>
      <c r="AQ182" s="75">
        <f>IFERROR(AQ143*AQ$50/$BC65,0)</f>
        <v/>
      </c>
      <c r="AR182" s="75">
        <f>IFERROR(AR143*AR$50/$BC65,0)</f>
        <v/>
      </c>
      <c r="AS182" s="75">
        <f>IFERROR(AS143*AS$50/$BC65,0)</f>
        <v/>
      </c>
      <c r="AT182" s="75">
        <f>IFERROR(AT143*AT$50/$BC65,0)</f>
        <v/>
      </c>
      <c r="AU182" s="75">
        <f>IFERROR(AU143*AU$50/$BC65,0)</f>
        <v/>
      </c>
      <c r="AV182" s="75">
        <f>IFERROR(AV143*AV$50/$BC65,0)</f>
        <v/>
      </c>
      <c r="AW182" s="75">
        <f>IFERROR(AW143*AW$50/$BC65,0)</f>
        <v/>
      </c>
      <c r="AX182" s="75">
        <f>IFERROR(AX143*AX$50/$BC65,0)</f>
        <v/>
      </c>
      <c r="AY182" s="75">
        <f>IFERROR(AY143*AY$50/$BC65,0)</f>
        <v/>
      </c>
      <c r="AZ182" s="75">
        <f>IFERROR(AZ143*AZ$50/$BC65,0)</f>
        <v/>
      </c>
      <c r="BA182" s="75">
        <f>IFERROR(BA143*BA$50/$BC65,0)</f>
        <v/>
      </c>
      <c r="BB182" s="75">
        <f>IFERROR(BB143*BB$50/$BC65,0)</f>
        <v/>
      </c>
    </row>
    <row r="183">
      <c r="D183" s="237">
        <f>D66</f>
        <v/>
      </c>
      <c r="E183" s="75">
        <f>IFERROR(E144*E$50/$BC66,0)</f>
        <v/>
      </c>
      <c r="F183" s="75">
        <f>IFERROR(F144*F$50/$BC66,0)</f>
        <v/>
      </c>
      <c r="G183" s="75">
        <f>IFERROR(G144*G$50/$BC66,0)</f>
        <v/>
      </c>
      <c r="H183" s="75">
        <f>IFERROR(H144*H$50/$BC66,0)</f>
        <v/>
      </c>
      <c r="I183" s="75">
        <f>IFERROR(I144*I$50/$BC66,0)</f>
        <v/>
      </c>
      <c r="J183" s="75">
        <f>IFERROR(J144*J$50/$BC66,0)</f>
        <v/>
      </c>
      <c r="K183" s="75">
        <f>IFERROR(K144*K$50/$BC66,0)</f>
        <v/>
      </c>
      <c r="L183" s="75">
        <f>IFERROR(L144*L$50/$BC66,0)</f>
        <v/>
      </c>
      <c r="M183" s="75">
        <f>IFERROR(M144*M$50/$BC66,0)</f>
        <v/>
      </c>
      <c r="N183" s="75">
        <f>IFERROR(N144*N$50/$BC66,0)</f>
        <v/>
      </c>
      <c r="O183" s="75">
        <f>IFERROR(O144*O$50/$BC66,0)</f>
        <v/>
      </c>
      <c r="P183" s="75">
        <f>IFERROR(P144*P$50/$BC66,0)</f>
        <v/>
      </c>
      <c r="Q183" s="75">
        <f>IFERROR(Q144*Q$50/$BC66,0)</f>
        <v/>
      </c>
      <c r="R183" s="75">
        <f>IFERROR(R144*R$50/$BC66,0)</f>
        <v/>
      </c>
      <c r="S183" s="75">
        <f>IFERROR(S144*S$50/$BC66,0)</f>
        <v/>
      </c>
      <c r="T183" s="75">
        <f>IFERROR(T144*T$50/$BC66,0)</f>
        <v/>
      </c>
      <c r="U183" s="75">
        <f>IFERROR(U144*U$50/$BC66,0)</f>
        <v/>
      </c>
      <c r="V183" s="75">
        <f>IFERROR(V144*V$50/$BC66,0)</f>
        <v/>
      </c>
      <c r="W183" s="75">
        <f>IFERROR(W144*W$50/$BC66,0)</f>
        <v/>
      </c>
      <c r="X183" s="75">
        <f>IFERROR(X144*X$50/$BC66,0)</f>
        <v/>
      </c>
      <c r="Y183" s="75">
        <f>IFERROR(Y144*Y$50/$BC66,0)</f>
        <v/>
      </c>
      <c r="Z183" s="75">
        <f>IFERROR(Z144*Z$50/$BC66,0)</f>
        <v/>
      </c>
      <c r="AA183" s="75">
        <f>IFERROR(AA144*AA$50/$BC66,0)</f>
        <v/>
      </c>
      <c r="AB183" s="75">
        <f>IFERROR(AB144*AB$50/$BC66,0)</f>
        <v/>
      </c>
      <c r="AC183" s="75">
        <f>IFERROR(AC144*AC$50/$BC66,0)</f>
        <v/>
      </c>
      <c r="AD183" s="75">
        <f>IFERROR(AD144*AD$50/$BC66,0)</f>
        <v/>
      </c>
      <c r="AE183" s="75">
        <f>IFERROR(AE144*AE$50/$BC66,0)</f>
        <v/>
      </c>
      <c r="AF183" s="75">
        <f>IFERROR(AF144*AF$50/$BC66,0)</f>
        <v/>
      </c>
      <c r="AG183" s="75">
        <f>IFERROR(AG144*AG$50/$BC66,0)</f>
        <v/>
      </c>
      <c r="AH183" s="75">
        <f>IFERROR(AH144*AH$50/$BC66,0)</f>
        <v/>
      </c>
      <c r="AI183" s="75">
        <f>IFERROR(AI144*AI$50/$BC66,0)</f>
        <v/>
      </c>
      <c r="AJ183" s="75">
        <f>IFERROR(AJ144*AJ$50/$BC66,0)</f>
        <v/>
      </c>
      <c r="AK183" s="75">
        <f>IFERROR(AK144*AK$50/$BC66,0)</f>
        <v/>
      </c>
      <c r="AL183" s="75">
        <f>IFERROR(AL144*AL$50/$BC66,0)</f>
        <v/>
      </c>
      <c r="AM183" s="75">
        <f>IFERROR(AM144*AM$50/$BC66,0)</f>
        <v/>
      </c>
      <c r="AN183" s="75">
        <f>IFERROR(AN144*AN$50/$BC66,0)</f>
        <v/>
      </c>
      <c r="AO183" s="75">
        <f>IFERROR(AO144*AO$50/$BC66,0)</f>
        <v/>
      </c>
      <c r="AP183" s="75">
        <f>IFERROR(AP144*AP$50/$BC66,0)</f>
        <v/>
      </c>
      <c r="AQ183" s="75">
        <f>IFERROR(AQ144*AQ$50/$BC66,0)</f>
        <v/>
      </c>
      <c r="AR183" s="75">
        <f>IFERROR(AR144*AR$50/$BC66,0)</f>
        <v/>
      </c>
      <c r="AS183" s="75">
        <f>IFERROR(AS144*AS$50/$BC66,0)</f>
        <v/>
      </c>
      <c r="AT183" s="75">
        <f>IFERROR(AT144*AT$50/$BC66,0)</f>
        <v/>
      </c>
      <c r="AU183" s="75">
        <f>IFERROR(AU144*AU$50/$BC66,0)</f>
        <v/>
      </c>
      <c r="AV183" s="75">
        <f>IFERROR(AV144*AV$50/$BC66,0)</f>
        <v/>
      </c>
      <c r="AW183" s="75">
        <f>IFERROR(AW144*AW$50/$BC66,0)</f>
        <v/>
      </c>
      <c r="AX183" s="75">
        <f>IFERROR(AX144*AX$50/$BC66,0)</f>
        <v/>
      </c>
      <c r="AY183" s="75">
        <f>IFERROR(AY144*AY$50/$BC66,0)</f>
        <v/>
      </c>
      <c r="AZ183" s="75">
        <f>IFERROR(AZ144*AZ$50/$BC66,0)</f>
        <v/>
      </c>
      <c r="BA183" s="75">
        <f>IFERROR(BA144*BA$50/$BC66,0)</f>
        <v/>
      </c>
      <c r="BB183" s="75">
        <f>IFERROR(BB144*BB$50/$BC66,0)</f>
        <v/>
      </c>
    </row>
    <row r="184">
      <c r="D184" s="237">
        <f>D67</f>
        <v/>
      </c>
      <c r="E184" s="75">
        <f>IFERROR(E145*E$50/$BC67,0)</f>
        <v/>
      </c>
      <c r="F184" s="75">
        <f>IFERROR(F145*F$50/$BC67,0)</f>
        <v/>
      </c>
      <c r="G184" s="75">
        <f>IFERROR(G145*G$50/$BC67,0)</f>
        <v/>
      </c>
      <c r="H184" s="75">
        <f>IFERROR(H145*H$50/$BC67,0)</f>
        <v/>
      </c>
      <c r="I184" s="75">
        <f>IFERROR(I145*I$50/$BC67,0)</f>
        <v/>
      </c>
      <c r="J184" s="75">
        <f>IFERROR(J145*J$50/$BC67,0)</f>
        <v/>
      </c>
      <c r="K184" s="75">
        <f>IFERROR(K145*K$50/$BC67,0)</f>
        <v/>
      </c>
      <c r="L184" s="75">
        <f>IFERROR(L145*L$50/$BC67,0)</f>
        <v/>
      </c>
      <c r="M184" s="75">
        <f>IFERROR(M145*M$50/$BC67,0)</f>
        <v/>
      </c>
      <c r="N184" s="75">
        <f>IFERROR(N145*N$50/$BC67,0)</f>
        <v/>
      </c>
      <c r="O184" s="75">
        <f>IFERROR(O145*O$50/$BC67,0)</f>
        <v/>
      </c>
      <c r="P184" s="75">
        <f>IFERROR(P145*P$50/$BC67,0)</f>
        <v/>
      </c>
      <c r="Q184" s="75">
        <f>IFERROR(Q145*Q$50/$BC67,0)</f>
        <v/>
      </c>
      <c r="R184" s="75">
        <f>IFERROR(R145*R$50/$BC67,0)</f>
        <v/>
      </c>
      <c r="S184" s="75">
        <f>IFERROR(S145*S$50/$BC67,0)</f>
        <v/>
      </c>
      <c r="T184" s="75">
        <f>IFERROR(T145*T$50/$BC67,0)</f>
        <v/>
      </c>
      <c r="U184" s="75">
        <f>IFERROR(U145*U$50/$BC67,0)</f>
        <v/>
      </c>
      <c r="V184" s="75">
        <f>IFERROR(V145*V$50/$BC67,0)</f>
        <v/>
      </c>
      <c r="W184" s="75">
        <f>IFERROR(W145*W$50/$BC67,0)</f>
        <v/>
      </c>
      <c r="X184" s="75">
        <f>IFERROR(X145*X$50/$BC67,0)</f>
        <v/>
      </c>
      <c r="Y184" s="75">
        <f>IFERROR(Y145*Y$50/$BC67,0)</f>
        <v/>
      </c>
      <c r="Z184" s="75">
        <f>IFERROR(Z145*Z$50/$BC67,0)</f>
        <v/>
      </c>
      <c r="AA184" s="75">
        <f>IFERROR(AA145*AA$50/$BC67,0)</f>
        <v/>
      </c>
      <c r="AB184" s="75">
        <f>IFERROR(AB145*AB$50/$BC67,0)</f>
        <v/>
      </c>
      <c r="AC184" s="75">
        <f>IFERROR(AC145*AC$50/$BC67,0)</f>
        <v/>
      </c>
      <c r="AD184" s="75">
        <f>IFERROR(AD145*AD$50/$BC67,0)</f>
        <v/>
      </c>
      <c r="AE184" s="75">
        <f>IFERROR(AE145*AE$50/$BC67,0)</f>
        <v/>
      </c>
      <c r="AF184" s="75">
        <f>IFERROR(AF145*AF$50/$BC67,0)</f>
        <v/>
      </c>
      <c r="AG184" s="75">
        <f>IFERROR(AG145*AG$50/$BC67,0)</f>
        <v/>
      </c>
      <c r="AH184" s="75">
        <f>IFERROR(AH145*AH$50/$BC67,0)</f>
        <v/>
      </c>
      <c r="AI184" s="75">
        <f>IFERROR(AI145*AI$50/$BC67,0)</f>
        <v/>
      </c>
      <c r="AJ184" s="75">
        <f>IFERROR(AJ145*AJ$50/$BC67,0)</f>
        <v/>
      </c>
      <c r="AK184" s="75">
        <f>IFERROR(AK145*AK$50/$BC67,0)</f>
        <v/>
      </c>
      <c r="AL184" s="75">
        <f>IFERROR(AL145*AL$50/$BC67,0)</f>
        <v/>
      </c>
      <c r="AM184" s="75">
        <f>IFERROR(AM145*AM$50/$BC67,0)</f>
        <v/>
      </c>
      <c r="AN184" s="75">
        <f>IFERROR(AN145*AN$50/$BC67,0)</f>
        <v/>
      </c>
      <c r="AO184" s="75">
        <f>IFERROR(AO145*AO$50/$BC67,0)</f>
        <v/>
      </c>
      <c r="AP184" s="75">
        <f>IFERROR(AP145*AP$50/$BC67,0)</f>
        <v/>
      </c>
      <c r="AQ184" s="75">
        <f>IFERROR(AQ145*AQ$50/$BC67,0)</f>
        <v/>
      </c>
      <c r="AR184" s="75">
        <f>IFERROR(AR145*AR$50/$BC67,0)</f>
        <v/>
      </c>
      <c r="AS184" s="75">
        <f>IFERROR(AS145*AS$50/$BC67,0)</f>
        <v/>
      </c>
      <c r="AT184" s="75">
        <f>IFERROR(AT145*AT$50/$BC67,0)</f>
        <v/>
      </c>
      <c r="AU184" s="75">
        <f>IFERROR(AU145*AU$50/$BC67,0)</f>
        <v/>
      </c>
      <c r="AV184" s="75">
        <f>IFERROR(AV145*AV$50/$BC67,0)</f>
        <v/>
      </c>
      <c r="AW184" s="75">
        <f>IFERROR(AW145*AW$50/$BC67,0)</f>
        <v/>
      </c>
      <c r="AX184" s="75">
        <f>IFERROR(AX145*AX$50/$BC67,0)</f>
        <v/>
      </c>
      <c r="AY184" s="75">
        <f>IFERROR(AY145*AY$50/$BC67,0)</f>
        <v/>
      </c>
      <c r="AZ184" s="75">
        <f>IFERROR(AZ145*AZ$50/$BC67,0)</f>
        <v/>
      </c>
      <c r="BA184" s="75">
        <f>IFERROR(BA145*BA$50/$BC67,0)</f>
        <v/>
      </c>
      <c r="BB184" s="75">
        <f>IFERROR(BB145*BB$50/$BC67,0)</f>
        <v/>
      </c>
    </row>
    <row r="185">
      <c r="D185" s="237">
        <f>D68</f>
        <v/>
      </c>
      <c r="E185" s="75">
        <f>IFERROR(E146*E$50/$BC68,0)</f>
        <v/>
      </c>
      <c r="F185" s="75">
        <f>IFERROR(F146*F$50/$BC68,0)</f>
        <v/>
      </c>
      <c r="G185" s="75">
        <f>IFERROR(G146*G$50/$BC68,0)</f>
        <v/>
      </c>
      <c r="H185" s="75">
        <f>IFERROR(H146*H$50/$BC68,0)</f>
        <v/>
      </c>
      <c r="I185" s="75">
        <f>IFERROR(I146*I$50/$BC68,0)</f>
        <v/>
      </c>
      <c r="J185" s="75">
        <f>IFERROR(J146*J$50/$BC68,0)</f>
        <v/>
      </c>
      <c r="K185" s="75">
        <f>IFERROR(K146*K$50/$BC68,0)</f>
        <v/>
      </c>
      <c r="L185" s="75">
        <f>IFERROR(L146*L$50/$BC68,0)</f>
        <v/>
      </c>
      <c r="M185" s="75">
        <f>IFERROR(M146*M$50/$BC68,0)</f>
        <v/>
      </c>
      <c r="N185" s="75">
        <f>IFERROR(N146*N$50/$BC68,0)</f>
        <v/>
      </c>
      <c r="O185" s="75">
        <f>IFERROR(O146*O$50/$BC68,0)</f>
        <v/>
      </c>
      <c r="P185" s="75">
        <f>IFERROR(P146*P$50/$BC68,0)</f>
        <v/>
      </c>
      <c r="Q185" s="75">
        <f>IFERROR(Q146*Q$50/$BC68,0)</f>
        <v/>
      </c>
      <c r="R185" s="75">
        <f>IFERROR(R146*R$50/$BC68,0)</f>
        <v/>
      </c>
      <c r="S185" s="75">
        <f>IFERROR(S146*S$50/$BC68,0)</f>
        <v/>
      </c>
      <c r="T185" s="75">
        <f>IFERROR(T146*T$50/$BC68,0)</f>
        <v/>
      </c>
      <c r="U185" s="75">
        <f>IFERROR(U146*U$50/$BC68,0)</f>
        <v/>
      </c>
      <c r="V185" s="75">
        <f>IFERROR(V146*V$50/$BC68,0)</f>
        <v/>
      </c>
      <c r="W185" s="75">
        <f>IFERROR(W146*W$50/$BC68,0)</f>
        <v/>
      </c>
      <c r="X185" s="75">
        <f>IFERROR(X146*X$50/$BC68,0)</f>
        <v/>
      </c>
      <c r="Y185" s="75">
        <f>IFERROR(Y146*Y$50/$BC68,0)</f>
        <v/>
      </c>
      <c r="Z185" s="75">
        <f>IFERROR(Z146*Z$50/$BC68,0)</f>
        <v/>
      </c>
      <c r="AA185" s="75">
        <f>IFERROR(AA146*AA$50/$BC68,0)</f>
        <v/>
      </c>
      <c r="AB185" s="75">
        <f>IFERROR(AB146*AB$50/$BC68,0)</f>
        <v/>
      </c>
      <c r="AC185" s="75">
        <f>IFERROR(AC146*AC$50/$BC68,0)</f>
        <v/>
      </c>
      <c r="AD185" s="75">
        <f>IFERROR(AD146*AD$50/$BC68,0)</f>
        <v/>
      </c>
      <c r="AE185" s="75">
        <f>IFERROR(AE146*AE$50/$BC68,0)</f>
        <v/>
      </c>
      <c r="AF185" s="75">
        <f>IFERROR(AF146*AF$50/$BC68,0)</f>
        <v/>
      </c>
      <c r="AG185" s="75">
        <f>IFERROR(AG146*AG$50/$BC68,0)</f>
        <v/>
      </c>
      <c r="AH185" s="75">
        <f>IFERROR(AH146*AH$50/$BC68,0)</f>
        <v/>
      </c>
      <c r="AI185" s="75">
        <f>IFERROR(AI146*AI$50/$BC68,0)</f>
        <v/>
      </c>
      <c r="AJ185" s="75">
        <f>IFERROR(AJ146*AJ$50/$BC68,0)</f>
        <v/>
      </c>
      <c r="AK185" s="75">
        <f>IFERROR(AK146*AK$50/$BC68,0)</f>
        <v/>
      </c>
      <c r="AL185" s="75">
        <f>IFERROR(AL146*AL$50/$BC68,0)</f>
        <v/>
      </c>
      <c r="AM185" s="75">
        <f>IFERROR(AM146*AM$50/$BC68,0)</f>
        <v/>
      </c>
      <c r="AN185" s="75">
        <f>IFERROR(AN146*AN$50/$BC68,0)</f>
        <v/>
      </c>
      <c r="AO185" s="75">
        <f>IFERROR(AO146*AO$50/$BC68,0)</f>
        <v/>
      </c>
      <c r="AP185" s="75">
        <f>IFERROR(AP146*AP$50/$BC68,0)</f>
        <v/>
      </c>
      <c r="AQ185" s="75">
        <f>IFERROR(AQ146*AQ$50/$BC68,0)</f>
        <v/>
      </c>
      <c r="AR185" s="75">
        <f>IFERROR(AR146*AR$50/$BC68,0)</f>
        <v/>
      </c>
      <c r="AS185" s="75">
        <f>IFERROR(AS146*AS$50/$BC68,0)</f>
        <v/>
      </c>
      <c r="AT185" s="75">
        <f>IFERROR(AT146*AT$50/$BC68,0)</f>
        <v/>
      </c>
      <c r="AU185" s="75">
        <f>IFERROR(AU146*AU$50/$BC68,0)</f>
        <v/>
      </c>
      <c r="AV185" s="75">
        <f>IFERROR(AV146*AV$50/$BC68,0)</f>
        <v/>
      </c>
      <c r="AW185" s="75">
        <f>IFERROR(AW146*AW$50/$BC68,0)</f>
        <v/>
      </c>
      <c r="AX185" s="75">
        <f>IFERROR(AX146*AX$50/$BC68,0)</f>
        <v/>
      </c>
      <c r="AY185" s="75">
        <f>IFERROR(AY146*AY$50/$BC68,0)</f>
        <v/>
      </c>
      <c r="AZ185" s="75">
        <f>IFERROR(AZ146*AZ$50/$BC68,0)</f>
        <v/>
      </c>
      <c r="BA185" s="75">
        <f>IFERROR(BA146*BA$50/$BC68,0)</f>
        <v/>
      </c>
      <c r="BB185" s="75">
        <f>IFERROR(BB146*BB$50/$BC68,0)</f>
        <v/>
      </c>
    </row>
    <row r="186">
      <c r="D186" s="237">
        <f>D69</f>
        <v/>
      </c>
      <c r="E186" s="75">
        <f>IFERROR(E147*E$50/$BC69,0)</f>
        <v/>
      </c>
      <c r="F186" s="75">
        <f>IFERROR(F147*F$50/$BC69,0)</f>
        <v/>
      </c>
      <c r="G186" s="75">
        <f>IFERROR(G147*G$50/$BC69,0)</f>
        <v/>
      </c>
      <c r="H186" s="75">
        <f>IFERROR(H147*H$50/$BC69,0)</f>
        <v/>
      </c>
      <c r="I186" s="75">
        <f>IFERROR(I147*I$50/$BC69,0)</f>
        <v/>
      </c>
      <c r="J186" s="75">
        <f>IFERROR(J147*J$50/$BC69,0)</f>
        <v/>
      </c>
      <c r="K186" s="75">
        <f>IFERROR(K147*K$50/$BC69,0)</f>
        <v/>
      </c>
      <c r="L186" s="75">
        <f>IFERROR(L147*L$50/$BC69,0)</f>
        <v/>
      </c>
      <c r="M186" s="75">
        <f>IFERROR(M147*M$50/$BC69,0)</f>
        <v/>
      </c>
      <c r="N186" s="75">
        <f>IFERROR(N147*N$50/$BC69,0)</f>
        <v/>
      </c>
      <c r="O186" s="75">
        <f>IFERROR(O147*O$50/$BC69,0)</f>
        <v/>
      </c>
      <c r="P186" s="75">
        <f>IFERROR(P147*P$50/$BC69,0)</f>
        <v/>
      </c>
      <c r="Q186" s="75">
        <f>IFERROR(Q147*Q$50/$BC69,0)</f>
        <v/>
      </c>
      <c r="R186" s="75">
        <f>IFERROR(R147*R$50/$BC69,0)</f>
        <v/>
      </c>
      <c r="S186" s="75">
        <f>IFERROR(S147*S$50/$BC69,0)</f>
        <v/>
      </c>
      <c r="T186" s="75">
        <f>IFERROR(T147*T$50/$BC69,0)</f>
        <v/>
      </c>
      <c r="U186" s="75">
        <f>IFERROR(U147*U$50/$BC69,0)</f>
        <v/>
      </c>
      <c r="V186" s="75">
        <f>IFERROR(V147*V$50/$BC69,0)</f>
        <v/>
      </c>
      <c r="W186" s="75">
        <f>IFERROR(W147*W$50/$BC69,0)</f>
        <v/>
      </c>
      <c r="X186" s="75">
        <f>IFERROR(X147*X$50/$BC69,0)</f>
        <v/>
      </c>
      <c r="Y186" s="75">
        <f>IFERROR(Y147*Y$50/$BC69,0)</f>
        <v/>
      </c>
      <c r="Z186" s="75">
        <f>IFERROR(Z147*Z$50/$BC69,0)</f>
        <v/>
      </c>
      <c r="AA186" s="75">
        <f>IFERROR(AA147*AA$50/$BC69,0)</f>
        <v/>
      </c>
      <c r="AB186" s="75">
        <f>IFERROR(AB147*AB$50/$BC69,0)</f>
        <v/>
      </c>
      <c r="AC186" s="75">
        <f>IFERROR(AC147*AC$50/$BC69,0)</f>
        <v/>
      </c>
      <c r="AD186" s="75">
        <f>IFERROR(AD147*AD$50/$BC69,0)</f>
        <v/>
      </c>
      <c r="AE186" s="75">
        <f>IFERROR(AE147*AE$50/$BC69,0)</f>
        <v/>
      </c>
      <c r="AF186" s="75">
        <f>IFERROR(AF147*AF$50/$BC69,0)</f>
        <v/>
      </c>
      <c r="AG186" s="75">
        <f>IFERROR(AG147*AG$50/$BC69,0)</f>
        <v/>
      </c>
      <c r="AH186" s="75">
        <f>IFERROR(AH147*AH$50/$BC69,0)</f>
        <v/>
      </c>
      <c r="AI186" s="75">
        <f>IFERROR(AI147*AI$50/$BC69,0)</f>
        <v/>
      </c>
      <c r="AJ186" s="75">
        <f>IFERROR(AJ147*AJ$50/$BC69,0)</f>
        <v/>
      </c>
      <c r="AK186" s="75">
        <f>IFERROR(AK147*AK$50/$BC69,0)</f>
        <v/>
      </c>
      <c r="AL186" s="75">
        <f>IFERROR(AL147*AL$50/$BC69,0)</f>
        <v/>
      </c>
      <c r="AM186" s="75">
        <f>IFERROR(AM147*AM$50/$BC69,0)</f>
        <v/>
      </c>
      <c r="AN186" s="75">
        <f>IFERROR(AN147*AN$50/$BC69,0)</f>
        <v/>
      </c>
      <c r="AO186" s="75">
        <f>IFERROR(AO147*AO$50/$BC69,0)</f>
        <v/>
      </c>
      <c r="AP186" s="75">
        <f>IFERROR(AP147*AP$50/$BC69,0)</f>
        <v/>
      </c>
      <c r="AQ186" s="75">
        <f>IFERROR(AQ147*AQ$50/$BC69,0)</f>
        <v/>
      </c>
      <c r="AR186" s="75">
        <f>IFERROR(AR147*AR$50/$BC69,0)</f>
        <v/>
      </c>
      <c r="AS186" s="75">
        <f>IFERROR(AS147*AS$50/$BC69,0)</f>
        <v/>
      </c>
      <c r="AT186" s="75">
        <f>IFERROR(AT147*AT$50/$BC69,0)</f>
        <v/>
      </c>
      <c r="AU186" s="75">
        <f>IFERROR(AU147*AU$50/$BC69,0)</f>
        <v/>
      </c>
      <c r="AV186" s="75">
        <f>IFERROR(AV147*AV$50/$BC69,0)</f>
        <v/>
      </c>
      <c r="AW186" s="75">
        <f>IFERROR(AW147*AW$50/$BC69,0)</f>
        <v/>
      </c>
      <c r="AX186" s="75">
        <f>IFERROR(AX147*AX$50/$BC69,0)</f>
        <v/>
      </c>
      <c r="AY186" s="75">
        <f>IFERROR(AY147*AY$50/$BC69,0)</f>
        <v/>
      </c>
      <c r="AZ186" s="75">
        <f>IFERROR(AZ147*AZ$50/$BC69,0)</f>
        <v/>
      </c>
      <c r="BA186" s="75">
        <f>IFERROR(BA147*BA$50/$BC69,0)</f>
        <v/>
      </c>
      <c r="BB186" s="75">
        <f>IFERROR(BB147*BB$50/$BC69,0)</f>
        <v/>
      </c>
    </row>
    <row r="187">
      <c r="D187" s="237">
        <f>D70</f>
        <v/>
      </c>
      <c r="E187" s="75">
        <f>IFERROR(E148*E$50/$BC70,0)</f>
        <v/>
      </c>
      <c r="F187" s="75">
        <f>IFERROR(F148*F$50/$BC70,0)</f>
        <v/>
      </c>
      <c r="G187" s="75">
        <f>IFERROR(G148*G$50/$BC70,0)</f>
        <v/>
      </c>
      <c r="H187" s="75">
        <f>IFERROR(H148*H$50/$BC70,0)</f>
        <v/>
      </c>
      <c r="I187" s="75">
        <f>IFERROR(I148*I$50/$BC70,0)</f>
        <v/>
      </c>
      <c r="J187" s="75">
        <f>IFERROR(J148*J$50/$BC70,0)</f>
        <v/>
      </c>
      <c r="K187" s="75">
        <f>IFERROR(K148*K$50/$BC70,0)</f>
        <v/>
      </c>
      <c r="L187" s="75">
        <f>IFERROR(L148*L$50/$BC70,0)</f>
        <v/>
      </c>
      <c r="M187" s="75">
        <f>IFERROR(M148*M$50/$BC70,0)</f>
        <v/>
      </c>
      <c r="N187" s="75">
        <f>IFERROR(N148*N$50/$BC70,0)</f>
        <v/>
      </c>
      <c r="O187" s="75">
        <f>IFERROR(O148*O$50/$BC70,0)</f>
        <v/>
      </c>
      <c r="P187" s="75">
        <f>IFERROR(P148*P$50/$BC70,0)</f>
        <v/>
      </c>
      <c r="Q187" s="75">
        <f>IFERROR(Q148*Q$50/$BC70,0)</f>
        <v/>
      </c>
      <c r="R187" s="75">
        <f>IFERROR(R148*R$50/$BC70,0)</f>
        <v/>
      </c>
      <c r="S187" s="75">
        <f>IFERROR(S148*S$50/$BC70,0)</f>
        <v/>
      </c>
      <c r="T187" s="75">
        <f>IFERROR(T148*T$50/$BC70,0)</f>
        <v/>
      </c>
      <c r="U187" s="75">
        <f>IFERROR(U148*U$50/$BC70,0)</f>
        <v/>
      </c>
      <c r="V187" s="75">
        <f>IFERROR(V148*V$50/$BC70,0)</f>
        <v/>
      </c>
      <c r="W187" s="75">
        <f>IFERROR(W148*W$50/$BC70,0)</f>
        <v/>
      </c>
      <c r="X187" s="75">
        <f>IFERROR(X148*X$50/$BC70,0)</f>
        <v/>
      </c>
      <c r="Y187" s="75">
        <f>IFERROR(Y148*Y$50/$BC70,0)</f>
        <v/>
      </c>
      <c r="Z187" s="75">
        <f>IFERROR(Z148*Z$50/$BC70,0)</f>
        <v/>
      </c>
      <c r="AA187" s="75">
        <f>IFERROR(AA148*AA$50/$BC70,0)</f>
        <v/>
      </c>
      <c r="AB187" s="75">
        <f>IFERROR(AB148*AB$50/$BC70,0)</f>
        <v/>
      </c>
      <c r="AC187" s="75">
        <f>IFERROR(AC148*AC$50/$BC70,0)</f>
        <v/>
      </c>
      <c r="AD187" s="75">
        <f>IFERROR(AD148*AD$50/$BC70,0)</f>
        <v/>
      </c>
      <c r="AE187" s="75">
        <f>IFERROR(AE148*AE$50/$BC70,0)</f>
        <v/>
      </c>
      <c r="AF187" s="75">
        <f>IFERROR(AF148*AF$50/$BC70,0)</f>
        <v/>
      </c>
      <c r="AG187" s="75">
        <f>IFERROR(AG148*AG$50/$BC70,0)</f>
        <v/>
      </c>
      <c r="AH187" s="75">
        <f>IFERROR(AH148*AH$50/$BC70,0)</f>
        <v/>
      </c>
      <c r="AI187" s="75">
        <f>IFERROR(AI148*AI$50/$BC70,0)</f>
        <v/>
      </c>
      <c r="AJ187" s="75">
        <f>IFERROR(AJ148*AJ$50/$BC70,0)</f>
        <v/>
      </c>
      <c r="AK187" s="75">
        <f>IFERROR(AK148*AK$50/$BC70,0)</f>
        <v/>
      </c>
      <c r="AL187" s="75">
        <f>IFERROR(AL148*AL$50/$BC70,0)</f>
        <v/>
      </c>
      <c r="AM187" s="75">
        <f>IFERROR(AM148*AM$50/$BC70,0)</f>
        <v/>
      </c>
      <c r="AN187" s="75">
        <f>IFERROR(AN148*AN$50/$BC70,0)</f>
        <v/>
      </c>
      <c r="AO187" s="75">
        <f>IFERROR(AO148*AO$50/$BC70,0)</f>
        <v/>
      </c>
      <c r="AP187" s="75">
        <f>IFERROR(AP148*AP$50/$BC70,0)</f>
        <v/>
      </c>
      <c r="AQ187" s="75">
        <f>IFERROR(AQ148*AQ$50/$BC70,0)</f>
        <v/>
      </c>
      <c r="AR187" s="75">
        <f>IFERROR(AR148*AR$50/$BC70,0)</f>
        <v/>
      </c>
      <c r="AS187" s="75">
        <f>IFERROR(AS148*AS$50/$BC70,0)</f>
        <v/>
      </c>
      <c r="AT187" s="75">
        <f>IFERROR(AT148*AT$50/$BC70,0)</f>
        <v/>
      </c>
      <c r="AU187" s="75">
        <f>IFERROR(AU148*AU$50/$BC70,0)</f>
        <v/>
      </c>
      <c r="AV187" s="75">
        <f>IFERROR(AV148*AV$50/$BC70,0)</f>
        <v/>
      </c>
      <c r="AW187" s="75">
        <f>IFERROR(AW148*AW$50/$BC70,0)</f>
        <v/>
      </c>
      <c r="AX187" s="75">
        <f>IFERROR(AX148*AX$50/$BC70,0)</f>
        <v/>
      </c>
      <c r="AY187" s="75">
        <f>IFERROR(AY148*AY$50/$BC70,0)</f>
        <v/>
      </c>
      <c r="AZ187" s="75">
        <f>IFERROR(AZ148*AZ$50/$BC70,0)</f>
        <v/>
      </c>
      <c r="BA187" s="75">
        <f>IFERROR(BA148*BA$50/$BC70,0)</f>
        <v/>
      </c>
      <c r="BB187" s="75">
        <f>IFERROR(BB148*BB$50/$BC70,0)</f>
        <v/>
      </c>
    </row>
    <row r="188">
      <c r="D188" s="237">
        <f>D71</f>
        <v/>
      </c>
      <c r="E188" s="75">
        <f>IFERROR(E149*E$50/$BC71,0)</f>
        <v/>
      </c>
      <c r="F188" s="75">
        <f>IFERROR(F149*F$50/$BC71,0)</f>
        <v/>
      </c>
      <c r="G188" s="75">
        <f>IFERROR(G149*G$50/$BC71,0)</f>
        <v/>
      </c>
      <c r="H188" s="75">
        <f>IFERROR(H149*H$50/$BC71,0)</f>
        <v/>
      </c>
      <c r="I188" s="75">
        <f>IFERROR(I149*I$50/$BC71,0)</f>
        <v/>
      </c>
      <c r="J188" s="75">
        <f>IFERROR(J149*J$50/$BC71,0)</f>
        <v/>
      </c>
      <c r="K188" s="75">
        <f>IFERROR(K149*K$50/$BC71,0)</f>
        <v/>
      </c>
      <c r="L188" s="75">
        <f>IFERROR(L149*L$50/$BC71,0)</f>
        <v/>
      </c>
      <c r="M188" s="75">
        <f>IFERROR(M149*M$50/$BC71,0)</f>
        <v/>
      </c>
      <c r="N188" s="75">
        <f>IFERROR(N149*N$50/$BC71,0)</f>
        <v/>
      </c>
      <c r="O188" s="75">
        <f>IFERROR(O149*O$50/$BC71,0)</f>
        <v/>
      </c>
      <c r="P188" s="75">
        <f>IFERROR(P149*P$50/$BC71,0)</f>
        <v/>
      </c>
      <c r="Q188" s="75">
        <f>IFERROR(Q149*Q$50/$BC71,0)</f>
        <v/>
      </c>
      <c r="R188" s="75">
        <f>IFERROR(R149*R$50/$BC71,0)</f>
        <v/>
      </c>
      <c r="S188" s="75">
        <f>IFERROR(S149*S$50/$BC71,0)</f>
        <v/>
      </c>
      <c r="T188" s="75">
        <f>IFERROR(T149*T$50/$BC71,0)</f>
        <v/>
      </c>
      <c r="U188" s="75">
        <f>IFERROR(U149*U$50/$BC71,0)</f>
        <v/>
      </c>
      <c r="V188" s="75">
        <f>IFERROR(V149*V$50/$BC71,0)</f>
        <v/>
      </c>
      <c r="W188" s="75">
        <f>IFERROR(W149*W$50/$BC71,0)</f>
        <v/>
      </c>
      <c r="X188" s="75">
        <f>IFERROR(X149*X$50/$BC71,0)</f>
        <v/>
      </c>
      <c r="Y188" s="75">
        <f>IFERROR(Y149*Y$50/$BC71,0)</f>
        <v/>
      </c>
      <c r="Z188" s="75">
        <f>IFERROR(Z149*Z$50/$BC71,0)</f>
        <v/>
      </c>
      <c r="AA188" s="75">
        <f>IFERROR(AA149*AA$50/$BC71,0)</f>
        <v/>
      </c>
      <c r="AB188" s="75">
        <f>IFERROR(AB149*AB$50/$BC71,0)</f>
        <v/>
      </c>
      <c r="AC188" s="75">
        <f>IFERROR(AC149*AC$50/$BC71,0)</f>
        <v/>
      </c>
      <c r="AD188" s="75">
        <f>IFERROR(AD149*AD$50/$BC71,0)</f>
        <v/>
      </c>
      <c r="AE188" s="75">
        <f>IFERROR(AE149*AE$50/$BC71,0)</f>
        <v/>
      </c>
      <c r="AF188" s="75">
        <f>IFERROR(AF149*AF$50/$BC71,0)</f>
        <v/>
      </c>
      <c r="AG188" s="75">
        <f>IFERROR(AG149*AG$50/$BC71,0)</f>
        <v/>
      </c>
      <c r="AH188" s="75">
        <f>IFERROR(AH149*AH$50/$BC71,0)</f>
        <v/>
      </c>
      <c r="AI188" s="75">
        <f>IFERROR(AI149*AI$50/$BC71,0)</f>
        <v/>
      </c>
      <c r="AJ188" s="75">
        <f>IFERROR(AJ149*AJ$50/$BC71,0)</f>
        <v/>
      </c>
      <c r="AK188" s="75">
        <f>IFERROR(AK149*AK$50/$BC71,0)</f>
        <v/>
      </c>
      <c r="AL188" s="75">
        <f>IFERROR(AL149*AL$50/$BC71,0)</f>
        <v/>
      </c>
      <c r="AM188" s="75">
        <f>IFERROR(AM149*AM$50/$BC71,0)</f>
        <v/>
      </c>
      <c r="AN188" s="75">
        <f>IFERROR(AN149*AN$50/$BC71,0)</f>
        <v/>
      </c>
      <c r="AO188" s="75">
        <f>IFERROR(AO149*AO$50/$BC71,0)</f>
        <v/>
      </c>
      <c r="AP188" s="75">
        <f>IFERROR(AP149*AP$50/$BC71,0)</f>
        <v/>
      </c>
      <c r="AQ188" s="75">
        <f>IFERROR(AQ149*AQ$50/$BC71,0)</f>
        <v/>
      </c>
      <c r="AR188" s="75">
        <f>IFERROR(AR149*AR$50/$BC71,0)</f>
        <v/>
      </c>
      <c r="AS188" s="75">
        <f>IFERROR(AS149*AS$50/$BC71,0)</f>
        <v/>
      </c>
      <c r="AT188" s="75">
        <f>IFERROR(AT149*AT$50/$BC71,0)</f>
        <v/>
      </c>
      <c r="AU188" s="75">
        <f>IFERROR(AU149*AU$50/$BC71,0)</f>
        <v/>
      </c>
      <c r="AV188" s="75">
        <f>IFERROR(AV149*AV$50/$BC71,0)</f>
        <v/>
      </c>
      <c r="AW188" s="75">
        <f>IFERROR(AW149*AW$50/$BC71,0)</f>
        <v/>
      </c>
      <c r="AX188" s="75">
        <f>IFERROR(AX149*AX$50/$BC71,0)</f>
        <v/>
      </c>
      <c r="AY188" s="75">
        <f>IFERROR(AY149*AY$50/$BC71,0)</f>
        <v/>
      </c>
      <c r="AZ188" s="75">
        <f>IFERROR(AZ149*AZ$50/$BC71,0)</f>
        <v/>
      </c>
      <c r="BA188" s="75">
        <f>IFERROR(BA149*BA$50/$BC71,0)</f>
        <v/>
      </c>
      <c r="BB188" s="75">
        <f>IFERROR(BB149*BB$50/$BC71,0)</f>
        <v/>
      </c>
    </row>
    <row r="189">
      <c r="D189" s="237">
        <f>D72</f>
        <v/>
      </c>
      <c r="E189" s="75">
        <f>IFERROR(E150*E$50/$BC72,0)</f>
        <v/>
      </c>
      <c r="F189" s="75">
        <f>IFERROR(F150*F$50/$BC72,0)</f>
        <v/>
      </c>
      <c r="G189" s="75">
        <f>IFERROR(G150*G$50/$BC72,0)</f>
        <v/>
      </c>
      <c r="H189" s="75">
        <f>IFERROR(H150*H$50/$BC72,0)</f>
        <v/>
      </c>
      <c r="I189" s="75">
        <f>IFERROR(I150*I$50/$BC72,0)</f>
        <v/>
      </c>
      <c r="J189" s="75">
        <f>IFERROR(J150*J$50/$BC72,0)</f>
        <v/>
      </c>
      <c r="K189" s="75">
        <f>IFERROR(K150*K$50/$BC72,0)</f>
        <v/>
      </c>
      <c r="L189" s="75">
        <f>IFERROR(L150*L$50/$BC72,0)</f>
        <v/>
      </c>
      <c r="M189" s="75">
        <f>IFERROR(M150*M$50/$BC72,0)</f>
        <v/>
      </c>
      <c r="N189" s="75">
        <f>IFERROR(N150*N$50/$BC72,0)</f>
        <v/>
      </c>
      <c r="O189" s="75">
        <f>IFERROR(O150*O$50/$BC72,0)</f>
        <v/>
      </c>
      <c r="P189" s="75">
        <f>IFERROR(P150*P$50/$BC72,0)</f>
        <v/>
      </c>
      <c r="Q189" s="75">
        <f>IFERROR(Q150*Q$50/$BC72,0)</f>
        <v/>
      </c>
      <c r="R189" s="75">
        <f>IFERROR(R150*R$50/$BC72,0)</f>
        <v/>
      </c>
      <c r="S189" s="75">
        <f>IFERROR(S150*S$50/$BC72,0)</f>
        <v/>
      </c>
      <c r="T189" s="75">
        <f>IFERROR(T150*T$50/$BC72,0)</f>
        <v/>
      </c>
      <c r="U189" s="75">
        <f>IFERROR(U150*U$50/$BC72,0)</f>
        <v/>
      </c>
      <c r="V189" s="75">
        <f>IFERROR(V150*V$50/$BC72,0)</f>
        <v/>
      </c>
      <c r="W189" s="75">
        <f>IFERROR(W150*W$50/$BC72,0)</f>
        <v/>
      </c>
      <c r="X189" s="75">
        <f>IFERROR(X150*X$50/$BC72,0)</f>
        <v/>
      </c>
      <c r="Y189" s="75">
        <f>IFERROR(Y150*Y$50/$BC72,0)</f>
        <v/>
      </c>
      <c r="Z189" s="75">
        <f>IFERROR(Z150*Z$50/$BC72,0)</f>
        <v/>
      </c>
      <c r="AA189" s="75">
        <f>IFERROR(AA150*AA$50/$BC72,0)</f>
        <v/>
      </c>
      <c r="AB189" s="75">
        <f>IFERROR(AB150*AB$50/$BC72,0)</f>
        <v/>
      </c>
      <c r="AC189" s="75">
        <f>IFERROR(AC150*AC$50/$BC72,0)</f>
        <v/>
      </c>
      <c r="AD189" s="75">
        <f>IFERROR(AD150*AD$50/$BC72,0)</f>
        <v/>
      </c>
      <c r="AE189" s="75">
        <f>IFERROR(AE150*AE$50/$BC72,0)</f>
        <v/>
      </c>
      <c r="AF189" s="75">
        <f>IFERROR(AF150*AF$50/$BC72,0)</f>
        <v/>
      </c>
      <c r="AG189" s="75">
        <f>IFERROR(AG150*AG$50/$BC72,0)</f>
        <v/>
      </c>
      <c r="AH189" s="75">
        <f>IFERROR(AH150*AH$50/$BC72,0)</f>
        <v/>
      </c>
      <c r="AI189" s="75">
        <f>IFERROR(AI150*AI$50/$BC72,0)</f>
        <v/>
      </c>
      <c r="AJ189" s="75">
        <f>IFERROR(AJ150*AJ$50/$BC72,0)</f>
        <v/>
      </c>
      <c r="AK189" s="75">
        <f>IFERROR(AK150*AK$50/$BC72,0)</f>
        <v/>
      </c>
      <c r="AL189" s="75">
        <f>IFERROR(AL150*AL$50/$BC72,0)</f>
        <v/>
      </c>
      <c r="AM189" s="75">
        <f>IFERROR(AM150*AM$50/$BC72,0)</f>
        <v/>
      </c>
      <c r="AN189" s="75">
        <f>IFERROR(AN150*AN$50/$BC72,0)</f>
        <v/>
      </c>
      <c r="AO189" s="75">
        <f>IFERROR(AO150*AO$50/$BC72,0)</f>
        <v/>
      </c>
      <c r="AP189" s="75">
        <f>IFERROR(AP150*AP$50/$BC72,0)</f>
        <v/>
      </c>
      <c r="AQ189" s="75">
        <f>IFERROR(AQ150*AQ$50/$BC72,0)</f>
        <v/>
      </c>
      <c r="AR189" s="75">
        <f>IFERROR(AR150*AR$50/$BC72,0)</f>
        <v/>
      </c>
      <c r="AS189" s="75">
        <f>IFERROR(AS150*AS$50/$BC72,0)</f>
        <v/>
      </c>
      <c r="AT189" s="75">
        <f>IFERROR(AT150*AT$50/$BC72,0)</f>
        <v/>
      </c>
      <c r="AU189" s="75">
        <f>IFERROR(AU150*AU$50/$BC72,0)</f>
        <v/>
      </c>
      <c r="AV189" s="75">
        <f>IFERROR(AV150*AV$50/$BC72,0)</f>
        <v/>
      </c>
      <c r="AW189" s="75">
        <f>IFERROR(AW150*AW$50/$BC72,0)</f>
        <v/>
      </c>
      <c r="AX189" s="75">
        <f>IFERROR(AX150*AX$50/$BC72,0)</f>
        <v/>
      </c>
      <c r="AY189" s="75">
        <f>IFERROR(AY150*AY$50/$BC72,0)</f>
        <v/>
      </c>
      <c r="AZ189" s="75">
        <f>IFERROR(AZ150*AZ$50/$BC72,0)</f>
        <v/>
      </c>
      <c r="BA189" s="75">
        <f>IFERROR(BA150*BA$50/$BC72,0)</f>
        <v/>
      </c>
      <c r="BB189" s="75">
        <f>IFERROR(BB150*BB$50/$BC72,0)</f>
        <v/>
      </c>
    </row>
    <row r="190">
      <c r="D190" s="237">
        <f>D73</f>
        <v/>
      </c>
      <c r="E190" s="75">
        <f>IFERROR(E151*E$50/$BC73,0)</f>
        <v/>
      </c>
      <c r="F190" s="75">
        <f>IFERROR(F151*F$50/$BC73,0)</f>
        <v/>
      </c>
      <c r="G190" s="75">
        <f>IFERROR(G151*G$50/$BC73,0)</f>
        <v/>
      </c>
      <c r="H190" s="75">
        <f>IFERROR(H151*H$50/$BC73,0)</f>
        <v/>
      </c>
      <c r="I190" s="75">
        <f>IFERROR(I151*I$50/$BC73,0)</f>
        <v/>
      </c>
      <c r="J190" s="75">
        <f>IFERROR(J151*J$50/$BC73,0)</f>
        <v/>
      </c>
      <c r="K190" s="75">
        <f>IFERROR(K151*K$50/$BC73,0)</f>
        <v/>
      </c>
      <c r="L190" s="75">
        <f>IFERROR(L151*L$50/$BC73,0)</f>
        <v/>
      </c>
      <c r="M190" s="75">
        <f>IFERROR(M151*M$50/$BC73,0)</f>
        <v/>
      </c>
      <c r="N190" s="75">
        <f>IFERROR(N151*N$50/$BC73,0)</f>
        <v/>
      </c>
      <c r="O190" s="75">
        <f>IFERROR(O151*O$50/$BC73,0)</f>
        <v/>
      </c>
      <c r="P190" s="75">
        <f>IFERROR(P151*P$50/$BC73,0)</f>
        <v/>
      </c>
      <c r="Q190" s="75">
        <f>IFERROR(Q151*Q$50/$BC73,0)</f>
        <v/>
      </c>
      <c r="R190" s="75">
        <f>IFERROR(R151*R$50/$BC73,0)</f>
        <v/>
      </c>
      <c r="S190" s="75">
        <f>IFERROR(S151*S$50/$BC73,0)</f>
        <v/>
      </c>
      <c r="T190" s="75">
        <f>IFERROR(T151*T$50/$BC73,0)</f>
        <v/>
      </c>
      <c r="U190" s="75">
        <f>IFERROR(U151*U$50/$BC73,0)</f>
        <v/>
      </c>
      <c r="V190" s="75">
        <f>IFERROR(V151*V$50/$BC73,0)</f>
        <v/>
      </c>
      <c r="W190" s="75">
        <f>IFERROR(W151*W$50/$BC73,0)</f>
        <v/>
      </c>
      <c r="X190" s="75">
        <f>IFERROR(X151*X$50/$BC73,0)</f>
        <v/>
      </c>
      <c r="Y190" s="75">
        <f>IFERROR(Y151*Y$50/$BC73,0)</f>
        <v/>
      </c>
      <c r="Z190" s="75">
        <f>IFERROR(Z151*Z$50/$BC73,0)</f>
        <v/>
      </c>
      <c r="AA190" s="75">
        <f>IFERROR(AA151*AA$50/$BC73,0)</f>
        <v/>
      </c>
      <c r="AB190" s="75">
        <f>IFERROR(AB151*AB$50/$BC73,0)</f>
        <v/>
      </c>
      <c r="AC190" s="75">
        <f>IFERROR(AC151*AC$50/$BC73,0)</f>
        <v/>
      </c>
      <c r="AD190" s="75">
        <f>IFERROR(AD151*AD$50/$BC73,0)</f>
        <v/>
      </c>
      <c r="AE190" s="75">
        <f>IFERROR(AE151*AE$50/$BC73,0)</f>
        <v/>
      </c>
      <c r="AF190" s="75">
        <f>IFERROR(AF151*AF$50/$BC73,0)</f>
        <v/>
      </c>
      <c r="AG190" s="75">
        <f>IFERROR(AG151*AG$50/$BC73,0)</f>
        <v/>
      </c>
      <c r="AH190" s="75">
        <f>IFERROR(AH151*AH$50/$BC73,0)</f>
        <v/>
      </c>
      <c r="AI190" s="75">
        <f>IFERROR(AI151*AI$50/$BC73,0)</f>
        <v/>
      </c>
      <c r="AJ190" s="75">
        <f>IFERROR(AJ151*AJ$50/$BC73,0)</f>
        <v/>
      </c>
      <c r="AK190" s="75">
        <f>IFERROR(AK151*AK$50/$BC73,0)</f>
        <v/>
      </c>
      <c r="AL190" s="75">
        <f>IFERROR(AL151*AL$50/$BC73,0)</f>
        <v/>
      </c>
      <c r="AM190" s="75">
        <f>IFERROR(AM151*AM$50/$BC73,0)</f>
        <v/>
      </c>
      <c r="AN190" s="75">
        <f>IFERROR(AN151*AN$50/$BC73,0)</f>
        <v/>
      </c>
      <c r="AO190" s="75">
        <f>IFERROR(AO151*AO$50/$BC73,0)</f>
        <v/>
      </c>
      <c r="AP190" s="75">
        <f>IFERROR(AP151*AP$50/$BC73,0)</f>
        <v/>
      </c>
      <c r="AQ190" s="75">
        <f>IFERROR(AQ151*AQ$50/$BC73,0)</f>
        <v/>
      </c>
      <c r="AR190" s="75">
        <f>IFERROR(AR151*AR$50/$BC73,0)</f>
        <v/>
      </c>
      <c r="AS190" s="75">
        <f>IFERROR(AS151*AS$50/$BC73,0)</f>
        <v/>
      </c>
      <c r="AT190" s="75">
        <f>IFERROR(AT151*AT$50/$BC73,0)</f>
        <v/>
      </c>
      <c r="AU190" s="75">
        <f>IFERROR(AU151*AU$50/$BC73,0)</f>
        <v/>
      </c>
      <c r="AV190" s="75">
        <f>IFERROR(AV151*AV$50/$BC73,0)</f>
        <v/>
      </c>
      <c r="AW190" s="75">
        <f>IFERROR(AW151*AW$50/$BC73,0)</f>
        <v/>
      </c>
      <c r="AX190" s="75">
        <f>IFERROR(AX151*AX$50/$BC73,0)</f>
        <v/>
      </c>
      <c r="AY190" s="75">
        <f>IFERROR(AY151*AY$50/$BC73,0)</f>
        <v/>
      </c>
      <c r="AZ190" s="75">
        <f>IFERROR(AZ151*AZ$50/$BC73,0)</f>
        <v/>
      </c>
      <c r="BA190" s="75">
        <f>IFERROR(BA151*BA$50/$BC73,0)</f>
        <v/>
      </c>
      <c r="BB190" s="75">
        <f>IFERROR(BB151*BB$50/$BC73,0)</f>
        <v/>
      </c>
    </row>
    <row r="191">
      <c r="D191" s="237">
        <f>D74</f>
        <v/>
      </c>
      <c r="E191" s="75">
        <f>IFERROR(E152*E$50/$BC74,0)</f>
        <v/>
      </c>
      <c r="F191" s="75">
        <f>IFERROR(F152*F$50/$BC74,0)</f>
        <v/>
      </c>
      <c r="G191" s="75">
        <f>IFERROR(G152*G$50/$BC74,0)</f>
        <v/>
      </c>
      <c r="H191" s="75">
        <f>IFERROR(H152*H$50/$BC74,0)</f>
        <v/>
      </c>
      <c r="I191" s="75">
        <f>IFERROR(I152*I$50/$BC74,0)</f>
        <v/>
      </c>
      <c r="J191" s="75">
        <f>IFERROR(J152*J$50/$BC74,0)</f>
        <v/>
      </c>
      <c r="K191" s="75">
        <f>IFERROR(K152*K$50/$BC74,0)</f>
        <v/>
      </c>
      <c r="L191" s="75">
        <f>IFERROR(L152*L$50/$BC74,0)</f>
        <v/>
      </c>
      <c r="M191" s="75">
        <f>IFERROR(M152*M$50/$BC74,0)</f>
        <v/>
      </c>
      <c r="N191" s="75">
        <f>IFERROR(N152*N$50/$BC74,0)</f>
        <v/>
      </c>
      <c r="O191" s="75">
        <f>IFERROR(O152*O$50/$BC74,0)</f>
        <v/>
      </c>
      <c r="P191" s="75">
        <f>IFERROR(P152*P$50/$BC74,0)</f>
        <v/>
      </c>
      <c r="Q191" s="75">
        <f>IFERROR(Q152*Q$50/$BC74,0)</f>
        <v/>
      </c>
      <c r="R191" s="75">
        <f>IFERROR(R152*R$50/$BC74,0)</f>
        <v/>
      </c>
      <c r="S191" s="75">
        <f>IFERROR(S152*S$50/$BC74,0)</f>
        <v/>
      </c>
      <c r="T191" s="75">
        <f>IFERROR(T152*T$50/$BC74,0)</f>
        <v/>
      </c>
      <c r="U191" s="75">
        <f>IFERROR(U152*U$50/$BC74,0)</f>
        <v/>
      </c>
      <c r="V191" s="75">
        <f>IFERROR(V152*V$50/$BC74,0)</f>
        <v/>
      </c>
      <c r="W191" s="75">
        <f>IFERROR(W152*W$50/$BC74,0)</f>
        <v/>
      </c>
      <c r="X191" s="75">
        <f>IFERROR(X152*X$50/$BC74,0)</f>
        <v/>
      </c>
      <c r="Y191" s="75">
        <f>IFERROR(Y152*Y$50/$BC74,0)</f>
        <v/>
      </c>
      <c r="Z191" s="75">
        <f>IFERROR(Z152*Z$50/$BC74,0)</f>
        <v/>
      </c>
      <c r="AA191" s="75">
        <f>IFERROR(AA152*AA$50/$BC74,0)</f>
        <v/>
      </c>
      <c r="AB191" s="75">
        <f>IFERROR(AB152*AB$50/$BC74,0)</f>
        <v/>
      </c>
      <c r="AC191" s="75">
        <f>IFERROR(AC152*AC$50/$BC74,0)</f>
        <v/>
      </c>
      <c r="AD191" s="75">
        <f>IFERROR(AD152*AD$50/$BC74,0)</f>
        <v/>
      </c>
      <c r="AE191" s="75">
        <f>IFERROR(AE152*AE$50/$BC74,0)</f>
        <v/>
      </c>
      <c r="AF191" s="75">
        <f>IFERROR(AF152*AF$50/$BC74,0)</f>
        <v/>
      </c>
      <c r="AG191" s="75">
        <f>IFERROR(AG152*AG$50/$BC74,0)</f>
        <v/>
      </c>
      <c r="AH191" s="75">
        <f>IFERROR(AH152*AH$50/$BC74,0)</f>
        <v/>
      </c>
      <c r="AI191" s="75">
        <f>IFERROR(AI152*AI$50/$BC74,0)</f>
        <v/>
      </c>
      <c r="AJ191" s="75">
        <f>IFERROR(AJ152*AJ$50/$BC74,0)</f>
        <v/>
      </c>
      <c r="AK191" s="75">
        <f>IFERROR(AK152*AK$50/$BC74,0)</f>
        <v/>
      </c>
      <c r="AL191" s="75">
        <f>IFERROR(AL152*AL$50/$BC74,0)</f>
        <v/>
      </c>
      <c r="AM191" s="75">
        <f>IFERROR(AM152*AM$50/$BC74,0)</f>
        <v/>
      </c>
      <c r="AN191" s="75">
        <f>IFERROR(AN152*AN$50/$BC74,0)</f>
        <v/>
      </c>
      <c r="AO191" s="75">
        <f>IFERROR(AO152*AO$50/$BC74,0)</f>
        <v/>
      </c>
      <c r="AP191" s="75">
        <f>IFERROR(AP152*AP$50/$BC74,0)</f>
        <v/>
      </c>
      <c r="AQ191" s="75">
        <f>IFERROR(AQ152*AQ$50/$BC74,0)</f>
        <v/>
      </c>
      <c r="AR191" s="75">
        <f>IFERROR(AR152*AR$50/$BC74,0)</f>
        <v/>
      </c>
      <c r="AS191" s="75">
        <f>IFERROR(AS152*AS$50/$BC74,0)</f>
        <v/>
      </c>
      <c r="AT191" s="75">
        <f>IFERROR(AT152*AT$50/$BC74,0)</f>
        <v/>
      </c>
      <c r="AU191" s="75">
        <f>IFERROR(AU152*AU$50/$BC74,0)</f>
        <v/>
      </c>
      <c r="AV191" s="75">
        <f>IFERROR(AV152*AV$50/$BC74,0)</f>
        <v/>
      </c>
      <c r="AW191" s="75">
        <f>IFERROR(AW152*AW$50/$BC74,0)</f>
        <v/>
      </c>
      <c r="AX191" s="75">
        <f>IFERROR(AX152*AX$50/$BC74,0)</f>
        <v/>
      </c>
      <c r="AY191" s="75">
        <f>IFERROR(AY152*AY$50/$BC74,0)</f>
        <v/>
      </c>
      <c r="AZ191" s="75">
        <f>IFERROR(AZ152*AZ$50/$BC74,0)</f>
        <v/>
      </c>
      <c r="BA191" s="75">
        <f>IFERROR(BA152*BA$50/$BC74,0)</f>
        <v/>
      </c>
      <c r="BB191" s="75">
        <f>IFERROR(BB152*BB$50/$BC74,0)</f>
        <v/>
      </c>
    </row>
    <row r="192">
      <c r="D192" s="237">
        <f>D75</f>
        <v/>
      </c>
      <c r="E192" s="75">
        <f>IFERROR(E153*E$50/$BC75,0)</f>
        <v/>
      </c>
      <c r="F192" s="75">
        <f>IFERROR(F153*F$50/$BC75,0)</f>
        <v/>
      </c>
      <c r="G192" s="75">
        <f>IFERROR(G153*G$50/$BC75,0)</f>
        <v/>
      </c>
      <c r="H192" s="75">
        <f>IFERROR(H153*H$50/$BC75,0)</f>
        <v/>
      </c>
      <c r="I192" s="75">
        <f>IFERROR(I153*I$50/$BC75,0)</f>
        <v/>
      </c>
      <c r="J192" s="75">
        <f>IFERROR(J153*J$50/$BC75,0)</f>
        <v/>
      </c>
      <c r="K192" s="75">
        <f>IFERROR(K153*K$50/$BC75,0)</f>
        <v/>
      </c>
      <c r="L192" s="75">
        <f>IFERROR(L153*L$50/$BC75,0)</f>
        <v/>
      </c>
      <c r="M192" s="75">
        <f>IFERROR(M153*M$50/$BC75,0)</f>
        <v/>
      </c>
      <c r="N192" s="75">
        <f>IFERROR(N153*N$50/$BC75,0)</f>
        <v/>
      </c>
      <c r="O192" s="75">
        <f>IFERROR(O153*O$50/$BC75,0)</f>
        <v/>
      </c>
      <c r="P192" s="75">
        <f>IFERROR(P153*P$50/$BC75,0)</f>
        <v/>
      </c>
      <c r="Q192" s="75">
        <f>IFERROR(Q153*Q$50/$BC75,0)</f>
        <v/>
      </c>
      <c r="R192" s="75">
        <f>IFERROR(R153*R$50/$BC75,0)</f>
        <v/>
      </c>
      <c r="S192" s="75">
        <f>IFERROR(S153*S$50/$BC75,0)</f>
        <v/>
      </c>
      <c r="T192" s="75">
        <f>IFERROR(T153*T$50/$BC75,0)</f>
        <v/>
      </c>
      <c r="U192" s="75">
        <f>IFERROR(U153*U$50/$BC75,0)</f>
        <v/>
      </c>
      <c r="V192" s="75">
        <f>IFERROR(V153*V$50/$BC75,0)</f>
        <v/>
      </c>
      <c r="W192" s="75">
        <f>IFERROR(W153*W$50/$BC75,0)</f>
        <v/>
      </c>
      <c r="X192" s="75">
        <f>IFERROR(X153*X$50/$BC75,0)</f>
        <v/>
      </c>
      <c r="Y192" s="75">
        <f>IFERROR(Y153*Y$50/$BC75,0)</f>
        <v/>
      </c>
      <c r="Z192" s="75">
        <f>IFERROR(Z153*Z$50/$BC75,0)</f>
        <v/>
      </c>
      <c r="AA192" s="75">
        <f>IFERROR(AA153*AA$50/$BC75,0)</f>
        <v/>
      </c>
      <c r="AB192" s="75">
        <f>IFERROR(AB153*AB$50/$BC75,0)</f>
        <v/>
      </c>
      <c r="AC192" s="75">
        <f>IFERROR(AC153*AC$50/$BC75,0)</f>
        <v/>
      </c>
      <c r="AD192" s="75">
        <f>IFERROR(AD153*AD$50/$BC75,0)</f>
        <v/>
      </c>
      <c r="AE192" s="75">
        <f>IFERROR(AE153*AE$50/$BC75,0)</f>
        <v/>
      </c>
      <c r="AF192" s="75">
        <f>IFERROR(AF153*AF$50/$BC75,0)</f>
        <v/>
      </c>
      <c r="AG192" s="75">
        <f>IFERROR(AG153*AG$50/$BC75,0)</f>
        <v/>
      </c>
      <c r="AH192" s="75">
        <f>IFERROR(AH153*AH$50/$BC75,0)</f>
        <v/>
      </c>
      <c r="AI192" s="75">
        <f>IFERROR(AI153*AI$50/$BC75,0)</f>
        <v/>
      </c>
      <c r="AJ192" s="75">
        <f>IFERROR(AJ153*AJ$50/$BC75,0)</f>
        <v/>
      </c>
      <c r="AK192" s="75">
        <f>IFERROR(AK153*AK$50/$BC75,0)</f>
        <v/>
      </c>
      <c r="AL192" s="75">
        <f>IFERROR(AL153*AL$50/$BC75,0)</f>
        <v/>
      </c>
      <c r="AM192" s="75">
        <f>IFERROR(AM153*AM$50/$BC75,0)</f>
        <v/>
      </c>
      <c r="AN192" s="75">
        <f>IFERROR(AN153*AN$50/$BC75,0)</f>
        <v/>
      </c>
      <c r="AO192" s="75">
        <f>IFERROR(AO153*AO$50/$BC75,0)</f>
        <v/>
      </c>
      <c r="AP192" s="75">
        <f>IFERROR(AP153*AP$50/$BC75,0)</f>
        <v/>
      </c>
      <c r="AQ192" s="75">
        <f>IFERROR(AQ153*AQ$50/$BC75,0)</f>
        <v/>
      </c>
      <c r="AR192" s="75">
        <f>IFERROR(AR153*AR$50/$BC75,0)</f>
        <v/>
      </c>
      <c r="AS192" s="75">
        <f>IFERROR(AS153*AS$50/$BC75,0)</f>
        <v/>
      </c>
      <c r="AT192" s="75">
        <f>IFERROR(AT153*AT$50/$BC75,0)</f>
        <v/>
      </c>
      <c r="AU192" s="75">
        <f>IFERROR(AU153*AU$50/$BC75,0)</f>
        <v/>
      </c>
      <c r="AV192" s="75">
        <f>IFERROR(AV153*AV$50/$BC75,0)</f>
        <v/>
      </c>
      <c r="AW192" s="75">
        <f>IFERROR(AW153*AW$50/$BC75,0)</f>
        <v/>
      </c>
      <c r="AX192" s="75">
        <f>IFERROR(AX153*AX$50/$BC75,0)</f>
        <v/>
      </c>
      <c r="AY192" s="75">
        <f>IFERROR(AY153*AY$50/$BC75,0)</f>
        <v/>
      </c>
      <c r="AZ192" s="75">
        <f>IFERROR(AZ153*AZ$50/$BC75,0)</f>
        <v/>
      </c>
      <c r="BA192" s="75">
        <f>IFERROR(BA153*BA$50/$BC75,0)</f>
        <v/>
      </c>
      <c r="BB192" s="75">
        <f>IFERROR(BB153*BB$50/$BC75,0)</f>
        <v/>
      </c>
    </row>
    <row r="193">
      <c r="D193" s="237">
        <f>D76</f>
        <v/>
      </c>
      <c r="E193" s="75">
        <f>IFERROR(E154*E$50/$BC76,0)</f>
        <v/>
      </c>
      <c r="F193" s="75">
        <f>IFERROR(F154*F$50/$BC76,0)</f>
        <v/>
      </c>
      <c r="G193" s="75">
        <f>IFERROR(G154*G$50/$BC76,0)</f>
        <v/>
      </c>
      <c r="H193" s="75">
        <f>IFERROR(H154*H$50/$BC76,0)</f>
        <v/>
      </c>
      <c r="I193" s="75">
        <f>IFERROR(I154*I$50/$BC76,0)</f>
        <v/>
      </c>
      <c r="J193" s="75">
        <f>IFERROR(J154*J$50/$BC76,0)</f>
        <v/>
      </c>
      <c r="K193" s="75">
        <f>IFERROR(K154*K$50/$BC76,0)</f>
        <v/>
      </c>
      <c r="L193" s="75">
        <f>IFERROR(L154*L$50/$BC76,0)</f>
        <v/>
      </c>
      <c r="M193" s="75">
        <f>IFERROR(M154*M$50/$BC76,0)</f>
        <v/>
      </c>
      <c r="N193" s="75">
        <f>IFERROR(N154*N$50/$BC76,0)</f>
        <v/>
      </c>
      <c r="O193" s="75">
        <f>IFERROR(O154*O$50/$BC76,0)</f>
        <v/>
      </c>
      <c r="P193" s="75">
        <f>IFERROR(P154*P$50/$BC76,0)</f>
        <v/>
      </c>
      <c r="Q193" s="75">
        <f>IFERROR(Q154*Q$50/$BC76,0)</f>
        <v/>
      </c>
      <c r="R193" s="75">
        <f>IFERROR(R154*R$50/$BC76,0)</f>
        <v/>
      </c>
      <c r="S193" s="75">
        <f>IFERROR(S154*S$50/$BC76,0)</f>
        <v/>
      </c>
      <c r="T193" s="75">
        <f>IFERROR(T154*T$50/$BC76,0)</f>
        <v/>
      </c>
      <c r="U193" s="75">
        <f>IFERROR(U154*U$50/$BC76,0)</f>
        <v/>
      </c>
      <c r="V193" s="75">
        <f>IFERROR(V154*V$50/$BC76,0)</f>
        <v/>
      </c>
      <c r="W193" s="75">
        <f>IFERROR(W154*W$50/$BC76,0)</f>
        <v/>
      </c>
      <c r="X193" s="75">
        <f>IFERROR(X154*X$50/$BC76,0)</f>
        <v/>
      </c>
      <c r="Y193" s="75">
        <f>IFERROR(Y154*Y$50/$BC76,0)</f>
        <v/>
      </c>
      <c r="Z193" s="75">
        <f>IFERROR(Z154*Z$50/$BC76,0)</f>
        <v/>
      </c>
      <c r="AA193" s="75">
        <f>IFERROR(AA154*AA$50/$BC76,0)</f>
        <v/>
      </c>
      <c r="AB193" s="75">
        <f>IFERROR(AB154*AB$50/$BC76,0)</f>
        <v/>
      </c>
      <c r="AC193" s="75">
        <f>IFERROR(AC154*AC$50/$BC76,0)</f>
        <v/>
      </c>
      <c r="AD193" s="75">
        <f>IFERROR(AD154*AD$50/$BC76,0)</f>
        <v/>
      </c>
      <c r="AE193" s="75">
        <f>IFERROR(AE154*AE$50/$BC76,0)</f>
        <v/>
      </c>
      <c r="AF193" s="75">
        <f>IFERROR(AF154*AF$50/$BC76,0)</f>
        <v/>
      </c>
      <c r="AG193" s="75">
        <f>IFERROR(AG154*AG$50/$BC76,0)</f>
        <v/>
      </c>
      <c r="AH193" s="75">
        <f>IFERROR(AH154*AH$50/$BC76,0)</f>
        <v/>
      </c>
      <c r="AI193" s="75">
        <f>IFERROR(AI154*AI$50/$BC76,0)</f>
        <v/>
      </c>
      <c r="AJ193" s="75">
        <f>IFERROR(AJ154*AJ$50/$BC76,0)</f>
        <v/>
      </c>
      <c r="AK193" s="75">
        <f>IFERROR(AK154*AK$50/$BC76,0)</f>
        <v/>
      </c>
      <c r="AL193" s="75">
        <f>IFERROR(AL154*AL$50/$BC76,0)</f>
        <v/>
      </c>
      <c r="AM193" s="75">
        <f>IFERROR(AM154*AM$50/$BC76,0)</f>
        <v/>
      </c>
      <c r="AN193" s="75">
        <f>IFERROR(AN154*AN$50/$BC76,0)</f>
        <v/>
      </c>
      <c r="AO193" s="75">
        <f>IFERROR(AO154*AO$50/$BC76,0)</f>
        <v/>
      </c>
      <c r="AP193" s="75">
        <f>IFERROR(AP154*AP$50/$BC76,0)</f>
        <v/>
      </c>
      <c r="AQ193" s="75">
        <f>IFERROR(AQ154*AQ$50/$BC76,0)</f>
        <v/>
      </c>
      <c r="AR193" s="75">
        <f>IFERROR(AR154*AR$50/$BC76,0)</f>
        <v/>
      </c>
      <c r="AS193" s="75">
        <f>IFERROR(AS154*AS$50/$BC76,0)</f>
        <v/>
      </c>
      <c r="AT193" s="75">
        <f>IFERROR(AT154*AT$50/$BC76,0)</f>
        <v/>
      </c>
      <c r="AU193" s="75">
        <f>IFERROR(AU154*AU$50/$BC76,0)</f>
        <v/>
      </c>
      <c r="AV193" s="75">
        <f>IFERROR(AV154*AV$50/$BC76,0)</f>
        <v/>
      </c>
      <c r="AW193" s="75">
        <f>IFERROR(AW154*AW$50/$BC76,0)</f>
        <v/>
      </c>
      <c r="AX193" s="75">
        <f>IFERROR(AX154*AX$50/$BC76,0)</f>
        <v/>
      </c>
      <c r="AY193" s="75">
        <f>IFERROR(AY154*AY$50/$BC76,0)</f>
        <v/>
      </c>
      <c r="AZ193" s="75">
        <f>IFERROR(AZ154*AZ$50/$BC76,0)</f>
        <v/>
      </c>
      <c r="BA193" s="75">
        <f>IFERROR(BA154*BA$50/$BC76,0)</f>
        <v/>
      </c>
      <c r="BB193" s="75">
        <f>IFERROR(BB154*BB$50/$BC76,0)</f>
        <v/>
      </c>
    </row>
    <row r="194">
      <c r="D194" s="237">
        <f>D77</f>
        <v/>
      </c>
      <c r="E194" s="75">
        <f>IFERROR(E155*E$50/$BC77,0)</f>
        <v/>
      </c>
      <c r="F194" s="75">
        <f>IFERROR(F155*F$50/$BC77,0)</f>
        <v/>
      </c>
      <c r="G194" s="75">
        <f>IFERROR(G155*G$50/$BC77,0)</f>
        <v/>
      </c>
      <c r="H194" s="75">
        <f>IFERROR(H155*H$50/$BC77,0)</f>
        <v/>
      </c>
      <c r="I194" s="75">
        <f>IFERROR(I155*I$50/$BC77,0)</f>
        <v/>
      </c>
      <c r="J194" s="75">
        <f>IFERROR(J155*J$50/$BC77,0)</f>
        <v/>
      </c>
      <c r="K194" s="75">
        <f>IFERROR(K155*K$50/$BC77,0)</f>
        <v/>
      </c>
      <c r="L194" s="75">
        <f>IFERROR(L155*L$50/$BC77,0)</f>
        <v/>
      </c>
      <c r="M194" s="75">
        <f>IFERROR(M155*M$50/$BC77,0)</f>
        <v/>
      </c>
      <c r="N194" s="75">
        <f>IFERROR(N155*N$50/$BC77,0)</f>
        <v/>
      </c>
      <c r="O194" s="75">
        <f>IFERROR(O155*O$50/$BC77,0)</f>
        <v/>
      </c>
      <c r="P194" s="75">
        <f>IFERROR(P155*P$50/$BC77,0)</f>
        <v/>
      </c>
      <c r="Q194" s="75">
        <f>IFERROR(Q155*Q$50/$BC77,0)</f>
        <v/>
      </c>
      <c r="R194" s="75">
        <f>IFERROR(R155*R$50/$BC77,0)</f>
        <v/>
      </c>
      <c r="S194" s="75">
        <f>IFERROR(S155*S$50/$BC77,0)</f>
        <v/>
      </c>
      <c r="T194" s="75">
        <f>IFERROR(T155*T$50/$BC77,0)</f>
        <v/>
      </c>
      <c r="U194" s="75">
        <f>IFERROR(U155*U$50/$BC77,0)</f>
        <v/>
      </c>
      <c r="V194" s="75">
        <f>IFERROR(V155*V$50/$BC77,0)</f>
        <v/>
      </c>
      <c r="W194" s="75">
        <f>IFERROR(W155*W$50/$BC77,0)</f>
        <v/>
      </c>
      <c r="X194" s="75">
        <f>IFERROR(X155*X$50/$BC77,0)</f>
        <v/>
      </c>
      <c r="Y194" s="75">
        <f>IFERROR(Y155*Y$50/$BC77,0)</f>
        <v/>
      </c>
      <c r="Z194" s="75">
        <f>IFERROR(Z155*Z$50/$BC77,0)</f>
        <v/>
      </c>
      <c r="AA194" s="75">
        <f>IFERROR(AA155*AA$50/$BC77,0)</f>
        <v/>
      </c>
      <c r="AB194" s="75">
        <f>IFERROR(AB155*AB$50/$BC77,0)</f>
        <v/>
      </c>
      <c r="AC194" s="75">
        <f>IFERROR(AC155*AC$50/$BC77,0)</f>
        <v/>
      </c>
      <c r="AD194" s="75">
        <f>IFERROR(AD155*AD$50/$BC77,0)</f>
        <v/>
      </c>
      <c r="AE194" s="75">
        <f>IFERROR(AE155*AE$50/$BC77,0)</f>
        <v/>
      </c>
      <c r="AF194" s="75">
        <f>IFERROR(AF155*AF$50/$BC77,0)</f>
        <v/>
      </c>
      <c r="AG194" s="75">
        <f>IFERROR(AG155*AG$50/$BC77,0)</f>
        <v/>
      </c>
      <c r="AH194" s="75">
        <f>IFERROR(AH155*AH$50/$BC77,0)</f>
        <v/>
      </c>
      <c r="AI194" s="75">
        <f>IFERROR(AI155*AI$50/$BC77,0)</f>
        <v/>
      </c>
      <c r="AJ194" s="75">
        <f>IFERROR(AJ155*AJ$50/$BC77,0)</f>
        <v/>
      </c>
      <c r="AK194" s="75">
        <f>IFERROR(AK155*AK$50/$BC77,0)</f>
        <v/>
      </c>
      <c r="AL194" s="75">
        <f>IFERROR(AL155*AL$50/$BC77,0)</f>
        <v/>
      </c>
      <c r="AM194" s="75">
        <f>IFERROR(AM155*AM$50/$BC77,0)</f>
        <v/>
      </c>
      <c r="AN194" s="75">
        <f>IFERROR(AN155*AN$50/$BC77,0)</f>
        <v/>
      </c>
      <c r="AO194" s="75">
        <f>IFERROR(AO155*AO$50/$BC77,0)</f>
        <v/>
      </c>
      <c r="AP194" s="75">
        <f>IFERROR(AP155*AP$50/$BC77,0)</f>
        <v/>
      </c>
      <c r="AQ194" s="75">
        <f>IFERROR(AQ155*AQ$50/$BC77,0)</f>
        <v/>
      </c>
      <c r="AR194" s="75">
        <f>IFERROR(AR155*AR$50/$BC77,0)</f>
        <v/>
      </c>
      <c r="AS194" s="75">
        <f>IFERROR(AS155*AS$50/$BC77,0)</f>
        <v/>
      </c>
      <c r="AT194" s="75">
        <f>IFERROR(AT155*AT$50/$BC77,0)</f>
        <v/>
      </c>
      <c r="AU194" s="75">
        <f>IFERROR(AU155*AU$50/$BC77,0)</f>
        <v/>
      </c>
      <c r="AV194" s="75">
        <f>IFERROR(AV155*AV$50/$BC77,0)</f>
        <v/>
      </c>
      <c r="AW194" s="75">
        <f>IFERROR(AW155*AW$50/$BC77,0)</f>
        <v/>
      </c>
      <c r="AX194" s="75">
        <f>IFERROR(AX155*AX$50/$BC77,0)</f>
        <v/>
      </c>
      <c r="AY194" s="75">
        <f>IFERROR(AY155*AY$50/$BC77,0)</f>
        <v/>
      </c>
      <c r="AZ194" s="75">
        <f>IFERROR(AZ155*AZ$50/$BC77,0)</f>
        <v/>
      </c>
      <c r="BA194" s="75">
        <f>IFERROR(BA155*BA$50/$BC77,0)</f>
        <v/>
      </c>
      <c r="BB194" s="75">
        <f>IFERROR(BB155*BB$50/$BC77,0)</f>
        <v/>
      </c>
    </row>
    <row r="195">
      <c r="D195" s="237">
        <f>D78</f>
        <v/>
      </c>
      <c r="E195" s="75">
        <f>IFERROR(E156*E$50/$BC78,0)</f>
        <v/>
      </c>
      <c r="F195" s="75">
        <f>IFERROR(F156*F$50/$BC78,0)</f>
        <v/>
      </c>
      <c r="G195" s="75">
        <f>IFERROR(G156*G$50/$BC78,0)</f>
        <v/>
      </c>
      <c r="H195" s="75">
        <f>IFERROR(H156*H$50/$BC78,0)</f>
        <v/>
      </c>
      <c r="I195" s="75">
        <f>IFERROR(I156*I$50/$BC78,0)</f>
        <v/>
      </c>
      <c r="J195" s="75">
        <f>IFERROR(J156*J$50/$BC78,0)</f>
        <v/>
      </c>
      <c r="K195" s="75">
        <f>IFERROR(K156*K$50/$BC78,0)</f>
        <v/>
      </c>
      <c r="L195" s="75">
        <f>IFERROR(L156*L$50/$BC78,0)</f>
        <v/>
      </c>
      <c r="M195" s="75">
        <f>IFERROR(M156*M$50/$BC78,0)</f>
        <v/>
      </c>
      <c r="N195" s="75">
        <f>IFERROR(N156*N$50/$BC78,0)</f>
        <v/>
      </c>
      <c r="O195" s="75">
        <f>IFERROR(O156*O$50/$BC78,0)</f>
        <v/>
      </c>
      <c r="P195" s="75">
        <f>IFERROR(P156*P$50/$BC78,0)</f>
        <v/>
      </c>
      <c r="Q195" s="75">
        <f>IFERROR(Q156*Q$50/$BC78,0)</f>
        <v/>
      </c>
      <c r="R195" s="75">
        <f>IFERROR(R156*R$50/$BC78,0)</f>
        <v/>
      </c>
      <c r="S195" s="75">
        <f>IFERROR(S156*S$50/$BC78,0)</f>
        <v/>
      </c>
      <c r="T195" s="75">
        <f>IFERROR(T156*T$50/$BC78,0)</f>
        <v/>
      </c>
      <c r="U195" s="75">
        <f>IFERROR(U156*U$50/$BC78,0)</f>
        <v/>
      </c>
      <c r="V195" s="75">
        <f>IFERROR(V156*V$50/$BC78,0)</f>
        <v/>
      </c>
      <c r="W195" s="75">
        <f>IFERROR(W156*W$50/$BC78,0)</f>
        <v/>
      </c>
      <c r="X195" s="75">
        <f>IFERROR(X156*X$50/$BC78,0)</f>
        <v/>
      </c>
      <c r="Y195" s="75">
        <f>IFERROR(Y156*Y$50/$BC78,0)</f>
        <v/>
      </c>
      <c r="Z195" s="75">
        <f>IFERROR(Z156*Z$50/$BC78,0)</f>
        <v/>
      </c>
      <c r="AA195" s="75">
        <f>IFERROR(AA156*AA$50/$BC78,0)</f>
        <v/>
      </c>
      <c r="AB195" s="75">
        <f>IFERROR(AB156*AB$50/$BC78,0)</f>
        <v/>
      </c>
      <c r="AC195" s="75">
        <f>IFERROR(AC156*AC$50/$BC78,0)</f>
        <v/>
      </c>
      <c r="AD195" s="75">
        <f>IFERROR(AD156*AD$50/$BC78,0)</f>
        <v/>
      </c>
      <c r="AE195" s="75">
        <f>IFERROR(AE156*AE$50/$BC78,0)</f>
        <v/>
      </c>
      <c r="AF195" s="75">
        <f>IFERROR(AF156*AF$50/$BC78,0)</f>
        <v/>
      </c>
      <c r="AG195" s="75">
        <f>IFERROR(AG156*AG$50/$BC78,0)</f>
        <v/>
      </c>
      <c r="AH195" s="75">
        <f>IFERROR(AH156*AH$50/$BC78,0)</f>
        <v/>
      </c>
      <c r="AI195" s="75">
        <f>IFERROR(AI156*AI$50/$BC78,0)</f>
        <v/>
      </c>
      <c r="AJ195" s="75">
        <f>IFERROR(AJ156*AJ$50/$BC78,0)</f>
        <v/>
      </c>
      <c r="AK195" s="75">
        <f>IFERROR(AK156*AK$50/$BC78,0)</f>
        <v/>
      </c>
      <c r="AL195" s="75">
        <f>IFERROR(AL156*AL$50/$BC78,0)</f>
        <v/>
      </c>
      <c r="AM195" s="75">
        <f>IFERROR(AM156*AM$50/$BC78,0)</f>
        <v/>
      </c>
      <c r="AN195" s="75">
        <f>IFERROR(AN156*AN$50/$BC78,0)</f>
        <v/>
      </c>
      <c r="AO195" s="75">
        <f>IFERROR(AO156*AO$50/$BC78,0)</f>
        <v/>
      </c>
      <c r="AP195" s="75">
        <f>IFERROR(AP156*AP$50/$BC78,0)</f>
        <v/>
      </c>
      <c r="AQ195" s="75">
        <f>IFERROR(AQ156*AQ$50/$BC78,0)</f>
        <v/>
      </c>
      <c r="AR195" s="75">
        <f>IFERROR(AR156*AR$50/$BC78,0)</f>
        <v/>
      </c>
      <c r="AS195" s="75">
        <f>IFERROR(AS156*AS$50/$BC78,0)</f>
        <v/>
      </c>
      <c r="AT195" s="75">
        <f>IFERROR(AT156*AT$50/$BC78,0)</f>
        <v/>
      </c>
      <c r="AU195" s="75">
        <f>IFERROR(AU156*AU$50/$BC78,0)</f>
        <v/>
      </c>
      <c r="AV195" s="75">
        <f>IFERROR(AV156*AV$50/$BC78,0)</f>
        <v/>
      </c>
      <c r="AW195" s="75">
        <f>IFERROR(AW156*AW$50/$BC78,0)</f>
        <v/>
      </c>
      <c r="AX195" s="75">
        <f>IFERROR(AX156*AX$50/$BC78,0)</f>
        <v/>
      </c>
      <c r="AY195" s="75">
        <f>IFERROR(AY156*AY$50/$BC78,0)</f>
        <v/>
      </c>
      <c r="AZ195" s="75">
        <f>IFERROR(AZ156*AZ$50/$BC78,0)</f>
        <v/>
      </c>
      <c r="BA195" s="75">
        <f>IFERROR(BA156*BA$50/$BC78,0)</f>
        <v/>
      </c>
      <c r="BB195" s="75">
        <f>IFERROR(BB156*BB$50/$BC78,0)</f>
        <v/>
      </c>
    </row>
    <row r="196">
      <c r="D196" s="237">
        <f>D79</f>
        <v/>
      </c>
      <c r="E196" s="75">
        <f>IFERROR(E157*E$50/$BC79,0)</f>
        <v/>
      </c>
      <c r="F196" s="75">
        <f>IFERROR(F157*F$50/$BC79,0)</f>
        <v/>
      </c>
      <c r="G196" s="75">
        <f>IFERROR(G157*G$50/$BC79,0)</f>
        <v/>
      </c>
      <c r="H196" s="75">
        <f>IFERROR(H157*H$50/$BC79,0)</f>
        <v/>
      </c>
      <c r="I196" s="75">
        <f>IFERROR(I157*I$50/$BC79,0)</f>
        <v/>
      </c>
      <c r="J196" s="75">
        <f>IFERROR(J157*J$50/$BC79,0)</f>
        <v/>
      </c>
      <c r="K196" s="75">
        <f>IFERROR(K157*K$50/$BC79,0)</f>
        <v/>
      </c>
      <c r="L196" s="75">
        <f>IFERROR(L157*L$50/$BC79,0)</f>
        <v/>
      </c>
      <c r="M196" s="75">
        <f>IFERROR(M157*M$50/$BC79,0)</f>
        <v/>
      </c>
      <c r="N196" s="75">
        <f>IFERROR(N157*N$50/$BC79,0)</f>
        <v/>
      </c>
      <c r="O196" s="75">
        <f>IFERROR(O157*O$50/$BC79,0)</f>
        <v/>
      </c>
      <c r="P196" s="75">
        <f>IFERROR(P157*P$50/$BC79,0)</f>
        <v/>
      </c>
      <c r="Q196" s="75">
        <f>IFERROR(Q157*Q$50/$BC79,0)</f>
        <v/>
      </c>
      <c r="R196" s="75">
        <f>IFERROR(R157*R$50/$BC79,0)</f>
        <v/>
      </c>
      <c r="S196" s="75">
        <f>IFERROR(S157*S$50/$BC79,0)</f>
        <v/>
      </c>
      <c r="T196" s="75">
        <f>IFERROR(T157*T$50/$BC79,0)</f>
        <v/>
      </c>
      <c r="U196" s="75">
        <f>IFERROR(U157*U$50/$BC79,0)</f>
        <v/>
      </c>
      <c r="V196" s="75">
        <f>IFERROR(V157*V$50/$BC79,0)</f>
        <v/>
      </c>
      <c r="W196" s="75">
        <f>IFERROR(W157*W$50/$BC79,0)</f>
        <v/>
      </c>
      <c r="X196" s="75">
        <f>IFERROR(X157*X$50/$BC79,0)</f>
        <v/>
      </c>
      <c r="Y196" s="75">
        <f>IFERROR(Y157*Y$50/$BC79,0)</f>
        <v/>
      </c>
      <c r="Z196" s="75">
        <f>IFERROR(Z157*Z$50/$BC79,0)</f>
        <v/>
      </c>
      <c r="AA196" s="75">
        <f>IFERROR(AA157*AA$50/$BC79,0)</f>
        <v/>
      </c>
      <c r="AB196" s="75">
        <f>IFERROR(AB157*AB$50/$BC79,0)</f>
        <v/>
      </c>
      <c r="AC196" s="75">
        <f>IFERROR(AC157*AC$50/$BC79,0)</f>
        <v/>
      </c>
      <c r="AD196" s="75">
        <f>IFERROR(AD157*AD$50/$BC79,0)</f>
        <v/>
      </c>
      <c r="AE196" s="75">
        <f>IFERROR(AE157*AE$50/$BC79,0)</f>
        <v/>
      </c>
      <c r="AF196" s="75">
        <f>IFERROR(AF157*AF$50/$BC79,0)</f>
        <v/>
      </c>
      <c r="AG196" s="75">
        <f>IFERROR(AG157*AG$50/$BC79,0)</f>
        <v/>
      </c>
      <c r="AH196" s="75">
        <f>IFERROR(AH157*AH$50/$BC79,0)</f>
        <v/>
      </c>
      <c r="AI196" s="75">
        <f>IFERROR(AI157*AI$50/$BC79,0)</f>
        <v/>
      </c>
      <c r="AJ196" s="75">
        <f>IFERROR(AJ157*AJ$50/$BC79,0)</f>
        <v/>
      </c>
      <c r="AK196" s="75">
        <f>IFERROR(AK157*AK$50/$BC79,0)</f>
        <v/>
      </c>
      <c r="AL196" s="75">
        <f>IFERROR(AL157*AL$50/$BC79,0)</f>
        <v/>
      </c>
      <c r="AM196" s="75">
        <f>IFERROR(AM157*AM$50/$BC79,0)</f>
        <v/>
      </c>
      <c r="AN196" s="75">
        <f>IFERROR(AN157*AN$50/$BC79,0)</f>
        <v/>
      </c>
      <c r="AO196" s="75">
        <f>IFERROR(AO157*AO$50/$BC79,0)</f>
        <v/>
      </c>
      <c r="AP196" s="75">
        <f>IFERROR(AP157*AP$50/$BC79,0)</f>
        <v/>
      </c>
      <c r="AQ196" s="75">
        <f>IFERROR(AQ157*AQ$50/$BC79,0)</f>
        <v/>
      </c>
      <c r="AR196" s="75">
        <f>IFERROR(AR157*AR$50/$BC79,0)</f>
        <v/>
      </c>
      <c r="AS196" s="75">
        <f>IFERROR(AS157*AS$50/$BC79,0)</f>
        <v/>
      </c>
      <c r="AT196" s="75">
        <f>IFERROR(AT157*AT$50/$BC79,0)</f>
        <v/>
      </c>
      <c r="AU196" s="75">
        <f>IFERROR(AU157*AU$50/$BC79,0)</f>
        <v/>
      </c>
      <c r="AV196" s="75">
        <f>IFERROR(AV157*AV$50/$BC79,0)</f>
        <v/>
      </c>
      <c r="AW196" s="75">
        <f>IFERROR(AW157*AW$50/$BC79,0)</f>
        <v/>
      </c>
      <c r="AX196" s="75">
        <f>IFERROR(AX157*AX$50/$BC79,0)</f>
        <v/>
      </c>
      <c r="AY196" s="75">
        <f>IFERROR(AY157*AY$50/$BC79,0)</f>
        <v/>
      </c>
      <c r="AZ196" s="75">
        <f>IFERROR(AZ157*AZ$50/$BC79,0)</f>
        <v/>
      </c>
      <c r="BA196" s="75">
        <f>IFERROR(BA157*BA$50/$BC79,0)</f>
        <v/>
      </c>
      <c r="BB196" s="75">
        <f>IFERROR(BB157*BB$50/$BC79,0)</f>
        <v/>
      </c>
    </row>
    <row r="197">
      <c r="D197" s="237">
        <f>D80</f>
        <v/>
      </c>
      <c r="E197" s="75">
        <f>IFERROR(E158*E$50/$BC80,0)</f>
        <v/>
      </c>
      <c r="F197" s="75">
        <f>IFERROR(F158*F$50/$BC80,0)</f>
        <v/>
      </c>
      <c r="G197" s="75">
        <f>IFERROR(G158*G$50/$BC80,0)</f>
        <v/>
      </c>
      <c r="H197" s="75">
        <f>IFERROR(H158*H$50/$BC80,0)</f>
        <v/>
      </c>
      <c r="I197" s="75">
        <f>IFERROR(I158*I$50/$BC80,0)</f>
        <v/>
      </c>
      <c r="J197" s="75">
        <f>IFERROR(J158*J$50/$BC80,0)</f>
        <v/>
      </c>
      <c r="K197" s="75">
        <f>IFERROR(K158*K$50/$BC80,0)</f>
        <v/>
      </c>
      <c r="L197" s="75">
        <f>IFERROR(L158*L$50/$BC80,0)</f>
        <v/>
      </c>
      <c r="M197" s="75">
        <f>IFERROR(M158*M$50/$BC80,0)</f>
        <v/>
      </c>
      <c r="N197" s="75">
        <f>IFERROR(N158*N$50/$BC80,0)</f>
        <v/>
      </c>
      <c r="O197" s="75">
        <f>IFERROR(O158*O$50/$BC80,0)</f>
        <v/>
      </c>
      <c r="P197" s="75">
        <f>IFERROR(P158*P$50/$BC80,0)</f>
        <v/>
      </c>
      <c r="Q197" s="75">
        <f>IFERROR(Q158*Q$50/$BC80,0)</f>
        <v/>
      </c>
      <c r="R197" s="75">
        <f>IFERROR(R158*R$50/$BC80,0)</f>
        <v/>
      </c>
      <c r="S197" s="75">
        <f>IFERROR(S158*S$50/$BC80,0)</f>
        <v/>
      </c>
      <c r="T197" s="75">
        <f>IFERROR(T158*T$50/$BC80,0)</f>
        <v/>
      </c>
      <c r="U197" s="75">
        <f>IFERROR(U158*U$50/$BC80,0)</f>
        <v/>
      </c>
      <c r="V197" s="75">
        <f>IFERROR(V158*V$50/$BC80,0)</f>
        <v/>
      </c>
      <c r="W197" s="75">
        <f>IFERROR(W158*W$50/$BC80,0)</f>
        <v/>
      </c>
      <c r="X197" s="75">
        <f>IFERROR(X158*X$50/$BC80,0)</f>
        <v/>
      </c>
      <c r="Y197" s="75">
        <f>IFERROR(Y158*Y$50/$BC80,0)</f>
        <v/>
      </c>
      <c r="Z197" s="75">
        <f>IFERROR(Z158*Z$50/$BC80,0)</f>
        <v/>
      </c>
      <c r="AA197" s="75">
        <f>IFERROR(AA158*AA$50/$BC80,0)</f>
        <v/>
      </c>
      <c r="AB197" s="75">
        <f>IFERROR(AB158*AB$50/$BC80,0)</f>
        <v/>
      </c>
      <c r="AC197" s="75">
        <f>IFERROR(AC158*AC$50/$BC80,0)</f>
        <v/>
      </c>
      <c r="AD197" s="75">
        <f>IFERROR(AD158*AD$50/$BC80,0)</f>
        <v/>
      </c>
      <c r="AE197" s="75">
        <f>IFERROR(AE158*AE$50/$BC80,0)</f>
        <v/>
      </c>
      <c r="AF197" s="75">
        <f>IFERROR(AF158*AF$50/$BC80,0)</f>
        <v/>
      </c>
      <c r="AG197" s="75">
        <f>IFERROR(AG158*AG$50/$BC80,0)</f>
        <v/>
      </c>
      <c r="AH197" s="75">
        <f>IFERROR(AH158*AH$50/$BC80,0)</f>
        <v/>
      </c>
      <c r="AI197" s="75">
        <f>IFERROR(AI158*AI$50/$BC80,0)</f>
        <v/>
      </c>
      <c r="AJ197" s="75">
        <f>IFERROR(AJ158*AJ$50/$BC80,0)</f>
        <v/>
      </c>
      <c r="AK197" s="75">
        <f>IFERROR(AK158*AK$50/$BC80,0)</f>
        <v/>
      </c>
      <c r="AL197" s="75">
        <f>IFERROR(AL158*AL$50/$BC80,0)</f>
        <v/>
      </c>
      <c r="AM197" s="75">
        <f>IFERROR(AM158*AM$50/$BC80,0)</f>
        <v/>
      </c>
      <c r="AN197" s="75">
        <f>IFERROR(AN158*AN$50/$BC80,0)</f>
        <v/>
      </c>
      <c r="AO197" s="75">
        <f>IFERROR(AO158*AO$50/$BC80,0)</f>
        <v/>
      </c>
      <c r="AP197" s="75">
        <f>IFERROR(AP158*AP$50/$BC80,0)</f>
        <v/>
      </c>
      <c r="AQ197" s="75">
        <f>IFERROR(AQ158*AQ$50/$BC80,0)</f>
        <v/>
      </c>
      <c r="AR197" s="75">
        <f>IFERROR(AR158*AR$50/$BC80,0)</f>
        <v/>
      </c>
      <c r="AS197" s="75">
        <f>IFERROR(AS158*AS$50/$BC80,0)</f>
        <v/>
      </c>
      <c r="AT197" s="75">
        <f>IFERROR(AT158*AT$50/$BC80,0)</f>
        <v/>
      </c>
      <c r="AU197" s="75">
        <f>IFERROR(AU158*AU$50/$BC80,0)</f>
        <v/>
      </c>
      <c r="AV197" s="75">
        <f>IFERROR(AV158*AV$50/$BC80,0)</f>
        <v/>
      </c>
      <c r="AW197" s="75">
        <f>IFERROR(AW158*AW$50/$BC80,0)</f>
        <v/>
      </c>
      <c r="AX197" s="75">
        <f>IFERROR(AX158*AX$50/$BC80,0)</f>
        <v/>
      </c>
      <c r="AY197" s="75">
        <f>IFERROR(AY158*AY$50/$BC80,0)</f>
        <v/>
      </c>
      <c r="AZ197" s="75">
        <f>IFERROR(AZ158*AZ$50/$BC80,0)</f>
        <v/>
      </c>
      <c r="BA197" s="75">
        <f>IFERROR(BA158*BA$50/$BC80,0)</f>
        <v/>
      </c>
      <c r="BB197" s="75">
        <f>IFERROR(BB158*BB$50/$BC80,0)</f>
        <v/>
      </c>
    </row>
    <row r="198">
      <c r="D198" s="237">
        <f>D81</f>
        <v/>
      </c>
      <c r="E198" s="75">
        <f>IFERROR(E159*E$50/$BC81,0)</f>
        <v/>
      </c>
      <c r="F198" s="75">
        <f>IFERROR(F159*F$50/$BC81,0)</f>
        <v/>
      </c>
      <c r="G198" s="75">
        <f>IFERROR(G159*G$50/$BC81,0)</f>
        <v/>
      </c>
      <c r="H198" s="75">
        <f>IFERROR(H159*H$50/$BC81,0)</f>
        <v/>
      </c>
      <c r="I198" s="75">
        <f>IFERROR(I159*I$50/$BC81,0)</f>
        <v/>
      </c>
      <c r="J198" s="75">
        <f>IFERROR(J159*J$50/$BC81,0)</f>
        <v/>
      </c>
      <c r="K198" s="75">
        <f>IFERROR(K159*K$50/$BC81,0)</f>
        <v/>
      </c>
      <c r="L198" s="75">
        <f>IFERROR(L159*L$50/$BC81,0)</f>
        <v/>
      </c>
      <c r="M198" s="75">
        <f>IFERROR(M159*M$50/$BC81,0)</f>
        <v/>
      </c>
      <c r="N198" s="75">
        <f>IFERROR(N159*N$50/$BC81,0)</f>
        <v/>
      </c>
      <c r="O198" s="75">
        <f>IFERROR(O159*O$50/$BC81,0)</f>
        <v/>
      </c>
      <c r="P198" s="75">
        <f>IFERROR(P159*P$50/$BC81,0)</f>
        <v/>
      </c>
      <c r="Q198" s="75">
        <f>IFERROR(Q159*Q$50/$BC81,0)</f>
        <v/>
      </c>
      <c r="R198" s="75">
        <f>IFERROR(R159*R$50/$BC81,0)</f>
        <v/>
      </c>
      <c r="S198" s="75">
        <f>IFERROR(S159*S$50/$BC81,0)</f>
        <v/>
      </c>
      <c r="T198" s="75">
        <f>IFERROR(T159*T$50/$BC81,0)</f>
        <v/>
      </c>
      <c r="U198" s="75">
        <f>IFERROR(U159*U$50/$BC81,0)</f>
        <v/>
      </c>
      <c r="V198" s="75">
        <f>IFERROR(V159*V$50/$BC81,0)</f>
        <v/>
      </c>
      <c r="W198" s="75">
        <f>IFERROR(W159*W$50/$BC81,0)</f>
        <v/>
      </c>
      <c r="X198" s="75">
        <f>IFERROR(X159*X$50/$BC81,0)</f>
        <v/>
      </c>
      <c r="Y198" s="75">
        <f>IFERROR(Y159*Y$50/$BC81,0)</f>
        <v/>
      </c>
      <c r="Z198" s="75">
        <f>IFERROR(Z159*Z$50/$BC81,0)</f>
        <v/>
      </c>
      <c r="AA198" s="75">
        <f>IFERROR(AA159*AA$50/$BC81,0)</f>
        <v/>
      </c>
      <c r="AB198" s="75">
        <f>IFERROR(AB159*AB$50/$BC81,0)</f>
        <v/>
      </c>
      <c r="AC198" s="75">
        <f>IFERROR(AC159*AC$50/$BC81,0)</f>
        <v/>
      </c>
      <c r="AD198" s="75">
        <f>IFERROR(AD159*AD$50/$BC81,0)</f>
        <v/>
      </c>
      <c r="AE198" s="75">
        <f>IFERROR(AE159*AE$50/$BC81,0)</f>
        <v/>
      </c>
      <c r="AF198" s="75">
        <f>IFERROR(AF159*AF$50/$BC81,0)</f>
        <v/>
      </c>
      <c r="AG198" s="75">
        <f>IFERROR(AG159*AG$50/$BC81,0)</f>
        <v/>
      </c>
      <c r="AH198" s="75">
        <f>IFERROR(AH159*AH$50/$BC81,0)</f>
        <v/>
      </c>
      <c r="AI198" s="75">
        <f>IFERROR(AI159*AI$50/$BC81,0)</f>
        <v/>
      </c>
      <c r="AJ198" s="75">
        <f>IFERROR(AJ159*AJ$50/$BC81,0)</f>
        <v/>
      </c>
      <c r="AK198" s="75">
        <f>IFERROR(AK159*AK$50/$BC81,0)</f>
        <v/>
      </c>
      <c r="AL198" s="75">
        <f>IFERROR(AL159*AL$50/$BC81,0)</f>
        <v/>
      </c>
      <c r="AM198" s="75">
        <f>IFERROR(AM159*AM$50/$BC81,0)</f>
        <v/>
      </c>
      <c r="AN198" s="75">
        <f>IFERROR(AN159*AN$50/$BC81,0)</f>
        <v/>
      </c>
      <c r="AO198" s="75">
        <f>IFERROR(AO159*AO$50/$BC81,0)</f>
        <v/>
      </c>
      <c r="AP198" s="75">
        <f>IFERROR(AP159*AP$50/$BC81,0)</f>
        <v/>
      </c>
      <c r="AQ198" s="75">
        <f>IFERROR(AQ159*AQ$50/$BC81,0)</f>
        <v/>
      </c>
      <c r="AR198" s="75">
        <f>IFERROR(AR159*AR$50/$BC81,0)</f>
        <v/>
      </c>
      <c r="AS198" s="75">
        <f>IFERROR(AS159*AS$50/$BC81,0)</f>
        <v/>
      </c>
      <c r="AT198" s="75">
        <f>IFERROR(AT159*AT$50/$BC81,0)</f>
        <v/>
      </c>
      <c r="AU198" s="75">
        <f>IFERROR(AU159*AU$50/$BC81,0)</f>
        <v/>
      </c>
      <c r="AV198" s="75">
        <f>IFERROR(AV159*AV$50/$BC81,0)</f>
        <v/>
      </c>
      <c r="AW198" s="75">
        <f>IFERROR(AW159*AW$50/$BC81,0)</f>
        <v/>
      </c>
      <c r="AX198" s="75">
        <f>IFERROR(AX159*AX$50/$BC81,0)</f>
        <v/>
      </c>
      <c r="AY198" s="75">
        <f>IFERROR(AY159*AY$50/$BC81,0)</f>
        <v/>
      </c>
      <c r="AZ198" s="75">
        <f>IFERROR(AZ159*AZ$50/$BC81,0)</f>
        <v/>
      </c>
      <c r="BA198" s="75">
        <f>IFERROR(BA159*BA$50/$BC81,0)</f>
        <v/>
      </c>
      <c r="BB198" s="75">
        <f>IFERROR(BB159*BB$50/$BC81,0)</f>
        <v/>
      </c>
    </row>
    <row r="199">
      <c r="D199" s="237">
        <f>D82</f>
        <v/>
      </c>
      <c r="E199" s="75">
        <f>IFERROR(E160*E$50/$BC82,0)</f>
        <v/>
      </c>
      <c r="F199" s="75">
        <f>IFERROR(F160*F$50/$BC82,0)</f>
        <v/>
      </c>
      <c r="G199" s="75">
        <f>IFERROR(G160*G$50/$BC82,0)</f>
        <v/>
      </c>
      <c r="H199" s="75">
        <f>IFERROR(H160*H$50/$BC82,0)</f>
        <v/>
      </c>
      <c r="I199" s="75">
        <f>IFERROR(I160*I$50/$BC82,0)</f>
        <v/>
      </c>
      <c r="J199" s="75">
        <f>IFERROR(J160*J$50/$BC82,0)</f>
        <v/>
      </c>
      <c r="K199" s="75">
        <f>IFERROR(K160*K$50/$BC82,0)</f>
        <v/>
      </c>
      <c r="L199" s="75">
        <f>IFERROR(L160*L$50/$BC82,0)</f>
        <v/>
      </c>
      <c r="M199" s="75">
        <f>IFERROR(M160*M$50/$BC82,0)</f>
        <v/>
      </c>
      <c r="N199" s="75">
        <f>IFERROR(N160*N$50/$BC82,0)</f>
        <v/>
      </c>
      <c r="O199" s="75">
        <f>IFERROR(O160*O$50/$BC82,0)</f>
        <v/>
      </c>
      <c r="P199" s="75">
        <f>IFERROR(P160*P$50/$BC82,0)</f>
        <v/>
      </c>
      <c r="Q199" s="75">
        <f>IFERROR(Q160*Q$50/$BC82,0)</f>
        <v/>
      </c>
      <c r="R199" s="75">
        <f>IFERROR(R160*R$50/$BC82,0)</f>
        <v/>
      </c>
      <c r="S199" s="75">
        <f>IFERROR(S160*S$50/$BC82,0)</f>
        <v/>
      </c>
      <c r="T199" s="75">
        <f>IFERROR(T160*T$50/$BC82,0)</f>
        <v/>
      </c>
      <c r="U199" s="75">
        <f>IFERROR(U160*U$50/$BC82,0)</f>
        <v/>
      </c>
      <c r="V199" s="75">
        <f>IFERROR(V160*V$50/$BC82,0)</f>
        <v/>
      </c>
      <c r="W199" s="75">
        <f>IFERROR(W160*W$50/$BC82,0)</f>
        <v/>
      </c>
      <c r="X199" s="75">
        <f>IFERROR(X160*X$50/$BC82,0)</f>
        <v/>
      </c>
      <c r="Y199" s="75">
        <f>IFERROR(Y160*Y$50/$BC82,0)</f>
        <v/>
      </c>
      <c r="Z199" s="75">
        <f>IFERROR(Z160*Z$50/$BC82,0)</f>
        <v/>
      </c>
      <c r="AA199" s="75">
        <f>IFERROR(AA160*AA$50/$BC82,0)</f>
        <v/>
      </c>
      <c r="AB199" s="75">
        <f>IFERROR(AB160*AB$50/$BC82,0)</f>
        <v/>
      </c>
      <c r="AC199" s="75">
        <f>IFERROR(AC160*AC$50/$BC82,0)</f>
        <v/>
      </c>
      <c r="AD199" s="75">
        <f>IFERROR(AD160*AD$50/$BC82,0)</f>
        <v/>
      </c>
      <c r="AE199" s="75">
        <f>IFERROR(AE160*AE$50/$BC82,0)</f>
        <v/>
      </c>
      <c r="AF199" s="75">
        <f>IFERROR(AF160*AF$50/$BC82,0)</f>
        <v/>
      </c>
      <c r="AG199" s="75">
        <f>IFERROR(AG160*AG$50/$BC82,0)</f>
        <v/>
      </c>
      <c r="AH199" s="75">
        <f>IFERROR(AH160*AH$50/$BC82,0)</f>
        <v/>
      </c>
      <c r="AI199" s="75">
        <f>IFERROR(AI160*AI$50/$BC82,0)</f>
        <v/>
      </c>
      <c r="AJ199" s="75">
        <f>IFERROR(AJ160*AJ$50/$BC82,0)</f>
        <v/>
      </c>
      <c r="AK199" s="75">
        <f>IFERROR(AK160*AK$50/$BC82,0)</f>
        <v/>
      </c>
      <c r="AL199" s="75">
        <f>IFERROR(AL160*AL$50/$BC82,0)</f>
        <v/>
      </c>
      <c r="AM199" s="75">
        <f>IFERROR(AM160*AM$50/$BC82,0)</f>
        <v/>
      </c>
      <c r="AN199" s="75">
        <f>IFERROR(AN160*AN$50/$BC82,0)</f>
        <v/>
      </c>
      <c r="AO199" s="75">
        <f>IFERROR(AO160*AO$50/$BC82,0)</f>
        <v/>
      </c>
      <c r="AP199" s="75">
        <f>IFERROR(AP160*AP$50/$BC82,0)</f>
        <v/>
      </c>
      <c r="AQ199" s="75">
        <f>IFERROR(AQ160*AQ$50/$BC82,0)</f>
        <v/>
      </c>
      <c r="AR199" s="75">
        <f>IFERROR(AR160*AR$50/$BC82,0)</f>
        <v/>
      </c>
      <c r="AS199" s="75">
        <f>IFERROR(AS160*AS$50/$BC82,0)</f>
        <v/>
      </c>
      <c r="AT199" s="75">
        <f>IFERROR(AT160*AT$50/$BC82,0)</f>
        <v/>
      </c>
      <c r="AU199" s="75">
        <f>IFERROR(AU160*AU$50/$BC82,0)</f>
        <v/>
      </c>
      <c r="AV199" s="75">
        <f>IFERROR(AV160*AV$50/$BC82,0)</f>
        <v/>
      </c>
      <c r="AW199" s="75">
        <f>IFERROR(AW160*AW$50/$BC82,0)</f>
        <v/>
      </c>
      <c r="AX199" s="75">
        <f>IFERROR(AX160*AX$50/$BC82,0)</f>
        <v/>
      </c>
      <c r="AY199" s="75">
        <f>IFERROR(AY160*AY$50/$BC82,0)</f>
        <v/>
      </c>
      <c r="AZ199" s="75">
        <f>IFERROR(AZ160*AZ$50/$BC82,0)</f>
        <v/>
      </c>
      <c r="BA199" s="75">
        <f>IFERROR(BA160*BA$50/$BC82,0)</f>
        <v/>
      </c>
      <c r="BB199" s="75">
        <f>IFERROR(BB160*BB$50/$BC82,0)</f>
        <v/>
      </c>
    </row>
    <row r="200">
      <c r="D200" s="237">
        <f>D83</f>
        <v/>
      </c>
      <c r="E200" s="75">
        <f>IFERROR(E161*E$50/$BC83,0)</f>
        <v/>
      </c>
      <c r="F200" s="75">
        <f>IFERROR(F161*F$50/$BC83,0)</f>
        <v/>
      </c>
      <c r="G200" s="75">
        <f>IFERROR(G161*G$50/$BC83,0)</f>
        <v/>
      </c>
      <c r="H200" s="75">
        <f>IFERROR(H161*H$50/$BC83,0)</f>
        <v/>
      </c>
      <c r="I200" s="75">
        <f>IFERROR(I161*I$50/$BC83,0)</f>
        <v/>
      </c>
      <c r="J200" s="75">
        <f>IFERROR(J161*J$50/$BC83,0)</f>
        <v/>
      </c>
      <c r="K200" s="75">
        <f>IFERROR(K161*K$50/$BC83,0)</f>
        <v/>
      </c>
      <c r="L200" s="75">
        <f>IFERROR(L161*L$50/$BC83,0)</f>
        <v/>
      </c>
      <c r="M200" s="75">
        <f>IFERROR(M161*M$50/$BC83,0)</f>
        <v/>
      </c>
      <c r="N200" s="75">
        <f>IFERROR(N161*N$50/$BC83,0)</f>
        <v/>
      </c>
      <c r="O200" s="75">
        <f>IFERROR(O161*O$50/$BC83,0)</f>
        <v/>
      </c>
      <c r="P200" s="75">
        <f>IFERROR(P161*P$50/$BC83,0)</f>
        <v/>
      </c>
      <c r="Q200" s="75">
        <f>IFERROR(Q161*Q$50/$BC83,0)</f>
        <v/>
      </c>
      <c r="R200" s="75">
        <f>IFERROR(R161*R$50/$BC83,0)</f>
        <v/>
      </c>
      <c r="S200" s="75">
        <f>IFERROR(S161*S$50/$BC83,0)</f>
        <v/>
      </c>
      <c r="T200" s="75">
        <f>IFERROR(T161*T$50/$BC83,0)</f>
        <v/>
      </c>
      <c r="U200" s="75">
        <f>IFERROR(U161*U$50/$BC83,0)</f>
        <v/>
      </c>
      <c r="V200" s="75">
        <f>IFERROR(V161*V$50/$BC83,0)</f>
        <v/>
      </c>
      <c r="W200" s="75">
        <f>IFERROR(W161*W$50/$BC83,0)</f>
        <v/>
      </c>
      <c r="X200" s="75">
        <f>IFERROR(X161*X$50/$BC83,0)</f>
        <v/>
      </c>
      <c r="Y200" s="75">
        <f>IFERROR(Y161*Y$50/$BC83,0)</f>
        <v/>
      </c>
      <c r="Z200" s="75">
        <f>IFERROR(Z161*Z$50/$BC83,0)</f>
        <v/>
      </c>
      <c r="AA200" s="75">
        <f>IFERROR(AA161*AA$50/$BC83,0)</f>
        <v/>
      </c>
      <c r="AB200" s="75">
        <f>IFERROR(AB161*AB$50/$BC83,0)</f>
        <v/>
      </c>
      <c r="AC200" s="75">
        <f>IFERROR(AC161*AC$50/$BC83,0)</f>
        <v/>
      </c>
      <c r="AD200" s="75">
        <f>IFERROR(AD161*AD$50/$BC83,0)</f>
        <v/>
      </c>
      <c r="AE200" s="75">
        <f>IFERROR(AE161*AE$50/$BC83,0)</f>
        <v/>
      </c>
      <c r="AF200" s="75">
        <f>IFERROR(AF161*AF$50/$BC83,0)</f>
        <v/>
      </c>
      <c r="AG200" s="75">
        <f>IFERROR(AG161*AG$50/$BC83,0)</f>
        <v/>
      </c>
      <c r="AH200" s="75">
        <f>IFERROR(AH161*AH$50/$BC83,0)</f>
        <v/>
      </c>
      <c r="AI200" s="75">
        <f>IFERROR(AI161*AI$50/$BC83,0)</f>
        <v/>
      </c>
      <c r="AJ200" s="75">
        <f>IFERROR(AJ161*AJ$50/$BC83,0)</f>
        <v/>
      </c>
      <c r="AK200" s="75">
        <f>IFERROR(AK161*AK$50/$BC83,0)</f>
        <v/>
      </c>
      <c r="AL200" s="75">
        <f>IFERROR(AL161*AL$50/$BC83,0)</f>
        <v/>
      </c>
      <c r="AM200" s="75">
        <f>IFERROR(AM161*AM$50/$BC83,0)</f>
        <v/>
      </c>
      <c r="AN200" s="75">
        <f>IFERROR(AN161*AN$50/$BC83,0)</f>
        <v/>
      </c>
      <c r="AO200" s="75">
        <f>IFERROR(AO161*AO$50/$BC83,0)</f>
        <v/>
      </c>
      <c r="AP200" s="75">
        <f>IFERROR(AP161*AP$50/$BC83,0)</f>
        <v/>
      </c>
      <c r="AQ200" s="75">
        <f>IFERROR(AQ161*AQ$50/$BC83,0)</f>
        <v/>
      </c>
      <c r="AR200" s="75">
        <f>IFERROR(AR161*AR$50/$BC83,0)</f>
        <v/>
      </c>
      <c r="AS200" s="75">
        <f>IFERROR(AS161*AS$50/$BC83,0)</f>
        <v/>
      </c>
      <c r="AT200" s="75">
        <f>IFERROR(AT161*AT$50/$BC83,0)</f>
        <v/>
      </c>
      <c r="AU200" s="75">
        <f>IFERROR(AU161*AU$50/$BC83,0)</f>
        <v/>
      </c>
      <c r="AV200" s="75">
        <f>IFERROR(AV161*AV$50/$BC83,0)</f>
        <v/>
      </c>
      <c r="AW200" s="75">
        <f>IFERROR(AW161*AW$50/$BC83,0)</f>
        <v/>
      </c>
      <c r="AX200" s="75">
        <f>IFERROR(AX161*AX$50/$BC83,0)</f>
        <v/>
      </c>
      <c r="AY200" s="75">
        <f>IFERROR(AY161*AY$50/$BC83,0)</f>
        <v/>
      </c>
      <c r="AZ200" s="75">
        <f>IFERROR(AZ161*AZ$50/$BC83,0)</f>
        <v/>
      </c>
      <c r="BA200" s="75">
        <f>IFERROR(BA161*BA$50/$BC83,0)</f>
        <v/>
      </c>
      <c r="BB200" s="75">
        <f>IFERROR(BB161*BB$50/$BC83,0)</f>
        <v/>
      </c>
    </row>
    <row r="201">
      <c r="D201" s="237">
        <f>D84</f>
        <v/>
      </c>
      <c r="E201" s="75">
        <f>IFERROR(E162*E$50/$BC84,0)</f>
        <v/>
      </c>
      <c r="F201" s="75">
        <f>IFERROR(F162*F$50/$BC84,0)</f>
        <v/>
      </c>
      <c r="G201" s="75">
        <f>IFERROR(G162*G$50/$BC84,0)</f>
        <v/>
      </c>
      <c r="H201" s="75">
        <f>IFERROR(H162*H$50/$BC84,0)</f>
        <v/>
      </c>
      <c r="I201" s="75">
        <f>IFERROR(I162*I$50/$BC84,0)</f>
        <v/>
      </c>
      <c r="J201" s="75">
        <f>IFERROR(J162*J$50/$BC84,0)</f>
        <v/>
      </c>
      <c r="K201" s="75">
        <f>IFERROR(K162*K$50/$BC84,0)</f>
        <v/>
      </c>
      <c r="L201" s="75">
        <f>IFERROR(L162*L$50/$BC84,0)</f>
        <v/>
      </c>
      <c r="M201" s="75">
        <f>IFERROR(M162*M$50/$BC84,0)</f>
        <v/>
      </c>
      <c r="N201" s="75">
        <f>IFERROR(N162*N$50/$BC84,0)</f>
        <v/>
      </c>
      <c r="O201" s="75">
        <f>IFERROR(O162*O$50/$BC84,0)</f>
        <v/>
      </c>
      <c r="P201" s="75">
        <f>IFERROR(P162*P$50/$BC84,0)</f>
        <v/>
      </c>
      <c r="Q201" s="75">
        <f>IFERROR(Q162*Q$50/$BC84,0)</f>
        <v/>
      </c>
      <c r="R201" s="75">
        <f>IFERROR(R162*R$50/$BC84,0)</f>
        <v/>
      </c>
      <c r="S201" s="75">
        <f>IFERROR(S162*S$50/$BC84,0)</f>
        <v/>
      </c>
      <c r="T201" s="75">
        <f>IFERROR(T162*T$50/$BC84,0)</f>
        <v/>
      </c>
      <c r="U201" s="75">
        <f>IFERROR(U162*U$50/$BC84,0)</f>
        <v/>
      </c>
      <c r="V201" s="75">
        <f>IFERROR(V162*V$50/$BC84,0)</f>
        <v/>
      </c>
      <c r="W201" s="75">
        <f>IFERROR(W162*W$50/$BC84,0)</f>
        <v/>
      </c>
      <c r="X201" s="75">
        <f>IFERROR(X162*X$50/$BC84,0)</f>
        <v/>
      </c>
      <c r="Y201" s="75">
        <f>IFERROR(Y162*Y$50/$BC84,0)</f>
        <v/>
      </c>
      <c r="Z201" s="75">
        <f>IFERROR(Z162*Z$50/$BC84,0)</f>
        <v/>
      </c>
      <c r="AA201" s="75">
        <f>IFERROR(AA162*AA$50/$BC84,0)</f>
        <v/>
      </c>
      <c r="AB201" s="75">
        <f>IFERROR(AB162*AB$50/$BC84,0)</f>
        <v/>
      </c>
      <c r="AC201" s="75">
        <f>IFERROR(AC162*AC$50/$BC84,0)</f>
        <v/>
      </c>
      <c r="AD201" s="75">
        <f>IFERROR(AD162*AD$50/$BC84,0)</f>
        <v/>
      </c>
      <c r="AE201" s="75">
        <f>IFERROR(AE162*AE$50/$BC84,0)</f>
        <v/>
      </c>
      <c r="AF201" s="75">
        <f>IFERROR(AF162*AF$50/$BC84,0)</f>
        <v/>
      </c>
      <c r="AG201" s="75">
        <f>IFERROR(AG162*AG$50/$BC84,0)</f>
        <v/>
      </c>
      <c r="AH201" s="75">
        <f>IFERROR(AH162*AH$50/$BC84,0)</f>
        <v/>
      </c>
      <c r="AI201" s="75">
        <f>IFERROR(AI162*AI$50/$BC84,0)</f>
        <v/>
      </c>
      <c r="AJ201" s="75">
        <f>IFERROR(AJ162*AJ$50/$BC84,0)</f>
        <v/>
      </c>
      <c r="AK201" s="75">
        <f>IFERROR(AK162*AK$50/$BC84,0)</f>
        <v/>
      </c>
      <c r="AL201" s="75">
        <f>IFERROR(AL162*AL$50/$BC84,0)</f>
        <v/>
      </c>
      <c r="AM201" s="75">
        <f>IFERROR(AM162*AM$50/$BC84,0)</f>
        <v/>
      </c>
      <c r="AN201" s="75">
        <f>IFERROR(AN162*AN$50/$BC84,0)</f>
        <v/>
      </c>
      <c r="AO201" s="75">
        <f>IFERROR(AO162*AO$50/$BC84,0)</f>
        <v/>
      </c>
      <c r="AP201" s="75">
        <f>IFERROR(AP162*AP$50/$BC84,0)</f>
        <v/>
      </c>
      <c r="AQ201" s="75">
        <f>IFERROR(AQ162*AQ$50/$BC84,0)</f>
        <v/>
      </c>
      <c r="AR201" s="75">
        <f>IFERROR(AR162*AR$50/$BC84,0)</f>
        <v/>
      </c>
      <c r="AS201" s="75">
        <f>IFERROR(AS162*AS$50/$BC84,0)</f>
        <v/>
      </c>
      <c r="AT201" s="75">
        <f>IFERROR(AT162*AT$50/$BC84,0)</f>
        <v/>
      </c>
      <c r="AU201" s="75">
        <f>IFERROR(AU162*AU$50/$BC84,0)</f>
        <v/>
      </c>
      <c r="AV201" s="75">
        <f>IFERROR(AV162*AV$50/$BC84,0)</f>
        <v/>
      </c>
      <c r="AW201" s="75">
        <f>IFERROR(AW162*AW$50/$BC84,0)</f>
        <v/>
      </c>
      <c r="AX201" s="75">
        <f>IFERROR(AX162*AX$50/$BC84,0)</f>
        <v/>
      </c>
      <c r="AY201" s="75">
        <f>IFERROR(AY162*AY$50/$BC84,0)</f>
        <v/>
      </c>
      <c r="AZ201" s="75">
        <f>IFERROR(AZ162*AZ$50/$BC84,0)</f>
        <v/>
      </c>
      <c r="BA201" s="75">
        <f>IFERROR(BA162*BA$50/$BC84,0)</f>
        <v/>
      </c>
      <c r="BB201" s="75">
        <f>IFERROR(BB162*BB$50/$BC84,0)</f>
        <v/>
      </c>
    </row>
    <row r="202">
      <c r="D202" s="237">
        <f>D85</f>
        <v/>
      </c>
      <c r="E202" s="75">
        <f>IFERROR(E163*E$50/$BC85,0)</f>
        <v/>
      </c>
      <c r="F202" s="75">
        <f>IFERROR(F163*F$50/$BC85,0)</f>
        <v/>
      </c>
      <c r="G202" s="75">
        <f>IFERROR(G163*G$50/$BC85,0)</f>
        <v/>
      </c>
      <c r="H202" s="75">
        <f>IFERROR(H163*H$50/$BC85,0)</f>
        <v/>
      </c>
      <c r="I202" s="75">
        <f>IFERROR(I163*I$50/$BC85,0)</f>
        <v/>
      </c>
      <c r="J202" s="75">
        <f>IFERROR(J163*J$50/$BC85,0)</f>
        <v/>
      </c>
      <c r="K202" s="75">
        <f>IFERROR(K163*K$50/$BC85,0)</f>
        <v/>
      </c>
      <c r="L202" s="75">
        <f>IFERROR(L163*L$50/$BC85,0)</f>
        <v/>
      </c>
      <c r="M202" s="75">
        <f>IFERROR(M163*M$50/$BC85,0)</f>
        <v/>
      </c>
      <c r="N202" s="75">
        <f>IFERROR(N163*N$50/$BC85,0)</f>
        <v/>
      </c>
      <c r="O202" s="75">
        <f>IFERROR(O163*O$50/$BC85,0)</f>
        <v/>
      </c>
      <c r="P202" s="75">
        <f>IFERROR(P163*P$50/$BC85,0)</f>
        <v/>
      </c>
      <c r="Q202" s="75">
        <f>IFERROR(Q163*Q$50/$BC85,0)</f>
        <v/>
      </c>
      <c r="R202" s="75">
        <f>IFERROR(R163*R$50/$BC85,0)</f>
        <v/>
      </c>
      <c r="S202" s="75">
        <f>IFERROR(S163*S$50/$BC85,0)</f>
        <v/>
      </c>
      <c r="T202" s="75">
        <f>IFERROR(T163*T$50/$BC85,0)</f>
        <v/>
      </c>
      <c r="U202" s="75">
        <f>IFERROR(U163*U$50/$BC85,0)</f>
        <v/>
      </c>
      <c r="V202" s="75">
        <f>IFERROR(V163*V$50/$BC85,0)</f>
        <v/>
      </c>
      <c r="W202" s="75">
        <f>IFERROR(W163*W$50/$BC85,0)</f>
        <v/>
      </c>
      <c r="X202" s="75">
        <f>IFERROR(X163*X$50/$BC85,0)</f>
        <v/>
      </c>
      <c r="Y202" s="75">
        <f>IFERROR(Y163*Y$50/$BC85,0)</f>
        <v/>
      </c>
      <c r="Z202" s="75">
        <f>IFERROR(Z163*Z$50/$BC85,0)</f>
        <v/>
      </c>
      <c r="AA202" s="75">
        <f>IFERROR(AA163*AA$50/$BC85,0)</f>
        <v/>
      </c>
      <c r="AB202" s="75">
        <f>IFERROR(AB163*AB$50/$BC85,0)</f>
        <v/>
      </c>
      <c r="AC202" s="75">
        <f>IFERROR(AC163*AC$50/$BC85,0)</f>
        <v/>
      </c>
      <c r="AD202" s="75">
        <f>IFERROR(AD163*AD$50/$BC85,0)</f>
        <v/>
      </c>
      <c r="AE202" s="75">
        <f>IFERROR(AE163*AE$50/$BC85,0)</f>
        <v/>
      </c>
      <c r="AF202" s="75">
        <f>IFERROR(AF163*AF$50/$BC85,0)</f>
        <v/>
      </c>
      <c r="AG202" s="75">
        <f>IFERROR(AG163*AG$50/$BC85,0)</f>
        <v/>
      </c>
      <c r="AH202" s="75">
        <f>IFERROR(AH163*AH$50/$BC85,0)</f>
        <v/>
      </c>
      <c r="AI202" s="75">
        <f>IFERROR(AI163*AI$50/$BC85,0)</f>
        <v/>
      </c>
      <c r="AJ202" s="75">
        <f>IFERROR(AJ163*AJ$50/$BC85,0)</f>
        <v/>
      </c>
      <c r="AK202" s="75">
        <f>IFERROR(AK163*AK$50/$BC85,0)</f>
        <v/>
      </c>
      <c r="AL202" s="75">
        <f>IFERROR(AL163*AL$50/$BC85,0)</f>
        <v/>
      </c>
      <c r="AM202" s="75">
        <f>IFERROR(AM163*AM$50/$BC85,0)</f>
        <v/>
      </c>
      <c r="AN202" s="75">
        <f>IFERROR(AN163*AN$50/$BC85,0)</f>
        <v/>
      </c>
      <c r="AO202" s="75">
        <f>IFERROR(AO163*AO$50/$BC85,0)</f>
        <v/>
      </c>
      <c r="AP202" s="75">
        <f>IFERROR(AP163*AP$50/$BC85,0)</f>
        <v/>
      </c>
      <c r="AQ202" s="75">
        <f>IFERROR(AQ163*AQ$50/$BC85,0)</f>
        <v/>
      </c>
      <c r="AR202" s="75">
        <f>IFERROR(AR163*AR$50/$BC85,0)</f>
        <v/>
      </c>
      <c r="AS202" s="75">
        <f>IFERROR(AS163*AS$50/$BC85,0)</f>
        <v/>
      </c>
      <c r="AT202" s="75">
        <f>IFERROR(AT163*AT$50/$BC85,0)</f>
        <v/>
      </c>
      <c r="AU202" s="75">
        <f>IFERROR(AU163*AU$50/$BC85,0)</f>
        <v/>
      </c>
      <c r="AV202" s="75">
        <f>IFERROR(AV163*AV$50/$BC85,0)</f>
        <v/>
      </c>
      <c r="AW202" s="75">
        <f>IFERROR(AW163*AW$50/$BC85,0)</f>
        <v/>
      </c>
      <c r="AX202" s="75">
        <f>IFERROR(AX163*AX$50/$BC85,0)</f>
        <v/>
      </c>
      <c r="AY202" s="75">
        <f>IFERROR(AY163*AY$50/$BC85,0)</f>
        <v/>
      </c>
      <c r="AZ202" s="75">
        <f>IFERROR(AZ163*AZ$50/$BC85,0)</f>
        <v/>
      </c>
      <c r="BA202" s="75">
        <f>IFERROR(BA163*BA$50/$BC85,0)</f>
        <v/>
      </c>
      <c r="BB202" s="75">
        <f>IFERROR(BB163*BB$50/$BC85,0)</f>
        <v/>
      </c>
    </row>
    <row r="203">
      <c r="D203" s="237">
        <f>D86</f>
        <v/>
      </c>
      <c r="E203" s="75">
        <f>IFERROR(E164*E$50/$BC86,0)</f>
        <v/>
      </c>
      <c r="F203" s="75">
        <f>IFERROR(F164*F$50/$BC86,0)</f>
        <v/>
      </c>
      <c r="G203" s="75">
        <f>IFERROR(G164*G$50/$BC86,0)</f>
        <v/>
      </c>
      <c r="H203" s="75">
        <f>IFERROR(H164*H$50/$BC86,0)</f>
        <v/>
      </c>
      <c r="I203" s="75">
        <f>IFERROR(I164*I$50/$BC86,0)</f>
        <v/>
      </c>
      <c r="J203" s="75">
        <f>IFERROR(J164*J$50/$BC86,0)</f>
        <v/>
      </c>
      <c r="K203" s="75">
        <f>IFERROR(K164*K$50/$BC86,0)</f>
        <v/>
      </c>
      <c r="L203" s="75">
        <f>IFERROR(L164*L$50/$BC86,0)</f>
        <v/>
      </c>
      <c r="M203" s="75">
        <f>IFERROR(M164*M$50/$BC86,0)</f>
        <v/>
      </c>
      <c r="N203" s="75">
        <f>IFERROR(N164*N$50/$BC86,0)</f>
        <v/>
      </c>
      <c r="O203" s="75">
        <f>IFERROR(O164*O$50/$BC86,0)</f>
        <v/>
      </c>
      <c r="P203" s="75">
        <f>IFERROR(P164*P$50/$BC86,0)</f>
        <v/>
      </c>
      <c r="Q203" s="75">
        <f>IFERROR(Q164*Q$50/$BC86,0)</f>
        <v/>
      </c>
      <c r="R203" s="75">
        <f>IFERROR(R164*R$50/$BC86,0)</f>
        <v/>
      </c>
      <c r="S203" s="75">
        <f>IFERROR(S164*S$50/$BC86,0)</f>
        <v/>
      </c>
      <c r="T203" s="75">
        <f>IFERROR(T164*T$50/$BC86,0)</f>
        <v/>
      </c>
      <c r="U203" s="75">
        <f>IFERROR(U164*U$50/$BC86,0)</f>
        <v/>
      </c>
      <c r="V203" s="75">
        <f>IFERROR(V164*V$50/$BC86,0)</f>
        <v/>
      </c>
      <c r="W203" s="75">
        <f>IFERROR(W164*W$50/$BC86,0)</f>
        <v/>
      </c>
      <c r="X203" s="75">
        <f>IFERROR(X164*X$50/$BC86,0)</f>
        <v/>
      </c>
      <c r="Y203" s="75">
        <f>IFERROR(Y164*Y$50/$BC86,0)</f>
        <v/>
      </c>
      <c r="Z203" s="75">
        <f>IFERROR(Z164*Z$50/$BC86,0)</f>
        <v/>
      </c>
      <c r="AA203" s="75">
        <f>IFERROR(AA164*AA$50/$BC86,0)</f>
        <v/>
      </c>
      <c r="AB203" s="75">
        <f>IFERROR(AB164*AB$50/$BC86,0)</f>
        <v/>
      </c>
      <c r="AC203" s="75">
        <f>IFERROR(AC164*AC$50/$BC86,0)</f>
        <v/>
      </c>
      <c r="AD203" s="75">
        <f>IFERROR(AD164*AD$50/$BC86,0)</f>
        <v/>
      </c>
      <c r="AE203" s="75">
        <f>IFERROR(AE164*AE$50/$BC86,0)</f>
        <v/>
      </c>
      <c r="AF203" s="75">
        <f>IFERROR(AF164*AF$50/$BC86,0)</f>
        <v/>
      </c>
      <c r="AG203" s="75">
        <f>IFERROR(AG164*AG$50/$BC86,0)</f>
        <v/>
      </c>
      <c r="AH203" s="75">
        <f>IFERROR(AH164*AH$50/$BC86,0)</f>
        <v/>
      </c>
      <c r="AI203" s="75">
        <f>IFERROR(AI164*AI$50/$BC86,0)</f>
        <v/>
      </c>
      <c r="AJ203" s="75">
        <f>IFERROR(AJ164*AJ$50/$BC86,0)</f>
        <v/>
      </c>
      <c r="AK203" s="75">
        <f>IFERROR(AK164*AK$50/$BC86,0)</f>
        <v/>
      </c>
      <c r="AL203" s="75">
        <f>IFERROR(AL164*AL$50/$BC86,0)</f>
        <v/>
      </c>
      <c r="AM203" s="75">
        <f>IFERROR(AM164*AM$50/$BC86,0)</f>
        <v/>
      </c>
      <c r="AN203" s="75">
        <f>IFERROR(AN164*AN$50/$BC86,0)</f>
        <v/>
      </c>
      <c r="AO203" s="75">
        <f>IFERROR(AO164*AO$50/$BC86,0)</f>
        <v/>
      </c>
      <c r="AP203" s="75">
        <f>IFERROR(AP164*AP$50/$BC86,0)</f>
        <v/>
      </c>
      <c r="AQ203" s="75">
        <f>IFERROR(AQ164*AQ$50/$BC86,0)</f>
        <v/>
      </c>
      <c r="AR203" s="75">
        <f>IFERROR(AR164*AR$50/$BC86,0)</f>
        <v/>
      </c>
      <c r="AS203" s="75">
        <f>IFERROR(AS164*AS$50/$BC86,0)</f>
        <v/>
      </c>
      <c r="AT203" s="75">
        <f>IFERROR(AT164*AT$50/$BC86,0)</f>
        <v/>
      </c>
      <c r="AU203" s="75">
        <f>IFERROR(AU164*AU$50/$BC86,0)</f>
        <v/>
      </c>
      <c r="AV203" s="75">
        <f>IFERROR(AV164*AV$50/$BC86,0)</f>
        <v/>
      </c>
      <c r="AW203" s="75">
        <f>IFERROR(AW164*AW$50/$BC86,0)</f>
        <v/>
      </c>
      <c r="AX203" s="75">
        <f>IFERROR(AX164*AX$50/$BC86,0)</f>
        <v/>
      </c>
      <c r="AY203" s="75">
        <f>IFERROR(AY164*AY$50/$BC86,0)</f>
        <v/>
      </c>
      <c r="AZ203" s="75">
        <f>IFERROR(AZ164*AZ$50/$BC86,0)</f>
        <v/>
      </c>
      <c r="BA203" s="75">
        <f>IFERROR(BA164*BA$50/$BC86,0)</f>
        <v/>
      </c>
      <c r="BB203" s="75">
        <f>IFERROR(BB164*BB$50/$BC86,0)</f>
        <v/>
      </c>
    </row>
    <row r="204">
      <c r="D204" s="237">
        <f>D87</f>
        <v/>
      </c>
      <c r="E204" s="75">
        <f>IFERROR(E165*E$50/$BC87,0)</f>
        <v/>
      </c>
      <c r="F204" s="75">
        <f>IFERROR(F165*F$50/$BC87,0)</f>
        <v/>
      </c>
      <c r="G204" s="75">
        <f>IFERROR(G165*G$50/$BC87,0)</f>
        <v/>
      </c>
      <c r="H204" s="75">
        <f>IFERROR(H165*H$50/$BC87,0)</f>
        <v/>
      </c>
      <c r="I204" s="75">
        <f>IFERROR(I165*I$50/$BC87,0)</f>
        <v/>
      </c>
      <c r="J204" s="75">
        <f>IFERROR(J165*J$50/$BC87,0)</f>
        <v/>
      </c>
      <c r="K204" s="75">
        <f>IFERROR(K165*K$50/$BC87,0)</f>
        <v/>
      </c>
      <c r="L204" s="75">
        <f>IFERROR(L165*L$50/$BC87,0)</f>
        <v/>
      </c>
      <c r="M204" s="75">
        <f>IFERROR(M165*M$50/$BC87,0)</f>
        <v/>
      </c>
      <c r="N204" s="75">
        <f>IFERROR(N165*N$50/$BC87,0)</f>
        <v/>
      </c>
      <c r="O204" s="75">
        <f>IFERROR(O165*O$50/$BC87,0)</f>
        <v/>
      </c>
      <c r="P204" s="75">
        <f>IFERROR(P165*P$50/$BC87,0)</f>
        <v/>
      </c>
      <c r="Q204" s="75">
        <f>IFERROR(Q165*Q$50/$BC87,0)</f>
        <v/>
      </c>
      <c r="R204" s="75">
        <f>IFERROR(R165*R$50/$BC87,0)</f>
        <v/>
      </c>
      <c r="S204" s="75">
        <f>IFERROR(S165*S$50/$BC87,0)</f>
        <v/>
      </c>
      <c r="T204" s="75">
        <f>IFERROR(T165*T$50/$BC87,0)</f>
        <v/>
      </c>
      <c r="U204" s="75">
        <f>IFERROR(U165*U$50/$BC87,0)</f>
        <v/>
      </c>
      <c r="V204" s="75">
        <f>IFERROR(V165*V$50/$BC87,0)</f>
        <v/>
      </c>
      <c r="W204" s="75">
        <f>IFERROR(W165*W$50/$BC87,0)</f>
        <v/>
      </c>
      <c r="X204" s="75">
        <f>IFERROR(X165*X$50/$BC87,0)</f>
        <v/>
      </c>
      <c r="Y204" s="75">
        <f>IFERROR(Y165*Y$50/$BC87,0)</f>
        <v/>
      </c>
      <c r="Z204" s="75">
        <f>IFERROR(Z165*Z$50/$BC87,0)</f>
        <v/>
      </c>
      <c r="AA204" s="75">
        <f>IFERROR(AA165*AA$50/$BC87,0)</f>
        <v/>
      </c>
      <c r="AB204" s="75">
        <f>IFERROR(AB165*AB$50/$BC87,0)</f>
        <v/>
      </c>
      <c r="AC204" s="75">
        <f>IFERROR(AC165*AC$50/$BC87,0)</f>
        <v/>
      </c>
      <c r="AD204" s="75">
        <f>IFERROR(AD165*AD$50/$BC87,0)</f>
        <v/>
      </c>
      <c r="AE204" s="75">
        <f>IFERROR(AE165*AE$50/$BC87,0)</f>
        <v/>
      </c>
      <c r="AF204" s="75">
        <f>IFERROR(AF165*AF$50/$BC87,0)</f>
        <v/>
      </c>
      <c r="AG204" s="75">
        <f>IFERROR(AG165*AG$50/$BC87,0)</f>
        <v/>
      </c>
      <c r="AH204" s="75">
        <f>IFERROR(AH165*AH$50/$BC87,0)</f>
        <v/>
      </c>
      <c r="AI204" s="75">
        <f>IFERROR(AI165*AI$50/$BC87,0)</f>
        <v/>
      </c>
      <c r="AJ204" s="75">
        <f>IFERROR(AJ165*AJ$50/$BC87,0)</f>
        <v/>
      </c>
      <c r="AK204" s="75">
        <f>IFERROR(AK165*AK$50/$BC87,0)</f>
        <v/>
      </c>
      <c r="AL204" s="75">
        <f>IFERROR(AL165*AL$50/$BC87,0)</f>
        <v/>
      </c>
      <c r="AM204" s="75">
        <f>IFERROR(AM165*AM$50/$BC87,0)</f>
        <v/>
      </c>
      <c r="AN204" s="75">
        <f>IFERROR(AN165*AN$50/$BC87,0)</f>
        <v/>
      </c>
      <c r="AO204" s="75">
        <f>IFERROR(AO165*AO$50/$BC87,0)</f>
        <v/>
      </c>
      <c r="AP204" s="75">
        <f>IFERROR(AP165*AP$50/$BC87,0)</f>
        <v/>
      </c>
      <c r="AQ204" s="75">
        <f>IFERROR(AQ165*AQ$50/$BC87,0)</f>
        <v/>
      </c>
      <c r="AR204" s="75">
        <f>IFERROR(AR165*AR$50/$BC87,0)</f>
        <v/>
      </c>
      <c r="AS204" s="75">
        <f>IFERROR(AS165*AS$50/$BC87,0)</f>
        <v/>
      </c>
      <c r="AT204" s="75">
        <f>IFERROR(AT165*AT$50/$BC87,0)</f>
        <v/>
      </c>
      <c r="AU204" s="75">
        <f>IFERROR(AU165*AU$50/$BC87,0)</f>
        <v/>
      </c>
      <c r="AV204" s="75">
        <f>IFERROR(AV165*AV$50/$BC87,0)</f>
        <v/>
      </c>
      <c r="AW204" s="75">
        <f>IFERROR(AW165*AW$50/$BC87,0)</f>
        <v/>
      </c>
      <c r="AX204" s="75">
        <f>IFERROR(AX165*AX$50/$BC87,0)</f>
        <v/>
      </c>
      <c r="AY204" s="75">
        <f>IFERROR(AY165*AY$50/$BC87,0)</f>
        <v/>
      </c>
      <c r="AZ204" s="75">
        <f>IFERROR(AZ165*AZ$50/$BC87,0)</f>
        <v/>
      </c>
      <c r="BA204" s="75">
        <f>IFERROR(BA165*BA$50/$BC87,0)</f>
        <v/>
      </c>
      <c r="BB204" s="75">
        <f>IFERROR(BB165*BB$50/$BC87,0)</f>
        <v/>
      </c>
    </row>
    <row r="205">
      <c r="D205" s="237">
        <f>D88</f>
        <v/>
      </c>
      <c r="E205" s="75">
        <f>IFERROR(E166*E$50/$BC88,0)</f>
        <v/>
      </c>
      <c r="F205" s="75">
        <f>IFERROR(F166*F$50/$BC88,0)</f>
        <v/>
      </c>
      <c r="G205" s="75">
        <f>IFERROR(G166*G$50/$BC88,0)</f>
        <v/>
      </c>
      <c r="H205" s="75">
        <f>IFERROR(H166*H$50/$BC88,0)</f>
        <v/>
      </c>
      <c r="I205" s="75">
        <f>IFERROR(I166*I$50/$BC88,0)</f>
        <v/>
      </c>
      <c r="J205" s="75">
        <f>IFERROR(J166*J$50/$BC88,0)</f>
        <v/>
      </c>
      <c r="K205" s="75">
        <f>IFERROR(K166*K$50/$BC88,0)</f>
        <v/>
      </c>
      <c r="L205" s="75">
        <f>IFERROR(L166*L$50/$BC88,0)</f>
        <v/>
      </c>
      <c r="M205" s="75">
        <f>IFERROR(M166*M$50/$BC88,0)</f>
        <v/>
      </c>
      <c r="N205" s="75">
        <f>IFERROR(N166*N$50/$BC88,0)</f>
        <v/>
      </c>
      <c r="O205" s="75">
        <f>IFERROR(O166*O$50/$BC88,0)</f>
        <v/>
      </c>
      <c r="P205" s="75">
        <f>IFERROR(P166*P$50/$BC88,0)</f>
        <v/>
      </c>
      <c r="Q205" s="75">
        <f>IFERROR(Q166*Q$50/$BC88,0)</f>
        <v/>
      </c>
      <c r="R205" s="75">
        <f>IFERROR(R166*R$50/$BC88,0)</f>
        <v/>
      </c>
      <c r="S205" s="75">
        <f>IFERROR(S166*S$50/$BC88,0)</f>
        <v/>
      </c>
      <c r="T205" s="75">
        <f>IFERROR(T166*T$50/$BC88,0)</f>
        <v/>
      </c>
      <c r="U205" s="75">
        <f>IFERROR(U166*U$50/$BC88,0)</f>
        <v/>
      </c>
      <c r="V205" s="75">
        <f>IFERROR(V166*V$50/$BC88,0)</f>
        <v/>
      </c>
      <c r="W205" s="75">
        <f>IFERROR(W166*W$50/$BC88,0)</f>
        <v/>
      </c>
      <c r="X205" s="75">
        <f>IFERROR(X166*X$50/$BC88,0)</f>
        <v/>
      </c>
      <c r="Y205" s="75">
        <f>IFERROR(Y166*Y$50/$BC88,0)</f>
        <v/>
      </c>
      <c r="Z205" s="75">
        <f>IFERROR(Z166*Z$50/$BC88,0)</f>
        <v/>
      </c>
      <c r="AA205" s="75">
        <f>IFERROR(AA166*AA$50/$BC88,0)</f>
        <v/>
      </c>
      <c r="AB205" s="75">
        <f>IFERROR(AB166*AB$50/$BC88,0)</f>
        <v/>
      </c>
      <c r="AC205" s="75">
        <f>IFERROR(AC166*AC$50/$BC88,0)</f>
        <v/>
      </c>
      <c r="AD205" s="75">
        <f>IFERROR(AD166*AD$50/$BC88,0)</f>
        <v/>
      </c>
      <c r="AE205" s="75">
        <f>IFERROR(AE166*AE$50/$BC88,0)</f>
        <v/>
      </c>
      <c r="AF205" s="75">
        <f>IFERROR(AF166*AF$50/$BC88,0)</f>
        <v/>
      </c>
      <c r="AG205" s="75">
        <f>IFERROR(AG166*AG$50/$BC88,0)</f>
        <v/>
      </c>
      <c r="AH205" s="75">
        <f>IFERROR(AH166*AH$50/$BC88,0)</f>
        <v/>
      </c>
      <c r="AI205" s="75">
        <f>IFERROR(AI166*AI$50/$BC88,0)</f>
        <v/>
      </c>
      <c r="AJ205" s="75">
        <f>IFERROR(AJ166*AJ$50/$BC88,0)</f>
        <v/>
      </c>
      <c r="AK205" s="75">
        <f>IFERROR(AK166*AK$50/$BC88,0)</f>
        <v/>
      </c>
      <c r="AL205" s="75">
        <f>IFERROR(AL166*AL$50/$BC88,0)</f>
        <v/>
      </c>
      <c r="AM205" s="75">
        <f>IFERROR(AM166*AM$50/$BC88,0)</f>
        <v/>
      </c>
      <c r="AN205" s="75">
        <f>IFERROR(AN166*AN$50/$BC88,0)</f>
        <v/>
      </c>
      <c r="AO205" s="75">
        <f>IFERROR(AO166*AO$50/$BC88,0)</f>
        <v/>
      </c>
      <c r="AP205" s="75">
        <f>IFERROR(AP166*AP$50/$BC88,0)</f>
        <v/>
      </c>
      <c r="AQ205" s="75">
        <f>IFERROR(AQ166*AQ$50/$BC88,0)</f>
        <v/>
      </c>
      <c r="AR205" s="75">
        <f>IFERROR(AR166*AR$50/$BC88,0)</f>
        <v/>
      </c>
      <c r="AS205" s="75">
        <f>IFERROR(AS166*AS$50/$BC88,0)</f>
        <v/>
      </c>
      <c r="AT205" s="75">
        <f>IFERROR(AT166*AT$50/$BC88,0)</f>
        <v/>
      </c>
      <c r="AU205" s="75">
        <f>IFERROR(AU166*AU$50/$BC88,0)</f>
        <v/>
      </c>
      <c r="AV205" s="75">
        <f>IFERROR(AV166*AV$50/$BC88,0)</f>
        <v/>
      </c>
      <c r="AW205" s="75">
        <f>IFERROR(AW166*AW$50/$BC88,0)</f>
        <v/>
      </c>
      <c r="AX205" s="75">
        <f>IFERROR(AX166*AX$50/$BC88,0)</f>
        <v/>
      </c>
      <c r="AY205" s="75">
        <f>IFERROR(AY166*AY$50/$BC88,0)</f>
        <v/>
      </c>
      <c r="AZ205" s="75">
        <f>IFERROR(AZ166*AZ$50/$BC88,0)</f>
        <v/>
      </c>
      <c r="BA205" s="75">
        <f>IFERROR(BA166*BA$50/$BC88,0)</f>
        <v/>
      </c>
      <c r="BB205" s="75">
        <f>IFERROR(BB166*BB$50/$BC88,0)</f>
        <v/>
      </c>
    </row>
    <row r="206">
      <c r="D206" s="237">
        <f>D89</f>
        <v/>
      </c>
      <c r="E206" s="75">
        <f>IFERROR(E167*E$50/$BC89,0)</f>
        <v/>
      </c>
      <c r="F206" s="75">
        <f>IFERROR(F167*F$50/$BC89,0)</f>
        <v/>
      </c>
      <c r="G206" s="75">
        <f>IFERROR(G167*G$50/$BC89,0)</f>
        <v/>
      </c>
      <c r="H206" s="75">
        <f>IFERROR(H167*H$50/$BC89,0)</f>
        <v/>
      </c>
      <c r="I206" s="75">
        <f>IFERROR(I167*I$50/$BC89,0)</f>
        <v/>
      </c>
      <c r="J206" s="75">
        <f>IFERROR(J167*J$50/$BC89,0)</f>
        <v/>
      </c>
      <c r="K206" s="75">
        <f>IFERROR(K167*K$50/$BC89,0)</f>
        <v/>
      </c>
      <c r="L206" s="75">
        <f>IFERROR(L167*L$50/$BC89,0)</f>
        <v/>
      </c>
      <c r="M206" s="75">
        <f>IFERROR(M167*M$50/$BC89,0)</f>
        <v/>
      </c>
      <c r="N206" s="75">
        <f>IFERROR(N167*N$50/$BC89,0)</f>
        <v/>
      </c>
      <c r="O206" s="75">
        <f>IFERROR(O167*O$50/$BC89,0)</f>
        <v/>
      </c>
      <c r="P206" s="75">
        <f>IFERROR(P167*P$50/$BC89,0)</f>
        <v/>
      </c>
      <c r="Q206" s="75">
        <f>IFERROR(Q167*Q$50/$BC89,0)</f>
        <v/>
      </c>
      <c r="R206" s="75">
        <f>IFERROR(R167*R$50/$BC89,0)</f>
        <v/>
      </c>
      <c r="S206" s="75">
        <f>IFERROR(S167*S$50/$BC89,0)</f>
        <v/>
      </c>
      <c r="T206" s="75">
        <f>IFERROR(T167*T$50/$BC89,0)</f>
        <v/>
      </c>
      <c r="U206" s="75">
        <f>IFERROR(U167*U$50/$BC89,0)</f>
        <v/>
      </c>
      <c r="V206" s="75">
        <f>IFERROR(V167*V$50/$BC89,0)</f>
        <v/>
      </c>
      <c r="W206" s="75">
        <f>IFERROR(W167*W$50/$BC89,0)</f>
        <v/>
      </c>
      <c r="X206" s="75">
        <f>IFERROR(X167*X$50/$BC89,0)</f>
        <v/>
      </c>
      <c r="Y206" s="75">
        <f>IFERROR(Y167*Y$50/$BC89,0)</f>
        <v/>
      </c>
      <c r="Z206" s="75">
        <f>IFERROR(Z167*Z$50/$BC89,0)</f>
        <v/>
      </c>
      <c r="AA206" s="75">
        <f>IFERROR(AA167*AA$50/$BC89,0)</f>
        <v/>
      </c>
      <c r="AB206" s="75">
        <f>IFERROR(AB167*AB$50/$BC89,0)</f>
        <v/>
      </c>
      <c r="AC206" s="75">
        <f>IFERROR(AC167*AC$50/$BC89,0)</f>
        <v/>
      </c>
      <c r="AD206" s="75">
        <f>IFERROR(AD167*AD$50/$BC89,0)</f>
        <v/>
      </c>
      <c r="AE206" s="75">
        <f>IFERROR(AE167*AE$50/$BC89,0)</f>
        <v/>
      </c>
      <c r="AF206" s="75">
        <f>IFERROR(AF167*AF$50/$BC89,0)</f>
        <v/>
      </c>
      <c r="AG206" s="75">
        <f>IFERROR(AG167*AG$50/$BC89,0)</f>
        <v/>
      </c>
      <c r="AH206" s="75">
        <f>IFERROR(AH167*AH$50/$BC89,0)</f>
        <v/>
      </c>
      <c r="AI206" s="75">
        <f>IFERROR(AI167*AI$50/$BC89,0)</f>
        <v/>
      </c>
      <c r="AJ206" s="75">
        <f>IFERROR(AJ167*AJ$50/$BC89,0)</f>
        <v/>
      </c>
      <c r="AK206" s="75">
        <f>IFERROR(AK167*AK$50/$BC89,0)</f>
        <v/>
      </c>
      <c r="AL206" s="75">
        <f>IFERROR(AL167*AL$50/$BC89,0)</f>
        <v/>
      </c>
      <c r="AM206" s="75">
        <f>IFERROR(AM167*AM$50/$BC89,0)</f>
        <v/>
      </c>
      <c r="AN206" s="75">
        <f>IFERROR(AN167*AN$50/$BC89,0)</f>
        <v/>
      </c>
      <c r="AO206" s="75">
        <f>IFERROR(AO167*AO$50/$BC89,0)</f>
        <v/>
      </c>
      <c r="AP206" s="75">
        <f>IFERROR(AP167*AP$50/$BC89,0)</f>
        <v/>
      </c>
      <c r="AQ206" s="75">
        <f>IFERROR(AQ167*AQ$50/$BC89,0)</f>
        <v/>
      </c>
      <c r="AR206" s="75">
        <f>IFERROR(AR167*AR$50/$BC89,0)</f>
        <v/>
      </c>
      <c r="AS206" s="75">
        <f>IFERROR(AS167*AS$50/$BC89,0)</f>
        <v/>
      </c>
      <c r="AT206" s="75">
        <f>IFERROR(AT167*AT$50/$BC89,0)</f>
        <v/>
      </c>
      <c r="AU206" s="75">
        <f>IFERROR(AU167*AU$50/$BC89,0)</f>
        <v/>
      </c>
      <c r="AV206" s="75">
        <f>IFERROR(AV167*AV$50/$BC89,0)</f>
        <v/>
      </c>
      <c r="AW206" s="75">
        <f>IFERROR(AW167*AW$50/$BC89,0)</f>
        <v/>
      </c>
      <c r="AX206" s="75">
        <f>IFERROR(AX167*AX$50/$BC89,0)</f>
        <v/>
      </c>
      <c r="AY206" s="75">
        <f>IFERROR(AY167*AY$50/$BC89,0)</f>
        <v/>
      </c>
      <c r="AZ206" s="75">
        <f>IFERROR(AZ167*AZ$50/$BC89,0)</f>
        <v/>
      </c>
      <c r="BA206" s="75">
        <f>IFERROR(BA167*BA$50/$BC89,0)</f>
        <v/>
      </c>
      <c r="BB206" s="75">
        <f>IFERROR(BB167*BB$50/$BC89,0)</f>
        <v/>
      </c>
    </row>
    <row r="207">
      <c r="D207" s="237">
        <f>D90</f>
        <v/>
      </c>
      <c r="E207" s="75">
        <f>IFERROR(E168*E$50/$BC90,0)</f>
        <v/>
      </c>
      <c r="F207" s="75">
        <f>IFERROR(F168*F$50/$BC90,0)</f>
        <v/>
      </c>
      <c r="G207" s="75">
        <f>IFERROR(G168*G$50/$BC90,0)</f>
        <v/>
      </c>
      <c r="H207" s="75">
        <f>IFERROR(H168*H$50/$BC90,0)</f>
        <v/>
      </c>
      <c r="I207" s="75">
        <f>IFERROR(I168*I$50/$BC90,0)</f>
        <v/>
      </c>
      <c r="J207" s="75">
        <f>IFERROR(J168*J$50/$BC90,0)</f>
        <v/>
      </c>
      <c r="K207" s="75">
        <f>IFERROR(K168*K$50/$BC90,0)</f>
        <v/>
      </c>
      <c r="L207" s="75">
        <f>IFERROR(L168*L$50/$BC90,0)</f>
        <v/>
      </c>
      <c r="M207" s="75">
        <f>IFERROR(M168*M$50/$BC90,0)</f>
        <v/>
      </c>
      <c r="N207" s="75">
        <f>IFERROR(N168*N$50/$BC90,0)</f>
        <v/>
      </c>
      <c r="O207" s="75">
        <f>IFERROR(O168*O$50/$BC90,0)</f>
        <v/>
      </c>
      <c r="P207" s="75">
        <f>IFERROR(P168*P$50/$BC90,0)</f>
        <v/>
      </c>
      <c r="Q207" s="75">
        <f>IFERROR(Q168*Q$50/$BC90,0)</f>
        <v/>
      </c>
      <c r="R207" s="75">
        <f>IFERROR(R168*R$50/$BC90,0)</f>
        <v/>
      </c>
      <c r="S207" s="75">
        <f>IFERROR(S168*S$50/$BC90,0)</f>
        <v/>
      </c>
      <c r="T207" s="75">
        <f>IFERROR(T168*T$50/$BC90,0)</f>
        <v/>
      </c>
      <c r="U207" s="75">
        <f>IFERROR(U168*U$50/$BC90,0)</f>
        <v/>
      </c>
      <c r="V207" s="75">
        <f>IFERROR(V168*V$50/$BC90,0)</f>
        <v/>
      </c>
      <c r="W207" s="75">
        <f>IFERROR(W168*W$50/$BC90,0)</f>
        <v/>
      </c>
      <c r="X207" s="75">
        <f>IFERROR(X168*X$50/$BC90,0)</f>
        <v/>
      </c>
      <c r="Y207" s="75">
        <f>IFERROR(Y168*Y$50/$BC90,0)</f>
        <v/>
      </c>
      <c r="Z207" s="75">
        <f>IFERROR(Z168*Z$50/$BC90,0)</f>
        <v/>
      </c>
      <c r="AA207" s="75">
        <f>IFERROR(AA168*AA$50/$BC90,0)</f>
        <v/>
      </c>
      <c r="AB207" s="75">
        <f>IFERROR(AB168*AB$50/$BC90,0)</f>
        <v/>
      </c>
      <c r="AC207" s="75">
        <f>IFERROR(AC168*AC$50/$BC90,0)</f>
        <v/>
      </c>
      <c r="AD207" s="75">
        <f>IFERROR(AD168*AD$50/$BC90,0)</f>
        <v/>
      </c>
      <c r="AE207" s="75">
        <f>IFERROR(AE168*AE$50/$BC90,0)</f>
        <v/>
      </c>
      <c r="AF207" s="75">
        <f>IFERROR(AF168*AF$50/$BC90,0)</f>
        <v/>
      </c>
      <c r="AG207" s="75">
        <f>IFERROR(AG168*AG$50/$BC90,0)</f>
        <v/>
      </c>
      <c r="AH207" s="75">
        <f>IFERROR(AH168*AH$50/$BC90,0)</f>
        <v/>
      </c>
      <c r="AI207" s="75">
        <f>IFERROR(AI168*AI$50/$BC90,0)</f>
        <v/>
      </c>
      <c r="AJ207" s="75">
        <f>IFERROR(AJ168*AJ$50/$BC90,0)</f>
        <v/>
      </c>
      <c r="AK207" s="75">
        <f>IFERROR(AK168*AK$50/$BC90,0)</f>
        <v/>
      </c>
      <c r="AL207" s="75">
        <f>IFERROR(AL168*AL$50/$BC90,0)</f>
        <v/>
      </c>
      <c r="AM207" s="75">
        <f>IFERROR(AM168*AM$50/$BC90,0)</f>
        <v/>
      </c>
      <c r="AN207" s="75">
        <f>IFERROR(AN168*AN$50/$BC90,0)</f>
        <v/>
      </c>
      <c r="AO207" s="75">
        <f>IFERROR(AO168*AO$50/$BC90,0)</f>
        <v/>
      </c>
      <c r="AP207" s="75">
        <f>IFERROR(AP168*AP$50/$BC90,0)</f>
        <v/>
      </c>
      <c r="AQ207" s="75">
        <f>IFERROR(AQ168*AQ$50/$BC90,0)</f>
        <v/>
      </c>
      <c r="AR207" s="75">
        <f>IFERROR(AR168*AR$50/$BC90,0)</f>
        <v/>
      </c>
      <c r="AS207" s="75">
        <f>IFERROR(AS168*AS$50/$BC90,0)</f>
        <v/>
      </c>
      <c r="AT207" s="75">
        <f>IFERROR(AT168*AT$50/$BC90,0)</f>
        <v/>
      </c>
      <c r="AU207" s="75">
        <f>IFERROR(AU168*AU$50/$BC90,0)</f>
        <v/>
      </c>
      <c r="AV207" s="75">
        <f>IFERROR(AV168*AV$50/$BC90,0)</f>
        <v/>
      </c>
      <c r="AW207" s="75">
        <f>IFERROR(AW168*AW$50/$BC90,0)</f>
        <v/>
      </c>
      <c r="AX207" s="75">
        <f>IFERROR(AX168*AX$50/$BC90,0)</f>
        <v/>
      </c>
      <c r="AY207" s="75">
        <f>IFERROR(AY168*AY$50/$BC90,0)</f>
        <v/>
      </c>
      <c r="AZ207" s="75">
        <f>IFERROR(AZ168*AZ$50/$BC90,0)</f>
        <v/>
      </c>
      <c r="BA207" s="75">
        <f>IFERROR(BA168*BA$50/$BC90,0)</f>
        <v/>
      </c>
      <c r="BB207" s="75">
        <f>IFERROR(BB168*BB$50/$BC90,0)</f>
        <v/>
      </c>
    </row>
    <row r="208">
      <c r="D208" s="237">
        <f>D91</f>
        <v/>
      </c>
      <c r="E208" s="75">
        <f>IFERROR(E169*E$50/$BC91,0)</f>
        <v/>
      </c>
      <c r="F208" s="75">
        <f>IFERROR(F169*F$50/$BC91,0)</f>
        <v/>
      </c>
      <c r="G208" s="75">
        <f>IFERROR(G169*G$50/$BC91,0)</f>
        <v/>
      </c>
      <c r="H208" s="75">
        <f>IFERROR(H169*H$50/$BC91,0)</f>
        <v/>
      </c>
      <c r="I208" s="75">
        <f>IFERROR(I169*I$50/$BC91,0)</f>
        <v/>
      </c>
      <c r="J208" s="75">
        <f>IFERROR(J169*J$50/$BC91,0)</f>
        <v/>
      </c>
      <c r="K208" s="75">
        <f>IFERROR(K169*K$50/$BC91,0)</f>
        <v/>
      </c>
      <c r="L208" s="75">
        <f>IFERROR(L169*L$50/$BC91,0)</f>
        <v/>
      </c>
      <c r="M208" s="75">
        <f>IFERROR(M169*M$50/$BC91,0)</f>
        <v/>
      </c>
      <c r="N208" s="75">
        <f>IFERROR(N169*N$50/$BC91,0)</f>
        <v/>
      </c>
      <c r="O208" s="75">
        <f>IFERROR(O169*O$50/$BC91,0)</f>
        <v/>
      </c>
      <c r="P208" s="75">
        <f>IFERROR(P169*P$50/$BC91,0)</f>
        <v/>
      </c>
      <c r="Q208" s="75">
        <f>IFERROR(Q169*Q$50/$BC91,0)</f>
        <v/>
      </c>
      <c r="R208" s="75">
        <f>IFERROR(R169*R$50/$BC91,0)</f>
        <v/>
      </c>
      <c r="S208" s="75">
        <f>IFERROR(S169*S$50/$BC91,0)</f>
        <v/>
      </c>
      <c r="T208" s="75">
        <f>IFERROR(T169*T$50/$BC91,0)</f>
        <v/>
      </c>
      <c r="U208" s="75">
        <f>IFERROR(U169*U$50/$BC91,0)</f>
        <v/>
      </c>
      <c r="V208" s="75">
        <f>IFERROR(V169*V$50/$BC91,0)</f>
        <v/>
      </c>
      <c r="W208" s="75">
        <f>IFERROR(W169*W$50/$BC91,0)</f>
        <v/>
      </c>
      <c r="X208" s="75">
        <f>IFERROR(X169*X$50/$BC91,0)</f>
        <v/>
      </c>
      <c r="Y208" s="75">
        <f>IFERROR(Y169*Y$50/$BC91,0)</f>
        <v/>
      </c>
      <c r="Z208" s="75">
        <f>IFERROR(Z169*Z$50/$BC91,0)</f>
        <v/>
      </c>
      <c r="AA208" s="75">
        <f>IFERROR(AA169*AA$50/$BC91,0)</f>
        <v/>
      </c>
      <c r="AB208" s="75">
        <f>IFERROR(AB169*AB$50/$BC91,0)</f>
        <v/>
      </c>
      <c r="AC208" s="75">
        <f>IFERROR(AC169*AC$50/$BC91,0)</f>
        <v/>
      </c>
      <c r="AD208" s="75">
        <f>IFERROR(AD169*AD$50/$BC91,0)</f>
        <v/>
      </c>
      <c r="AE208" s="75">
        <f>IFERROR(AE169*AE$50/$BC91,0)</f>
        <v/>
      </c>
      <c r="AF208" s="75">
        <f>IFERROR(AF169*AF$50/$BC91,0)</f>
        <v/>
      </c>
      <c r="AG208" s="75">
        <f>IFERROR(AG169*AG$50/$BC91,0)</f>
        <v/>
      </c>
      <c r="AH208" s="75">
        <f>IFERROR(AH169*AH$50/$BC91,0)</f>
        <v/>
      </c>
      <c r="AI208" s="75">
        <f>IFERROR(AI169*AI$50/$BC91,0)</f>
        <v/>
      </c>
      <c r="AJ208" s="75">
        <f>IFERROR(AJ169*AJ$50/$BC91,0)</f>
        <v/>
      </c>
      <c r="AK208" s="75">
        <f>IFERROR(AK169*AK$50/$BC91,0)</f>
        <v/>
      </c>
      <c r="AL208" s="75">
        <f>IFERROR(AL169*AL$50/$BC91,0)</f>
        <v/>
      </c>
      <c r="AM208" s="75">
        <f>IFERROR(AM169*AM$50/$BC91,0)</f>
        <v/>
      </c>
      <c r="AN208" s="75">
        <f>IFERROR(AN169*AN$50/$BC91,0)</f>
        <v/>
      </c>
      <c r="AO208" s="75">
        <f>IFERROR(AO169*AO$50/$BC91,0)</f>
        <v/>
      </c>
      <c r="AP208" s="75">
        <f>IFERROR(AP169*AP$50/$BC91,0)</f>
        <v/>
      </c>
      <c r="AQ208" s="75">
        <f>IFERROR(AQ169*AQ$50/$BC91,0)</f>
        <v/>
      </c>
      <c r="AR208" s="75">
        <f>IFERROR(AR169*AR$50/$BC91,0)</f>
        <v/>
      </c>
      <c r="AS208" s="75">
        <f>IFERROR(AS169*AS$50/$BC91,0)</f>
        <v/>
      </c>
      <c r="AT208" s="75">
        <f>IFERROR(AT169*AT$50/$BC91,0)</f>
        <v/>
      </c>
      <c r="AU208" s="75">
        <f>IFERROR(AU169*AU$50/$BC91,0)</f>
        <v/>
      </c>
      <c r="AV208" s="75">
        <f>IFERROR(AV169*AV$50/$BC91,0)</f>
        <v/>
      </c>
      <c r="AW208" s="75">
        <f>IFERROR(AW169*AW$50/$BC91,0)</f>
        <v/>
      </c>
      <c r="AX208" s="75">
        <f>IFERROR(AX169*AX$50/$BC91,0)</f>
        <v/>
      </c>
      <c r="AY208" s="75">
        <f>IFERROR(AY169*AY$50/$BC91,0)</f>
        <v/>
      </c>
      <c r="AZ208" s="75">
        <f>IFERROR(AZ169*AZ$50/$BC91,0)</f>
        <v/>
      </c>
      <c r="BA208" s="75">
        <f>IFERROR(BA169*BA$50/$BC91,0)</f>
        <v/>
      </c>
      <c r="BB208" s="75">
        <f>IFERROR(BB169*BB$50/$BC91,0)</f>
        <v/>
      </c>
    </row>
    <row r="209">
      <c r="D209" s="237">
        <f>D92</f>
        <v/>
      </c>
      <c r="E209" s="75">
        <f>IFERROR(E170*E$50/$BC92,0)</f>
        <v/>
      </c>
      <c r="F209" s="75">
        <f>IFERROR(F170*F$50/$BC92,0)</f>
        <v/>
      </c>
      <c r="G209" s="75">
        <f>IFERROR(G170*G$50/$BC92,0)</f>
        <v/>
      </c>
      <c r="H209" s="75">
        <f>IFERROR(H170*H$50/$BC92,0)</f>
        <v/>
      </c>
      <c r="I209" s="75">
        <f>IFERROR(I170*I$50/$BC92,0)</f>
        <v/>
      </c>
      <c r="J209" s="75">
        <f>IFERROR(J170*J$50/$BC92,0)</f>
        <v/>
      </c>
      <c r="K209" s="75">
        <f>IFERROR(K170*K$50/$BC92,0)</f>
        <v/>
      </c>
      <c r="L209" s="75">
        <f>IFERROR(L170*L$50/$BC92,0)</f>
        <v/>
      </c>
      <c r="M209" s="75">
        <f>IFERROR(M170*M$50/$BC92,0)</f>
        <v/>
      </c>
      <c r="N209" s="75">
        <f>IFERROR(N170*N$50/$BC92,0)</f>
        <v/>
      </c>
      <c r="O209" s="75">
        <f>IFERROR(O170*O$50/$BC92,0)</f>
        <v/>
      </c>
      <c r="P209" s="75">
        <f>IFERROR(P170*P$50/$BC92,0)</f>
        <v/>
      </c>
      <c r="Q209" s="75">
        <f>IFERROR(Q170*Q$50/$BC92,0)</f>
        <v/>
      </c>
      <c r="R209" s="75">
        <f>IFERROR(R170*R$50/$BC92,0)</f>
        <v/>
      </c>
      <c r="S209" s="75">
        <f>IFERROR(S170*S$50/$BC92,0)</f>
        <v/>
      </c>
      <c r="T209" s="75">
        <f>IFERROR(T170*T$50/$BC92,0)</f>
        <v/>
      </c>
      <c r="U209" s="75">
        <f>IFERROR(U170*U$50/$BC92,0)</f>
        <v/>
      </c>
      <c r="V209" s="75">
        <f>IFERROR(V170*V$50/$BC92,0)</f>
        <v/>
      </c>
      <c r="W209" s="75">
        <f>IFERROR(W170*W$50/$BC92,0)</f>
        <v/>
      </c>
      <c r="X209" s="75">
        <f>IFERROR(X170*X$50/$BC92,0)</f>
        <v/>
      </c>
      <c r="Y209" s="75">
        <f>IFERROR(Y170*Y$50/$BC92,0)</f>
        <v/>
      </c>
      <c r="Z209" s="75">
        <f>IFERROR(Z170*Z$50/$BC92,0)</f>
        <v/>
      </c>
      <c r="AA209" s="75">
        <f>IFERROR(AA170*AA$50/$BC92,0)</f>
        <v/>
      </c>
      <c r="AB209" s="75">
        <f>IFERROR(AB170*AB$50/$BC92,0)</f>
        <v/>
      </c>
      <c r="AC209" s="75">
        <f>IFERROR(AC170*AC$50/$BC92,0)</f>
        <v/>
      </c>
      <c r="AD209" s="75">
        <f>IFERROR(AD170*AD$50/$BC92,0)</f>
        <v/>
      </c>
      <c r="AE209" s="75">
        <f>IFERROR(AE170*AE$50/$BC92,0)</f>
        <v/>
      </c>
      <c r="AF209" s="75">
        <f>IFERROR(AF170*AF$50/$BC92,0)</f>
        <v/>
      </c>
      <c r="AG209" s="75">
        <f>IFERROR(AG170*AG$50/$BC92,0)</f>
        <v/>
      </c>
      <c r="AH209" s="75">
        <f>IFERROR(AH170*AH$50/$BC92,0)</f>
        <v/>
      </c>
      <c r="AI209" s="75">
        <f>IFERROR(AI170*AI$50/$BC92,0)</f>
        <v/>
      </c>
      <c r="AJ209" s="75">
        <f>IFERROR(AJ170*AJ$50/$BC92,0)</f>
        <v/>
      </c>
      <c r="AK209" s="75">
        <f>IFERROR(AK170*AK$50/$BC92,0)</f>
        <v/>
      </c>
      <c r="AL209" s="75">
        <f>IFERROR(AL170*AL$50/$BC92,0)</f>
        <v/>
      </c>
      <c r="AM209" s="75">
        <f>IFERROR(AM170*AM$50/$BC92,0)</f>
        <v/>
      </c>
      <c r="AN209" s="75">
        <f>IFERROR(AN170*AN$50/$BC92,0)</f>
        <v/>
      </c>
      <c r="AO209" s="75">
        <f>IFERROR(AO170*AO$50/$BC92,0)</f>
        <v/>
      </c>
      <c r="AP209" s="75">
        <f>IFERROR(AP170*AP$50/$BC92,0)</f>
        <v/>
      </c>
      <c r="AQ209" s="75">
        <f>IFERROR(AQ170*AQ$50/$BC92,0)</f>
        <v/>
      </c>
      <c r="AR209" s="75">
        <f>IFERROR(AR170*AR$50/$BC92,0)</f>
        <v/>
      </c>
      <c r="AS209" s="75">
        <f>IFERROR(AS170*AS$50/$BC92,0)</f>
        <v/>
      </c>
      <c r="AT209" s="75">
        <f>IFERROR(AT170*AT$50/$BC92,0)</f>
        <v/>
      </c>
      <c r="AU209" s="75">
        <f>IFERROR(AU170*AU$50/$BC92,0)</f>
        <v/>
      </c>
      <c r="AV209" s="75">
        <f>IFERROR(AV170*AV$50/$BC92,0)</f>
        <v/>
      </c>
      <c r="AW209" s="75">
        <f>IFERROR(AW170*AW$50/$BC92,0)</f>
        <v/>
      </c>
      <c r="AX209" s="75">
        <f>IFERROR(AX170*AX$50/$BC92,0)</f>
        <v/>
      </c>
      <c r="AY209" s="75">
        <f>IFERROR(AY170*AY$50/$BC92,0)</f>
        <v/>
      </c>
      <c r="AZ209" s="75">
        <f>IFERROR(AZ170*AZ$50/$BC92,0)</f>
        <v/>
      </c>
      <c r="BA209" s="75">
        <f>IFERROR(BA170*BA$50/$BC92,0)</f>
        <v/>
      </c>
      <c r="BB209" s="75">
        <f>IFERROR(BB170*BB$50/$BC92,0)</f>
        <v/>
      </c>
    </row>
    <row r="210">
      <c r="D210" s="245" t="inlineStr">
        <is>
          <t>average</t>
        </is>
      </c>
      <c r="E210" s="91">
        <f>IFERROR(AVERAGEIF(E175:E209,"&gt;0"),"")</f>
        <v/>
      </c>
      <c r="F210" s="91">
        <f>IFERROR(AVERAGEIF(F175:F209,"&gt;0"),"")</f>
        <v/>
      </c>
      <c r="G210" s="91">
        <f>IFERROR(AVERAGEIF(G175:G209,"&gt;0"),"")</f>
        <v/>
      </c>
      <c r="H210" s="91">
        <f>IFERROR(AVERAGEIF(H175:H209,"&gt;0"),"")</f>
        <v/>
      </c>
      <c r="I210" s="91">
        <f>IFERROR(AVERAGEIF(I175:I209,"&gt;0"),"")</f>
        <v/>
      </c>
      <c r="J210" s="91">
        <f>IFERROR(AVERAGEIF(J175:J209,"&gt;0"),"")</f>
        <v/>
      </c>
      <c r="K210" s="91">
        <f>IFERROR(AVERAGEIF(K175:K209,"&gt;0"),"")</f>
        <v/>
      </c>
      <c r="L210" s="91">
        <f>IFERROR(AVERAGEIF(L175:L209,"&gt;0"),"")</f>
        <v/>
      </c>
      <c r="M210" s="91">
        <f>IFERROR(AVERAGEIF(M175:M209,"&gt;0"),"")</f>
        <v/>
      </c>
      <c r="N210" s="91">
        <f>IFERROR(AVERAGEIF(N175:N209,"&gt;0"),"")</f>
        <v/>
      </c>
      <c r="O210" s="91">
        <f>IFERROR(AVERAGEIF(O175:O209,"&gt;0"),"")</f>
        <v/>
      </c>
      <c r="P210" s="91">
        <f>IFERROR(AVERAGEIF(P175:P209,"&gt;0"),"")</f>
        <v/>
      </c>
      <c r="Q210" s="91">
        <f>IFERROR(AVERAGEIF(Q175:Q209,"&gt;0"),"")</f>
        <v/>
      </c>
      <c r="R210" s="91">
        <f>IFERROR(AVERAGEIF(R175:R209,"&gt;0"),"")</f>
        <v/>
      </c>
      <c r="S210" s="91">
        <f>IFERROR(AVERAGEIF(S175:S209,"&gt;0"),"")</f>
        <v/>
      </c>
      <c r="T210" s="91">
        <f>IFERROR(AVERAGEIF(T175:T209,"&gt;0"),"")</f>
        <v/>
      </c>
      <c r="U210" s="91">
        <f>IFERROR(AVERAGEIF(U175:U209,"&gt;0"),"")</f>
        <v/>
      </c>
      <c r="V210" s="91">
        <f>IFERROR(AVERAGEIF(V175:V209,"&gt;0"),"")</f>
        <v/>
      </c>
      <c r="W210" s="91">
        <f>IFERROR(AVERAGEIF(W175:W209,"&gt;0"),"")</f>
        <v/>
      </c>
      <c r="X210" s="91">
        <f>IFERROR(AVERAGEIF(X175:X209,"&gt;0"),"")</f>
        <v/>
      </c>
      <c r="Y210" s="91">
        <f>IFERROR(AVERAGEIF(Y175:Y209,"&gt;0"),"")</f>
        <v/>
      </c>
      <c r="Z210" s="91">
        <f>IFERROR(AVERAGEIF(Z175:Z209,"&gt;0"),"")</f>
        <v/>
      </c>
      <c r="AA210" s="91">
        <f>IFERROR(AVERAGEIF(AA175:AA209,"&gt;0"),"")</f>
        <v/>
      </c>
      <c r="AB210" s="91">
        <f>IFERROR(AVERAGEIF(AB175:AB209,"&gt;0"),"")</f>
        <v/>
      </c>
      <c r="AC210" s="91">
        <f>IFERROR(AVERAGEIF(AC175:AC209,"&gt;0"),"")</f>
        <v/>
      </c>
      <c r="AD210" s="91">
        <f>IFERROR(AVERAGEIF(AD175:AD209,"&gt;0"),"")</f>
        <v/>
      </c>
      <c r="AE210" s="91">
        <f>IFERROR(AVERAGEIF(AE175:AE209,"&gt;0"),"")</f>
        <v/>
      </c>
      <c r="AF210" s="91">
        <f>IFERROR(AVERAGEIF(AF175:AF209,"&gt;0"),"")</f>
        <v/>
      </c>
      <c r="AG210" s="91">
        <f>IFERROR(AVERAGEIF(AG175:AG209,"&gt;0"),"")</f>
        <v/>
      </c>
      <c r="AH210" s="91">
        <f>IFERROR(AVERAGEIF(AH175:AH209,"&gt;0"),"")</f>
        <v/>
      </c>
      <c r="AI210" s="91">
        <f>IFERROR(AVERAGEIF(AI175:AI209,"&gt;0"),"")</f>
        <v/>
      </c>
      <c r="AJ210" s="91">
        <f>IFERROR(AVERAGEIF(AJ175:AJ209,"&gt;0"),"")</f>
        <v/>
      </c>
      <c r="AK210" s="91">
        <f>IFERROR(AVERAGEIF(AK175:AK209,"&gt;0"),"")</f>
        <v/>
      </c>
      <c r="AL210" s="91">
        <f>IFERROR(AVERAGEIF(AL175:AL209,"&gt;0"),"")</f>
        <v/>
      </c>
      <c r="AM210" s="91">
        <f>IFERROR(AVERAGEIF(AM175:AM209,"&gt;0"),"")</f>
        <v/>
      </c>
      <c r="AN210" s="91">
        <f>IFERROR(AVERAGEIF(AN175:AN209,"&gt;0"),"")</f>
        <v/>
      </c>
      <c r="AO210" s="91">
        <f>IFERROR(AVERAGEIF(AO175:AO209,"&gt;0"),"")</f>
        <v/>
      </c>
      <c r="AP210" s="91">
        <f>IFERROR(AVERAGEIF(AP175:AP209,"&gt;0"),"")</f>
        <v/>
      </c>
      <c r="AQ210" s="91">
        <f>IFERROR(AVERAGEIF(AQ175:AQ209,"&gt;0"),"")</f>
        <v/>
      </c>
      <c r="AR210" s="91">
        <f>IFERROR(AVERAGEIF(AR175:AR209,"&gt;0"),"")</f>
        <v/>
      </c>
      <c r="AS210" s="91">
        <f>IFERROR(AVERAGEIF(AS175:AS209,"&gt;0"),"")</f>
        <v/>
      </c>
      <c r="AT210" s="91">
        <f>IFERROR(AVERAGEIF(AT175:AT209,"&gt;0"),"")</f>
        <v/>
      </c>
      <c r="AU210" s="91">
        <f>IFERROR(AVERAGEIF(AU175:AU209,"&gt;0"),"")</f>
        <v/>
      </c>
      <c r="AV210" s="91">
        <f>IFERROR(AVERAGEIF(AV175:AV209,"&gt;0"),"")</f>
        <v/>
      </c>
      <c r="AW210" s="91">
        <f>IFERROR(AVERAGEIF(AW175:AW209,"&gt;0"),"")</f>
        <v/>
      </c>
      <c r="AX210" s="91">
        <f>IFERROR(AVERAGEIF(AX175:AX209,"&gt;0"),"")</f>
        <v/>
      </c>
      <c r="AY210" s="91">
        <f>IFERROR(AVERAGEIF(AY175:AY209,"&gt;0"),"")</f>
        <v/>
      </c>
      <c r="AZ210" s="91">
        <f>IFERROR(AVERAGEIF(AZ175:AZ209,"&gt;0"),"")</f>
        <v/>
      </c>
      <c r="BA210" s="91">
        <f>IFERROR(AVERAGEIF(BA175:BA209,"&gt;0"),"")</f>
        <v/>
      </c>
      <c r="BB210" s="91">
        <f>IFERROR(AVERAGEIF(BB175:BB209,"&gt;0"),"")</f>
        <v/>
      </c>
    </row>
    <row r="213" ht="22.5" customHeight="1" s="179">
      <c r="D213" s="19" t="inlineStr">
        <is>
          <t>Channel Quality Index</t>
        </is>
      </c>
      <c r="E213" s="12">
        <f>E174</f>
        <v/>
      </c>
      <c r="F213" s="12">
        <f>F174</f>
        <v/>
      </c>
      <c r="G213" s="12">
        <f>G174</f>
        <v/>
      </c>
      <c r="H213" s="12">
        <f>H174</f>
        <v/>
      </c>
      <c r="I213" s="12">
        <f>I174</f>
        <v/>
      </c>
      <c r="J213" s="12">
        <f>J174</f>
        <v/>
      </c>
      <c r="K213" s="12">
        <f>K174</f>
        <v/>
      </c>
      <c r="L213" s="12">
        <f>L174</f>
        <v/>
      </c>
      <c r="M213" s="12">
        <f>M174</f>
        <v/>
      </c>
      <c r="N213" s="12">
        <f>N174</f>
        <v/>
      </c>
      <c r="O213" s="12">
        <f>O174</f>
        <v/>
      </c>
      <c r="P213" s="12">
        <f>P174</f>
        <v/>
      </c>
      <c r="Q213" s="12">
        <f>Q174</f>
        <v/>
      </c>
      <c r="R213" s="12">
        <f>R174</f>
        <v/>
      </c>
      <c r="S213" s="12">
        <f>S174</f>
        <v/>
      </c>
      <c r="T213" s="12">
        <f>T174</f>
        <v/>
      </c>
      <c r="U213" s="12">
        <f>U174</f>
        <v/>
      </c>
      <c r="V213" s="12">
        <f>V174</f>
        <v/>
      </c>
      <c r="W213" s="12">
        <f>W174</f>
        <v/>
      </c>
      <c r="X213" s="12">
        <f>X174</f>
        <v/>
      </c>
      <c r="Y213" s="12">
        <f>Y174</f>
        <v/>
      </c>
      <c r="Z213" s="12">
        <f>Z174</f>
        <v/>
      </c>
      <c r="AA213" s="12">
        <f>AA174</f>
        <v/>
      </c>
      <c r="AB213" s="12">
        <f>AB174</f>
        <v/>
      </c>
      <c r="AC213" s="12">
        <f>AC174</f>
        <v/>
      </c>
      <c r="AD213" s="12">
        <f>AD174</f>
        <v/>
      </c>
      <c r="AE213" s="12">
        <f>AE174</f>
        <v/>
      </c>
      <c r="AF213" s="12">
        <f>AF174</f>
        <v/>
      </c>
      <c r="AG213" s="12">
        <f>AG174</f>
        <v/>
      </c>
      <c r="AH213" s="12">
        <f>AH174</f>
        <v/>
      </c>
      <c r="AI213" s="12">
        <f>AI174</f>
        <v/>
      </c>
      <c r="AJ213" s="12">
        <f>AJ174</f>
        <v/>
      </c>
      <c r="AK213" s="12">
        <f>AK174</f>
        <v/>
      </c>
      <c r="AL213" s="12">
        <f>AL174</f>
        <v/>
      </c>
      <c r="AM213" s="12">
        <f>AM174</f>
        <v/>
      </c>
      <c r="AN213" s="12">
        <f>AN174</f>
        <v/>
      </c>
      <c r="AO213" s="12">
        <f>AO174</f>
        <v/>
      </c>
      <c r="AP213" s="12">
        <f>AP174</f>
        <v/>
      </c>
      <c r="AQ213" s="12">
        <f>AQ174</f>
        <v/>
      </c>
      <c r="AR213" s="12">
        <f>AR174</f>
        <v/>
      </c>
      <c r="AS213" s="12">
        <f>AS174</f>
        <v/>
      </c>
      <c r="AT213" s="12">
        <f>AT174</f>
        <v/>
      </c>
      <c r="AU213" s="12">
        <f>AU174</f>
        <v/>
      </c>
      <c r="AV213" s="12">
        <f>AV174</f>
        <v/>
      </c>
      <c r="AW213" s="12">
        <f>AW174</f>
        <v/>
      </c>
      <c r="AX213" s="12">
        <f>AX174</f>
        <v/>
      </c>
      <c r="AY213" s="12">
        <f>AY174</f>
        <v/>
      </c>
      <c r="AZ213" s="12">
        <f>AZ174</f>
        <v/>
      </c>
      <c r="BA213" s="12">
        <f>BA174</f>
        <v/>
      </c>
      <c r="BB213" s="12">
        <f>BB174</f>
        <v/>
      </c>
    </row>
    <row r="214">
      <c r="D214" s="237">
        <f>D97</f>
        <v/>
      </c>
      <c r="E214" s="75">
        <f>IFERROR(SQRT(E175/E$210)*100,0)</f>
        <v/>
      </c>
      <c r="F214" s="75">
        <f>IFERROR(SQRT(F175/F$210)*100,0)</f>
        <v/>
      </c>
      <c r="G214" s="75">
        <f>IFERROR(SQRT(G175/G$210)*100,0)</f>
        <v/>
      </c>
      <c r="H214" s="75">
        <f>IFERROR(SQRT(H175/H$210)*100,0)</f>
        <v/>
      </c>
      <c r="I214" s="75">
        <f>IFERROR(SQRT(I175/I$210)*100,0)</f>
        <v/>
      </c>
      <c r="J214" s="75">
        <f>IFERROR(SQRT(J175/J$210)*100,0)</f>
        <v/>
      </c>
      <c r="K214" s="75">
        <f>IFERROR(SQRT(K175/K$210)*100,0)</f>
        <v/>
      </c>
      <c r="L214" s="75">
        <f>IFERROR(SQRT(L175/L$210)*100,0)</f>
        <v/>
      </c>
      <c r="M214" s="75">
        <f>IFERROR(SQRT(M175/M$210)*100,0)</f>
        <v/>
      </c>
      <c r="N214" s="75">
        <f>IFERROR(SQRT(N175/N$210)*100,0)</f>
        <v/>
      </c>
      <c r="O214" s="75">
        <f>IFERROR(SQRT(O175/O$210)*100,0)</f>
        <v/>
      </c>
      <c r="P214" s="75">
        <f>IFERROR(SQRT(P175/P$210)*100,0)</f>
        <v/>
      </c>
      <c r="Q214" s="75">
        <f>IFERROR(SQRT(Q175/Q$210)*100,0)</f>
        <v/>
      </c>
      <c r="R214" s="75">
        <f>IFERROR(SQRT(R175/R$210)*100,0)</f>
        <v/>
      </c>
      <c r="S214" s="75">
        <f>IFERROR(SQRT(S175/S$210)*100,0)</f>
        <v/>
      </c>
      <c r="T214" s="75">
        <f>IFERROR(SQRT(T175/T$210)*100,0)</f>
        <v/>
      </c>
      <c r="U214" s="75">
        <f>IFERROR(SQRT(U175/U$210)*100,0)</f>
        <v/>
      </c>
      <c r="V214" s="75">
        <f>IFERROR(SQRT(V175/V$210)*100,0)</f>
        <v/>
      </c>
      <c r="W214" s="75">
        <f>IFERROR(SQRT(W175/W$210)*100,0)</f>
        <v/>
      </c>
      <c r="X214" s="75">
        <f>IFERROR(SQRT(X175/X$210)*100,0)</f>
        <v/>
      </c>
      <c r="Y214" s="75">
        <f>IFERROR(SQRT(Y175/Y$210)*100,0)</f>
        <v/>
      </c>
      <c r="Z214" s="75">
        <f>IFERROR(SQRT(Z175/Z$210)*100,0)</f>
        <v/>
      </c>
      <c r="AA214" s="75">
        <f>IFERROR(SQRT(AA175/AA$210)*100,0)</f>
        <v/>
      </c>
      <c r="AB214" s="75">
        <f>IFERROR(SQRT(AB175/AB$210)*100,0)</f>
        <v/>
      </c>
      <c r="AC214" s="75">
        <f>IFERROR(SQRT(AC175/AC$210)*100,0)</f>
        <v/>
      </c>
      <c r="AD214" s="75">
        <f>IFERROR(SQRT(AD175/AD$210)*100,0)</f>
        <v/>
      </c>
      <c r="AE214" s="75">
        <f>IFERROR(SQRT(AE175/AE$210)*100,0)</f>
        <v/>
      </c>
      <c r="AF214" s="75">
        <f>IFERROR(SQRT(AF175/AF$210)*100,0)</f>
        <v/>
      </c>
      <c r="AG214" s="75">
        <f>IFERROR(SQRT(AG175/AG$210)*100,0)</f>
        <v/>
      </c>
      <c r="AH214" s="75">
        <f>IFERROR(SQRT(AH175/AH$210)*100,0)</f>
        <v/>
      </c>
      <c r="AI214" s="75">
        <f>IFERROR(SQRT(AI175/AI$210)*100,0)</f>
        <v/>
      </c>
      <c r="AJ214" s="75">
        <f>IFERROR(SQRT(AJ175/AJ$210)*100,0)</f>
        <v/>
      </c>
      <c r="AK214" s="75">
        <f>IFERROR(SQRT(AK175/AK$210)*100,0)</f>
        <v/>
      </c>
      <c r="AL214" s="75">
        <f>IFERROR(SQRT(AL175/AL$210)*100,0)</f>
        <v/>
      </c>
      <c r="AM214" s="75">
        <f>IFERROR(SQRT(AM175/AM$210)*100,0)</f>
        <v/>
      </c>
      <c r="AN214" s="75">
        <f>IFERROR(SQRT(AN175/AN$210)*100,0)</f>
        <v/>
      </c>
      <c r="AO214" s="75">
        <f>IFERROR(SQRT(AO175/AO$210)*100,0)</f>
        <v/>
      </c>
      <c r="AP214" s="75">
        <f>IFERROR(SQRT(AP175/AP$210)*100,0)</f>
        <v/>
      </c>
      <c r="AQ214" s="75">
        <f>IFERROR(SQRT(AQ175/AQ$210)*100,0)</f>
        <v/>
      </c>
      <c r="AR214" s="75">
        <f>IFERROR(SQRT(AR175/AR$210)*100,0)</f>
        <v/>
      </c>
      <c r="AS214" s="75">
        <f>IFERROR(SQRT(AS175/AS$210)*100,0)</f>
        <v/>
      </c>
      <c r="AT214" s="75">
        <f>IFERROR(SQRT(AT175/AT$210)*100,0)</f>
        <v/>
      </c>
      <c r="AU214" s="75">
        <f>IFERROR(SQRT(AU175/AU$210)*100,0)</f>
        <v/>
      </c>
      <c r="AV214" s="75">
        <f>IFERROR(SQRT(AV175/AV$210)*100,0)</f>
        <v/>
      </c>
      <c r="AW214" s="75">
        <f>IFERROR(SQRT(AW175/AW$210)*100,0)</f>
        <v/>
      </c>
      <c r="AX214" s="75">
        <f>IFERROR(SQRT(AX175/AX$210)*100,0)</f>
        <v/>
      </c>
      <c r="AY214" s="75">
        <f>IFERROR(SQRT(AY175/AY$210)*100,0)</f>
        <v/>
      </c>
      <c r="AZ214" s="75">
        <f>IFERROR(SQRT(AZ175/AZ$210)*100,0)</f>
        <v/>
      </c>
      <c r="BA214" s="75">
        <f>IFERROR(SQRT(BA175/BA$210)*100,0)</f>
        <v/>
      </c>
      <c r="BB214" s="75">
        <f>IFERROR(SQRT(BB175/BB$210)*100,0)</f>
        <v/>
      </c>
    </row>
    <row r="215">
      <c r="D215" s="237">
        <f>D98</f>
        <v/>
      </c>
      <c r="E215" s="75">
        <f>IFERROR(SQRT(E176/E$210)*100,0)</f>
        <v/>
      </c>
      <c r="F215" s="75">
        <f>IFERROR(SQRT(F176/F$210)*100,0)</f>
        <v/>
      </c>
      <c r="G215" s="75">
        <f>IFERROR(SQRT(G176/G$210)*100,0)</f>
        <v/>
      </c>
      <c r="H215" s="75">
        <f>IFERROR(SQRT(H176/H$210)*100,0)</f>
        <v/>
      </c>
      <c r="I215" s="75">
        <f>IFERROR(SQRT(I176/I$210)*100,0)</f>
        <v/>
      </c>
      <c r="J215" s="75">
        <f>IFERROR(SQRT(J176/J$210)*100,0)</f>
        <v/>
      </c>
      <c r="K215" s="75">
        <f>IFERROR(SQRT(K176/K$210)*100,0)</f>
        <v/>
      </c>
      <c r="L215" s="75">
        <f>IFERROR(SQRT(L176/L$210)*100,0)</f>
        <v/>
      </c>
      <c r="M215" s="75">
        <f>IFERROR(SQRT(M176/M$210)*100,0)</f>
        <v/>
      </c>
      <c r="N215" s="75">
        <f>IFERROR(SQRT(N176/N$210)*100,0)</f>
        <v/>
      </c>
      <c r="O215" s="75">
        <f>IFERROR(SQRT(O176/O$210)*100,0)</f>
        <v/>
      </c>
      <c r="P215" s="75">
        <f>IFERROR(SQRT(P176/P$210)*100,0)</f>
        <v/>
      </c>
      <c r="Q215" s="75">
        <f>IFERROR(SQRT(Q176/Q$210)*100,0)</f>
        <v/>
      </c>
      <c r="R215" s="75">
        <f>IFERROR(SQRT(R176/R$210)*100,0)</f>
        <v/>
      </c>
      <c r="S215" s="75">
        <f>IFERROR(SQRT(S176/S$210)*100,0)</f>
        <v/>
      </c>
      <c r="T215" s="75">
        <f>IFERROR(SQRT(T176/T$210)*100,0)</f>
        <v/>
      </c>
      <c r="U215" s="75">
        <f>IFERROR(SQRT(U176/U$210)*100,0)</f>
        <v/>
      </c>
      <c r="V215" s="75">
        <f>IFERROR(SQRT(V176/V$210)*100,0)</f>
        <v/>
      </c>
      <c r="W215" s="75">
        <f>IFERROR(SQRT(W176/W$210)*100,0)</f>
        <v/>
      </c>
      <c r="X215" s="75">
        <f>IFERROR(SQRT(X176/X$210)*100,0)</f>
        <v/>
      </c>
      <c r="Y215" s="75">
        <f>IFERROR(SQRT(Y176/Y$210)*100,0)</f>
        <v/>
      </c>
      <c r="Z215" s="75">
        <f>IFERROR(SQRT(Z176/Z$210)*100,0)</f>
        <v/>
      </c>
      <c r="AA215" s="75">
        <f>IFERROR(SQRT(AA176/AA$210)*100,0)</f>
        <v/>
      </c>
      <c r="AB215" s="75">
        <f>IFERROR(SQRT(AB176/AB$210)*100,0)</f>
        <v/>
      </c>
      <c r="AC215" s="75">
        <f>IFERROR(SQRT(AC176/AC$210)*100,0)</f>
        <v/>
      </c>
      <c r="AD215" s="75">
        <f>IFERROR(SQRT(AD176/AD$210)*100,0)</f>
        <v/>
      </c>
      <c r="AE215" s="75">
        <f>IFERROR(SQRT(AE176/AE$210)*100,0)</f>
        <v/>
      </c>
      <c r="AF215" s="75">
        <f>IFERROR(SQRT(AF176/AF$210)*100,0)</f>
        <v/>
      </c>
      <c r="AG215" s="75">
        <f>IFERROR(SQRT(AG176/AG$210)*100,0)</f>
        <v/>
      </c>
      <c r="AH215" s="75">
        <f>IFERROR(SQRT(AH176/AH$210)*100,0)</f>
        <v/>
      </c>
      <c r="AI215" s="75">
        <f>IFERROR(SQRT(AI176/AI$210)*100,0)</f>
        <v/>
      </c>
      <c r="AJ215" s="75">
        <f>IFERROR(SQRT(AJ176/AJ$210)*100,0)</f>
        <v/>
      </c>
      <c r="AK215" s="75">
        <f>IFERROR(SQRT(AK176/AK$210)*100,0)</f>
        <v/>
      </c>
      <c r="AL215" s="75">
        <f>IFERROR(SQRT(AL176/AL$210)*100,0)</f>
        <v/>
      </c>
      <c r="AM215" s="75">
        <f>IFERROR(SQRT(AM176/AM$210)*100,0)</f>
        <v/>
      </c>
      <c r="AN215" s="75">
        <f>IFERROR(SQRT(AN176/AN$210)*100,0)</f>
        <v/>
      </c>
      <c r="AO215" s="75">
        <f>IFERROR(SQRT(AO176/AO$210)*100,0)</f>
        <v/>
      </c>
      <c r="AP215" s="75">
        <f>IFERROR(SQRT(AP176/AP$210)*100,0)</f>
        <v/>
      </c>
      <c r="AQ215" s="75">
        <f>IFERROR(SQRT(AQ176/AQ$210)*100,0)</f>
        <v/>
      </c>
      <c r="AR215" s="75">
        <f>IFERROR(SQRT(AR176/AR$210)*100,0)</f>
        <v/>
      </c>
      <c r="AS215" s="75">
        <f>IFERROR(SQRT(AS176/AS$210)*100,0)</f>
        <v/>
      </c>
      <c r="AT215" s="75">
        <f>IFERROR(SQRT(AT176/AT$210)*100,0)</f>
        <v/>
      </c>
      <c r="AU215" s="75">
        <f>IFERROR(SQRT(AU176/AU$210)*100,0)</f>
        <v/>
      </c>
      <c r="AV215" s="75">
        <f>IFERROR(SQRT(AV176/AV$210)*100,0)</f>
        <v/>
      </c>
      <c r="AW215" s="75">
        <f>IFERROR(SQRT(AW176/AW$210)*100,0)</f>
        <v/>
      </c>
      <c r="AX215" s="75">
        <f>IFERROR(SQRT(AX176/AX$210)*100,0)</f>
        <v/>
      </c>
      <c r="AY215" s="75">
        <f>IFERROR(SQRT(AY176/AY$210)*100,0)</f>
        <v/>
      </c>
      <c r="AZ215" s="75">
        <f>IFERROR(SQRT(AZ176/AZ$210)*100,0)</f>
        <v/>
      </c>
      <c r="BA215" s="75">
        <f>IFERROR(SQRT(BA176/BA$210)*100,0)</f>
        <v/>
      </c>
      <c r="BB215" s="75">
        <f>IFERROR(SQRT(BB176/BB$210)*100,0)</f>
        <v/>
      </c>
    </row>
    <row r="216">
      <c r="D216" s="237">
        <f>D99</f>
        <v/>
      </c>
      <c r="E216" s="75">
        <f>IFERROR(SQRT(E177/E$210)*100,0)</f>
        <v/>
      </c>
      <c r="F216" s="75">
        <f>IFERROR(SQRT(F177/F$210)*100,0)</f>
        <v/>
      </c>
      <c r="G216" s="75">
        <f>IFERROR(SQRT(G177/G$210)*100,0)</f>
        <v/>
      </c>
      <c r="H216" s="75">
        <f>IFERROR(SQRT(H177/H$210)*100,0)</f>
        <v/>
      </c>
      <c r="I216" s="75">
        <f>IFERROR(SQRT(I177/I$210)*100,0)</f>
        <v/>
      </c>
      <c r="J216" s="75">
        <f>IFERROR(SQRT(J177/J$210)*100,0)</f>
        <v/>
      </c>
      <c r="K216" s="75">
        <f>IFERROR(SQRT(K177/K$210)*100,0)</f>
        <v/>
      </c>
      <c r="L216" s="75">
        <f>IFERROR(SQRT(L177/L$210)*100,0)</f>
        <v/>
      </c>
      <c r="M216" s="75">
        <f>IFERROR(SQRT(M177/M$210)*100,0)</f>
        <v/>
      </c>
      <c r="N216" s="75">
        <f>IFERROR(SQRT(N177/N$210)*100,0)</f>
        <v/>
      </c>
      <c r="O216" s="75">
        <f>IFERROR(SQRT(O177/O$210)*100,0)</f>
        <v/>
      </c>
      <c r="P216" s="75">
        <f>IFERROR(SQRT(P177/P$210)*100,0)</f>
        <v/>
      </c>
      <c r="Q216" s="75">
        <f>IFERROR(SQRT(Q177/Q$210)*100,0)</f>
        <v/>
      </c>
      <c r="R216" s="75">
        <f>IFERROR(SQRT(R177/R$210)*100,0)</f>
        <v/>
      </c>
      <c r="S216" s="75">
        <f>IFERROR(SQRT(S177/S$210)*100,0)</f>
        <v/>
      </c>
      <c r="T216" s="75">
        <f>IFERROR(SQRT(T177/T$210)*100,0)</f>
        <v/>
      </c>
      <c r="U216" s="75">
        <f>IFERROR(SQRT(U177/U$210)*100,0)</f>
        <v/>
      </c>
      <c r="V216" s="75">
        <f>IFERROR(SQRT(V177/V$210)*100,0)</f>
        <v/>
      </c>
      <c r="W216" s="75">
        <f>IFERROR(SQRT(W177/W$210)*100,0)</f>
        <v/>
      </c>
      <c r="X216" s="75">
        <f>IFERROR(SQRT(X177/X$210)*100,0)</f>
        <v/>
      </c>
      <c r="Y216" s="75">
        <f>IFERROR(SQRT(Y177/Y$210)*100,0)</f>
        <v/>
      </c>
      <c r="Z216" s="75">
        <f>IFERROR(SQRT(Z177/Z$210)*100,0)</f>
        <v/>
      </c>
      <c r="AA216" s="75">
        <f>IFERROR(SQRT(AA177/AA$210)*100,0)</f>
        <v/>
      </c>
      <c r="AB216" s="75">
        <f>IFERROR(SQRT(AB177/AB$210)*100,0)</f>
        <v/>
      </c>
      <c r="AC216" s="75">
        <f>IFERROR(SQRT(AC177/AC$210)*100,0)</f>
        <v/>
      </c>
      <c r="AD216" s="75">
        <f>IFERROR(SQRT(AD177/AD$210)*100,0)</f>
        <v/>
      </c>
      <c r="AE216" s="75">
        <f>IFERROR(SQRT(AE177/AE$210)*100,0)</f>
        <v/>
      </c>
      <c r="AF216" s="75">
        <f>IFERROR(SQRT(AF177/AF$210)*100,0)</f>
        <v/>
      </c>
      <c r="AG216" s="75">
        <f>IFERROR(SQRT(AG177/AG$210)*100,0)</f>
        <v/>
      </c>
      <c r="AH216" s="75">
        <f>IFERROR(SQRT(AH177/AH$210)*100,0)</f>
        <v/>
      </c>
      <c r="AI216" s="75">
        <f>IFERROR(SQRT(AI177/AI$210)*100,0)</f>
        <v/>
      </c>
      <c r="AJ216" s="75">
        <f>IFERROR(SQRT(AJ177/AJ$210)*100,0)</f>
        <v/>
      </c>
      <c r="AK216" s="75">
        <f>IFERROR(SQRT(AK177/AK$210)*100,0)</f>
        <v/>
      </c>
      <c r="AL216" s="75">
        <f>IFERROR(SQRT(AL177/AL$210)*100,0)</f>
        <v/>
      </c>
      <c r="AM216" s="75">
        <f>IFERROR(SQRT(AM177/AM$210)*100,0)</f>
        <v/>
      </c>
      <c r="AN216" s="75">
        <f>IFERROR(SQRT(AN177/AN$210)*100,0)</f>
        <v/>
      </c>
      <c r="AO216" s="75">
        <f>IFERROR(SQRT(AO177/AO$210)*100,0)</f>
        <v/>
      </c>
      <c r="AP216" s="75">
        <f>IFERROR(SQRT(AP177/AP$210)*100,0)</f>
        <v/>
      </c>
      <c r="AQ216" s="75">
        <f>IFERROR(SQRT(AQ177/AQ$210)*100,0)</f>
        <v/>
      </c>
      <c r="AR216" s="75">
        <f>IFERROR(SQRT(AR177/AR$210)*100,0)</f>
        <v/>
      </c>
      <c r="AS216" s="75">
        <f>IFERROR(SQRT(AS177/AS$210)*100,0)</f>
        <v/>
      </c>
      <c r="AT216" s="75">
        <f>IFERROR(SQRT(AT177/AT$210)*100,0)</f>
        <v/>
      </c>
      <c r="AU216" s="75">
        <f>IFERROR(SQRT(AU177/AU$210)*100,0)</f>
        <v/>
      </c>
      <c r="AV216" s="75">
        <f>IFERROR(SQRT(AV177/AV$210)*100,0)</f>
        <v/>
      </c>
      <c r="AW216" s="75">
        <f>IFERROR(SQRT(AW177/AW$210)*100,0)</f>
        <v/>
      </c>
      <c r="AX216" s="75">
        <f>IFERROR(SQRT(AX177/AX$210)*100,0)</f>
        <v/>
      </c>
      <c r="AY216" s="75">
        <f>IFERROR(SQRT(AY177/AY$210)*100,0)</f>
        <v/>
      </c>
      <c r="AZ216" s="75">
        <f>IFERROR(SQRT(AZ177/AZ$210)*100,0)</f>
        <v/>
      </c>
      <c r="BA216" s="75">
        <f>IFERROR(SQRT(BA177/BA$210)*100,0)</f>
        <v/>
      </c>
      <c r="BB216" s="75">
        <f>IFERROR(SQRT(BB177/BB$210)*100,0)</f>
        <v/>
      </c>
    </row>
    <row r="217">
      <c r="D217" s="237">
        <f>D100</f>
        <v/>
      </c>
      <c r="E217" s="75">
        <f>IFERROR(SQRT(E178/E$210)*100,0)</f>
        <v/>
      </c>
      <c r="F217" s="75">
        <f>IFERROR(SQRT(F178/F$210)*100,0)</f>
        <v/>
      </c>
      <c r="G217" s="75">
        <f>IFERROR(SQRT(G178/G$210)*100,0)</f>
        <v/>
      </c>
      <c r="H217" s="75">
        <f>IFERROR(SQRT(H178/H$210)*100,0)</f>
        <v/>
      </c>
      <c r="I217" s="75">
        <f>IFERROR(SQRT(I178/I$210)*100,0)</f>
        <v/>
      </c>
      <c r="J217" s="75">
        <f>IFERROR(SQRT(J178/J$210)*100,0)</f>
        <v/>
      </c>
      <c r="K217" s="75">
        <f>IFERROR(SQRT(K178/K$210)*100,0)</f>
        <v/>
      </c>
      <c r="L217" s="75">
        <f>IFERROR(SQRT(L178/L$210)*100,0)</f>
        <v/>
      </c>
      <c r="M217" s="75">
        <f>IFERROR(SQRT(M178/M$210)*100,0)</f>
        <v/>
      </c>
      <c r="N217" s="75">
        <f>IFERROR(SQRT(N178/N$210)*100,0)</f>
        <v/>
      </c>
      <c r="O217" s="75">
        <f>IFERROR(SQRT(O178/O$210)*100,0)</f>
        <v/>
      </c>
      <c r="P217" s="75">
        <f>IFERROR(SQRT(P178/P$210)*100,0)</f>
        <v/>
      </c>
      <c r="Q217" s="75">
        <f>IFERROR(SQRT(Q178/Q$210)*100,0)</f>
        <v/>
      </c>
      <c r="R217" s="75">
        <f>IFERROR(SQRT(R178/R$210)*100,0)</f>
        <v/>
      </c>
      <c r="S217" s="75">
        <f>IFERROR(SQRT(S178/S$210)*100,0)</f>
        <v/>
      </c>
      <c r="T217" s="75">
        <f>IFERROR(SQRT(T178/T$210)*100,0)</f>
        <v/>
      </c>
      <c r="U217" s="75">
        <f>IFERROR(SQRT(U178/U$210)*100,0)</f>
        <v/>
      </c>
      <c r="V217" s="75">
        <f>IFERROR(SQRT(V178/V$210)*100,0)</f>
        <v/>
      </c>
      <c r="W217" s="75">
        <f>IFERROR(SQRT(W178/W$210)*100,0)</f>
        <v/>
      </c>
      <c r="X217" s="75">
        <f>IFERROR(SQRT(X178/X$210)*100,0)</f>
        <v/>
      </c>
      <c r="Y217" s="75">
        <f>IFERROR(SQRT(Y178/Y$210)*100,0)</f>
        <v/>
      </c>
      <c r="Z217" s="75">
        <f>IFERROR(SQRT(Z178/Z$210)*100,0)</f>
        <v/>
      </c>
      <c r="AA217" s="75">
        <f>IFERROR(SQRT(AA178/AA$210)*100,0)</f>
        <v/>
      </c>
      <c r="AB217" s="75">
        <f>IFERROR(SQRT(AB178/AB$210)*100,0)</f>
        <v/>
      </c>
      <c r="AC217" s="75">
        <f>IFERROR(SQRT(AC178/AC$210)*100,0)</f>
        <v/>
      </c>
      <c r="AD217" s="75">
        <f>IFERROR(SQRT(AD178/AD$210)*100,0)</f>
        <v/>
      </c>
      <c r="AE217" s="75">
        <f>IFERROR(SQRT(AE178/AE$210)*100,0)</f>
        <v/>
      </c>
      <c r="AF217" s="75">
        <f>IFERROR(SQRT(AF178/AF$210)*100,0)</f>
        <v/>
      </c>
      <c r="AG217" s="75">
        <f>IFERROR(SQRT(AG178/AG$210)*100,0)</f>
        <v/>
      </c>
      <c r="AH217" s="75">
        <f>IFERROR(SQRT(AH178/AH$210)*100,0)</f>
        <v/>
      </c>
      <c r="AI217" s="75">
        <f>IFERROR(SQRT(AI178/AI$210)*100,0)</f>
        <v/>
      </c>
      <c r="AJ217" s="75">
        <f>IFERROR(SQRT(AJ178/AJ$210)*100,0)</f>
        <v/>
      </c>
      <c r="AK217" s="75">
        <f>IFERROR(SQRT(AK178/AK$210)*100,0)</f>
        <v/>
      </c>
      <c r="AL217" s="75">
        <f>IFERROR(SQRT(AL178/AL$210)*100,0)</f>
        <v/>
      </c>
      <c r="AM217" s="75">
        <f>IFERROR(SQRT(AM178/AM$210)*100,0)</f>
        <v/>
      </c>
      <c r="AN217" s="75">
        <f>IFERROR(SQRT(AN178/AN$210)*100,0)</f>
        <v/>
      </c>
      <c r="AO217" s="75">
        <f>IFERROR(SQRT(AO178/AO$210)*100,0)</f>
        <v/>
      </c>
      <c r="AP217" s="75">
        <f>IFERROR(SQRT(AP178/AP$210)*100,0)</f>
        <v/>
      </c>
      <c r="AQ217" s="75">
        <f>IFERROR(SQRT(AQ178/AQ$210)*100,0)</f>
        <v/>
      </c>
      <c r="AR217" s="75">
        <f>IFERROR(SQRT(AR178/AR$210)*100,0)</f>
        <v/>
      </c>
      <c r="AS217" s="75">
        <f>IFERROR(SQRT(AS178/AS$210)*100,0)</f>
        <v/>
      </c>
      <c r="AT217" s="75">
        <f>IFERROR(SQRT(AT178/AT$210)*100,0)</f>
        <v/>
      </c>
      <c r="AU217" s="75">
        <f>IFERROR(SQRT(AU178/AU$210)*100,0)</f>
        <v/>
      </c>
      <c r="AV217" s="75">
        <f>IFERROR(SQRT(AV178/AV$210)*100,0)</f>
        <v/>
      </c>
      <c r="AW217" s="75">
        <f>IFERROR(SQRT(AW178/AW$210)*100,0)</f>
        <v/>
      </c>
      <c r="AX217" s="75">
        <f>IFERROR(SQRT(AX178/AX$210)*100,0)</f>
        <v/>
      </c>
      <c r="AY217" s="75">
        <f>IFERROR(SQRT(AY178/AY$210)*100,0)</f>
        <v/>
      </c>
      <c r="AZ217" s="75">
        <f>IFERROR(SQRT(AZ178/AZ$210)*100,0)</f>
        <v/>
      </c>
      <c r="BA217" s="75">
        <f>IFERROR(SQRT(BA178/BA$210)*100,0)</f>
        <v/>
      </c>
      <c r="BB217" s="75">
        <f>IFERROR(SQRT(BB178/BB$210)*100,0)</f>
        <v/>
      </c>
    </row>
    <row r="218">
      <c r="D218" s="237">
        <f>D101</f>
        <v/>
      </c>
      <c r="E218" s="75">
        <f>IFERROR(SQRT(E179/E$210)*100,0)</f>
        <v/>
      </c>
      <c r="F218" s="75">
        <f>IFERROR(SQRT(F179/F$210)*100,0)</f>
        <v/>
      </c>
      <c r="G218" s="75">
        <f>IFERROR(SQRT(G179/G$210)*100,0)</f>
        <v/>
      </c>
      <c r="H218" s="75">
        <f>IFERROR(SQRT(H179/H$210)*100,0)</f>
        <v/>
      </c>
      <c r="I218" s="75">
        <f>IFERROR(SQRT(I179/I$210)*100,0)</f>
        <v/>
      </c>
      <c r="J218" s="75">
        <f>IFERROR(SQRT(J179/J$210)*100,0)</f>
        <v/>
      </c>
      <c r="K218" s="75">
        <f>IFERROR(SQRT(K179/K$210)*100,0)</f>
        <v/>
      </c>
      <c r="L218" s="75">
        <f>IFERROR(SQRT(L179/L$210)*100,0)</f>
        <v/>
      </c>
      <c r="M218" s="75">
        <f>IFERROR(SQRT(M179/M$210)*100,0)</f>
        <v/>
      </c>
      <c r="N218" s="75">
        <f>IFERROR(SQRT(N179/N$210)*100,0)</f>
        <v/>
      </c>
      <c r="O218" s="75">
        <f>IFERROR(SQRT(O179/O$210)*100,0)</f>
        <v/>
      </c>
      <c r="P218" s="75">
        <f>IFERROR(SQRT(P179/P$210)*100,0)</f>
        <v/>
      </c>
      <c r="Q218" s="75">
        <f>IFERROR(SQRT(Q179/Q$210)*100,0)</f>
        <v/>
      </c>
      <c r="R218" s="75">
        <f>IFERROR(SQRT(R179/R$210)*100,0)</f>
        <v/>
      </c>
      <c r="S218" s="75">
        <f>IFERROR(SQRT(S179/S$210)*100,0)</f>
        <v/>
      </c>
      <c r="T218" s="75">
        <f>IFERROR(SQRT(T179/T$210)*100,0)</f>
        <v/>
      </c>
      <c r="U218" s="75">
        <f>IFERROR(SQRT(U179/U$210)*100,0)</f>
        <v/>
      </c>
      <c r="V218" s="75">
        <f>IFERROR(SQRT(V179/V$210)*100,0)</f>
        <v/>
      </c>
      <c r="W218" s="75">
        <f>IFERROR(SQRT(W179/W$210)*100,0)</f>
        <v/>
      </c>
      <c r="X218" s="75">
        <f>IFERROR(SQRT(X179/X$210)*100,0)</f>
        <v/>
      </c>
      <c r="Y218" s="75">
        <f>IFERROR(SQRT(Y179/Y$210)*100,0)</f>
        <v/>
      </c>
      <c r="Z218" s="75">
        <f>IFERROR(SQRT(Z179/Z$210)*100,0)</f>
        <v/>
      </c>
      <c r="AA218" s="75">
        <f>IFERROR(SQRT(AA179/AA$210)*100,0)</f>
        <v/>
      </c>
      <c r="AB218" s="75">
        <f>IFERROR(SQRT(AB179/AB$210)*100,0)</f>
        <v/>
      </c>
      <c r="AC218" s="75">
        <f>IFERROR(SQRT(AC179/AC$210)*100,0)</f>
        <v/>
      </c>
      <c r="AD218" s="75">
        <f>IFERROR(SQRT(AD179/AD$210)*100,0)</f>
        <v/>
      </c>
      <c r="AE218" s="75">
        <f>IFERROR(SQRT(AE179/AE$210)*100,0)</f>
        <v/>
      </c>
      <c r="AF218" s="75">
        <f>IFERROR(SQRT(AF179/AF$210)*100,0)</f>
        <v/>
      </c>
      <c r="AG218" s="75">
        <f>IFERROR(SQRT(AG179/AG$210)*100,0)</f>
        <v/>
      </c>
      <c r="AH218" s="75">
        <f>IFERROR(SQRT(AH179/AH$210)*100,0)</f>
        <v/>
      </c>
      <c r="AI218" s="75">
        <f>IFERROR(SQRT(AI179/AI$210)*100,0)</f>
        <v/>
      </c>
      <c r="AJ218" s="75">
        <f>IFERROR(SQRT(AJ179/AJ$210)*100,0)</f>
        <v/>
      </c>
      <c r="AK218" s="75">
        <f>IFERROR(SQRT(AK179/AK$210)*100,0)</f>
        <v/>
      </c>
      <c r="AL218" s="75">
        <f>IFERROR(SQRT(AL179/AL$210)*100,0)</f>
        <v/>
      </c>
      <c r="AM218" s="75">
        <f>IFERROR(SQRT(AM179/AM$210)*100,0)</f>
        <v/>
      </c>
      <c r="AN218" s="75">
        <f>IFERROR(SQRT(AN179/AN$210)*100,0)</f>
        <v/>
      </c>
      <c r="AO218" s="75">
        <f>IFERROR(SQRT(AO179/AO$210)*100,0)</f>
        <v/>
      </c>
      <c r="AP218" s="75">
        <f>IFERROR(SQRT(AP179/AP$210)*100,0)</f>
        <v/>
      </c>
      <c r="AQ218" s="75">
        <f>IFERROR(SQRT(AQ179/AQ$210)*100,0)</f>
        <v/>
      </c>
      <c r="AR218" s="75">
        <f>IFERROR(SQRT(AR179/AR$210)*100,0)</f>
        <v/>
      </c>
      <c r="AS218" s="75">
        <f>IFERROR(SQRT(AS179/AS$210)*100,0)</f>
        <v/>
      </c>
      <c r="AT218" s="75">
        <f>IFERROR(SQRT(AT179/AT$210)*100,0)</f>
        <v/>
      </c>
      <c r="AU218" s="75">
        <f>IFERROR(SQRT(AU179/AU$210)*100,0)</f>
        <v/>
      </c>
      <c r="AV218" s="75">
        <f>IFERROR(SQRT(AV179/AV$210)*100,0)</f>
        <v/>
      </c>
      <c r="AW218" s="75">
        <f>IFERROR(SQRT(AW179/AW$210)*100,0)</f>
        <v/>
      </c>
      <c r="AX218" s="75">
        <f>IFERROR(SQRT(AX179/AX$210)*100,0)</f>
        <v/>
      </c>
      <c r="AY218" s="75">
        <f>IFERROR(SQRT(AY179/AY$210)*100,0)</f>
        <v/>
      </c>
      <c r="AZ218" s="75">
        <f>IFERROR(SQRT(AZ179/AZ$210)*100,0)</f>
        <v/>
      </c>
      <c r="BA218" s="75">
        <f>IFERROR(SQRT(BA179/BA$210)*100,0)</f>
        <v/>
      </c>
      <c r="BB218" s="75">
        <f>IFERROR(SQRT(BB179/BB$210)*100,0)</f>
        <v/>
      </c>
    </row>
    <row r="219">
      <c r="D219" s="237">
        <f>D102</f>
        <v/>
      </c>
      <c r="E219" s="75">
        <f>IFERROR(SQRT(E180/E$210)*100,0)</f>
        <v/>
      </c>
      <c r="F219" s="75">
        <f>IFERROR(SQRT(F180/F$210)*100,0)</f>
        <v/>
      </c>
      <c r="G219" s="75">
        <f>IFERROR(SQRT(G180/G$210)*100,0)</f>
        <v/>
      </c>
      <c r="H219" s="75">
        <f>IFERROR(SQRT(H180/H$210)*100,0)</f>
        <v/>
      </c>
      <c r="I219" s="75">
        <f>IFERROR(SQRT(I180/I$210)*100,0)</f>
        <v/>
      </c>
      <c r="J219" s="75">
        <f>IFERROR(SQRT(J180/J$210)*100,0)</f>
        <v/>
      </c>
      <c r="K219" s="75">
        <f>IFERROR(SQRT(K180/K$210)*100,0)</f>
        <v/>
      </c>
      <c r="L219" s="75">
        <f>IFERROR(SQRT(L180/L$210)*100,0)</f>
        <v/>
      </c>
      <c r="M219" s="75">
        <f>IFERROR(SQRT(M180/M$210)*100,0)</f>
        <v/>
      </c>
      <c r="N219" s="75">
        <f>IFERROR(SQRT(N180/N$210)*100,0)</f>
        <v/>
      </c>
      <c r="O219" s="75">
        <f>IFERROR(SQRT(O180/O$210)*100,0)</f>
        <v/>
      </c>
      <c r="P219" s="75">
        <f>IFERROR(SQRT(P180/P$210)*100,0)</f>
        <v/>
      </c>
      <c r="Q219" s="75">
        <f>IFERROR(SQRT(Q180/Q$210)*100,0)</f>
        <v/>
      </c>
      <c r="R219" s="75">
        <f>IFERROR(SQRT(R180/R$210)*100,0)</f>
        <v/>
      </c>
      <c r="S219" s="75">
        <f>IFERROR(SQRT(S180/S$210)*100,0)</f>
        <v/>
      </c>
      <c r="T219" s="75">
        <f>IFERROR(SQRT(T180/T$210)*100,0)</f>
        <v/>
      </c>
      <c r="U219" s="75">
        <f>IFERROR(SQRT(U180/U$210)*100,0)</f>
        <v/>
      </c>
      <c r="V219" s="75">
        <f>IFERROR(SQRT(V180/V$210)*100,0)</f>
        <v/>
      </c>
      <c r="W219" s="75">
        <f>IFERROR(SQRT(W180/W$210)*100,0)</f>
        <v/>
      </c>
      <c r="X219" s="75">
        <f>IFERROR(SQRT(X180/X$210)*100,0)</f>
        <v/>
      </c>
      <c r="Y219" s="75">
        <f>IFERROR(SQRT(Y180/Y$210)*100,0)</f>
        <v/>
      </c>
      <c r="Z219" s="75">
        <f>IFERROR(SQRT(Z180/Z$210)*100,0)</f>
        <v/>
      </c>
      <c r="AA219" s="75">
        <f>IFERROR(SQRT(AA180/AA$210)*100,0)</f>
        <v/>
      </c>
      <c r="AB219" s="75">
        <f>IFERROR(SQRT(AB180/AB$210)*100,0)</f>
        <v/>
      </c>
      <c r="AC219" s="75">
        <f>IFERROR(SQRT(AC180/AC$210)*100,0)</f>
        <v/>
      </c>
      <c r="AD219" s="75">
        <f>IFERROR(SQRT(AD180/AD$210)*100,0)</f>
        <v/>
      </c>
      <c r="AE219" s="75">
        <f>IFERROR(SQRT(AE180/AE$210)*100,0)</f>
        <v/>
      </c>
      <c r="AF219" s="75">
        <f>IFERROR(SQRT(AF180/AF$210)*100,0)</f>
        <v/>
      </c>
      <c r="AG219" s="75">
        <f>IFERROR(SQRT(AG180/AG$210)*100,0)</f>
        <v/>
      </c>
      <c r="AH219" s="75">
        <f>IFERROR(SQRT(AH180/AH$210)*100,0)</f>
        <v/>
      </c>
      <c r="AI219" s="75">
        <f>IFERROR(SQRT(AI180/AI$210)*100,0)</f>
        <v/>
      </c>
      <c r="AJ219" s="75">
        <f>IFERROR(SQRT(AJ180/AJ$210)*100,0)</f>
        <v/>
      </c>
      <c r="AK219" s="75">
        <f>IFERROR(SQRT(AK180/AK$210)*100,0)</f>
        <v/>
      </c>
      <c r="AL219" s="75">
        <f>IFERROR(SQRT(AL180/AL$210)*100,0)</f>
        <v/>
      </c>
      <c r="AM219" s="75">
        <f>IFERROR(SQRT(AM180/AM$210)*100,0)</f>
        <v/>
      </c>
      <c r="AN219" s="75">
        <f>IFERROR(SQRT(AN180/AN$210)*100,0)</f>
        <v/>
      </c>
      <c r="AO219" s="75">
        <f>IFERROR(SQRT(AO180/AO$210)*100,0)</f>
        <v/>
      </c>
      <c r="AP219" s="75">
        <f>IFERROR(SQRT(AP180/AP$210)*100,0)</f>
        <v/>
      </c>
      <c r="AQ219" s="75">
        <f>IFERROR(SQRT(AQ180/AQ$210)*100,0)</f>
        <v/>
      </c>
      <c r="AR219" s="75">
        <f>IFERROR(SQRT(AR180/AR$210)*100,0)</f>
        <v/>
      </c>
      <c r="AS219" s="75">
        <f>IFERROR(SQRT(AS180/AS$210)*100,0)</f>
        <v/>
      </c>
      <c r="AT219" s="75">
        <f>IFERROR(SQRT(AT180/AT$210)*100,0)</f>
        <v/>
      </c>
      <c r="AU219" s="75">
        <f>IFERROR(SQRT(AU180/AU$210)*100,0)</f>
        <v/>
      </c>
      <c r="AV219" s="75">
        <f>IFERROR(SQRT(AV180/AV$210)*100,0)</f>
        <v/>
      </c>
      <c r="AW219" s="75">
        <f>IFERROR(SQRT(AW180/AW$210)*100,0)</f>
        <v/>
      </c>
      <c r="AX219" s="75">
        <f>IFERROR(SQRT(AX180/AX$210)*100,0)</f>
        <v/>
      </c>
      <c r="AY219" s="75">
        <f>IFERROR(SQRT(AY180/AY$210)*100,0)</f>
        <v/>
      </c>
      <c r="AZ219" s="75">
        <f>IFERROR(SQRT(AZ180/AZ$210)*100,0)</f>
        <v/>
      </c>
      <c r="BA219" s="75">
        <f>IFERROR(SQRT(BA180/BA$210)*100,0)</f>
        <v/>
      </c>
      <c r="BB219" s="75">
        <f>IFERROR(SQRT(BB180/BB$210)*100,0)</f>
        <v/>
      </c>
    </row>
    <row r="220">
      <c r="D220" s="237">
        <f>D103</f>
        <v/>
      </c>
      <c r="E220" s="75">
        <f>IFERROR(SQRT(E181/E$210)*100,0)</f>
        <v/>
      </c>
      <c r="F220" s="75">
        <f>IFERROR(SQRT(F181/F$210)*100,0)</f>
        <v/>
      </c>
      <c r="G220" s="75">
        <f>IFERROR(SQRT(G181/G$210)*100,0)</f>
        <v/>
      </c>
      <c r="H220" s="75">
        <f>IFERROR(SQRT(H181/H$210)*100,0)</f>
        <v/>
      </c>
      <c r="I220" s="75">
        <f>IFERROR(SQRT(I181/I$210)*100,0)</f>
        <v/>
      </c>
      <c r="J220" s="75">
        <f>IFERROR(SQRT(J181/J$210)*100,0)</f>
        <v/>
      </c>
      <c r="K220" s="75">
        <f>IFERROR(SQRT(K181/K$210)*100,0)</f>
        <v/>
      </c>
      <c r="L220" s="75">
        <f>IFERROR(SQRT(L181/L$210)*100,0)</f>
        <v/>
      </c>
      <c r="M220" s="75">
        <f>IFERROR(SQRT(M181/M$210)*100,0)</f>
        <v/>
      </c>
      <c r="N220" s="75">
        <f>IFERROR(SQRT(N181/N$210)*100,0)</f>
        <v/>
      </c>
      <c r="O220" s="75">
        <f>IFERROR(SQRT(O181/O$210)*100,0)</f>
        <v/>
      </c>
      <c r="P220" s="75">
        <f>IFERROR(SQRT(P181/P$210)*100,0)</f>
        <v/>
      </c>
      <c r="Q220" s="75">
        <f>IFERROR(SQRT(Q181/Q$210)*100,0)</f>
        <v/>
      </c>
      <c r="R220" s="75">
        <f>IFERROR(SQRT(R181/R$210)*100,0)</f>
        <v/>
      </c>
      <c r="S220" s="75">
        <f>IFERROR(SQRT(S181/S$210)*100,0)</f>
        <v/>
      </c>
      <c r="T220" s="75">
        <f>IFERROR(SQRT(T181/T$210)*100,0)</f>
        <v/>
      </c>
      <c r="U220" s="75">
        <f>IFERROR(SQRT(U181/U$210)*100,0)</f>
        <v/>
      </c>
      <c r="V220" s="75">
        <f>IFERROR(SQRT(V181/V$210)*100,0)</f>
        <v/>
      </c>
      <c r="W220" s="75">
        <f>IFERROR(SQRT(W181/W$210)*100,0)</f>
        <v/>
      </c>
      <c r="X220" s="75">
        <f>IFERROR(SQRT(X181/X$210)*100,0)</f>
        <v/>
      </c>
      <c r="Y220" s="75">
        <f>IFERROR(SQRT(Y181/Y$210)*100,0)</f>
        <v/>
      </c>
      <c r="Z220" s="75">
        <f>IFERROR(SQRT(Z181/Z$210)*100,0)</f>
        <v/>
      </c>
      <c r="AA220" s="75">
        <f>IFERROR(SQRT(AA181/AA$210)*100,0)</f>
        <v/>
      </c>
      <c r="AB220" s="75">
        <f>IFERROR(SQRT(AB181/AB$210)*100,0)</f>
        <v/>
      </c>
      <c r="AC220" s="75">
        <f>IFERROR(SQRT(AC181/AC$210)*100,0)</f>
        <v/>
      </c>
      <c r="AD220" s="75">
        <f>IFERROR(SQRT(AD181/AD$210)*100,0)</f>
        <v/>
      </c>
      <c r="AE220" s="75">
        <f>IFERROR(SQRT(AE181/AE$210)*100,0)</f>
        <v/>
      </c>
      <c r="AF220" s="75">
        <f>IFERROR(SQRT(AF181/AF$210)*100,0)</f>
        <v/>
      </c>
      <c r="AG220" s="75">
        <f>IFERROR(SQRT(AG181/AG$210)*100,0)</f>
        <v/>
      </c>
      <c r="AH220" s="75">
        <f>IFERROR(SQRT(AH181/AH$210)*100,0)</f>
        <v/>
      </c>
      <c r="AI220" s="75">
        <f>IFERROR(SQRT(AI181/AI$210)*100,0)</f>
        <v/>
      </c>
      <c r="AJ220" s="75">
        <f>IFERROR(SQRT(AJ181/AJ$210)*100,0)</f>
        <v/>
      </c>
      <c r="AK220" s="75">
        <f>IFERROR(SQRT(AK181/AK$210)*100,0)</f>
        <v/>
      </c>
      <c r="AL220" s="75">
        <f>IFERROR(SQRT(AL181/AL$210)*100,0)</f>
        <v/>
      </c>
      <c r="AM220" s="75">
        <f>IFERROR(SQRT(AM181/AM$210)*100,0)</f>
        <v/>
      </c>
      <c r="AN220" s="75">
        <f>IFERROR(SQRT(AN181/AN$210)*100,0)</f>
        <v/>
      </c>
      <c r="AO220" s="75">
        <f>IFERROR(SQRT(AO181/AO$210)*100,0)</f>
        <v/>
      </c>
      <c r="AP220" s="75">
        <f>IFERROR(SQRT(AP181/AP$210)*100,0)</f>
        <v/>
      </c>
      <c r="AQ220" s="75">
        <f>IFERROR(SQRT(AQ181/AQ$210)*100,0)</f>
        <v/>
      </c>
      <c r="AR220" s="75">
        <f>IFERROR(SQRT(AR181/AR$210)*100,0)</f>
        <v/>
      </c>
      <c r="AS220" s="75">
        <f>IFERROR(SQRT(AS181/AS$210)*100,0)</f>
        <v/>
      </c>
      <c r="AT220" s="75">
        <f>IFERROR(SQRT(AT181/AT$210)*100,0)</f>
        <v/>
      </c>
      <c r="AU220" s="75">
        <f>IFERROR(SQRT(AU181/AU$210)*100,0)</f>
        <v/>
      </c>
      <c r="AV220" s="75">
        <f>IFERROR(SQRT(AV181/AV$210)*100,0)</f>
        <v/>
      </c>
      <c r="AW220" s="75">
        <f>IFERROR(SQRT(AW181/AW$210)*100,0)</f>
        <v/>
      </c>
      <c r="AX220" s="75">
        <f>IFERROR(SQRT(AX181/AX$210)*100,0)</f>
        <v/>
      </c>
      <c r="AY220" s="75">
        <f>IFERROR(SQRT(AY181/AY$210)*100,0)</f>
        <v/>
      </c>
      <c r="AZ220" s="75">
        <f>IFERROR(SQRT(AZ181/AZ$210)*100,0)</f>
        <v/>
      </c>
      <c r="BA220" s="75">
        <f>IFERROR(SQRT(BA181/BA$210)*100,0)</f>
        <v/>
      </c>
      <c r="BB220" s="75">
        <f>IFERROR(SQRT(BB181/BB$210)*100,0)</f>
        <v/>
      </c>
    </row>
    <row r="221">
      <c r="D221" s="237">
        <f>D104</f>
        <v/>
      </c>
      <c r="E221" s="75">
        <f>IFERROR(SQRT(E182/E$210)*100,0)</f>
        <v/>
      </c>
      <c r="F221" s="75">
        <f>IFERROR(SQRT(F182/F$210)*100,0)</f>
        <v/>
      </c>
      <c r="G221" s="75">
        <f>IFERROR(SQRT(G182/G$210)*100,0)</f>
        <v/>
      </c>
      <c r="H221" s="75">
        <f>IFERROR(SQRT(H182/H$210)*100,0)</f>
        <v/>
      </c>
      <c r="I221" s="75">
        <f>IFERROR(SQRT(I182/I$210)*100,0)</f>
        <v/>
      </c>
      <c r="J221" s="75">
        <f>IFERROR(SQRT(J182/J$210)*100,0)</f>
        <v/>
      </c>
      <c r="K221" s="75">
        <f>IFERROR(SQRT(K182/K$210)*100,0)</f>
        <v/>
      </c>
      <c r="L221" s="75">
        <f>IFERROR(SQRT(L182/L$210)*100,0)</f>
        <v/>
      </c>
      <c r="M221" s="75">
        <f>IFERROR(SQRT(M182/M$210)*100,0)</f>
        <v/>
      </c>
      <c r="N221" s="75">
        <f>IFERROR(SQRT(N182/N$210)*100,0)</f>
        <v/>
      </c>
      <c r="O221" s="75">
        <f>IFERROR(SQRT(O182/O$210)*100,0)</f>
        <v/>
      </c>
      <c r="P221" s="75">
        <f>IFERROR(SQRT(P182/P$210)*100,0)</f>
        <v/>
      </c>
      <c r="Q221" s="75">
        <f>IFERROR(SQRT(Q182/Q$210)*100,0)</f>
        <v/>
      </c>
      <c r="R221" s="75">
        <f>IFERROR(SQRT(R182/R$210)*100,0)</f>
        <v/>
      </c>
      <c r="S221" s="75">
        <f>IFERROR(SQRT(S182/S$210)*100,0)</f>
        <v/>
      </c>
      <c r="T221" s="75">
        <f>IFERROR(SQRT(T182/T$210)*100,0)</f>
        <v/>
      </c>
      <c r="U221" s="75">
        <f>IFERROR(SQRT(U182/U$210)*100,0)</f>
        <v/>
      </c>
      <c r="V221" s="75">
        <f>IFERROR(SQRT(V182/V$210)*100,0)</f>
        <v/>
      </c>
      <c r="W221" s="75">
        <f>IFERROR(SQRT(W182/W$210)*100,0)</f>
        <v/>
      </c>
      <c r="X221" s="75">
        <f>IFERROR(SQRT(X182/X$210)*100,0)</f>
        <v/>
      </c>
      <c r="Y221" s="75">
        <f>IFERROR(SQRT(Y182/Y$210)*100,0)</f>
        <v/>
      </c>
      <c r="Z221" s="75">
        <f>IFERROR(SQRT(Z182/Z$210)*100,0)</f>
        <v/>
      </c>
      <c r="AA221" s="75">
        <f>IFERROR(SQRT(AA182/AA$210)*100,0)</f>
        <v/>
      </c>
      <c r="AB221" s="75">
        <f>IFERROR(SQRT(AB182/AB$210)*100,0)</f>
        <v/>
      </c>
      <c r="AC221" s="75">
        <f>IFERROR(SQRT(AC182/AC$210)*100,0)</f>
        <v/>
      </c>
      <c r="AD221" s="75">
        <f>IFERROR(SQRT(AD182/AD$210)*100,0)</f>
        <v/>
      </c>
      <c r="AE221" s="75">
        <f>IFERROR(SQRT(AE182/AE$210)*100,0)</f>
        <v/>
      </c>
      <c r="AF221" s="75">
        <f>IFERROR(SQRT(AF182/AF$210)*100,0)</f>
        <v/>
      </c>
      <c r="AG221" s="75">
        <f>IFERROR(SQRT(AG182/AG$210)*100,0)</f>
        <v/>
      </c>
      <c r="AH221" s="75">
        <f>IFERROR(SQRT(AH182/AH$210)*100,0)</f>
        <v/>
      </c>
      <c r="AI221" s="75">
        <f>IFERROR(SQRT(AI182/AI$210)*100,0)</f>
        <v/>
      </c>
      <c r="AJ221" s="75">
        <f>IFERROR(SQRT(AJ182/AJ$210)*100,0)</f>
        <v/>
      </c>
      <c r="AK221" s="75">
        <f>IFERROR(SQRT(AK182/AK$210)*100,0)</f>
        <v/>
      </c>
      <c r="AL221" s="75">
        <f>IFERROR(SQRT(AL182/AL$210)*100,0)</f>
        <v/>
      </c>
      <c r="AM221" s="75">
        <f>IFERROR(SQRT(AM182/AM$210)*100,0)</f>
        <v/>
      </c>
      <c r="AN221" s="75">
        <f>IFERROR(SQRT(AN182/AN$210)*100,0)</f>
        <v/>
      </c>
      <c r="AO221" s="75">
        <f>IFERROR(SQRT(AO182/AO$210)*100,0)</f>
        <v/>
      </c>
      <c r="AP221" s="75">
        <f>IFERROR(SQRT(AP182/AP$210)*100,0)</f>
        <v/>
      </c>
      <c r="AQ221" s="75">
        <f>IFERROR(SQRT(AQ182/AQ$210)*100,0)</f>
        <v/>
      </c>
      <c r="AR221" s="75">
        <f>IFERROR(SQRT(AR182/AR$210)*100,0)</f>
        <v/>
      </c>
      <c r="AS221" s="75">
        <f>IFERROR(SQRT(AS182/AS$210)*100,0)</f>
        <v/>
      </c>
      <c r="AT221" s="75">
        <f>IFERROR(SQRT(AT182/AT$210)*100,0)</f>
        <v/>
      </c>
      <c r="AU221" s="75">
        <f>IFERROR(SQRT(AU182/AU$210)*100,0)</f>
        <v/>
      </c>
      <c r="AV221" s="75">
        <f>IFERROR(SQRT(AV182/AV$210)*100,0)</f>
        <v/>
      </c>
      <c r="AW221" s="75">
        <f>IFERROR(SQRT(AW182/AW$210)*100,0)</f>
        <v/>
      </c>
      <c r="AX221" s="75">
        <f>IFERROR(SQRT(AX182/AX$210)*100,0)</f>
        <v/>
      </c>
      <c r="AY221" s="75">
        <f>IFERROR(SQRT(AY182/AY$210)*100,0)</f>
        <v/>
      </c>
      <c r="AZ221" s="75">
        <f>IFERROR(SQRT(AZ182/AZ$210)*100,0)</f>
        <v/>
      </c>
      <c r="BA221" s="75">
        <f>IFERROR(SQRT(BA182/BA$210)*100,0)</f>
        <v/>
      </c>
      <c r="BB221" s="75">
        <f>IFERROR(SQRT(BB182/BB$210)*100,0)</f>
        <v/>
      </c>
    </row>
    <row r="222">
      <c r="D222" s="237">
        <f>D105</f>
        <v/>
      </c>
      <c r="E222" s="75">
        <f>IFERROR(SQRT(E183/E$210)*100,0)</f>
        <v/>
      </c>
      <c r="F222" s="75">
        <f>IFERROR(SQRT(F183/F$210)*100,0)</f>
        <v/>
      </c>
      <c r="G222" s="75">
        <f>IFERROR(SQRT(G183/G$210)*100,0)</f>
        <v/>
      </c>
      <c r="H222" s="75">
        <f>IFERROR(SQRT(H183/H$210)*100,0)</f>
        <v/>
      </c>
      <c r="I222" s="75">
        <f>IFERROR(SQRT(I183/I$210)*100,0)</f>
        <v/>
      </c>
      <c r="J222" s="75">
        <f>IFERROR(SQRT(J183/J$210)*100,0)</f>
        <v/>
      </c>
      <c r="K222" s="75">
        <f>IFERROR(SQRT(K183/K$210)*100,0)</f>
        <v/>
      </c>
      <c r="L222" s="75">
        <f>IFERROR(SQRT(L183/L$210)*100,0)</f>
        <v/>
      </c>
      <c r="M222" s="75">
        <f>IFERROR(SQRT(M183/M$210)*100,0)</f>
        <v/>
      </c>
      <c r="N222" s="75">
        <f>IFERROR(SQRT(N183/N$210)*100,0)</f>
        <v/>
      </c>
      <c r="O222" s="75">
        <f>IFERROR(SQRT(O183/O$210)*100,0)</f>
        <v/>
      </c>
      <c r="P222" s="75">
        <f>IFERROR(SQRT(P183/P$210)*100,0)</f>
        <v/>
      </c>
      <c r="Q222" s="75">
        <f>IFERROR(SQRT(Q183/Q$210)*100,0)</f>
        <v/>
      </c>
      <c r="R222" s="75">
        <f>IFERROR(SQRT(R183/R$210)*100,0)</f>
        <v/>
      </c>
      <c r="S222" s="75">
        <f>IFERROR(SQRT(S183/S$210)*100,0)</f>
        <v/>
      </c>
      <c r="T222" s="75">
        <f>IFERROR(SQRT(T183/T$210)*100,0)</f>
        <v/>
      </c>
      <c r="U222" s="75">
        <f>IFERROR(SQRT(U183/U$210)*100,0)</f>
        <v/>
      </c>
      <c r="V222" s="75">
        <f>IFERROR(SQRT(V183/V$210)*100,0)</f>
        <v/>
      </c>
      <c r="W222" s="75">
        <f>IFERROR(SQRT(W183/W$210)*100,0)</f>
        <v/>
      </c>
      <c r="X222" s="75">
        <f>IFERROR(SQRT(X183/X$210)*100,0)</f>
        <v/>
      </c>
      <c r="Y222" s="75">
        <f>IFERROR(SQRT(Y183/Y$210)*100,0)</f>
        <v/>
      </c>
      <c r="Z222" s="75">
        <f>IFERROR(SQRT(Z183/Z$210)*100,0)</f>
        <v/>
      </c>
      <c r="AA222" s="75">
        <f>IFERROR(SQRT(AA183/AA$210)*100,0)</f>
        <v/>
      </c>
      <c r="AB222" s="75">
        <f>IFERROR(SQRT(AB183/AB$210)*100,0)</f>
        <v/>
      </c>
      <c r="AC222" s="75">
        <f>IFERROR(SQRT(AC183/AC$210)*100,0)</f>
        <v/>
      </c>
      <c r="AD222" s="75">
        <f>IFERROR(SQRT(AD183/AD$210)*100,0)</f>
        <v/>
      </c>
      <c r="AE222" s="75">
        <f>IFERROR(SQRT(AE183/AE$210)*100,0)</f>
        <v/>
      </c>
      <c r="AF222" s="75">
        <f>IFERROR(SQRT(AF183/AF$210)*100,0)</f>
        <v/>
      </c>
      <c r="AG222" s="75">
        <f>IFERROR(SQRT(AG183/AG$210)*100,0)</f>
        <v/>
      </c>
      <c r="AH222" s="75">
        <f>IFERROR(SQRT(AH183/AH$210)*100,0)</f>
        <v/>
      </c>
      <c r="AI222" s="75">
        <f>IFERROR(SQRT(AI183/AI$210)*100,0)</f>
        <v/>
      </c>
      <c r="AJ222" s="75">
        <f>IFERROR(SQRT(AJ183/AJ$210)*100,0)</f>
        <v/>
      </c>
      <c r="AK222" s="75">
        <f>IFERROR(SQRT(AK183/AK$210)*100,0)</f>
        <v/>
      </c>
      <c r="AL222" s="75">
        <f>IFERROR(SQRT(AL183/AL$210)*100,0)</f>
        <v/>
      </c>
      <c r="AM222" s="75">
        <f>IFERROR(SQRT(AM183/AM$210)*100,0)</f>
        <v/>
      </c>
      <c r="AN222" s="75">
        <f>IFERROR(SQRT(AN183/AN$210)*100,0)</f>
        <v/>
      </c>
      <c r="AO222" s="75">
        <f>IFERROR(SQRT(AO183/AO$210)*100,0)</f>
        <v/>
      </c>
      <c r="AP222" s="75">
        <f>IFERROR(SQRT(AP183/AP$210)*100,0)</f>
        <v/>
      </c>
      <c r="AQ222" s="75">
        <f>IFERROR(SQRT(AQ183/AQ$210)*100,0)</f>
        <v/>
      </c>
      <c r="AR222" s="75">
        <f>IFERROR(SQRT(AR183/AR$210)*100,0)</f>
        <v/>
      </c>
      <c r="AS222" s="75">
        <f>IFERROR(SQRT(AS183/AS$210)*100,0)</f>
        <v/>
      </c>
      <c r="AT222" s="75">
        <f>IFERROR(SQRT(AT183/AT$210)*100,0)</f>
        <v/>
      </c>
      <c r="AU222" s="75">
        <f>IFERROR(SQRT(AU183/AU$210)*100,0)</f>
        <v/>
      </c>
      <c r="AV222" s="75">
        <f>IFERROR(SQRT(AV183/AV$210)*100,0)</f>
        <v/>
      </c>
      <c r="AW222" s="75">
        <f>IFERROR(SQRT(AW183/AW$210)*100,0)</f>
        <v/>
      </c>
      <c r="AX222" s="75">
        <f>IFERROR(SQRT(AX183/AX$210)*100,0)</f>
        <v/>
      </c>
      <c r="AY222" s="75">
        <f>IFERROR(SQRT(AY183/AY$210)*100,0)</f>
        <v/>
      </c>
      <c r="AZ222" s="75">
        <f>IFERROR(SQRT(AZ183/AZ$210)*100,0)</f>
        <v/>
      </c>
      <c r="BA222" s="75">
        <f>IFERROR(SQRT(BA183/BA$210)*100,0)</f>
        <v/>
      </c>
      <c r="BB222" s="75">
        <f>IFERROR(SQRT(BB183/BB$210)*100,0)</f>
        <v/>
      </c>
    </row>
    <row r="223">
      <c r="D223" s="237">
        <f>D106</f>
        <v/>
      </c>
      <c r="E223" s="75">
        <f>IFERROR(SQRT(E184/E$210)*100,0)</f>
        <v/>
      </c>
      <c r="F223" s="75">
        <f>IFERROR(SQRT(F184/F$210)*100,0)</f>
        <v/>
      </c>
      <c r="G223" s="75">
        <f>IFERROR(SQRT(G184/G$210)*100,0)</f>
        <v/>
      </c>
      <c r="H223" s="75">
        <f>IFERROR(SQRT(H184/H$210)*100,0)</f>
        <v/>
      </c>
      <c r="I223" s="75">
        <f>IFERROR(SQRT(I184/I$210)*100,0)</f>
        <v/>
      </c>
      <c r="J223" s="75">
        <f>IFERROR(SQRT(J184/J$210)*100,0)</f>
        <v/>
      </c>
      <c r="K223" s="75">
        <f>IFERROR(SQRT(K184/K$210)*100,0)</f>
        <v/>
      </c>
      <c r="L223" s="75">
        <f>IFERROR(SQRT(L184/L$210)*100,0)</f>
        <v/>
      </c>
      <c r="M223" s="75">
        <f>IFERROR(SQRT(M184/M$210)*100,0)</f>
        <v/>
      </c>
      <c r="N223" s="75">
        <f>IFERROR(SQRT(N184/N$210)*100,0)</f>
        <v/>
      </c>
      <c r="O223" s="75">
        <f>IFERROR(SQRT(O184/O$210)*100,0)</f>
        <v/>
      </c>
      <c r="P223" s="75">
        <f>IFERROR(SQRT(P184/P$210)*100,0)</f>
        <v/>
      </c>
      <c r="Q223" s="75">
        <f>IFERROR(SQRT(Q184/Q$210)*100,0)</f>
        <v/>
      </c>
      <c r="R223" s="75">
        <f>IFERROR(SQRT(R184/R$210)*100,0)</f>
        <v/>
      </c>
      <c r="S223" s="75">
        <f>IFERROR(SQRT(S184/S$210)*100,0)</f>
        <v/>
      </c>
      <c r="T223" s="75">
        <f>IFERROR(SQRT(T184/T$210)*100,0)</f>
        <v/>
      </c>
      <c r="U223" s="75">
        <f>IFERROR(SQRT(U184/U$210)*100,0)</f>
        <v/>
      </c>
      <c r="V223" s="75">
        <f>IFERROR(SQRT(V184/V$210)*100,0)</f>
        <v/>
      </c>
      <c r="W223" s="75">
        <f>IFERROR(SQRT(W184/W$210)*100,0)</f>
        <v/>
      </c>
      <c r="X223" s="75">
        <f>IFERROR(SQRT(X184/X$210)*100,0)</f>
        <v/>
      </c>
      <c r="Y223" s="75">
        <f>IFERROR(SQRT(Y184/Y$210)*100,0)</f>
        <v/>
      </c>
      <c r="Z223" s="75">
        <f>IFERROR(SQRT(Z184/Z$210)*100,0)</f>
        <v/>
      </c>
      <c r="AA223" s="75">
        <f>IFERROR(SQRT(AA184/AA$210)*100,0)</f>
        <v/>
      </c>
      <c r="AB223" s="75">
        <f>IFERROR(SQRT(AB184/AB$210)*100,0)</f>
        <v/>
      </c>
      <c r="AC223" s="75">
        <f>IFERROR(SQRT(AC184/AC$210)*100,0)</f>
        <v/>
      </c>
      <c r="AD223" s="75">
        <f>IFERROR(SQRT(AD184/AD$210)*100,0)</f>
        <v/>
      </c>
      <c r="AE223" s="75">
        <f>IFERROR(SQRT(AE184/AE$210)*100,0)</f>
        <v/>
      </c>
      <c r="AF223" s="75">
        <f>IFERROR(SQRT(AF184/AF$210)*100,0)</f>
        <v/>
      </c>
      <c r="AG223" s="75">
        <f>IFERROR(SQRT(AG184/AG$210)*100,0)</f>
        <v/>
      </c>
      <c r="AH223" s="75">
        <f>IFERROR(SQRT(AH184/AH$210)*100,0)</f>
        <v/>
      </c>
      <c r="AI223" s="75">
        <f>IFERROR(SQRT(AI184/AI$210)*100,0)</f>
        <v/>
      </c>
      <c r="AJ223" s="75">
        <f>IFERROR(SQRT(AJ184/AJ$210)*100,0)</f>
        <v/>
      </c>
      <c r="AK223" s="75">
        <f>IFERROR(SQRT(AK184/AK$210)*100,0)</f>
        <v/>
      </c>
      <c r="AL223" s="75">
        <f>IFERROR(SQRT(AL184/AL$210)*100,0)</f>
        <v/>
      </c>
      <c r="AM223" s="75">
        <f>IFERROR(SQRT(AM184/AM$210)*100,0)</f>
        <v/>
      </c>
      <c r="AN223" s="75">
        <f>IFERROR(SQRT(AN184/AN$210)*100,0)</f>
        <v/>
      </c>
      <c r="AO223" s="75">
        <f>IFERROR(SQRT(AO184/AO$210)*100,0)</f>
        <v/>
      </c>
      <c r="AP223" s="75">
        <f>IFERROR(SQRT(AP184/AP$210)*100,0)</f>
        <v/>
      </c>
      <c r="AQ223" s="75">
        <f>IFERROR(SQRT(AQ184/AQ$210)*100,0)</f>
        <v/>
      </c>
      <c r="AR223" s="75">
        <f>IFERROR(SQRT(AR184/AR$210)*100,0)</f>
        <v/>
      </c>
      <c r="AS223" s="75">
        <f>IFERROR(SQRT(AS184/AS$210)*100,0)</f>
        <v/>
      </c>
      <c r="AT223" s="75">
        <f>IFERROR(SQRT(AT184/AT$210)*100,0)</f>
        <v/>
      </c>
      <c r="AU223" s="75">
        <f>IFERROR(SQRT(AU184/AU$210)*100,0)</f>
        <v/>
      </c>
      <c r="AV223" s="75">
        <f>IFERROR(SQRT(AV184/AV$210)*100,0)</f>
        <v/>
      </c>
      <c r="AW223" s="75">
        <f>IFERROR(SQRT(AW184/AW$210)*100,0)</f>
        <v/>
      </c>
      <c r="AX223" s="75">
        <f>IFERROR(SQRT(AX184/AX$210)*100,0)</f>
        <v/>
      </c>
      <c r="AY223" s="75">
        <f>IFERROR(SQRT(AY184/AY$210)*100,0)</f>
        <v/>
      </c>
      <c r="AZ223" s="75">
        <f>IFERROR(SQRT(AZ184/AZ$210)*100,0)</f>
        <v/>
      </c>
      <c r="BA223" s="75">
        <f>IFERROR(SQRT(BA184/BA$210)*100,0)</f>
        <v/>
      </c>
      <c r="BB223" s="75">
        <f>IFERROR(SQRT(BB184/BB$210)*100,0)</f>
        <v/>
      </c>
    </row>
    <row r="224">
      <c r="D224" s="237">
        <f>D107</f>
        <v/>
      </c>
      <c r="E224" s="75">
        <f>IFERROR(SQRT(E185/E$210)*100,0)</f>
        <v/>
      </c>
      <c r="F224" s="75">
        <f>IFERROR(SQRT(F185/F$210)*100,0)</f>
        <v/>
      </c>
      <c r="G224" s="75">
        <f>IFERROR(SQRT(G185/G$210)*100,0)</f>
        <v/>
      </c>
      <c r="H224" s="75">
        <f>IFERROR(SQRT(H185/H$210)*100,0)</f>
        <v/>
      </c>
      <c r="I224" s="75">
        <f>IFERROR(SQRT(I185/I$210)*100,0)</f>
        <v/>
      </c>
      <c r="J224" s="75">
        <f>IFERROR(SQRT(J185/J$210)*100,0)</f>
        <v/>
      </c>
      <c r="K224" s="75">
        <f>IFERROR(SQRT(K185/K$210)*100,0)</f>
        <v/>
      </c>
      <c r="L224" s="75">
        <f>IFERROR(SQRT(L185/L$210)*100,0)</f>
        <v/>
      </c>
      <c r="M224" s="75">
        <f>IFERROR(SQRT(M185/M$210)*100,0)</f>
        <v/>
      </c>
      <c r="N224" s="75">
        <f>IFERROR(SQRT(N185/N$210)*100,0)</f>
        <v/>
      </c>
      <c r="O224" s="75">
        <f>IFERROR(SQRT(O185/O$210)*100,0)</f>
        <v/>
      </c>
      <c r="P224" s="75">
        <f>IFERROR(SQRT(P185/P$210)*100,0)</f>
        <v/>
      </c>
      <c r="Q224" s="75">
        <f>IFERROR(SQRT(Q185/Q$210)*100,0)</f>
        <v/>
      </c>
      <c r="R224" s="75">
        <f>IFERROR(SQRT(R185/R$210)*100,0)</f>
        <v/>
      </c>
      <c r="S224" s="75">
        <f>IFERROR(SQRT(S185/S$210)*100,0)</f>
        <v/>
      </c>
      <c r="T224" s="75">
        <f>IFERROR(SQRT(T185/T$210)*100,0)</f>
        <v/>
      </c>
      <c r="U224" s="75">
        <f>IFERROR(SQRT(U185/U$210)*100,0)</f>
        <v/>
      </c>
      <c r="V224" s="75">
        <f>IFERROR(SQRT(V185/V$210)*100,0)</f>
        <v/>
      </c>
      <c r="W224" s="75">
        <f>IFERROR(SQRT(W185/W$210)*100,0)</f>
        <v/>
      </c>
      <c r="X224" s="75">
        <f>IFERROR(SQRT(X185/X$210)*100,0)</f>
        <v/>
      </c>
      <c r="Y224" s="75">
        <f>IFERROR(SQRT(Y185/Y$210)*100,0)</f>
        <v/>
      </c>
      <c r="Z224" s="75">
        <f>IFERROR(SQRT(Z185/Z$210)*100,0)</f>
        <v/>
      </c>
      <c r="AA224" s="75">
        <f>IFERROR(SQRT(AA185/AA$210)*100,0)</f>
        <v/>
      </c>
      <c r="AB224" s="75">
        <f>IFERROR(SQRT(AB185/AB$210)*100,0)</f>
        <v/>
      </c>
      <c r="AC224" s="75">
        <f>IFERROR(SQRT(AC185/AC$210)*100,0)</f>
        <v/>
      </c>
      <c r="AD224" s="75">
        <f>IFERROR(SQRT(AD185/AD$210)*100,0)</f>
        <v/>
      </c>
      <c r="AE224" s="75">
        <f>IFERROR(SQRT(AE185/AE$210)*100,0)</f>
        <v/>
      </c>
      <c r="AF224" s="75">
        <f>IFERROR(SQRT(AF185/AF$210)*100,0)</f>
        <v/>
      </c>
      <c r="AG224" s="75">
        <f>IFERROR(SQRT(AG185/AG$210)*100,0)</f>
        <v/>
      </c>
      <c r="AH224" s="75">
        <f>IFERROR(SQRT(AH185/AH$210)*100,0)</f>
        <v/>
      </c>
      <c r="AI224" s="75">
        <f>IFERROR(SQRT(AI185/AI$210)*100,0)</f>
        <v/>
      </c>
      <c r="AJ224" s="75">
        <f>IFERROR(SQRT(AJ185/AJ$210)*100,0)</f>
        <v/>
      </c>
      <c r="AK224" s="75">
        <f>IFERROR(SQRT(AK185/AK$210)*100,0)</f>
        <v/>
      </c>
      <c r="AL224" s="75">
        <f>IFERROR(SQRT(AL185/AL$210)*100,0)</f>
        <v/>
      </c>
      <c r="AM224" s="75">
        <f>IFERROR(SQRT(AM185/AM$210)*100,0)</f>
        <v/>
      </c>
      <c r="AN224" s="75">
        <f>IFERROR(SQRT(AN185/AN$210)*100,0)</f>
        <v/>
      </c>
      <c r="AO224" s="75">
        <f>IFERROR(SQRT(AO185/AO$210)*100,0)</f>
        <v/>
      </c>
      <c r="AP224" s="75">
        <f>IFERROR(SQRT(AP185/AP$210)*100,0)</f>
        <v/>
      </c>
      <c r="AQ224" s="75">
        <f>IFERROR(SQRT(AQ185/AQ$210)*100,0)</f>
        <v/>
      </c>
      <c r="AR224" s="75">
        <f>IFERROR(SQRT(AR185/AR$210)*100,0)</f>
        <v/>
      </c>
      <c r="AS224" s="75">
        <f>IFERROR(SQRT(AS185/AS$210)*100,0)</f>
        <v/>
      </c>
      <c r="AT224" s="75">
        <f>IFERROR(SQRT(AT185/AT$210)*100,0)</f>
        <v/>
      </c>
      <c r="AU224" s="75">
        <f>IFERROR(SQRT(AU185/AU$210)*100,0)</f>
        <v/>
      </c>
      <c r="AV224" s="75">
        <f>IFERROR(SQRT(AV185/AV$210)*100,0)</f>
        <v/>
      </c>
      <c r="AW224" s="75">
        <f>IFERROR(SQRT(AW185/AW$210)*100,0)</f>
        <v/>
      </c>
      <c r="AX224" s="75">
        <f>IFERROR(SQRT(AX185/AX$210)*100,0)</f>
        <v/>
      </c>
      <c r="AY224" s="75">
        <f>IFERROR(SQRT(AY185/AY$210)*100,0)</f>
        <v/>
      </c>
      <c r="AZ224" s="75">
        <f>IFERROR(SQRT(AZ185/AZ$210)*100,0)</f>
        <v/>
      </c>
      <c r="BA224" s="75">
        <f>IFERROR(SQRT(BA185/BA$210)*100,0)</f>
        <v/>
      </c>
      <c r="BB224" s="75">
        <f>IFERROR(SQRT(BB185/BB$210)*100,0)</f>
        <v/>
      </c>
    </row>
    <row r="225">
      <c r="D225" s="237">
        <f>D108</f>
        <v/>
      </c>
      <c r="E225" s="75">
        <f>IFERROR(SQRT(E186/E$210)*100,0)</f>
        <v/>
      </c>
      <c r="F225" s="75">
        <f>IFERROR(SQRT(F186/F$210)*100,0)</f>
        <v/>
      </c>
      <c r="G225" s="75">
        <f>IFERROR(SQRT(G186/G$210)*100,0)</f>
        <v/>
      </c>
      <c r="H225" s="75">
        <f>IFERROR(SQRT(H186/H$210)*100,0)</f>
        <v/>
      </c>
      <c r="I225" s="75">
        <f>IFERROR(SQRT(I186/I$210)*100,0)</f>
        <v/>
      </c>
      <c r="J225" s="75">
        <f>IFERROR(SQRT(J186/J$210)*100,0)</f>
        <v/>
      </c>
      <c r="K225" s="75">
        <f>IFERROR(SQRT(K186/K$210)*100,0)</f>
        <v/>
      </c>
      <c r="L225" s="75">
        <f>IFERROR(SQRT(L186/L$210)*100,0)</f>
        <v/>
      </c>
      <c r="M225" s="75">
        <f>IFERROR(SQRT(M186/M$210)*100,0)</f>
        <v/>
      </c>
      <c r="N225" s="75">
        <f>IFERROR(SQRT(N186/N$210)*100,0)</f>
        <v/>
      </c>
      <c r="O225" s="75">
        <f>IFERROR(SQRT(O186/O$210)*100,0)</f>
        <v/>
      </c>
      <c r="P225" s="75">
        <f>IFERROR(SQRT(P186/P$210)*100,0)</f>
        <v/>
      </c>
      <c r="Q225" s="75">
        <f>IFERROR(SQRT(Q186/Q$210)*100,0)</f>
        <v/>
      </c>
      <c r="R225" s="75">
        <f>IFERROR(SQRT(R186/R$210)*100,0)</f>
        <v/>
      </c>
      <c r="S225" s="75">
        <f>IFERROR(SQRT(S186/S$210)*100,0)</f>
        <v/>
      </c>
      <c r="T225" s="75">
        <f>IFERROR(SQRT(T186/T$210)*100,0)</f>
        <v/>
      </c>
      <c r="U225" s="75">
        <f>IFERROR(SQRT(U186/U$210)*100,0)</f>
        <v/>
      </c>
      <c r="V225" s="75">
        <f>IFERROR(SQRT(V186/V$210)*100,0)</f>
        <v/>
      </c>
      <c r="W225" s="75">
        <f>IFERROR(SQRT(W186/W$210)*100,0)</f>
        <v/>
      </c>
      <c r="X225" s="75">
        <f>IFERROR(SQRT(X186/X$210)*100,0)</f>
        <v/>
      </c>
      <c r="Y225" s="75">
        <f>IFERROR(SQRT(Y186/Y$210)*100,0)</f>
        <v/>
      </c>
      <c r="Z225" s="75">
        <f>IFERROR(SQRT(Z186/Z$210)*100,0)</f>
        <v/>
      </c>
      <c r="AA225" s="75">
        <f>IFERROR(SQRT(AA186/AA$210)*100,0)</f>
        <v/>
      </c>
      <c r="AB225" s="75">
        <f>IFERROR(SQRT(AB186/AB$210)*100,0)</f>
        <v/>
      </c>
      <c r="AC225" s="75">
        <f>IFERROR(SQRT(AC186/AC$210)*100,0)</f>
        <v/>
      </c>
      <c r="AD225" s="75">
        <f>IFERROR(SQRT(AD186/AD$210)*100,0)</f>
        <v/>
      </c>
      <c r="AE225" s="75">
        <f>IFERROR(SQRT(AE186/AE$210)*100,0)</f>
        <v/>
      </c>
      <c r="AF225" s="75">
        <f>IFERROR(SQRT(AF186/AF$210)*100,0)</f>
        <v/>
      </c>
      <c r="AG225" s="75">
        <f>IFERROR(SQRT(AG186/AG$210)*100,0)</f>
        <v/>
      </c>
      <c r="AH225" s="75">
        <f>IFERROR(SQRT(AH186/AH$210)*100,0)</f>
        <v/>
      </c>
      <c r="AI225" s="75">
        <f>IFERROR(SQRT(AI186/AI$210)*100,0)</f>
        <v/>
      </c>
      <c r="AJ225" s="75">
        <f>IFERROR(SQRT(AJ186/AJ$210)*100,0)</f>
        <v/>
      </c>
      <c r="AK225" s="75">
        <f>IFERROR(SQRT(AK186/AK$210)*100,0)</f>
        <v/>
      </c>
      <c r="AL225" s="75">
        <f>IFERROR(SQRT(AL186/AL$210)*100,0)</f>
        <v/>
      </c>
      <c r="AM225" s="75">
        <f>IFERROR(SQRT(AM186/AM$210)*100,0)</f>
        <v/>
      </c>
      <c r="AN225" s="75">
        <f>IFERROR(SQRT(AN186/AN$210)*100,0)</f>
        <v/>
      </c>
      <c r="AO225" s="75">
        <f>IFERROR(SQRT(AO186/AO$210)*100,0)</f>
        <v/>
      </c>
      <c r="AP225" s="75">
        <f>IFERROR(SQRT(AP186/AP$210)*100,0)</f>
        <v/>
      </c>
      <c r="AQ225" s="75">
        <f>IFERROR(SQRT(AQ186/AQ$210)*100,0)</f>
        <v/>
      </c>
      <c r="AR225" s="75">
        <f>IFERROR(SQRT(AR186/AR$210)*100,0)</f>
        <v/>
      </c>
      <c r="AS225" s="75">
        <f>IFERROR(SQRT(AS186/AS$210)*100,0)</f>
        <v/>
      </c>
      <c r="AT225" s="75">
        <f>IFERROR(SQRT(AT186/AT$210)*100,0)</f>
        <v/>
      </c>
      <c r="AU225" s="75">
        <f>IFERROR(SQRT(AU186/AU$210)*100,0)</f>
        <v/>
      </c>
      <c r="AV225" s="75">
        <f>IFERROR(SQRT(AV186/AV$210)*100,0)</f>
        <v/>
      </c>
      <c r="AW225" s="75">
        <f>IFERROR(SQRT(AW186/AW$210)*100,0)</f>
        <v/>
      </c>
      <c r="AX225" s="75">
        <f>IFERROR(SQRT(AX186/AX$210)*100,0)</f>
        <v/>
      </c>
      <c r="AY225" s="75">
        <f>IFERROR(SQRT(AY186/AY$210)*100,0)</f>
        <v/>
      </c>
      <c r="AZ225" s="75">
        <f>IFERROR(SQRT(AZ186/AZ$210)*100,0)</f>
        <v/>
      </c>
      <c r="BA225" s="75">
        <f>IFERROR(SQRT(BA186/BA$210)*100,0)</f>
        <v/>
      </c>
      <c r="BB225" s="75">
        <f>IFERROR(SQRT(BB186/BB$210)*100,0)</f>
        <v/>
      </c>
    </row>
    <row r="226">
      <c r="D226" s="237">
        <f>D109</f>
        <v/>
      </c>
      <c r="E226" s="75">
        <f>IFERROR(SQRT(E187/E$210)*100,0)</f>
        <v/>
      </c>
      <c r="F226" s="75">
        <f>IFERROR(SQRT(F187/F$210)*100,0)</f>
        <v/>
      </c>
      <c r="G226" s="75">
        <f>IFERROR(SQRT(G187/G$210)*100,0)</f>
        <v/>
      </c>
      <c r="H226" s="75">
        <f>IFERROR(SQRT(H187/H$210)*100,0)</f>
        <v/>
      </c>
      <c r="I226" s="75">
        <f>IFERROR(SQRT(I187/I$210)*100,0)</f>
        <v/>
      </c>
      <c r="J226" s="75">
        <f>IFERROR(SQRT(J187/J$210)*100,0)</f>
        <v/>
      </c>
      <c r="K226" s="75">
        <f>IFERROR(SQRT(K187/K$210)*100,0)</f>
        <v/>
      </c>
      <c r="L226" s="75">
        <f>IFERROR(SQRT(L187/L$210)*100,0)</f>
        <v/>
      </c>
      <c r="M226" s="75">
        <f>IFERROR(SQRT(M187/M$210)*100,0)</f>
        <v/>
      </c>
      <c r="N226" s="75">
        <f>IFERROR(SQRT(N187/N$210)*100,0)</f>
        <v/>
      </c>
      <c r="O226" s="75">
        <f>IFERROR(SQRT(O187/O$210)*100,0)</f>
        <v/>
      </c>
      <c r="P226" s="75">
        <f>IFERROR(SQRT(P187/P$210)*100,0)</f>
        <v/>
      </c>
      <c r="Q226" s="75">
        <f>IFERROR(SQRT(Q187/Q$210)*100,0)</f>
        <v/>
      </c>
      <c r="R226" s="75">
        <f>IFERROR(SQRT(R187/R$210)*100,0)</f>
        <v/>
      </c>
      <c r="S226" s="75">
        <f>IFERROR(SQRT(S187/S$210)*100,0)</f>
        <v/>
      </c>
      <c r="T226" s="75">
        <f>IFERROR(SQRT(T187/T$210)*100,0)</f>
        <v/>
      </c>
      <c r="U226" s="75">
        <f>IFERROR(SQRT(U187/U$210)*100,0)</f>
        <v/>
      </c>
      <c r="V226" s="75">
        <f>IFERROR(SQRT(V187/V$210)*100,0)</f>
        <v/>
      </c>
      <c r="W226" s="75">
        <f>IFERROR(SQRT(W187/W$210)*100,0)</f>
        <v/>
      </c>
      <c r="X226" s="75">
        <f>IFERROR(SQRT(X187/X$210)*100,0)</f>
        <v/>
      </c>
      <c r="Y226" s="75">
        <f>IFERROR(SQRT(Y187/Y$210)*100,0)</f>
        <v/>
      </c>
      <c r="Z226" s="75">
        <f>IFERROR(SQRT(Z187/Z$210)*100,0)</f>
        <v/>
      </c>
      <c r="AA226" s="75">
        <f>IFERROR(SQRT(AA187/AA$210)*100,0)</f>
        <v/>
      </c>
      <c r="AB226" s="75">
        <f>IFERROR(SQRT(AB187/AB$210)*100,0)</f>
        <v/>
      </c>
      <c r="AC226" s="75">
        <f>IFERROR(SQRT(AC187/AC$210)*100,0)</f>
        <v/>
      </c>
      <c r="AD226" s="75">
        <f>IFERROR(SQRT(AD187/AD$210)*100,0)</f>
        <v/>
      </c>
      <c r="AE226" s="75">
        <f>IFERROR(SQRT(AE187/AE$210)*100,0)</f>
        <v/>
      </c>
      <c r="AF226" s="75">
        <f>IFERROR(SQRT(AF187/AF$210)*100,0)</f>
        <v/>
      </c>
      <c r="AG226" s="75">
        <f>IFERROR(SQRT(AG187/AG$210)*100,0)</f>
        <v/>
      </c>
      <c r="AH226" s="75">
        <f>IFERROR(SQRT(AH187/AH$210)*100,0)</f>
        <v/>
      </c>
      <c r="AI226" s="75">
        <f>IFERROR(SQRT(AI187/AI$210)*100,0)</f>
        <v/>
      </c>
      <c r="AJ226" s="75">
        <f>IFERROR(SQRT(AJ187/AJ$210)*100,0)</f>
        <v/>
      </c>
      <c r="AK226" s="75">
        <f>IFERROR(SQRT(AK187/AK$210)*100,0)</f>
        <v/>
      </c>
      <c r="AL226" s="75">
        <f>IFERROR(SQRT(AL187/AL$210)*100,0)</f>
        <v/>
      </c>
      <c r="AM226" s="75">
        <f>IFERROR(SQRT(AM187/AM$210)*100,0)</f>
        <v/>
      </c>
      <c r="AN226" s="75">
        <f>IFERROR(SQRT(AN187/AN$210)*100,0)</f>
        <v/>
      </c>
      <c r="AO226" s="75">
        <f>IFERROR(SQRT(AO187/AO$210)*100,0)</f>
        <v/>
      </c>
      <c r="AP226" s="75">
        <f>IFERROR(SQRT(AP187/AP$210)*100,0)</f>
        <v/>
      </c>
      <c r="AQ226" s="75">
        <f>IFERROR(SQRT(AQ187/AQ$210)*100,0)</f>
        <v/>
      </c>
      <c r="AR226" s="75">
        <f>IFERROR(SQRT(AR187/AR$210)*100,0)</f>
        <v/>
      </c>
      <c r="AS226" s="75">
        <f>IFERROR(SQRT(AS187/AS$210)*100,0)</f>
        <v/>
      </c>
      <c r="AT226" s="75">
        <f>IFERROR(SQRT(AT187/AT$210)*100,0)</f>
        <v/>
      </c>
      <c r="AU226" s="75">
        <f>IFERROR(SQRT(AU187/AU$210)*100,0)</f>
        <v/>
      </c>
      <c r="AV226" s="75">
        <f>IFERROR(SQRT(AV187/AV$210)*100,0)</f>
        <v/>
      </c>
      <c r="AW226" s="75">
        <f>IFERROR(SQRT(AW187/AW$210)*100,0)</f>
        <v/>
      </c>
      <c r="AX226" s="75">
        <f>IFERROR(SQRT(AX187/AX$210)*100,0)</f>
        <v/>
      </c>
      <c r="AY226" s="75">
        <f>IFERROR(SQRT(AY187/AY$210)*100,0)</f>
        <v/>
      </c>
      <c r="AZ226" s="75">
        <f>IFERROR(SQRT(AZ187/AZ$210)*100,0)</f>
        <v/>
      </c>
      <c r="BA226" s="75">
        <f>IFERROR(SQRT(BA187/BA$210)*100,0)</f>
        <v/>
      </c>
      <c r="BB226" s="75">
        <f>IFERROR(SQRT(BB187/BB$210)*100,0)</f>
        <v/>
      </c>
    </row>
    <row r="227">
      <c r="D227" s="237">
        <f>D110</f>
        <v/>
      </c>
      <c r="E227" s="75">
        <f>IFERROR(SQRT(E188/E$210)*100,0)</f>
        <v/>
      </c>
      <c r="F227" s="75">
        <f>IFERROR(SQRT(F188/F$210)*100,0)</f>
        <v/>
      </c>
      <c r="G227" s="75">
        <f>IFERROR(SQRT(G188/G$210)*100,0)</f>
        <v/>
      </c>
      <c r="H227" s="75">
        <f>IFERROR(SQRT(H188/H$210)*100,0)</f>
        <v/>
      </c>
      <c r="I227" s="75">
        <f>IFERROR(SQRT(I188/I$210)*100,0)</f>
        <v/>
      </c>
      <c r="J227" s="75">
        <f>IFERROR(SQRT(J188/J$210)*100,0)</f>
        <v/>
      </c>
      <c r="K227" s="75">
        <f>IFERROR(SQRT(K188/K$210)*100,0)</f>
        <v/>
      </c>
      <c r="L227" s="75">
        <f>IFERROR(SQRT(L188/L$210)*100,0)</f>
        <v/>
      </c>
      <c r="M227" s="75">
        <f>IFERROR(SQRT(M188/M$210)*100,0)</f>
        <v/>
      </c>
      <c r="N227" s="75">
        <f>IFERROR(SQRT(N188/N$210)*100,0)</f>
        <v/>
      </c>
      <c r="O227" s="75">
        <f>IFERROR(SQRT(O188/O$210)*100,0)</f>
        <v/>
      </c>
      <c r="P227" s="75">
        <f>IFERROR(SQRT(P188/P$210)*100,0)</f>
        <v/>
      </c>
      <c r="Q227" s="75">
        <f>IFERROR(SQRT(Q188/Q$210)*100,0)</f>
        <v/>
      </c>
      <c r="R227" s="75">
        <f>IFERROR(SQRT(R188/R$210)*100,0)</f>
        <v/>
      </c>
      <c r="S227" s="75">
        <f>IFERROR(SQRT(S188/S$210)*100,0)</f>
        <v/>
      </c>
      <c r="T227" s="75">
        <f>IFERROR(SQRT(T188/T$210)*100,0)</f>
        <v/>
      </c>
      <c r="U227" s="75">
        <f>IFERROR(SQRT(U188/U$210)*100,0)</f>
        <v/>
      </c>
      <c r="V227" s="75">
        <f>IFERROR(SQRT(V188/V$210)*100,0)</f>
        <v/>
      </c>
      <c r="W227" s="75">
        <f>IFERROR(SQRT(W188/W$210)*100,0)</f>
        <v/>
      </c>
      <c r="X227" s="75">
        <f>IFERROR(SQRT(X188/X$210)*100,0)</f>
        <v/>
      </c>
      <c r="Y227" s="75">
        <f>IFERROR(SQRT(Y188/Y$210)*100,0)</f>
        <v/>
      </c>
      <c r="Z227" s="75">
        <f>IFERROR(SQRT(Z188/Z$210)*100,0)</f>
        <v/>
      </c>
      <c r="AA227" s="75">
        <f>IFERROR(SQRT(AA188/AA$210)*100,0)</f>
        <v/>
      </c>
      <c r="AB227" s="75">
        <f>IFERROR(SQRT(AB188/AB$210)*100,0)</f>
        <v/>
      </c>
      <c r="AC227" s="75">
        <f>IFERROR(SQRT(AC188/AC$210)*100,0)</f>
        <v/>
      </c>
      <c r="AD227" s="75">
        <f>IFERROR(SQRT(AD188/AD$210)*100,0)</f>
        <v/>
      </c>
      <c r="AE227" s="75">
        <f>IFERROR(SQRT(AE188/AE$210)*100,0)</f>
        <v/>
      </c>
      <c r="AF227" s="75">
        <f>IFERROR(SQRT(AF188/AF$210)*100,0)</f>
        <v/>
      </c>
      <c r="AG227" s="75">
        <f>IFERROR(SQRT(AG188/AG$210)*100,0)</f>
        <v/>
      </c>
      <c r="AH227" s="75">
        <f>IFERROR(SQRT(AH188/AH$210)*100,0)</f>
        <v/>
      </c>
      <c r="AI227" s="75">
        <f>IFERROR(SQRT(AI188/AI$210)*100,0)</f>
        <v/>
      </c>
      <c r="AJ227" s="75">
        <f>IFERROR(SQRT(AJ188/AJ$210)*100,0)</f>
        <v/>
      </c>
      <c r="AK227" s="75">
        <f>IFERROR(SQRT(AK188/AK$210)*100,0)</f>
        <v/>
      </c>
      <c r="AL227" s="75">
        <f>IFERROR(SQRT(AL188/AL$210)*100,0)</f>
        <v/>
      </c>
      <c r="AM227" s="75">
        <f>IFERROR(SQRT(AM188/AM$210)*100,0)</f>
        <v/>
      </c>
      <c r="AN227" s="75">
        <f>IFERROR(SQRT(AN188/AN$210)*100,0)</f>
        <v/>
      </c>
      <c r="AO227" s="75">
        <f>IFERROR(SQRT(AO188/AO$210)*100,0)</f>
        <v/>
      </c>
      <c r="AP227" s="75">
        <f>IFERROR(SQRT(AP188/AP$210)*100,0)</f>
        <v/>
      </c>
      <c r="AQ227" s="75">
        <f>IFERROR(SQRT(AQ188/AQ$210)*100,0)</f>
        <v/>
      </c>
      <c r="AR227" s="75">
        <f>IFERROR(SQRT(AR188/AR$210)*100,0)</f>
        <v/>
      </c>
      <c r="AS227" s="75">
        <f>IFERROR(SQRT(AS188/AS$210)*100,0)</f>
        <v/>
      </c>
      <c r="AT227" s="75">
        <f>IFERROR(SQRT(AT188/AT$210)*100,0)</f>
        <v/>
      </c>
      <c r="AU227" s="75">
        <f>IFERROR(SQRT(AU188/AU$210)*100,0)</f>
        <v/>
      </c>
      <c r="AV227" s="75">
        <f>IFERROR(SQRT(AV188/AV$210)*100,0)</f>
        <v/>
      </c>
      <c r="AW227" s="75">
        <f>IFERROR(SQRT(AW188/AW$210)*100,0)</f>
        <v/>
      </c>
      <c r="AX227" s="75">
        <f>IFERROR(SQRT(AX188/AX$210)*100,0)</f>
        <v/>
      </c>
      <c r="AY227" s="75">
        <f>IFERROR(SQRT(AY188/AY$210)*100,0)</f>
        <v/>
      </c>
      <c r="AZ227" s="75">
        <f>IFERROR(SQRT(AZ188/AZ$210)*100,0)</f>
        <v/>
      </c>
      <c r="BA227" s="75">
        <f>IFERROR(SQRT(BA188/BA$210)*100,0)</f>
        <v/>
      </c>
      <c r="BB227" s="75">
        <f>IFERROR(SQRT(BB188/BB$210)*100,0)</f>
        <v/>
      </c>
    </row>
    <row r="228">
      <c r="D228" s="237">
        <f>D111</f>
        <v/>
      </c>
      <c r="E228" s="75">
        <f>IFERROR(SQRT(E189/E$210)*100,0)</f>
        <v/>
      </c>
      <c r="F228" s="75">
        <f>IFERROR(SQRT(F189/F$210)*100,0)</f>
        <v/>
      </c>
      <c r="G228" s="75">
        <f>IFERROR(SQRT(G189/G$210)*100,0)</f>
        <v/>
      </c>
      <c r="H228" s="75">
        <f>IFERROR(SQRT(H189/H$210)*100,0)</f>
        <v/>
      </c>
      <c r="I228" s="75">
        <f>IFERROR(SQRT(I189/I$210)*100,0)</f>
        <v/>
      </c>
      <c r="J228" s="75">
        <f>IFERROR(SQRT(J189/J$210)*100,0)</f>
        <v/>
      </c>
      <c r="K228" s="75">
        <f>IFERROR(SQRT(K189/K$210)*100,0)</f>
        <v/>
      </c>
      <c r="L228" s="75">
        <f>IFERROR(SQRT(L189/L$210)*100,0)</f>
        <v/>
      </c>
      <c r="M228" s="75">
        <f>IFERROR(SQRT(M189/M$210)*100,0)</f>
        <v/>
      </c>
      <c r="N228" s="75">
        <f>IFERROR(SQRT(N189/N$210)*100,0)</f>
        <v/>
      </c>
      <c r="O228" s="75">
        <f>IFERROR(SQRT(O189/O$210)*100,0)</f>
        <v/>
      </c>
      <c r="P228" s="75">
        <f>IFERROR(SQRT(P189/P$210)*100,0)</f>
        <v/>
      </c>
      <c r="Q228" s="75">
        <f>IFERROR(SQRT(Q189/Q$210)*100,0)</f>
        <v/>
      </c>
      <c r="R228" s="75">
        <f>IFERROR(SQRT(R189/R$210)*100,0)</f>
        <v/>
      </c>
      <c r="S228" s="75">
        <f>IFERROR(SQRT(S189/S$210)*100,0)</f>
        <v/>
      </c>
      <c r="T228" s="75">
        <f>IFERROR(SQRT(T189/T$210)*100,0)</f>
        <v/>
      </c>
      <c r="U228" s="75">
        <f>IFERROR(SQRT(U189/U$210)*100,0)</f>
        <v/>
      </c>
      <c r="V228" s="75">
        <f>IFERROR(SQRT(V189/V$210)*100,0)</f>
        <v/>
      </c>
      <c r="W228" s="75">
        <f>IFERROR(SQRT(W189/W$210)*100,0)</f>
        <v/>
      </c>
      <c r="X228" s="75">
        <f>IFERROR(SQRT(X189/X$210)*100,0)</f>
        <v/>
      </c>
      <c r="Y228" s="75">
        <f>IFERROR(SQRT(Y189/Y$210)*100,0)</f>
        <v/>
      </c>
      <c r="Z228" s="75">
        <f>IFERROR(SQRT(Z189/Z$210)*100,0)</f>
        <v/>
      </c>
      <c r="AA228" s="75">
        <f>IFERROR(SQRT(AA189/AA$210)*100,0)</f>
        <v/>
      </c>
      <c r="AB228" s="75">
        <f>IFERROR(SQRT(AB189/AB$210)*100,0)</f>
        <v/>
      </c>
      <c r="AC228" s="75">
        <f>IFERROR(SQRT(AC189/AC$210)*100,0)</f>
        <v/>
      </c>
      <c r="AD228" s="75">
        <f>IFERROR(SQRT(AD189/AD$210)*100,0)</f>
        <v/>
      </c>
      <c r="AE228" s="75">
        <f>IFERROR(SQRT(AE189/AE$210)*100,0)</f>
        <v/>
      </c>
      <c r="AF228" s="75">
        <f>IFERROR(SQRT(AF189/AF$210)*100,0)</f>
        <v/>
      </c>
      <c r="AG228" s="75">
        <f>IFERROR(SQRT(AG189/AG$210)*100,0)</f>
        <v/>
      </c>
      <c r="AH228" s="75">
        <f>IFERROR(SQRT(AH189/AH$210)*100,0)</f>
        <v/>
      </c>
      <c r="AI228" s="75">
        <f>IFERROR(SQRT(AI189/AI$210)*100,0)</f>
        <v/>
      </c>
      <c r="AJ228" s="75">
        <f>IFERROR(SQRT(AJ189/AJ$210)*100,0)</f>
        <v/>
      </c>
      <c r="AK228" s="75">
        <f>IFERROR(SQRT(AK189/AK$210)*100,0)</f>
        <v/>
      </c>
      <c r="AL228" s="75">
        <f>IFERROR(SQRT(AL189/AL$210)*100,0)</f>
        <v/>
      </c>
      <c r="AM228" s="75">
        <f>IFERROR(SQRT(AM189/AM$210)*100,0)</f>
        <v/>
      </c>
      <c r="AN228" s="75">
        <f>IFERROR(SQRT(AN189/AN$210)*100,0)</f>
        <v/>
      </c>
      <c r="AO228" s="75">
        <f>IFERROR(SQRT(AO189/AO$210)*100,0)</f>
        <v/>
      </c>
      <c r="AP228" s="75">
        <f>IFERROR(SQRT(AP189/AP$210)*100,0)</f>
        <v/>
      </c>
      <c r="AQ228" s="75">
        <f>IFERROR(SQRT(AQ189/AQ$210)*100,0)</f>
        <v/>
      </c>
      <c r="AR228" s="75">
        <f>IFERROR(SQRT(AR189/AR$210)*100,0)</f>
        <v/>
      </c>
      <c r="AS228" s="75">
        <f>IFERROR(SQRT(AS189/AS$210)*100,0)</f>
        <v/>
      </c>
      <c r="AT228" s="75">
        <f>IFERROR(SQRT(AT189/AT$210)*100,0)</f>
        <v/>
      </c>
      <c r="AU228" s="75">
        <f>IFERROR(SQRT(AU189/AU$210)*100,0)</f>
        <v/>
      </c>
      <c r="AV228" s="75">
        <f>IFERROR(SQRT(AV189/AV$210)*100,0)</f>
        <v/>
      </c>
      <c r="AW228" s="75">
        <f>IFERROR(SQRT(AW189/AW$210)*100,0)</f>
        <v/>
      </c>
      <c r="AX228" s="75">
        <f>IFERROR(SQRT(AX189/AX$210)*100,0)</f>
        <v/>
      </c>
      <c r="AY228" s="75">
        <f>IFERROR(SQRT(AY189/AY$210)*100,0)</f>
        <v/>
      </c>
      <c r="AZ228" s="75">
        <f>IFERROR(SQRT(AZ189/AZ$210)*100,0)</f>
        <v/>
      </c>
      <c r="BA228" s="75">
        <f>IFERROR(SQRT(BA189/BA$210)*100,0)</f>
        <v/>
      </c>
      <c r="BB228" s="75">
        <f>IFERROR(SQRT(BB189/BB$210)*100,0)</f>
        <v/>
      </c>
    </row>
    <row r="229">
      <c r="D229" s="237">
        <f>D112</f>
        <v/>
      </c>
      <c r="E229" s="75">
        <f>IFERROR(SQRT(E190/E$210)*100,0)</f>
        <v/>
      </c>
      <c r="F229" s="75">
        <f>IFERROR(SQRT(F190/F$210)*100,0)</f>
        <v/>
      </c>
      <c r="G229" s="75">
        <f>IFERROR(SQRT(G190/G$210)*100,0)</f>
        <v/>
      </c>
      <c r="H229" s="75">
        <f>IFERROR(SQRT(H190/H$210)*100,0)</f>
        <v/>
      </c>
      <c r="I229" s="75">
        <f>IFERROR(SQRT(I190/I$210)*100,0)</f>
        <v/>
      </c>
      <c r="J229" s="75">
        <f>IFERROR(SQRT(J190/J$210)*100,0)</f>
        <v/>
      </c>
      <c r="K229" s="75">
        <f>IFERROR(SQRT(K190/K$210)*100,0)</f>
        <v/>
      </c>
      <c r="L229" s="75">
        <f>IFERROR(SQRT(L190/L$210)*100,0)</f>
        <v/>
      </c>
      <c r="M229" s="75">
        <f>IFERROR(SQRT(M190/M$210)*100,0)</f>
        <v/>
      </c>
      <c r="N229" s="75">
        <f>IFERROR(SQRT(N190/N$210)*100,0)</f>
        <v/>
      </c>
      <c r="O229" s="75">
        <f>IFERROR(SQRT(O190/O$210)*100,0)</f>
        <v/>
      </c>
      <c r="P229" s="75">
        <f>IFERROR(SQRT(P190/P$210)*100,0)</f>
        <v/>
      </c>
      <c r="Q229" s="75">
        <f>IFERROR(SQRT(Q190/Q$210)*100,0)</f>
        <v/>
      </c>
      <c r="R229" s="75">
        <f>IFERROR(SQRT(R190/R$210)*100,0)</f>
        <v/>
      </c>
      <c r="S229" s="75">
        <f>IFERROR(SQRT(S190/S$210)*100,0)</f>
        <v/>
      </c>
      <c r="T229" s="75">
        <f>IFERROR(SQRT(T190/T$210)*100,0)</f>
        <v/>
      </c>
      <c r="U229" s="75">
        <f>IFERROR(SQRT(U190/U$210)*100,0)</f>
        <v/>
      </c>
      <c r="V229" s="75">
        <f>IFERROR(SQRT(V190/V$210)*100,0)</f>
        <v/>
      </c>
      <c r="W229" s="75">
        <f>IFERROR(SQRT(W190/W$210)*100,0)</f>
        <v/>
      </c>
      <c r="X229" s="75">
        <f>IFERROR(SQRT(X190/X$210)*100,0)</f>
        <v/>
      </c>
      <c r="Y229" s="75">
        <f>IFERROR(SQRT(Y190/Y$210)*100,0)</f>
        <v/>
      </c>
      <c r="Z229" s="75">
        <f>IFERROR(SQRT(Z190/Z$210)*100,0)</f>
        <v/>
      </c>
      <c r="AA229" s="75">
        <f>IFERROR(SQRT(AA190/AA$210)*100,0)</f>
        <v/>
      </c>
      <c r="AB229" s="75">
        <f>IFERROR(SQRT(AB190/AB$210)*100,0)</f>
        <v/>
      </c>
      <c r="AC229" s="75">
        <f>IFERROR(SQRT(AC190/AC$210)*100,0)</f>
        <v/>
      </c>
      <c r="AD229" s="75">
        <f>IFERROR(SQRT(AD190/AD$210)*100,0)</f>
        <v/>
      </c>
      <c r="AE229" s="75">
        <f>IFERROR(SQRT(AE190/AE$210)*100,0)</f>
        <v/>
      </c>
      <c r="AF229" s="75">
        <f>IFERROR(SQRT(AF190/AF$210)*100,0)</f>
        <v/>
      </c>
      <c r="AG229" s="75">
        <f>IFERROR(SQRT(AG190/AG$210)*100,0)</f>
        <v/>
      </c>
      <c r="AH229" s="75">
        <f>IFERROR(SQRT(AH190/AH$210)*100,0)</f>
        <v/>
      </c>
      <c r="AI229" s="75">
        <f>IFERROR(SQRT(AI190/AI$210)*100,0)</f>
        <v/>
      </c>
      <c r="AJ229" s="75">
        <f>IFERROR(SQRT(AJ190/AJ$210)*100,0)</f>
        <v/>
      </c>
      <c r="AK229" s="75">
        <f>IFERROR(SQRT(AK190/AK$210)*100,0)</f>
        <v/>
      </c>
      <c r="AL229" s="75">
        <f>IFERROR(SQRT(AL190/AL$210)*100,0)</f>
        <v/>
      </c>
      <c r="AM229" s="75">
        <f>IFERROR(SQRT(AM190/AM$210)*100,0)</f>
        <v/>
      </c>
      <c r="AN229" s="75">
        <f>IFERROR(SQRT(AN190/AN$210)*100,0)</f>
        <v/>
      </c>
      <c r="AO229" s="75">
        <f>IFERROR(SQRT(AO190/AO$210)*100,0)</f>
        <v/>
      </c>
      <c r="AP229" s="75">
        <f>IFERROR(SQRT(AP190/AP$210)*100,0)</f>
        <v/>
      </c>
      <c r="AQ229" s="75">
        <f>IFERROR(SQRT(AQ190/AQ$210)*100,0)</f>
        <v/>
      </c>
      <c r="AR229" s="75">
        <f>IFERROR(SQRT(AR190/AR$210)*100,0)</f>
        <v/>
      </c>
      <c r="AS229" s="75">
        <f>IFERROR(SQRT(AS190/AS$210)*100,0)</f>
        <v/>
      </c>
      <c r="AT229" s="75">
        <f>IFERROR(SQRT(AT190/AT$210)*100,0)</f>
        <v/>
      </c>
      <c r="AU229" s="75">
        <f>IFERROR(SQRT(AU190/AU$210)*100,0)</f>
        <v/>
      </c>
      <c r="AV229" s="75">
        <f>IFERROR(SQRT(AV190/AV$210)*100,0)</f>
        <v/>
      </c>
      <c r="AW229" s="75">
        <f>IFERROR(SQRT(AW190/AW$210)*100,0)</f>
        <v/>
      </c>
      <c r="AX229" s="75">
        <f>IFERROR(SQRT(AX190/AX$210)*100,0)</f>
        <v/>
      </c>
      <c r="AY229" s="75">
        <f>IFERROR(SQRT(AY190/AY$210)*100,0)</f>
        <v/>
      </c>
      <c r="AZ229" s="75">
        <f>IFERROR(SQRT(AZ190/AZ$210)*100,0)</f>
        <v/>
      </c>
      <c r="BA229" s="75">
        <f>IFERROR(SQRT(BA190/BA$210)*100,0)</f>
        <v/>
      </c>
      <c r="BB229" s="75">
        <f>IFERROR(SQRT(BB190/BB$210)*100,0)</f>
        <v/>
      </c>
    </row>
    <row r="230">
      <c r="D230" s="237">
        <f>D113</f>
        <v/>
      </c>
      <c r="E230" s="75">
        <f>IFERROR(SQRT(E191/E$210)*100,0)</f>
        <v/>
      </c>
      <c r="F230" s="75">
        <f>IFERROR(SQRT(F191/F$210)*100,0)</f>
        <v/>
      </c>
      <c r="G230" s="75">
        <f>IFERROR(SQRT(G191/G$210)*100,0)</f>
        <v/>
      </c>
      <c r="H230" s="75">
        <f>IFERROR(SQRT(H191/H$210)*100,0)</f>
        <v/>
      </c>
      <c r="I230" s="75">
        <f>IFERROR(SQRT(I191/I$210)*100,0)</f>
        <v/>
      </c>
      <c r="J230" s="75">
        <f>IFERROR(SQRT(J191/J$210)*100,0)</f>
        <v/>
      </c>
      <c r="K230" s="75">
        <f>IFERROR(SQRT(K191/K$210)*100,0)</f>
        <v/>
      </c>
      <c r="L230" s="75">
        <f>IFERROR(SQRT(L191/L$210)*100,0)</f>
        <v/>
      </c>
      <c r="M230" s="75">
        <f>IFERROR(SQRT(M191/M$210)*100,0)</f>
        <v/>
      </c>
      <c r="N230" s="75">
        <f>IFERROR(SQRT(N191/N$210)*100,0)</f>
        <v/>
      </c>
      <c r="O230" s="75">
        <f>IFERROR(SQRT(O191/O$210)*100,0)</f>
        <v/>
      </c>
      <c r="P230" s="75">
        <f>IFERROR(SQRT(P191/P$210)*100,0)</f>
        <v/>
      </c>
      <c r="Q230" s="75">
        <f>IFERROR(SQRT(Q191/Q$210)*100,0)</f>
        <v/>
      </c>
      <c r="R230" s="75">
        <f>IFERROR(SQRT(R191/R$210)*100,0)</f>
        <v/>
      </c>
      <c r="S230" s="75">
        <f>IFERROR(SQRT(S191/S$210)*100,0)</f>
        <v/>
      </c>
      <c r="T230" s="75">
        <f>IFERROR(SQRT(T191/T$210)*100,0)</f>
        <v/>
      </c>
      <c r="U230" s="75">
        <f>IFERROR(SQRT(U191/U$210)*100,0)</f>
        <v/>
      </c>
      <c r="V230" s="75">
        <f>IFERROR(SQRT(V191/V$210)*100,0)</f>
        <v/>
      </c>
      <c r="W230" s="75">
        <f>IFERROR(SQRT(W191/W$210)*100,0)</f>
        <v/>
      </c>
      <c r="X230" s="75">
        <f>IFERROR(SQRT(X191/X$210)*100,0)</f>
        <v/>
      </c>
      <c r="Y230" s="75">
        <f>IFERROR(SQRT(Y191/Y$210)*100,0)</f>
        <v/>
      </c>
      <c r="Z230" s="75">
        <f>IFERROR(SQRT(Z191/Z$210)*100,0)</f>
        <v/>
      </c>
      <c r="AA230" s="75">
        <f>IFERROR(SQRT(AA191/AA$210)*100,0)</f>
        <v/>
      </c>
      <c r="AB230" s="75">
        <f>IFERROR(SQRT(AB191/AB$210)*100,0)</f>
        <v/>
      </c>
      <c r="AC230" s="75">
        <f>IFERROR(SQRT(AC191/AC$210)*100,0)</f>
        <v/>
      </c>
      <c r="AD230" s="75">
        <f>IFERROR(SQRT(AD191/AD$210)*100,0)</f>
        <v/>
      </c>
      <c r="AE230" s="75">
        <f>IFERROR(SQRT(AE191/AE$210)*100,0)</f>
        <v/>
      </c>
      <c r="AF230" s="75">
        <f>IFERROR(SQRT(AF191/AF$210)*100,0)</f>
        <v/>
      </c>
      <c r="AG230" s="75">
        <f>IFERROR(SQRT(AG191/AG$210)*100,0)</f>
        <v/>
      </c>
      <c r="AH230" s="75">
        <f>IFERROR(SQRT(AH191/AH$210)*100,0)</f>
        <v/>
      </c>
      <c r="AI230" s="75">
        <f>IFERROR(SQRT(AI191/AI$210)*100,0)</f>
        <v/>
      </c>
      <c r="AJ230" s="75">
        <f>IFERROR(SQRT(AJ191/AJ$210)*100,0)</f>
        <v/>
      </c>
      <c r="AK230" s="75">
        <f>IFERROR(SQRT(AK191/AK$210)*100,0)</f>
        <v/>
      </c>
      <c r="AL230" s="75">
        <f>IFERROR(SQRT(AL191/AL$210)*100,0)</f>
        <v/>
      </c>
      <c r="AM230" s="75">
        <f>IFERROR(SQRT(AM191/AM$210)*100,0)</f>
        <v/>
      </c>
      <c r="AN230" s="75">
        <f>IFERROR(SQRT(AN191/AN$210)*100,0)</f>
        <v/>
      </c>
      <c r="AO230" s="75">
        <f>IFERROR(SQRT(AO191/AO$210)*100,0)</f>
        <v/>
      </c>
      <c r="AP230" s="75">
        <f>IFERROR(SQRT(AP191/AP$210)*100,0)</f>
        <v/>
      </c>
      <c r="AQ230" s="75">
        <f>IFERROR(SQRT(AQ191/AQ$210)*100,0)</f>
        <v/>
      </c>
      <c r="AR230" s="75">
        <f>IFERROR(SQRT(AR191/AR$210)*100,0)</f>
        <v/>
      </c>
      <c r="AS230" s="75">
        <f>IFERROR(SQRT(AS191/AS$210)*100,0)</f>
        <v/>
      </c>
      <c r="AT230" s="75">
        <f>IFERROR(SQRT(AT191/AT$210)*100,0)</f>
        <v/>
      </c>
      <c r="AU230" s="75">
        <f>IFERROR(SQRT(AU191/AU$210)*100,0)</f>
        <v/>
      </c>
      <c r="AV230" s="75">
        <f>IFERROR(SQRT(AV191/AV$210)*100,0)</f>
        <v/>
      </c>
      <c r="AW230" s="75">
        <f>IFERROR(SQRT(AW191/AW$210)*100,0)</f>
        <v/>
      </c>
      <c r="AX230" s="75">
        <f>IFERROR(SQRT(AX191/AX$210)*100,0)</f>
        <v/>
      </c>
      <c r="AY230" s="75">
        <f>IFERROR(SQRT(AY191/AY$210)*100,0)</f>
        <v/>
      </c>
      <c r="AZ230" s="75">
        <f>IFERROR(SQRT(AZ191/AZ$210)*100,0)</f>
        <v/>
      </c>
      <c r="BA230" s="75">
        <f>IFERROR(SQRT(BA191/BA$210)*100,0)</f>
        <v/>
      </c>
      <c r="BB230" s="75">
        <f>IFERROR(SQRT(BB191/BB$210)*100,0)</f>
        <v/>
      </c>
    </row>
    <row r="231">
      <c r="D231" s="237">
        <f>D114</f>
        <v/>
      </c>
      <c r="E231" s="75">
        <f>IFERROR(SQRT(E192/E$210)*100,0)</f>
        <v/>
      </c>
      <c r="F231" s="75">
        <f>IFERROR(SQRT(F192/F$210)*100,0)</f>
        <v/>
      </c>
      <c r="G231" s="75">
        <f>IFERROR(SQRT(G192/G$210)*100,0)</f>
        <v/>
      </c>
      <c r="H231" s="75">
        <f>IFERROR(SQRT(H192/H$210)*100,0)</f>
        <v/>
      </c>
      <c r="I231" s="75">
        <f>IFERROR(SQRT(I192/I$210)*100,0)</f>
        <v/>
      </c>
      <c r="J231" s="75">
        <f>IFERROR(SQRT(J192/J$210)*100,0)</f>
        <v/>
      </c>
      <c r="K231" s="75">
        <f>IFERROR(SQRT(K192/K$210)*100,0)</f>
        <v/>
      </c>
      <c r="L231" s="75">
        <f>IFERROR(SQRT(L192/L$210)*100,0)</f>
        <v/>
      </c>
      <c r="M231" s="75">
        <f>IFERROR(SQRT(M192/M$210)*100,0)</f>
        <v/>
      </c>
      <c r="N231" s="75">
        <f>IFERROR(SQRT(N192/N$210)*100,0)</f>
        <v/>
      </c>
      <c r="O231" s="75">
        <f>IFERROR(SQRT(O192/O$210)*100,0)</f>
        <v/>
      </c>
      <c r="P231" s="75">
        <f>IFERROR(SQRT(P192/P$210)*100,0)</f>
        <v/>
      </c>
      <c r="Q231" s="75">
        <f>IFERROR(SQRT(Q192/Q$210)*100,0)</f>
        <v/>
      </c>
      <c r="R231" s="75">
        <f>IFERROR(SQRT(R192/R$210)*100,0)</f>
        <v/>
      </c>
      <c r="S231" s="75">
        <f>IFERROR(SQRT(S192/S$210)*100,0)</f>
        <v/>
      </c>
      <c r="T231" s="75">
        <f>IFERROR(SQRT(T192/T$210)*100,0)</f>
        <v/>
      </c>
      <c r="U231" s="75">
        <f>IFERROR(SQRT(U192/U$210)*100,0)</f>
        <v/>
      </c>
      <c r="V231" s="75">
        <f>IFERROR(SQRT(V192/V$210)*100,0)</f>
        <v/>
      </c>
      <c r="W231" s="75">
        <f>IFERROR(SQRT(W192/W$210)*100,0)</f>
        <v/>
      </c>
      <c r="X231" s="75">
        <f>IFERROR(SQRT(X192/X$210)*100,0)</f>
        <v/>
      </c>
      <c r="Y231" s="75">
        <f>IFERROR(SQRT(Y192/Y$210)*100,0)</f>
        <v/>
      </c>
      <c r="Z231" s="75">
        <f>IFERROR(SQRT(Z192/Z$210)*100,0)</f>
        <v/>
      </c>
      <c r="AA231" s="75">
        <f>IFERROR(SQRT(AA192/AA$210)*100,0)</f>
        <v/>
      </c>
      <c r="AB231" s="75">
        <f>IFERROR(SQRT(AB192/AB$210)*100,0)</f>
        <v/>
      </c>
      <c r="AC231" s="75">
        <f>IFERROR(SQRT(AC192/AC$210)*100,0)</f>
        <v/>
      </c>
      <c r="AD231" s="75">
        <f>IFERROR(SQRT(AD192/AD$210)*100,0)</f>
        <v/>
      </c>
      <c r="AE231" s="75">
        <f>IFERROR(SQRT(AE192/AE$210)*100,0)</f>
        <v/>
      </c>
      <c r="AF231" s="75">
        <f>IFERROR(SQRT(AF192/AF$210)*100,0)</f>
        <v/>
      </c>
      <c r="AG231" s="75">
        <f>IFERROR(SQRT(AG192/AG$210)*100,0)</f>
        <v/>
      </c>
      <c r="AH231" s="75">
        <f>IFERROR(SQRT(AH192/AH$210)*100,0)</f>
        <v/>
      </c>
      <c r="AI231" s="75">
        <f>IFERROR(SQRT(AI192/AI$210)*100,0)</f>
        <v/>
      </c>
      <c r="AJ231" s="75">
        <f>IFERROR(SQRT(AJ192/AJ$210)*100,0)</f>
        <v/>
      </c>
      <c r="AK231" s="75">
        <f>IFERROR(SQRT(AK192/AK$210)*100,0)</f>
        <v/>
      </c>
      <c r="AL231" s="75">
        <f>IFERROR(SQRT(AL192/AL$210)*100,0)</f>
        <v/>
      </c>
      <c r="AM231" s="75">
        <f>IFERROR(SQRT(AM192/AM$210)*100,0)</f>
        <v/>
      </c>
      <c r="AN231" s="75">
        <f>IFERROR(SQRT(AN192/AN$210)*100,0)</f>
        <v/>
      </c>
      <c r="AO231" s="75">
        <f>IFERROR(SQRT(AO192/AO$210)*100,0)</f>
        <v/>
      </c>
      <c r="AP231" s="75">
        <f>IFERROR(SQRT(AP192/AP$210)*100,0)</f>
        <v/>
      </c>
      <c r="AQ231" s="75">
        <f>IFERROR(SQRT(AQ192/AQ$210)*100,0)</f>
        <v/>
      </c>
      <c r="AR231" s="75">
        <f>IFERROR(SQRT(AR192/AR$210)*100,0)</f>
        <v/>
      </c>
      <c r="AS231" s="75">
        <f>IFERROR(SQRT(AS192/AS$210)*100,0)</f>
        <v/>
      </c>
      <c r="AT231" s="75">
        <f>IFERROR(SQRT(AT192/AT$210)*100,0)</f>
        <v/>
      </c>
      <c r="AU231" s="75">
        <f>IFERROR(SQRT(AU192/AU$210)*100,0)</f>
        <v/>
      </c>
      <c r="AV231" s="75">
        <f>IFERROR(SQRT(AV192/AV$210)*100,0)</f>
        <v/>
      </c>
      <c r="AW231" s="75">
        <f>IFERROR(SQRT(AW192/AW$210)*100,0)</f>
        <v/>
      </c>
      <c r="AX231" s="75">
        <f>IFERROR(SQRT(AX192/AX$210)*100,0)</f>
        <v/>
      </c>
      <c r="AY231" s="75">
        <f>IFERROR(SQRT(AY192/AY$210)*100,0)</f>
        <v/>
      </c>
      <c r="AZ231" s="75">
        <f>IFERROR(SQRT(AZ192/AZ$210)*100,0)</f>
        <v/>
      </c>
      <c r="BA231" s="75">
        <f>IFERROR(SQRT(BA192/BA$210)*100,0)</f>
        <v/>
      </c>
      <c r="BB231" s="75">
        <f>IFERROR(SQRT(BB192/BB$210)*100,0)</f>
        <v/>
      </c>
    </row>
    <row r="232">
      <c r="D232" s="237">
        <f>D115</f>
        <v/>
      </c>
      <c r="E232" s="75">
        <f>IFERROR(SQRT(E193/E$210)*100,0)</f>
        <v/>
      </c>
      <c r="F232" s="75">
        <f>IFERROR(SQRT(F193/F$210)*100,0)</f>
        <v/>
      </c>
      <c r="G232" s="75">
        <f>IFERROR(SQRT(G193/G$210)*100,0)</f>
        <v/>
      </c>
      <c r="H232" s="75">
        <f>IFERROR(SQRT(H193/H$210)*100,0)</f>
        <v/>
      </c>
      <c r="I232" s="75">
        <f>IFERROR(SQRT(I193/I$210)*100,0)</f>
        <v/>
      </c>
      <c r="J232" s="75">
        <f>IFERROR(SQRT(J193/J$210)*100,0)</f>
        <v/>
      </c>
      <c r="K232" s="75">
        <f>IFERROR(SQRT(K193/K$210)*100,0)</f>
        <v/>
      </c>
      <c r="L232" s="75">
        <f>IFERROR(SQRT(L193/L$210)*100,0)</f>
        <v/>
      </c>
      <c r="M232" s="75">
        <f>IFERROR(SQRT(M193/M$210)*100,0)</f>
        <v/>
      </c>
      <c r="N232" s="75">
        <f>IFERROR(SQRT(N193/N$210)*100,0)</f>
        <v/>
      </c>
      <c r="O232" s="75">
        <f>IFERROR(SQRT(O193/O$210)*100,0)</f>
        <v/>
      </c>
      <c r="P232" s="75">
        <f>IFERROR(SQRT(P193/P$210)*100,0)</f>
        <v/>
      </c>
      <c r="Q232" s="75">
        <f>IFERROR(SQRT(Q193/Q$210)*100,0)</f>
        <v/>
      </c>
      <c r="R232" s="75">
        <f>IFERROR(SQRT(R193/R$210)*100,0)</f>
        <v/>
      </c>
      <c r="S232" s="75">
        <f>IFERROR(SQRT(S193/S$210)*100,0)</f>
        <v/>
      </c>
      <c r="T232" s="75">
        <f>IFERROR(SQRT(T193/T$210)*100,0)</f>
        <v/>
      </c>
      <c r="U232" s="75">
        <f>IFERROR(SQRT(U193/U$210)*100,0)</f>
        <v/>
      </c>
      <c r="V232" s="75">
        <f>IFERROR(SQRT(V193/V$210)*100,0)</f>
        <v/>
      </c>
      <c r="W232" s="75">
        <f>IFERROR(SQRT(W193/W$210)*100,0)</f>
        <v/>
      </c>
      <c r="X232" s="75">
        <f>IFERROR(SQRT(X193/X$210)*100,0)</f>
        <v/>
      </c>
      <c r="Y232" s="75">
        <f>IFERROR(SQRT(Y193/Y$210)*100,0)</f>
        <v/>
      </c>
      <c r="Z232" s="75">
        <f>IFERROR(SQRT(Z193/Z$210)*100,0)</f>
        <v/>
      </c>
      <c r="AA232" s="75">
        <f>IFERROR(SQRT(AA193/AA$210)*100,0)</f>
        <v/>
      </c>
      <c r="AB232" s="75">
        <f>IFERROR(SQRT(AB193/AB$210)*100,0)</f>
        <v/>
      </c>
      <c r="AC232" s="75">
        <f>IFERROR(SQRT(AC193/AC$210)*100,0)</f>
        <v/>
      </c>
      <c r="AD232" s="75">
        <f>IFERROR(SQRT(AD193/AD$210)*100,0)</f>
        <v/>
      </c>
      <c r="AE232" s="75">
        <f>IFERROR(SQRT(AE193/AE$210)*100,0)</f>
        <v/>
      </c>
      <c r="AF232" s="75">
        <f>IFERROR(SQRT(AF193/AF$210)*100,0)</f>
        <v/>
      </c>
      <c r="AG232" s="75">
        <f>IFERROR(SQRT(AG193/AG$210)*100,0)</f>
        <v/>
      </c>
      <c r="AH232" s="75">
        <f>IFERROR(SQRT(AH193/AH$210)*100,0)</f>
        <v/>
      </c>
      <c r="AI232" s="75">
        <f>IFERROR(SQRT(AI193/AI$210)*100,0)</f>
        <v/>
      </c>
      <c r="AJ232" s="75">
        <f>IFERROR(SQRT(AJ193/AJ$210)*100,0)</f>
        <v/>
      </c>
      <c r="AK232" s="75">
        <f>IFERROR(SQRT(AK193/AK$210)*100,0)</f>
        <v/>
      </c>
      <c r="AL232" s="75">
        <f>IFERROR(SQRT(AL193/AL$210)*100,0)</f>
        <v/>
      </c>
      <c r="AM232" s="75">
        <f>IFERROR(SQRT(AM193/AM$210)*100,0)</f>
        <v/>
      </c>
      <c r="AN232" s="75">
        <f>IFERROR(SQRT(AN193/AN$210)*100,0)</f>
        <v/>
      </c>
      <c r="AO232" s="75">
        <f>IFERROR(SQRT(AO193/AO$210)*100,0)</f>
        <v/>
      </c>
      <c r="AP232" s="75">
        <f>IFERROR(SQRT(AP193/AP$210)*100,0)</f>
        <v/>
      </c>
      <c r="AQ232" s="75">
        <f>IFERROR(SQRT(AQ193/AQ$210)*100,0)</f>
        <v/>
      </c>
      <c r="AR232" s="75">
        <f>IFERROR(SQRT(AR193/AR$210)*100,0)</f>
        <v/>
      </c>
      <c r="AS232" s="75">
        <f>IFERROR(SQRT(AS193/AS$210)*100,0)</f>
        <v/>
      </c>
      <c r="AT232" s="75">
        <f>IFERROR(SQRT(AT193/AT$210)*100,0)</f>
        <v/>
      </c>
      <c r="AU232" s="75">
        <f>IFERROR(SQRT(AU193/AU$210)*100,0)</f>
        <v/>
      </c>
      <c r="AV232" s="75">
        <f>IFERROR(SQRT(AV193/AV$210)*100,0)</f>
        <v/>
      </c>
      <c r="AW232" s="75">
        <f>IFERROR(SQRT(AW193/AW$210)*100,0)</f>
        <v/>
      </c>
      <c r="AX232" s="75">
        <f>IFERROR(SQRT(AX193/AX$210)*100,0)</f>
        <v/>
      </c>
      <c r="AY232" s="75">
        <f>IFERROR(SQRT(AY193/AY$210)*100,0)</f>
        <v/>
      </c>
      <c r="AZ232" s="75">
        <f>IFERROR(SQRT(AZ193/AZ$210)*100,0)</f>
        <v/>
      </c>
      <c r="BA232" s="75">
        <f>IFERROR(SQRT(BA193/BA$210)*100,0)</f>
        <v/>
      </c>
      <c r="BB232" s="75">
        <f>IFERROR(SQRT(BB193/BB$210)*100,0)</f>
        <v/>
      </c>
    </row>
    <row r="233">
      <c r="D233" s="237">
        <f>D116</f>
        <v/>
      </c>
      <c r="E233" s="75">
        <f>IFERROR(SQRT(E194/E$210)*100,0)</f>
        <v/>
      </c>
      <c r="F233" s="75">
        <f>IFERROR(SQRT(F194/F$210)*100,0)</f>
        <v/>
      </c>
      <c r="G233" s="75">
        <f>IFERROR(SQRT(G194/G$210)*100,0)</f>
        <v/>
      </c>
      <c r="H233" s="75">
        <f>IFERROR(SQRT(H194/H$210)*100,0)</f>
        <v/>
      </c>
      <c r="I233" s="75">
        <f>IFERROR(SQRT(I194/I$210)*100,0)</f>
        <v/>
      </c>
      <c r="J233" s="75">
        <f>IFERROR(SQRT(J194/J$210)*100,0)</f>
        <v/>
      </c>
      <c r="K233" s="75">
        <f>IFERROR(SQRT(K194/K$210)*100,0)</f>
        <v/>
      </c>
      <c r="L233" s="75">
        <f>IFERROR(SQRT(L194/L$210)*100,0)</f>
        <v/>
      </c>
      <c r="M233" s="75">
        <f>IFERROR(SQRT(M194/M$210)*100,0)</f>
        <v/>
      </c>
      <c r="N233" s="75">
        <f>IFERROR(SQRT(N194/N$210)*100,0)</f>
        <v/>
      </c>
      <c r="O233" s="75">
        <f>IFERROR(SQRT(O194/O$210)*100,0)</f>
        <v/>
      </c>
      <c r="P233" s="75">
        <f>IFERROR(SQRT(P194/P$210)*100,0)</f>
        <v/>
      </c>
      <c r="Q233" s="75">
        <f>IFERROR(SQRT(Q194/Q$210)*100,0)</f>
        <v/>
      </c>
      <c r="R233" s="75">
        <f>IFERROR(SQRT(R194/R$210)*100,0)</f>
        <v/>
      </c>
      <c r="S233" s="75">
        <f>IFERROR(SQRT(S194/S$210)*100,0)</f>
        <v/>
      </c>
      <c r="T233" s="75">
        <f>IFERROR(SQRT(T194/T$210)*100,0)</f>
        <v/>
      </c>
      <c r="U233" s="75">
        <f>IFERROR(SQRT(U194/U$210)*100,0)</f>
        <v/>
      </c>
      <c r="V233" s="75">
        <f>IFERROR(SQRT(V194/V$210)*100,0)</f>
        <v/>
      </c>
      <c r="W233" s="75">
        <f>IFERROR(SQRT(W194/W$210)*100,0)</f>
        <v/>
      </c>
      <c r="X233" s="75">
        <f>IFERROR(SQRT(X194/X$210)*100,0)</f>
        <v/>
      </c>
      <c r="Y233" s="75">
        <f>IFERROR(SQRT(Y194/Y$210)*100,0)</f>
        <v/>
      </c>
      <c r="Z233" s="75">
        <f>IFERROR(SQRT(Z194/Z$210)*100,0)</f>
        <v/>
      </c>
      <c r="AA233" s="75">
        <f>IFERROR(SQRT(AA194/AA$210)*100,0)</f>
        <v/>
      </c>
      <c r="AB233" s="75">
        <f>IFERROR(SQRT(AB194/AB$210)*100,0)</f>
        <v/>
      </c>
      <c r="AC233" s="75">
        <f>IFERROR(SQRT(AC194/AC$210)*100,0)</f>
        <v/>
      </c>
      <c r="AD233" s="75">
        <f>IFERROR(SQRT(AD194/AD$210)*100,0)</f>
        <v/>
      </c>
      <c r="AE233" s="75">
        <f>IFERROR(SQRT(AE194/AE$210)*100,0)</f>
        <v/>
      </c>
      <c r="AF233" s="75">
        <f>IFERROR(SQRT(AF194/AF$210)*100,0)</f>
        <v/>
      </c>
      <c r="AG233" s="75">
        <f>IFERROR(SQRT(AG194/AG$210)*100,0)</f>
        <v/>
      </c>
      <c r="AH233" s="75">
        <f>IFERROR(SQRT(AH194/AH$210)*100,0)</f>
        <v/>
      </c>
      <c r="AI233" s="75">
        <f>IFERROR(SQRT(AI194/AI$210)*100,0)</f>
        <v/>
      </c>
      <c r="AJ233" s="75">
        <f>IFERROR(SQRT(AJ194/AJ$210)*100,0)</f>
        <v/>
      </c>
      <c r="AK233" s="75">
        <f>IFERROR(SQRT(AK194/AK$210)*100,0)</f>
        <v/>
      </c>
      <c r="AL233" s="75">
        <f>IFERROR(SQRT(AL194/AL$210)*100,0)</f>
        <v/>
      </c>
      <c r="AM233" s="75">
        <f>IFERROR(SQRT(AM194/AM$210)*100,0)</f>
        <v/>
      </c>
      <c r="AN233" s="75">
        <f>IFERROR(SQRT(AN194/AN$210)*100,0)</f>
        <v/>
      </c>
      <c r="AO233" s="75">
        <f>IFERROR(SQRT(AO194/AO$210)*100,0)</f>
        <v/>
      </c>
      <c r="AP233" s="75">
        <f>IFERROR(SQRT(AP194/AP$210)*100,0)</f>
        <v/>
      </c>
      <c r="AQ233" s="75">
        <f>IFERROR(SQRT(AQ194/AQ$210)*100,0)</f>
        <v/>
      </c>
      <c r="AR233" s="75">
        <f>IFERROR(SQRT(AR194/AR$210)*100,0)</f>
        <v/>
      </c>
      <c r="AS233" s="75">
        <f>IFERROR(SQRT(AS194/AS$210)*100,0)</f>
        <v/>
      </c>
      <c r="AT233" s="75">
        <f>IFERROR(SQRT(AT194/AT$210)*100,0)</f>
        <v/>
      </c>
      <c r="AU233" s="75">
        <f>IFERROR(SQRT(AU194/AU$210)*100,0)</f>
        <v/>
      </c>
      <c r="AV233" s="75">
        <f>IFERROR(SQRT(AV194/AV$210)*100,0)</f>
        <v/>
      </c>
      <c r="AW233" s="75">
        <f>IFERROR(SQRT(AW194/AW$210)*100,0)</f>
        <v/>
      </c>
      <c r="AX233" s="75">
        <f>IFERROR(SQRT(AX194/AX$210)*100,0)</f>
        <v/>
      </c>
      <c r="AY233" s="75">
        <f>IFERROR(SQRT(AY194/AY$210)*100,0)</f>
        <v/>
      </c>
      <c r="AZ233" s="75">
        <f>IFERROR(SQRT(AZ194/AZ$210)*100,0)</f>
        <v/>
      </c>
      <c r="BA233" s="75">
        <f>IFERROR(SQRT(BA194/BA$210)*100,0)</f>
        <v/>
      </c>
      <c r="BB233" s="75">
        <f>IFERROR(SQRT(BB194/BB$210)*100,0)</f>
        <v/>
      </c>
    </row>
    <row r="234">
      <c r="D234" s="237">
        <f>D117</f>
        <v/>
      </c>
      <c r="E234" s="75">
        <f>IFERROR(SQRT(E195/E$210)*100,0)</f>
        <v/>
      </c>
      <c r="F234" s="75">
        <f>IFERROR(SQRT(F195/F$210)*100,0)</f>
        <v/>
      </c>
      <c r="G234" s="75">
        <f>IFERROR(SQRT(G195/G$210)*100,0)</f>
        <v/>
      </c>
      <c r="H234" s="75">
        <f>IFERROR(SQRT(H195/H$210)*100,0)</f>
        <v/>
      </c>
      <c r="I234" s="75">
        <f>IFERROR(SQRT(I195/I$210)*100,0)</f>
        <v/>
      </c>
      <c r="J234" s="75">
        <f>IFERROR(SQRT(J195/J$210)*100,0)</f>
        <v/>
      </c>
      <c r="K234" s="75">
        <f>IFERROR(SQRT(K195/K$210)*100,0)</f>
        <v/>
      </c>
      <c r="L234" s="75">
        <f>IFERROR(SQRT(L195/L$210)*100,0)</f>
        <v/>
      </c>
      <c r="M234" s="75">
        <f>IFERROR(SQRT(M195/M$210)*100,0)</f>
        <v/>
      </c>
      <c r="N234" s="75">
        <f>IFERROR(SQRT(N195/N$210)*100,0)</f>
        <v/>
      </c>
      <c r="O234" s="75">
        <f>IFERROR(SQRT(O195/O$210)*100,0)</f>
        <v/>
      </c>
      <c r="P234" s="75">
        <f>IFERROR(SQRT(P195/P$210)*100,0)</f>
        <v/>
      </c>
      <c r="Q234" s="75">
        <f>IFERROR(SQRT(Q195/Q$210)*100,0)</f>
        <v/>
      </c>
      <c r="R234" s="75">
        <f>IFERROR(SQRT(R195/R$210)*100,0)</f>
        <v/>
      </c>
      <c r="S234" s="75">
        <f>IFERROR(SQRT(S195/S$210)*100,0)</f>
        <v/>
      </c>
      <c r="T234" s="75">
        <f>IFERROR(SQRT(T195/T$210)*100,0)</f>
        <v/>
      </c>
      <c r="U234" s="75">
        <f>IFERROR(SQRT(U195/U$210)*100,0)</f>
        <v/>
      </c>
      <c r="V234" s="75">
        <f>IFERROR(SQRT(V195/V$210)*100,0)</f>
        <v/>
      </c>
      <c r="W234" s="75">
        <f>IFERROR(SQRT(W195/W$210)*100,0)</f>
        <v/>
      </c>
      <c r="X234" s="75">
        <f>IFERROR(SQRT(X195/X$210)*100,0)</f>
        <v/>
      </c>
      <c r="Y234" s="75">
        <f>IFERROR(SQRT(Y195/Y$210)*100,0)</f>
        <v/>
      </c>
      <c r="Z234" s="75">
        <f>IFERROR(SQRT(Z195/Z$210)*100,0)</f>
        <v/>
      </c>
      <c r="AA234" s="75">
        <f>IFERROR(SQRT(AA195/AA$210)*100,0)</f>
        <v/>
      </c>
      <c r="AB234" s="75">
        <f>IFERROR(SQRT(AB195/AB$210)*100,0)</f>
        <v/>
      </c>
      <c r="AC234" s="75">
        <f>IFERROR(SQRT(AC195/AC$210)*100,0)</f>
        <v/>
      </c>
      <c r="AD234" s="75">
        <f>IFERROR(SQRT(AD195/AD$210)*100,0)</f>
        <v/>
      </c>
      <c r="AE234" s="75">
        <f>IFERROR(SQRT(AE195/AE$210)*100,0)</f>
        <v/>
      </c>
      <c r="AF234" s="75">
        <f>IFERROR(SQRT(AF195/AF$210)*100,0)</f>
        <v/>
      </c>
      <c r="AG234" s="75">
        <f>IFERROR(SQRT(AG195/AG$210)*100,0)</f>
        <v/>
      </c>
      <c r="AH234" s="75">
        <f>IFERROR(SQRT(AH195/AH$210)*100,0)</f>
        <v/>
      </c>
      <c r="AI234" s="75">
        <f>IFERROR(SQRT(AI195/AI$210)*100,0)</f>
        <v/>
      </c>
      <c r="AJ234" s="75">
        <f>IFERROR(SQRT(AJ195/AJ$210)*100,0)</f>
        <v/>
      </c>
      <c r="AK234" s="75">
        <f>IFERROR(SQRT(AK195/AK$210)*100,0)</f>
        <v/>
      </c>
      <c r="AL234" s="75">
        <f>IFERROR(SQRT(AL195/AL$210)*100,0)</f>
        <v/>
      </c>
      <c r="AM234" s="75">
        <f>IFERROR(SQRT(AM195/AM$210)*100,0)</f>
        <v/>
      </c>
      <c r="AN234" s="75">
        <f>IFERROR(SQRT(AN195/AN$210)*100,0)</f>
        <v/>
      </c>
      <c r="AO234" s="75">
        <f>IFERROR(SQRT(AO195/AO$210)*100,0)</f>
        <v/>
      </c>
      <c r="AP234" s="75">
        <f>IFERROR(SQRT(AP195/AP$210)*100,0)</f>
        <v/>
      </c>
      <c r="AQ234" s="75">
        <f>IFERROR(SQRT(AQ195/AQ$210)*100,0)</f>
        <v/>
      </c>
      <c r="AR234" s="75">
        <f>IFERROR(SQRT(AR195/AR$210)*100,0)</f>
        <v/>
      </c>
      <c r="AS234" s="75">
        <f>IFERROR(SQRT(AS195/AS$210)*100,0)</f>
        <v/>
      </c>
      <c r="AT234" s="75">
        <f>IFERROR(SQRT(AT195/AT$210)*100,0)</f>
        <v/>
      </c>
      <c r="AU234" s="75">
        <f>IFERROR(SQRT(AU195/AU$210)*100,0)</f>
        <v/>
      </c>
      <c r="AV234" s="75">
        <f>IFERROR(SQRT(AV195/AV$210)*100,0)</f>
        <v/>
      </c>
      <c r="AW234" s="75">
        <f>IFERROR(SQRT(AW195/AW$210)*100,0)</f>
        <v/>
      </c>
      <c r="AX234" s="75">
        <f>IFERROR(SQRT(AX195/AX$210)*100,0)</f>
        <v/>
      </c>
      <c r="AY234" s="75">
        <f>IFERROR(SQRT(AY195/AY$210)*100,0)</f>
        <v/>
      </c>
      <c r="AZ234" s="75">
        <f>IFERROR(SQRT(AZ195/AZ$210)*100,0)</f>
        <v/>
      </c>
      <c r="BA234" s="75">
        <f>IFERROR(SQRT(BA195/BA$210)*100,0)</f>
        <v/>
      </c>
      <c r="BB234" s="75">
        <f>IFERROR(SQRT(BB195/BB$210)*100,0)</f>
        <v/>
      </c>
    </row>
    <row r="235">
      <c r="D235" s="237">
        <f>D118</f>
        <v/>
      </c>
      <c r="E235" s="75">
        <f>IFERROR(SQRT(E196/E$210)*100,0)</f>
        <v/>
      </c>
      <c r="F235" s="75">
        <f>IFERROR(SQRT(F196/F$210)*100,0)</f>
        <v/>
      </c>
      <c r="G235" s="75">
        <f>IFERROR(SQRT(G196/G$210)*100,0)</f>
        <v/>
      </c>
      <c r="H235" s="75">
        <f>IFERROR(SQRT(H196/H$210)*100,0)</f>
        <v/>
      </c>
      <c r="I235" s="75">
        <f>IFERROR(SQRT(I196/I$210)*100,0)</f>
        <v/>
      </c>
      <c r="J235" s="75">
        <f>IFERROR(SQRT(J196/J$210)*100,0)</f>
        <v/>
      </c>
      <c r="K235" s="75">
        <f>IFERROR(SQRT(K196/K$210)*100,0)</f>
        <v/>
      </c>
      <c r="L235" s="75">
        <f>IFERROR(SQRT(L196/L$210)*100,0)</f>
        <v/>
      </c>
      <c r="M235" s="75">
        <f>IFERROR(SQRT(M196/M$210)*100,0)</f>
        <v/>
      </c>
      <c r="N235" s="75">
        <f>IFERROR(SQRT(N196/N$210)*100,0)</f>
        <v/>
      </c>
      <c r="O235" s="75">
        <f>IFERROR(SQRT(O196/O$210)*100,0)</f>
        <v/>
      </c>
      <c r="P235" s="75">
        <f>IFERROR(SQRT(P196/P$210)*100,0)</f>
        <v/>
      </c>
      <c r="Q235" s="75">
        <f>IFERROR(SQRT(Q196/Q$210)*100,0)</f>
        <v/>
      </c>
      <c r="R235" s="75">
        <f>IFERROR(SQRT(R196/R$210)*100,0)</f>
        <v/>
      </c>
      <c r="S235" s="75">
        <f>IFERROR(SQRT(S196/S$210)*100,0)</f>
        <v/>
      </c>
      <c r="T235" s="75">
        <f>IFERROR(SQRT(T196/T$210)*100,0)</f>
        <v/>
      </c>
      <c r="U235" s="75">
        <f>IFERROR(SQRT(U196/U$210)*100,0)</f>
        <v/>
      </c>
      <c r="V235" s="75">
        <f>IFERROR(SQRT(V196/V$210)*100,0)</f>
        <v/>
      </c>
      <c r="W235" s="75">
        <f>IFERROR(SQRT(W196/W$210)*100,0)</f>
        <v/>
      </c>
      <c r="X235" s="75">
        <f>IFERROR(SQRT(X196/X$210)*100,0)</f>
        <v/>
      </c>
      <c r="Y235" s="75">
        <f>IFERROR(SQRT(Y196/Y$210)*100,0)</f>
        <v/>
      </c>
      <c r="Z235" s="75">
        <f>IFERROR(SQRT(Z196/Z$210)*100,0)</f>
        <v/>
      </c>
      <c r="AA235" s="75">
        <f>IFERROR(SQRT(AA196/AA$210)*100,0)</f>
        <v/>
      </c>
      <c r="AB235" s="75">
        <f>IFERROR(SQRT(AB196/AB$210)*100,0)</f>
        <v/>
      </c>
      <c r="AC235" s="75">
        <f>IFERROR(SQRT(AC196/AC$210)*100,0)</f>
        <v/>
      </c>
      <c r="AD235" s="75">
        <f>IFERROR(SQRT(AD196/AD$210)*100,0)</f>
        <v/>
      </c>
      <c r="AE235" s="75">
        <f>IFERROR(SQRT(AE196/AE$210)*100,0)</f>
        <v/>
      </c>
      <c r="AF235" s="75">
        <f>IFERROR(SQRT(AF196/AF$210)*100,0)</f>
        <v/>
      </c>
      <c r="AG235" s="75">
        <f>IFERROR(SQRT(AG196/AG$210)*100,0)</f>
        <v/>
      </c>
      <c r="AH235" s="75">
        <f>IFERROR(SQRT(AH196/AH$210)*100,0)</f>
        <v/>
      </c>
      <c r="AI235" s="75">
        <f>IFERROR(SQRT(AI196/AI$210)*100,0)</f>
        <v/>
      </c>
      <c r="AJ235" s="75">
        <f>IFERROR(SQRT(AJ196/AJ$210)*100,0)</f>
        <v/>
      </c>
      <c r="AK235" s="75">
        <f>IFERROR(SQRT(AK196/AK$210)*100,0)</f>
        <v/>
      </c>
      <c r="AL235" s="75">
        <f>IFERROR(SQRT(AL196/AL$210)*100,0)</f>
        <v/>
      </c>
      <c r="AM235" s="75">
        <f>IFERROR(SQRT(AM196/AM$210)*100,0)</f>
        <v/>
      </c>
      <c r="AN235" s="75">
        <f>IFERROR(SQRT(AN196/AN$210)*100,0)</f>
        <v/>
      </c>
      <c r="AO235" s="75">
        <f>IFERROR(SQRT(AO196/AO$210)*100,0)</f>
        <v/>
      </c>
      <c r="AP235" s="75">
        <f>IFERROR(SQRT(AP196/AP$210)*100,0)</f>
        <v/>
      </c>
      <c r="AQ235" s="75">
        <f>IFERROR(SQRT(AQ196/AQ$210)*100,0)</f>
        <v/>
      </c>
      <c r="AR235" s="75">
        <f>IFERROR(SQRT(AR196/AR$210)*100,0)</f>
        <v/>
      </c>
      <c r="AS235" s="75">
        <f>IFERROR(SQRT(AS196/AS$210)*100,0)</f>
        <v/>
      </c>
      <c r="AT235" s="75">
        <f>IFERROR(SQRT(AT196/AT$210)*100,0)</f>
        <v/>
      </c>
      <c r="AU235" s="75">
        <f>IFERROR(SQRT(AU196/AU$210)*100,0)</f>
        <v/>
      </c>
      <c r="AV235" s="75">
        <f>IFERROR(SQRT(AV196/AV$210)*100,0)</f>
        <v/>
      </c>
      <c r="AW235" s="75">
        <f>IFERROR(SQRT(AW196/AW$210)*100,0)</f>
        <v/>
      </c>
      <c r="AX235" s="75">
        <f>IFERROR(SQRT(AX196/AX$210)*100,0)</f>
        <v/>
      </c>
      <c r="AY235" s="75">
        <f>IFERROR(SQRT(AY196/AY$210)*100,0)</f>
        <v/>
      </c>
      <c r="AZ235" s="75">
        <f>IFERROR(SQRT(AZ196/AZ$210)*100,0)</f>
        <v/>
      </c>
      <c r="BA235" s="75">
        <f>IFERROR(SQRT(BA196/BA$210)*100,0)</f>
        <v/>
      </c>
      <c r="BB235" s="75">
        <f>IFERROR(SQRT(BB196/BB$210)*100,0)</f>
        <v/>
      </c>
    </row>
    <row r="236">
      <c r="D236" s="237">
        <f>D119</f>
        <v/>
      </c>
      <c r="E236" s="75">
        <f>IFERROR(SQRT(E197/E$210)*100,0)</f>
        <v/>
      </c>
      <c r="F236" s="75">
        <f>IFERROR(SQRT(F197/F$210)*100,0)</f>
        <v/>
      </c>
      <c r="G236" s="75">
        <f>IFERROR(SQRT(G197/G$210)*100,0)</f>
        <v/>
      </c>
      <c r="H236" s="75">
        <f>IFERROR(SQRT(H197/H$210)*100,0)</f>
        <v/>
      </c>
      <c r="I236" s="75">
        <f>IFERROR(SQRT(I197/I$210)*100,0)</f>
        <v/>
      </c>
      <c r="J236" s="75">
        <f>IFERROR(SQRT(J197/J$210)*100,0)</f>
        <v/>
      </c>
      <c r="K236" s="75">
        <f>IFERROR(SQRT(K197/K$210)*100,0)</f>
        <v/>
      </c>
      <c r="L236" s="75">
        <f>IFERROR(SQRT(L197/L$210)*100,0)</f>
        <v/>
      </c>
      <c r="M236" s="75">
        <f>IFERROR(SQRT(M197/M$210)*100,0)</f>
        <v/>
      </c>
      <c r="N236" s="75">
        <f>IFERROR(SQRT(N197/N$210)*100,0)</f>
        <v/>
      </c>
      <c r="O236" s="75">
        <f>IFERROR(SQRT(O197/O$210)*100,0)</f>
        <v/>
      </c>
      <c r="P236" s="75">
        <f>IFERROR(SQRT(P197/P$210)*100,0)</f>
        <v/>
      </c>
      <c r="Q236" s="75">
        <f>IFERROR(SQRT(Q197/Q$210)*100,0)</f>
        <v/>
      </c>
      <c r="R236" s="75">
        <f>IFERROR(SQRT(R197/R$210)*100,0)</f>
        <v/>
      </c>
      <c r="S236" s="75">
        <f>IFERROR(SQRT(S197/S$210)*100,0)</f>
        <v/>
      </c>
      <c r="T236" s="75">
        <f>IFERROR(SQRT(T197/T$210)*100,0)</f>
        <v/>
      </c>
      <c r="U236" s="75">
        <f>IFERROR(SQRT(U197/U$210)*100,0)</f>
        <v/>
      </c>
      <c r="V236" s="75">
        <f>IFERROR(SQRT(V197/V$210)*100,0)</f>
        <v/>
      </c>
      <c r="W236" s="75">
        <f>IFERROR(SQRT(W197/W$210)*100,0)</f>
        <v/>
      </c>
      <c r="X236" s="75">
        <f>IFERROR(SQRT(X197/X$210)*100,0)</f>
        <v/>
      </c>
      <c r="Y236" s="75">
        <f>IFERROR(SQRT(Y197/Y$210)*100,0)</f>
        <v/>
      </c>
      <c r="Z236" s="75">
        <f>IFERROR(SQRT(Z197/Z$210)*100,0)</f>
        <v/>
      </c>
      <c r="AA236" s="75">
        <f>IFERROR(SQRT(AA197/AA$210)*100,0)</f>
        <v/>
      </c>
      <c r="AB236" s="75">
        <f>IFERROR(SQRT(AB197/AB$210)*100,0)</f>
        <v/>
      </c>
      <c r="AC236" s="75">
        <f>IFERROR(SQRT(AC197/AC$210)*100,0)</f>
        <v/>
      </c>
      <c r="AD236" s="75">
        <f>IFERROR(SQRT(AD197/AD$210)*100,0)</f>
        <v/>
      </c>
      <c r="AE236" s="75">
        <f>IFERROR(SQRT(AE197/AE$210)*100,0)</f>
        <v/>
      </c>
      <c r="AF236" s="75">
        <f>IFERROR(SQRT(AF197/AF$210)*100,0)</f>
        <v/>
      </c>
      <c r="AG236" s="75">
        <f>IFERROR(SQRT(AG197/AG$210)*100,0)</f>
        <v/>
      </c>
      <c r="AH236" s="75">
        <f>IFERROR(SQRT(AH197/AH$210)*100,0)</f>
        <v/>
      </c>
      <c r="AI236" s="75">
        <f>IFERROR(SQRT(AI197/AI$210)*100,0)</f>
        <v/>
      </c>
      <c r="AJ236" s="75">
        <f>IFERROR(SQRT(AJ197/AJ$210)*100,0)</f>
        <v/>
      </c>
      <c r="AK236" s="75">
        <f>IFERROR(SQRT(AK197/AK$210)*100,0)</f>
        <v/>
      </c>
      <c r="AL236" s="75">
        <f>IFERROR(SQRT(AL197/AL$210)*100,0)</f>
        <v/>
      </c>
      <c r="AM236" s="75">
        <f>IFERROR(SQRT(AM197/AM$210)*100,0)</f>
        <v/>
      </c>
      <c r="AN236" s="75">
        <f>IFERROR(SQRT(AN197/AN$210)*100,0)</f>
        <v/>
      </c>
      <c r="AO236" s="75">
        <f>IFERROR(SQRT(AO197/AO$210)*100,0)</f>
        <v/>
      </c>
      <c r="AP236" s="75">
        <f>IFERROR(SQRT(AP197/AP$210)*100,0)</f>
        <v/>
      </c>
      <c r="AQ236" s="75">
        <f>IFERROR(SQRT(AQ197/AQ$210)*100,0)</f>
        <v/>
      </c>
      <c r="AR236" s="75">
        <f>IFERROR(SQRT(AR197/AR$210)*100,0)</f>
        <v/>
      </c>
      <c r="AS236" s="75">
        <f>IFERROR(SQRT(AS197/AS$210)*100,0)</f>
        <v/>
      </c>
      <c r="AT236" s="75">
        <f>IFERROR(SQRT(AT197/AT$210)*100,0)</f>
        <v/>
      </c>
      <c r="AU236" s="75">
        <f>IFERROR(SQRT(AU197/AU$210)*100,0)</f>
        <v/>
      </c>
      <c r="AV236" s="75">
        <f>IFERROR(SQRT(AV197/AV$210)*100,0)</f>
        <v/>
      </c>
      <c r="AW236" s="75">
        <f>IFERROR(SQRT(AW197/AW$210)*100,0)</f>
        <v/>
      </c>
      <c r="AX236" s="75">
        <f>IFERROR(SQRT(AX197/AX$210)*100,0)</f>
        <v/>
      </c>
      <c r="AY236" s="75">
        <f>IFERROR(SQRT(AY197/AY$210)*100,0)</f>
        <v/>
      </c>
      <c r="AZ236" s="75">
        <f>IFERROR(SQRT(AZ197/AZ$210)*100,0)</f>
        <v/>
      </c>
      <c r="BA236" s="75">
        <f>IFERROR(SQRT(BA197/BA$210)*100,0)</f>
        <v/>
      </c>
      <c r="BB236" s="75">
        <f>IFERROR(SQRT(BB197/BB$210)*100,0)</f>
        <v/>
      </c>
    </row>
    <row r="237">
      <c r="D237" s="237">
        <f>D120</f>
        <v/>
      </c>
      <c r="E237" s="75">
        <f>IFERROR(SQRT(E198/E$210)*100,0)</f>
        <v/>
      </c>
      <c r="F237" s="75">
        <f>IFERROR(SQRT(F198/F$210)*100,0)</f>
        <v/>
      </c>
      <c r="G237" s="75">
        <f>IFERROR(SQRT(G198/G$210)*100,0)</f>
        <v/>
      </c>
      <c r="H237" s="75">
        <f>IFERROR(SQRT(H198/H$210)*100,0)</f>
        <v/>
      </c>
      <c r="I237" s="75">
        <f>IFERROR(SQRT(I198/I$210)*100,0)</f>
        <v/>
      </c>
      <c r="J237" s="75">
        <f>IFERROR(SQRT(J198/J$210)*100,0)</f>
        <v/>
      </c>
      <c r="K237" s="75">
        <f>IFERROR(SQRT(K198/K$210)*100,0)</f>
        <v/>
      </c>
      <c r="L237" s="75">
        <f>IFERROR(SQRT(L198/L$210)*100,0)</f>
        <v/>
      </c>
      <c r="M237" s="75">
        <f>IFERROR(SQRT(M198/M$210)*100,0)</f>
        <v/>
      </c>
      <c r="N237" s="75">
        <f>IFERROR(SQRT(N198/N$210)*100,0)</f>
        <v/>
      </c>
      <c r="O237" s="75">
        <f>IFERROR(SQRT(O198/O$210)*100,0)</f>
        <v/>
      </c>
      <c r="P237" s="75">
        <f>IFERROR(SQRT(P198/P$210)*100,0)</f>
        <v/>
      </c>
      <c r="Q237" s="75">
        <f>IFERROR(SQRT(Q198/Q$210)*100,0)</f>
        <v/>
      </c>
      <c r="R237" s="75">
        <f>IFERROR(SQRT(R198/R$210)*100,0)</f>
        <v/>
      </c>
      <c r="S237" s="75">
        <f>IFERROR(SQRT(S198/S$210)*100,0)</f>
        <v/>
      </c>
      <c r="T237" s="75">
        <f>IFERROR(SQRT(T198/T$210)*100,0)</f>
        <v/>
      </c>
      <c r="U237" s="75">
        <f>IFERROR(SQRT(U198/U$210)*100,0)</f>
        <v/>
      </c>
      <c r="V237" s="75">
        <f>IFERROR(SQRT(V198/V$210)*100,0)</f>
        <v/>
      </c>
      <c r="W237" s="75">
        <f>IFERROR(SQRT(W198/W$210)*100,0)</f>
        <v/>
      </c>
      <c r="X237" s="75">
        <f>IFERROR(SQRT(X198/X$210)*100,0)</f>
        <v/>
      </c>
      <c r="Y237" s="75">
        <f>IFERROR(SQRT(Y198/Y$210)*100,0)</f>
        <v/>
      </c>
      <c r="Z237" s="75">
        <f>IFERROR(SQRT(Z198/Z$210)*100,0)</f>
        <v/>
      </c>
      <c r="AA237" s="75">
        <f>IFERROR(SQRT(AA198/AA$210)*100,0)</f>
        <v/>
      </c>
      <c r="AB237" s="75">
        <f>IFERROR(SQRT(AB198/AB$210)*100,0)</f>
        <v/>
      </c>
      <c r="AC237" s="75">
        <f>IFERROR(SQRT(AC198/AC$210)*100,0)</f>
        <v/>
      </c>
      <c r="AD237" s="75">
        <f>IFERROR(SQRT(AD198/AD$210)*100,0)</f>
        <v/>
      </c>
      <c r="AE237" s="75">
        <f>IFERROR(SQRT(AE198/AE$210)*100,0)</f>
        <v/>
      </c>
      <c r="AF237" s="75">
        <f>IFERROR(SQRT(AF198/AF$210)*100,0)</f>
        <v/>
      </c>
      <c r="AG237" s="75">
        <f>IFERROR(SQRT(AG198/AG$210)*100,0)</f>
        <v/>
      </c>
      <c r="AH237" s="75">
        <f>IFERROR(SQRT(AH198/AH$210)*100,0)</f>
        <v/>
      </c>
      <c r="AI237" s="75">
        <f>IFERROR(SQRT(AI198/AI$210)*100,0)</f>
        <v/>
      </c>
      <c r="AJ237" s="75">
        <f>IFERROR(SQRT(AJ198/AJ$210)*100,0)</f>
        <v/>
      </c>
      <c r="AK237" s="75">
        <f>IFERROR(SQRT(AK198/AK$210)*100,0)</f>
        <v/>
      </c>
      <c r="AL237" s="75">
        <f>IFERROR(SQRT(AL198/AL$210)*100,0)</f>
        <v/>
      </c>
      <c r="AM237" s="75">
        <f>IFERROR(SQRT(AM198/AM$210)*100,0)</f>
        <v/>
      </c>
      <c r="AN237" s="75">
        <f>IFERROR(SQRT(AN198/AN$210)*100,0)</f>
        <v/>
      </c>
      <c r="AO237" s="75">
        <f>IFERROR(SQRT(AO198/AO$210)*100,0)</f>
        <v/>
      </c>
      <c r="AP237" s="75">
        <f>IFERROR(SQRT(AP198/AP$210)*100,0)</f>
        <v/>
      </c>
      <c r="AQ237" s="75">
        <f>IFERROR(SQRT(AQ198/AQ$210)*100,0)</f>
        <v/>
      </c>
      <c r="AR237" s="75">
        <f>IFERROR(SQRT(AR198/AR$210)*100,0)</f>
        <v/>
      </c>
      <c r="AS237" s="75">
        <f>IFERROR(SQRT(AS198/AS$210)*100,0)</f>
        <v/>
      </c>
      <c r="AT237" s="75">
        <f>IFERROR(SQRT(AT198/AT$210)*100,0)</f>
        <v/>
      </c>
      <c r="AU237" s="75">
        <f>IFERROR(SQRT(AU198/AU$210)*100,0)</f>
        <v/>
      </c>
      <c r="AV237" s="75">
        <f>IFERROR(SQRT(AV198/AV$210)*100,0)</f>
        <v/>
      </c>
      <c r="AW237" s="75">
        <f>IFERROR(SQRT(AW198/AW$210)*100,0)</f>
        <v/>
      </c>
      <c r="AX237" s="75">
        <f>IFERROR(SQRT(AX198/AX$210)*100,0)</f>
        <v/>
      </c>
      <c r="AY237" s="75">
        <f>IFERROR(SQRT(AY198/AY$210)*100,0)</f>
        <v/>
      </c>
      <c r="AZ237" s="75">
        <f>IFERROR(SQRT(AZ198/AZ$210)*100,0)</f>
        <v/>
      </c>
      <c r="BA237" s="75">
        <f>IFERROR(SQRT(BA198/BA$210)*100,0)</f>
        <v/>
      </c>
      <c r="BB237" s="75">
        <f>IFERROR(SQRT(BB198/BB$210)*100,0)</f>
        <v/>
      </c>
    </row>
    <row r="238">
      <c r="D238" s="237">
        <f>D121</f>
        <v/>
      </c>
      <c r="E238" s="75">
        <f>IFERROR(SQRT(E199/E$210)*100,0)</f>
        <v/>
      </c>
      <c r="F238" s="75">
        <f>IFERROR(SQRT(F199/F$210)*100,0)</f>
        <v/>
      </c>
      <c r="G238" s="75">
        <f>IFERROR(SQRT(G199/G$210)*100,0)</f>
        <v/>
      </c>
      <c r="H238" s="75">
        <f>IFERROR(SQRT(H199/H$210)*100,0)</f>
        <v/>
      </c>
      <c r="I238" s="75">
        <f>IFERROR(SQRT(I199/I$210)*100,0)</f>
        <v/>
      </c>
      <c r="J238" s="75">
        <f>IFERROR(SQRT(J199/J$210)*100,0)</f>
        <v/>
      </c>
      <c r="K238" s="75">
        <f>IFERROR(SQRT(K199/K$210)*100,0)</f>
        <v/>
      </c>
      <c r="L238" s="75">
        <f>IFERROR(SQRT(L199/L$210)*100,0)</f>
        <v/>
      </c>
      <c r="M238" s="75">
        <f>IFERROR(SQRT(M199/M$210)*100,0)</f>
        <v/>
      </c>
      <c r="N238" s="75">
        <f>IFERROR(SQRT(N199/N$210)*100,0)</f>
        <v/>
      </c>
      <c r="O238" s="75">
        <f>IFERROR(SQRT(O199/O$210)*100,0)</f>
        <v/>
      </c>
      <c r="P238" s="75">
        <f>IFERROR(SQRT(P199/P$210)*100,0)</f>
        <v/>
      </c>
      <c r="Q238" s="75">
        <f>IFERROR(SQRT(Q199/Q$210)*100,0)</f>
        <v/>
      </c>
      <c r="R238" s="75">
        <f>IFERROR(SQRT(R199/R$210)*100,0)</f>
        <v/>
      </c>
      <c r="S238" s="75">
        <f>IFERROR(SQRT(S199/S$210)*100,0)</f>
        <v/>
      </c>
      <c r="T238" s="75">
        <f>IFERROR(SQRT(T199/T$210)*100,0)</f>
        <v/>
      </c>
      <c r="U238" s="75">
        <f>IFERROR(SQRT(U199/U$210)*100,0)</f>
        <v/>
      </c>
      <c r="V238" s="75">
        <f>IFERROR(SQRT(V199/V$210)*100,0)</f>
        <v/>
      </c>
      <c r="W238" s="75">
        <f>IFERROR(SQRT(W199/W$210)*100,0)</f>
        <v/>
      </c>
      <c r="X238" s="75">
        <f>IFERROR(SQRT(X199/X$210)*100,0)</f>
        <v/>
      </c>
      <c r="Y238" s="75">
        <f>IFERROR(SQRT(Y199/Y$210)*100,0)</f>
        <v/>
      </c>
      <c r="Z238" s="75">
        <f>IFERROR(SQRT(Z199/Z$210)*100,0)</f>
        <v/>
      </c>
      <c r="AA238" s="75">
        <f>IFERROR(SQRT(AA199/AA$210)*100,0)</f>
        <v/>
      </c>
      <c r="AB238" s="75">
        <f>IFERROR(SQRT(AB199/AB$210)*100,0)</f>
        <v/>
      </c>
      <c r="AC238" s="75">
        <f>IFERROR(SQRT(AC199/AC$210)*100,0)</f>
        <v/>
      </c>
      <c r="AD238" s="75">
        <f>IFERROR(SQRT(AD199/AD$210)*100,0)</f>
        <v/>
      </c>
      <c r="AE238" s="75">
        <f>IFERROR(SQRT(AE199/AE$210)*100,0)</f>
        <v/>
      </c>
      <c r="AF238" s="75">
        <f>IFERROR(SQRT(AF199/AF$210)*100,0)</f>
        <v/>
      </c>
      <c r="AG238" s="75">
        <f>IFERROR(SQRT(AG199/AG$210)*100,0)</f>
        <v/>
      </c>
      <c r="AH238" s="75">
        <f>IFERROR(SQRT(AH199/AH$210)*100,0)</f>
        <v/>
      </c>
      <c r="AI238" s="75">
        <f>IFERROR(SQRT(AI199/AI$210)*100,0)</f>
        <v/>
      </c>
      <c r="AJ238" s="75">
        <f>IFERROR(SQRT(AJ199/AJ$210)*100,0)</f>
        <v/>
      </c>
      <c r="AK238" s="75">
        <f>IFERROR(SQRT(AK199/AK$210)*100,0)</f>
        <v/>
      </c>
      <c r="AL238" s="75">
        <f>IFERROR(SQRT(AL199/AL$210)*100,0)</f>
        <v/>
      </c>
      <c r="AM238" s="75">
        <f>IFERROR(SQRT(AM199/AM$210)*100,0)</f>
        <v/>
      </c>
      <c r="AN238" s="75">
        <f>IFERROR(SQRT(AN199/AN$210)*100,0)</f>
        <v/>
      </c>
      <c r="AO238" s="75">
        <f>IFERROR(SQRT(AO199/AO$210)*100,0)</f>
        <v/>
      </c>
      <c r="AP238" s="75">
        <f>IFERROR(SQRT(AP199/AP$210)*100,0)</f>
        <v/>
      </c>
      <c r="AQ238" s="75">
        <f>IFERROR(SQRT(AQ199/AQ$210)*100,0)</f>
        <v/>
      </c>
      <c r="AR238" s="75">
        <f>IFERROR(SQRT(AR199/AR$210)*100,0)</f>
        <v/>
      </c>
      <c r="AS238" s="75">
        <f>IFERROR(SQRT(AS199/AS$210)*100,0)</f>
        <v/>
      </c>
      <c r="AT238" s="75">
        <f>IFERROR(SQRT(AT199/AT$210)*100,0)</f>
        <v/>
      </c>
      <c r="AU238" s="75">
        <f>IFERROR(SQRT(AU199/AU$210)*100,0)</f>
        <v/>
      </c>
      <c r="AV238" s="75">
        <f>IFERROR(SQRT(AV199/AV$210)*100,0)</f>
        <v/>
      </c>
      <c r="AW238" s="75">
        <f>IFERROR(SQRT(AW199/AW$210)*100,0)</f>
        <v/>
      </c>
      <c r="AX238" s="75">
        <f>IFERROR(SQRT(AX199/AX$210)*100,0)</f>
        <v/>
      </c>
      <c r="AY238" s="75">
        <f>IFERROR(SQRT(AY199/AY$210)*100,0)</f>
        <v/>
      </c>
      <c r="AZ238" s="75">
        <f>IFERROR(SQRT(AZ199/AZ$210)*100,0)</f>
        <v/>
      </c>
      <c r="BA238" s="75">
        <f>IFERROR(SQRT(BA199/BA$210)*100,0)</f>
        <v/>
      </c>
      <c r="BB238" s="75">
        <f>IFERROR(SQRT(BB199/BB$210)*100,0)</f>
        <v/>
      </c>
    </row>
    <row r="239">
      <c r="D239" s="237">
        <f>D122</f>
        <v/>
      </c>
      <c r="E239" s="75">
        <f>IFERROR(SQRT(E200/E$210)*100,0)</f>
        <v/>
      </c>
      <c r="F239" s="75">
        <f>IFERROR(SQRT(F200/F$210)*100,0)</f>
        <v/>
      </c>
      <c r="G239" s="75">
        <f>IFERROR(SQRT(G200/G$210)*100,0)</f>
        <v/>
      </c>
      <c r="H239" s="75">
        <f>IFERROR(SQRT(H200/H$210)*100,0)</f>
        <v/>
      </c>
      <c r="I239" s="75">
        <f>IFERROR(SQRT(I200/I$210)*100,0)</f>
        <v/>
      </c>
      <c r="J239" s="75">
        <f>IFERROR(SQRT(J200/J$210)*100,0)</f>
        <v/>
      </c>
      <c r="K239" s="75">
        <f>IFERROR(SQRT(K200/K$210)*100,0)</f>
        <v/>
      </c>
      <c r="L239" s="75">
        <f>IFERROR(SQRT(L200/L$210)*100,0)</f>
        <v/>
      </c>
      <c r="M239" s="75">
        <f>IFERROR(SQRT(M200/M$210)*100,0)</f>
        <v/>
      </c>
      <c r="N239" s="75">
        <f>IFERROR(SQRT(N200/N$210)*100,0)</f>
        <v/>
      </c>
      <c r="O239" s="75">
        <f>IFERROR(SQRT(O200/O$210)*100,0)</f>
        <v/>
      </c>
      <c r="P239" s="75">
        <f>IFERROR(SQRT(P200/P$210)*100,0)</f>
        <v/>
      </c>
      <c r="Q239" s="75">
        <f>IFERROR(SQRT(Q200/Q$210)*100,0)</f>
        <v/>
      </c>
      <c r="R239" s="75">
        <f>IFERROR(SQRT(R200/R$210)*100,0)</f>
        <v/>
      </c>
      <c r="S239" s="75">
        <f>IFERROR(SQRT(S200/S$210)*100,0)</f>
        <v/>
      </c>
      <c r="T239" s="75">
        <f>IFERROR(SQRT(T200/T$210)*100,0)</f>
        <v/>
      </c>
      <c r="U239" s="75">
        <f>IFERROR(SQRT(U200/U$210)*100,0)</f>
        <v/>
      </c>
      <c r="V239" s="75">
        <f>IFERROR(SQRT(V200/V$210)*100,0)</f>
        <v/>
      </c>
      <c r="W239" s="75">
        <f>IFERROR(SQRT(W200/W$210)*100,0)</f>
        <v/>
      </c>
      <c r="X239" s="75">
        <f>IFERROR(SQRT(X200/X$210)*100,0)</f>
        <v/>
      </c>
      <c r="Y239" s="75">
        <f>IFERROR(SQRT(Y200/Y$210)*100,0)</f>
        <v/>
      </c>
      <c r="Z239" s="75">
        <f>IFERROR(SQRT(Z200/Z$210)*100,0)</f>
        <v/>
      </c>
      <c r="AA239" s="75">
        <f>IFERROR(SQRT(AA200/AA$210)*100,0)</f>
        <v/>
      </c>
      <c r="AB239" s="75">
        <f>IFERROR(SQRT(AB200/AB$210)*100,0)</f>
        <v/>
      </c>
      <c r="AC239" s="75">
        <f>IFERROR(SQRT(AC200/AC$210)*100,0)</f>
        <v/>
      </c>
      <c r="AD239" s="75">
        <f>IFERROR(SQRT(AD200/AD$210)*100,0)</f>
        <v/>
      </c>
      <c r="AE239" s="75">
        <f>IFERROR(SQRT(AE200/AE$210)*100,0)</f>
        <v/>
      </c>
      <c r="AF239" s="75">
        <f>IFERROR(SQRT(AF200/AF$210)*100,0)</f>
        <v/>
      </c>
      <c r="AG239" s="75">
        <f>IFERROR(SQRT(AG200/AG$210)*100,0)</f>
        <v/>
      </c>
      <c r="AH239" s="75">
        <f>IFERROR(SQRT(AH200/AH$210)*100,0)</f>
        <v/>
      </c>
      <c r="AI239" s="75">
        <f>IFERROR(SQRT(AI200/AI$210)*100,0)</f>
        <v/>
      </c>
      <c r="AJ239" s="75">
        <f>IFERROR(SQRT(AJ200/AJ$210)*100,0)</f>
        <v/>
      </c>
      <c r="AK239" s="75">
        <f>IFERROR(SQRT(AK200/AK$210)*100,0)</f>
        <v/>
      </c>
      <c r="AL239" s="75">
        <f>IFERROR(SQRT(AL200/AL$210)*100,0)</f>
        <v/>
      </c>
      <c r="AM239" s="75">
        <f>IFERROR(SQRT(AM200/AM$210)*100,0)</f>
        <v/>
      </c>
      <c r="AN239" s="75">
        <f>IFERROR(SQRT(AN200/AN$210)*100,0)</f>
        <v/>
      </c>
      <c r="AO239" s="75">
        <f>IFERROR(SQRT(AO200/AO$210)*100,0)</f>
        <v/>
      </c>
      <c r="AP239" s="75">
        <f>IFERROR(SQRT(AP200/AP$210)*100,0)</f>
        <v/>
      </c>
      <c r="AQ239" s="75">
        <f>IFERROR(SQRT(AQ200/AQ$210)*100,0)</f>
        <v/>
      </c>
      <c r="AR239" s="75">
        <f>IFERROR(SQRT(AR200/AR$210)*100,0)</f>
        <v/>
      </c>
      <c r="AS239" s="75">
        <f>IFERROR(SQRT(AS200/AS$210)*100,0)</f>
        <v/>
      </c>
      <c r="AT239" s="75">
        <f>IFERROR(SQRT(AT200/AT$210)*100,0)</f>
        <v/>
      </c>
      <c r="AU239" s="75">
        <f>IFERROR(SQRT(AU200/AU$210)*100,0)</f>
        <v/>
      </c>
      <c r="AV239" s="75">
        <f>IFERROR(SQRT(AV200/AV$210)*100,0)</f>
        <v/>
      </c>
      <c r="AW239" s="75">
        <f>IFERROR(SQRT(AW200/AW$210)*100,0)</f>
        <v/>
      </c>
      <c r="AX239" s="75">
        <f>IFERROR(SQRT(AX200/AX$210)*100,0)</f>
        <v/>
      </c>
      <c r="AY239" s="75">
        <f>IFERROR(SQRT(AY200/AY$210)*100,0)</f>
        <v/>
      </c>
      <c r="AZ239" s="75">
        <f>IFERROR(SQRT(AZ200/AZ$210)*100,0)</f>
        <v/>
      </c>
      <c r="BA239" s="75">
        <f>IFERROR(SQRT(BA200/BA$210)*100,0)</f>
        <v/>
      </c>
      <c r="BB239" s="75">
        <f>IFERROR(SQRT(BB200/BB$210)*100,0)</f>
        <v/>
      </c>
    </row>
    <row r="240">
      <c r="D240" s="237">
        <f>D123</f>
        <v/>
      </c>
      <c r="E240" s="75">
        <f>IFERROR(SQRT(E201/E$210)*100,0)</f>
        <v/>
      </c>
      <c r="F240" s="75">
        <f>IFERROR(SQRT(F201/F$210)*100,0)</f>
        <v/>
      </c>
      <c r="G240" s="75">
        <f>IFERROR(SQRT(G201/G$210)*100,0)</f>
        <v/>
      </c>
      <c r="H240" s="75">
        <f>IFERROR(SQRT(H201/H$210)*100,0)</f>
        <v/>
      </c>
      <c r="I240" s="75">
        <f>IFERROR(SQRT(I201/I$210)*100,0)</f>
        <v/>
      </c>
      <c r="J240" s="75">
        <f>IFERROR(SQRT(J201/J$210)*100,0)</f>
        <v/>
      </c>
      <c r="K240" s="75">
        <f>IFERROR(SQRT(K201/K$210)*100,0)</f>
        <v/>
      </c>
      <c r="L240" s="75">
        <f>IFERROR(SQRT(L201/L$210)*100,0)</f>
        <v/>
      </c>
      <c r="M240" s="75">
        <f>IFERROR(SQRT(M201/M$210)*100,0)</f>
        <v/>
      </c>
      <c r="N240" s="75">
        <f>IFERROR(SQRT(N201/N$210)*100,0)</f>
        <v/>
      </c>
      <c r="O240" s="75">
        <f>IFERROR(SQRT(O201/O$210)*100,0)</f>
        <v/>
      </c>
      <c r="P240" s="75">
        <f>IFERROR(SQRT(P201/P$210)*100,0)</f>
        <v/>
      </c>
      <c r="Q240" s="75">
        <f>IFERROR(SQRT(Q201/Q$210)*100,0)</f>
        <v/>
      </c>
      <c r="R240" s="75">
        <f>IFERROR(SQRT(R201/R$210)*100,0)</f>
        <v/>
      </c>
      <c r="S240" s="75">
        <f>IFERROR(SQRT(S201/S$210)*100,0)</f>
        <v/>
      </c>
      <c r="T240" s="75">
        <f>IFERROR(SQRT(T201/T$210)*100,0)</f>
        <v/>
      </c>
      <c r="U240" s="75">
        <f>IFERROR(SQRT(U201/U$210)*100,0)</f>
        <v/>
      </c>
      <c r="V240" s="75">
        <f>IFERROR(SQRT(V201/V$210)*100,0)</f>
        <v/>
      </c>
      <c r="W240" s="75">
        <f>IFERROR(SQRT(W201/W$210)*100,0)</f>
        <v/>
      </c>
      <c r="X240" s="75">
        <f>IFERROR(SQRT(X201/X$210)*100,0)</f>
        <v/>
      </c>
      <c r="Y240" s="75">
        <f>IFERROR(SQRT(Y201/Y$210)*100,0)</f>
        <v/>
      </c>
      <c r="Z240" s="75">
        <f>IFERROR(SQRT(Z201/Z$210)*100,0)</f>
        <v/>
      </c>
      <c r="AA240" s="75">
        <f>IFERROR(SQRT(AA201/AA$210)*100,0)</f>
        <v/>
      </c>
      <c r="AB240" s="75">
        <f>IFERROR(SQRT(AB201/AB$210)*100,0)</f>
        <v/>
      </c>
      <c r="AC240" s="75">
        <f>IFERROR(SQRT(AC201/AC$210)*100,0)</f>
        <v/>
      </c>
      <c r="AD240" s="75">
        <f>IFERROR(SQRT(AD201/AD$210)*100,0)</f>
        <v/>
      </c>
      <c r="AE240" s="75">
        <f>IFERROR(SQRT(AE201/AE$210)*100,0)</f>
        <v/>
      </c>
      <c r="AF240" s="75">
        <f>IFERROR(SQRT(AF201/AF$210)*100,0)</f>
        <v/>
      </c>
      <c r="AG240" s="75">
        <f>IFERROR(SQRT(AG201/AG$210)*100,0)</f>
        <v/>
      </c>
      <c r="AH240" s="75">
        <f>IFERROR(SQRT(AH201/AH$210)*100,0)</f>
        <v/>
      </c>
      <c r="AI240" s="75">
        <f>IFERROR(SQRT(AI201/AI$210)*100,0)</f>
        <v/>
      </c>
      <c r="AJ240" s="75">
        <f>IFERROR(SQRT(AJ201/AJ$210)*100,0)</f>
        <v/>
      </c>
      <c r="AK240" s="75">
        <f>IFERROR(SQRT(AK201/AK$210)*100,0)</f>
        <v/>
      </c>
      <c r="AL240" s="75">
        <f>IFERROR(SQRT(AL201/AL$210)*100,0)</f>
        <v/>
      </c>
      <c r="AM240" s="75">
        <f>IFERROR(SQRT(AM201/AM$210)*100,0)</f>
        <v/>
      </c>
      <c r="AN240" s="75">
        <f>IFERROR(SQRT(AN201/AN$210)*100,0)</f>
        <v/>
      </c>
      <c r="AO240" s="75">
        <f>IFERROR(SQRT(AO201/AO$210)*100,0)</f>
        <v/>
      </c>
      <c r="AP240" s="75">
        <f>IFERROR(SQRT(AP201/AP$210)*100,0)</f>
        <v/>
      </c>
      <c r="AQ240" s="75">
        <f>IFERROR(SQRT(AQ201/AQ$210)*100,0)</f>
        <v/>
      </c>
      <c r="AR240" s="75">
        <f>IFERROR(SQRT(AR201/AR$210)*100,0)</f>
        <v/>
      </c>
      <c r="AS240" s="75">
        <f>IFERROR(SQRT(AS201/AS$210)*100,0)</f>
        <v/>
      </c>
      <c r="AT240" s="75">
        <f>IFERROR(SQRT(AT201/AT$210)*100,0)</f>
        <v/>
      </c>
      <c r="AU240" s="75">
        <f>IFERROR(SQRT(AU201/AU$210)*100,0)</f>
        <v/>
      </c>
      <c r="AV240" s="75">
        <f>IFERROR(SQRT(AV201/AV$210)*100,0)</f>
        <v/>
      </c>
      <c r="AW240" s="75">
        <f>IFERROR(SQRT(AW201/AW$210)*100,0)</f>
        <v/>
      </c>
      <c r="AX240" s="75">
        <f>IFERROR(SQRT(AX201/AX$210)*100,0)</f>
        <v/>
      </c>
      <c r="AY240" s="75">
        <f>IFERROR(SQRT(AY201/AY$210)*100,0)</f>
        <v/>
      </c>
      <c r="AZ240" s="75">
        <f>IFERROR(SQRT(AZ201/AZ$210)*100,0)</f>
        <v/>
      </c>
      <c r="BA240" s="75">
        <f>IFERROR(SQRT(BA201/BA$210)*100,0)</f>
        <v/>
      </c>
      <c r="BB240" s="75">
        <f>IFERROR(SQRT(BB201/BB$210)*100,0)</f>
        <v/>
      </c>
    </row>
    <row r="241">
      <c r="D241" s="237">
        <f>D124</f>
        <v/>
      </c>
      <c r="E241" s="75">
        <f>IFERROR(SQRT(E202/E$210)*100,0)</f>
        <v/>
      </c>
      <c r="F241" s="75">
        <f>IFERROR(SQRT(F202/F$210)*100,0)</f>
        <v/>
      </c>
      <c r="G241" s="75">
        <f>IFERROR(SQRT(G202/G$210)*100,0)</f>
        <v/>
      </c>
      <c r="H241" s="75">
        <f>IFERROR(SQRT(H202/H$210)*100,0)</f>
        <v/>
      </c>
      <c r="I241" s="75">
        <f>IFERROR(SQRT(I202/I$210)*100,0)</f>
        <v/>
      </c>
      <c r="J241" s="75">
        <f>IFERROR(SQRT(J202/J$210)*100,0)</f>
        <v/>
      </c>
      <c r="K241" s="75">
        <f>IFERROR(SQRT(K202/K$210)*100,0)</f>
        <v/>
      </c>
      <c r="L241" s="75">
        <f>IFERROR(SQRT(L202/L$210)*100,0)</f>
        <v/>
      </c>
      <c r="M241" s="75">
        <f>IFERROR(SQRT(M202/M$210)*100,0)</f>
        <v/>
      </c>
      <c r="N241" s="75">
        <f>IFERROR(SQRT(N202/N$210)*100,0)</f>
        <v/>
      </c>
      <c r="O241" s="75">
        <f>IFERROR(SQRT(O202/O$210)*100,0)</f>
        <v/>
      </c>
      <c r="P241" s="75">
        <f>IFERROR(SQRT(P202/P$210)*100,0)</f>
        <v/>
      </c>
      <c r="Q241" s="75">
        <f>IFERROR(SQRT(Q202/Q$210)*100,0)</f>
        <v/>
      </c>
      <c r="R241" s="75">
        <f>IFERROR(SQRT(R202/R$210)*100,0)</f>
        <v/>
      </c>
      <c r="S241" s="75">
        <f>IFERROR(SQRT(S202/S$210)*100,0)</f>
        <v/>
      </c>
      <c r="T241" s="75">
        <f>IFERROR(SQRT(T202/T$210)*100,0)</f>
        <v/>
      </c>
      <c r="U241" s="75">
        <f>IFERROR(SQRT(U202/U$210)*100,0)</f>
        <v/>
      </c>
      <c r="V241" s="75">
        <f>IFERROR(SQRT(V202/V$210)*100,0)</f>
        <v/>
      </c>
      <c r="W241" s="75">
        <f>IFERROR(SQRT(W202/W$210)*100,0)</f>
        <v/>
      </c>
      <c r="X241" s="75">
        <f>IFERROR(SQRT(X202/X$210)*100,0)</f>
        <v/>
      </c>
      <c r="Y241" s="75">
        <f>IFERROR(SQRT(Y202/Y$210)*100,0)</f>
        <v/>
      </c>
      <c r="Z241" s="75">
        <f>IFERROR(SQRT(Z202/Z$210)*100,0)</f>
        <v/>
      </c>
      <c r="AA241" s="75">
        <f>IFERROR(SQRT(AA202/AA$210)*100,0)</f>
        <v/>
      </c>
      <c r="AB241" s="75">
        <f>IFERROR(SQRT(AB202/AB$210)*100,0)</f>
        <v/>
      </c>
      <c r="AC241" s="75">
        <f>IFERROR(SQRT(AC202/AC$210)*100,0)</f>
        <v/>
      </c>
      <c r="AD241" s="75">
        <f>IFERROR(SQRT(AD202/AD$210)*100,0)</f>
        <v/>
      </c>
      <c r="AE241" s="75">
        <f>IFERROR(SQRT(AE202/AE$210)*100,0)</f>
        <v/>
      </c>
      <c r="AF241" s="75">
        <f>IFERROR(SQRT(AF202/AF$210)*100,0)</f>
        <v/>
      </c>
      <c r="AG241" s="75">
        <f>IFERROR(SQRT(AG202/AG$210)*100,0)</f>
        <v/>
      </c>
      <c r="AH241" s="75">
        <f>IFERROR(SQRT(AH202/AH$210)*100,0)</f>
        <v/>
      </c>
      <c r="AI241" s="75">
        <f>IFERROR(SQRT(AI202/AI$210)*100,0)</f>
        <v/>
      </c>
      <c r="AJ241" s="75">
        <f>IFERROR(SQRT(AJ202/AJ$210)*100,0)</f>
        <v/>
      </c>
      <c r="AK241" s="75">
        <f>IFERROR(SQRT(AK202/AK$210)*100,0)</f>
        <v/>
      </c>
      <c r="AL241" s="75">
        <f>IFERROR(SQRT(AL202/AL$210)*100,0)</f>
        <v/>
      </c>
      <c r="AM241" s="75">
        <f>IFERROR(SQRT(AM202/AM$210)*100,0)</f>
        <v/>
      </c>
      <c r="AN241" s="75">
        <f>IFERROR(SQRT(AN202/AN$210)*100,0)</f>
        <v/>
      </c>
      <c r="AO241" s="75">
        <f>IFERROR(SQRT(AO202/AO$210)*100,0)</f>
        <v/>
      </c>
      <c r="AP241" s="75">
        <f>IFERROR(SQRT(AP202/AP$210)*100,0)</f>
        <v/>
      </c>
      <c r="AQ241" s="75">
        <f>IFERROR(SQRT(AQ202/AQ$210)*100,0)</f>
        <v/>
      </c>
      <c r="AR241" s="75">
        <f>IFERROR(SQRT(AR202/AR$210)*100,0)</f>
        <v/>
      </c>
      <c r="AS241" s="75">
        <f>IFERROR(SQRT(AS202/AS$210)*100,0)</f>
        <v/>
      </c>
      <c r="AT241" s="75">
        <f>IFERROR(SQRT(AT202/AT$210)*100,0)</f>
        <v/>
      </c>
      <c r="AU241" s="75">
        <f>IFERROR(SQRT(AU202/AU$210)*100,0)</f>
        <v/>
      </c>
      <c r="AV241" s="75">
        <f>IFERROR(SQRT(AV202/AV$210)*100,0)</f>
        <v/>
      </c>
      <c r="AW241" s="75">
        <f>IFERROR(SQRT(AW202/AW$210)*100,0)</f>
        <v/>
      </c>
      <c r="AX241" s="75">
        <f>IFERROR(SQRT(AX202/AX$210)*100,0)</f>
        <v/>
      </c>
      <c r="AY241" s="75">
        <f>IFERROR(SQRT(AY202/AY$210)*100,0)</f>
        <v/>
      </c>
      <c r="AZ241" s="75">
        <f>IFERROR(SQRT(AZ202/AZ$210)*100,0)</f>
        <v/>
      </c>
      <c r="BA241" s="75">
        <f>IFERROR(SQRT(BA202/BA$210)*100,0)</f>
        <v/>
      </c>
      <c r="BB241" s="75">
        <f>IFERROR(SQRT(BB202/BB$210)*100,0)</f>
        <v/>
      </c>
    </row>
    <row r="242">
      <c r="D242" s="237">
        <f>D125</f>
        <v/>
      </c>
      <c r="E242" s="75">
        <f>IFERROR(SQRT(E203/E$210)*100,0)</f>
        <v/>
      </c>
      <c r="F242" s="75">
        <f>IFERROR(SQRT(F203/F$210)*100,0)</f>
        <v/>
      </c>
      <c r="G242" s="75">
        <f>IFERROR(SQRT(G203/G$210)*100,0)</f>
        <v/>
      </c>
      <c r="H242" s="75">
        <f>IFERROR(SQRT(H203/H$210)*100,0)</f>
        <v/>
      </c>
      <c r="I242" s="75">
        <f>IFERROR(SQRT(I203/I$210)*100,0)</f>
        <v/>
      </c>
      <c r="J242" s="75">
        <f>IFERROR(SQRT(J203/J$210)*100,0)</f>
        <v/>
      </c>
      <c r="K242" s="75">
        <f>IFERROR(SQRT(K203/K$210)*100,0)</f>
        <v/>
      </c>
      <c r="L242" s="75">
        <f>IFERROR(SQRT(L203/L$210)*100,0)</f>
        <v/>
      </c>
      <c r="M242" s="75">
        <f>IFERROR(SQRT(M203/M$210)*100,0)</f>
        <v/>
      </c>
      <c r="N242" s="75">
        <f>IFERROR(SQRT(N203/N$210)*100,0)</f>
        <v/>
      </c>
      <c r="O242" s="75">
        <f>IFERROR(SQRT(O203/O$210)*100,0)</f>
        <v/>
      </c>
      <c r="P242" s="75">
        <f>IFERROR(SQRT(P203/P$210)*100,0)</f>
        <v/>
      </c>
      <c r="Q242" s="75">
        <f>IFERROR(SQRT(Q203/Q$210)*100,0)</f>
        <v/>
      </c>
      <c r="R242" s="75">
        <f>IFERROR(SQRT(R203/R$210)*100,0)</f>
        <v/>
      </c>
      <c r="S242" s="75">
        <f>IFERROR(SQRT(S203/S$210)*100,0)</f>
        <v/>
      </c>
      <c r="T242" s="75">
        <f>IFERROR(SQRT(T203/T$210)*100,0)</f>
        <v/>
      </c>
      <c r="U242" s="75">
        <f>IFERROR(SQRT(U203/U$210)*100,0)</f>
        <v/>
      </c>
      <c r="V242" s="75">
        <f>IFERROR(SQRT(V203/V$210)*100,0)</f>
        <v/>
      </c>
      <c r="W242" s="75">
        <f>IFERROR(SQRT(W203/W$210)*100,0)</f>
        <v/>
      </c>
      <c r="X242" s="75">
        <f>IFERROR(SQRT(X203/X$210)*100,0)</f>
        <v/>
      </c>
      <c r="Y242" s="75">
        <f>IFERROR(SQRT(Y203/Y$210)*100,0)</f>
        <v/>
      </c>
      <c r="Z242" s="75">
        <f>IFERROR(SQRT(Z203/Z$210)*100,0)</f>
        <v/>
      </c>
      <c r="AA242" s="75">
        <f>IFERROR(SQRT(AA203/AA$210)*100,0)</f>
        <v/>
      </c>
      <c r="AB242" s="75">
        <f>IFERROR(SQRT(AB203/AB$210)*100,0)</f>
        <v/>
      </c>
      <c r="AC242" s="75">
        <f>IFERROR(SQRT(AC203/AC$210)*100,0)</f>
        <v/>
      </c>
      <c r="AD242" s="75">
        <f>IFERROR(SQRT(AD203/AD$210)*100,0)</f>
        <v/>
      </c>
      <c r="AE242" s="75">
        <f>IFERROR(SQRT(AE203/AE$210)*100,0)</f>
        <v/>
      </c>
      <c r="AF242" s="75">
        <f>IFERROR(SQRT(AF203/AF$210)*100,0)</f>
        <v/>
      </c>
      <c r="AG242" s="75">
        <f>IFERROR(SQRT(AG203/AG$210)*100,0)</f>
        <v/>
      </c>
      <c r="AH242" s="75">
        <f>IFERROR(SQRT(AH203/AH$210)*100,0)</f>
        <v/>
      </c>
      <c r="AI242" s="75">
        <f>IFERROR(SQRT(AI203/AI$210)*100,0)</f>
        <v/>
      </c>
      <c r="AJ242" s="75">
        <f>IFERROR(SQRT(AJ203/AJ$210)*100,0)</f>
        <v/>
      </c>
      <c r="AK242" s="75">
        <f>IFERROR(SQRT(AK203/AK$210)*100,0)</f>
        <v/>
      </c>
      <c r="AL242" s="75">
        <f>IFERROR(SQRT(AL203/AL$210)*100,0)</f>
        <v/>
      </c>
      <c r="AM242" s="75">
        <f>IFERROR(SQRT(AM203/AM$210)*100,0)</f>
        <v/>
      </c>
      <c r="AN242" s="75">
        <f>IFERROR(SQRT(AN203/AN$210)*100,0)</f>
        <v/>
      </c>
      <c r="AO242" s="75">
        <f>IFERROR(SQRT(AO203/AO$210)*100,0)</f>
        <v/>
      </c>
      <c r="AP242" s="75">
        <f>IFERROR(SQRT(AP203/AP$210)*100,0)</f>
        <v/>
      </c>
      <c r="AQ242" s="75">
        <f>IFERROR(SQRT(AQ203/AQ$210)*100,0)</f>
        <v/>
      </c>
      <c r="AR242" s="75">
        <f>IFERROR(SQRT(AR203/AR$210)*100,0)</f>
        <v/>
      </c>
      <c r="AS242" s="75">
        <f>IFERROR(SQRT(AS203/AS$210)*100,0)</f>
        <v/>
      </c>
      <c r="AT242" s="75">
        <f>IFERROR(SQRT(AT203/AT$210)*100,0)</f>
        <v/>
      </c>
      <c r="AU242" s="75">
        <f>IFERROR(SQRT(AU203/AU$210)*100,0)</f>
        <v/>
      </c>
      <c r="AV242" s="75">
        <f>IFERROR(SQRT(AV203/AV$210)*100,0)</f>
        <v/>
      </c>
      <c r="AW242" s="75">
        <f>IFERROR(SQRT(AW203/AW$210)*100,0)</f>
        <v/>
      </c>
      <c r="AX242" s="75">
        <f>IFERROR(SQRT(AX203/AX$210)*100,0)</f>
        <v/>
      </c>
      <c r="AY242" s="75">
        <f>IFERROR(SQRT(AY203/AY$210)*100,0)</f>
        <v/>
      </c>
      <c r="AZ242" s="75">
        <f>IFERROR(SQRT(AZ203/AZ$210)*100,0)</f>
        <v/>
      </c>
      <c r="BA242" s="75">
        <f>IFERROR(SQRT(BA203/BA$210)*100,0)</f>
        <v/>
      </c>
      <c r="BB242" s="75">
        <f>IFERROR(SQRT(BB203/BB$210)*100,0)</f>
        <v/>
      </c>
    </row>
    <row r="243">
      <c r="D243" s="237">
        <f>D126</f>
        <v/>
      </c>
      <c r="E243" s="75">
        <f>IFERROR(SQRT(E204/E$210)*100,0)</f>
        <v/>
      </c>
      <c r="F243" s="75">
        <f>IFERROR(SQRT(F204/F$210)*100,0)</f>
        <v/>
      </c>
      <c r="G243" s="75">
        <f>IFERROR(SQRT(G204/G$210)*100,0)</f>
        <v/>
      </c>
      <c r="H243" s="75">
        <f>IFERROR(SQRT(H204/H$210)*100,0)</f>
        <v/>
      </c>
      <c r="I243" s="75">
        <f>IFERROR(SQRT(I204/I$210)*100,0)</f>
        <v/>
      </c>
      <c r="J243" s="75">
        <f>IFERROR(SQRT(J204/J$210)*100,0)</f>
        <v/>
      </c>
      <c r="K243" s="75">
        <f>IFERROR(SQRT(K204/K$210)*100,0)</f>
        <v/>
      </c>
      <c r="L243" s="75">
        <f>IFERROR(SQRT(L204/L$210)*100,0)</f>
        <v/>
      </c>
      <c r="M243" s="75">
        <f>IFERROR(SQRT(M204/M$210)*100,0)</f>
        <v/>
      </c>
      <c r="N243" s="75">
        <f>IFERROR(SQRT(N204/N$210)*100,0)</f>
        <v/>
      </c>
      <c r="O243" s="75">
        <f>IFERROR(SQRT(O204/O$210)*100,0)</f>
        <v/>
      </c>
      <c r="P243" s="75">
        <f>IFERROR(SQRT(P204/P$210)*100,0)</f>
        <v/>
      </c>
      <c r="Q243" s="75">
        <f>IFERROR(SQRT(Q204/Q$210)*100,0)</f>
        <v/>
      </c>
      <c r="R243" s="75">
        <f>IFERROR(SQRT(R204/R$210)*100,0)</f>
        <v/>
      </c>
      <c r="S243" s="75">
        <f>IFERROR(SQRT(S204/S$210)*100,0)</f>
        <v/>
      </c>
      <c r="T243" s="75">
        <f>IFERROR(SQRT(T204/T$210)*100,0)</f>
        <v/>
      </c>
      <c r="U243" s="75">
        <f>IFERROR(SQRT(U204/U$210)*100,0)</f>
        <v/>
      </c>
      <c r="V243" s="75">
        <f>IFERROR(SQRT(V204/V$210)*100,0)</f>
        <v/>
      </c>
      <c r="W243" s="75">
        <f>IFERROR(SQRT(W204/W$210)*100,0)</f>
        <v/>
      </c>
      <c r="X243" s="75">
        <f>IFERROR(SQRT(X204/X$210)*100,0)</f>
        <v/>
      </c>
      <c r="Y243" s="75">
        <f>IFERROR(SQRT(Y204/Y$210)*100,0)</f>
        <v/>
      </c>
      <c r="Z243" s="75">
        <f>IFERROR(SQRT(Z204/Z$210)*100,0)</f>
        <v/>
      </c>
      <c r="AA243" s="75">
        <f>IFERROR(SQRT(AA204/AA$210)*100,0)</f>
        <v/>
      </c>
      <c r="AB243" s="75">
        <f>IFERROR(SQRT(AB204/AB$210)*100,0)</f>
        <v/>
      </c>
      <c r="AC243" s="75">
        <f>IFERROR(SQRT(AC204/AC$210)*100,0)</f>
        <v/>
      </c>
      <c r="AD243" s="75">
        <f>IFERROR(SQRT(AD204/AD$210)*100,0)</f>
        <v/>
      </c>
      <c r="AE243" s="75">
        <f>IFERROR(SQRT(AE204/AE$210)*100,0)</f>
        <v/>
      </c>
      <c r="AF243" s="75">
        <f>IFERROR(SQRT(AF204/AF$210)*100,0)</f>
        <v/>
      </c>
      <c r="AG243" s="75">
        <f>IFERROR(SQRT(AG204/AG$210)*100,0)</f>
        <v/>
      </c>
      <c r="AH243" s="75">
        <f>IFERROR(SQRT(AH204/AH$210)*100,0)</f>
        <v/>
      </c>
      <c r="AI243" s="75">
        <f>IFERROR(SQRT(AI204/AI$210)*100,0)</f>
        <v/>
      </c>
      <c r="AJ243" s="75">
        <f>IFERROR(SQRT(AJ204/AJ$210)*100,0)</f>
        <v/>
      </c>
      <c r="AK243" s="75">
        <f>IFERROR(SQRT(AK204/AK$210)*100,0)</f>
        <v/>
      </c>
      <c r="AL243" s="75">
        <f>IFERROR(SQRT(AL204/AL$210)*100,0)</f>
        <v/>
      </c>
      <c r="AM243" s="75">
        <f>IFERROR(SQRT(AM204/AM$210)*100,0)</f>
        <v/>
      </c>
      <c r="AN243" s="75">
        <f>IFERROR(SQRT(AN204/AN$210)*100,0)</f>
        <v/>
      </c>
      <c r="AO243" s="75">
        <f>IFERROR(SQRT(AO204/AO$210)*100,0)</f>
        <v/>
      </c>
      <c r="AP243" s="75">
        <f>IFERROR(SQRT(AP204/AP$210)*100,0)</f>
        <v/>
      </c>
      <c r="AQ243" s="75">
        <f>IFERROR(SQRT(AQ204/AQ$210)*100,0)</f>
        <v/>
      </c>
      <c r="AR243" s="75">
        <f>IFERROR(SQRT(AR204/AR$210)*100,0)</f>
        <v/>
      </c>
      <c r="AS243" s="75">
        <f>IFERROR(SQRT(AS204/AS$210)*100,0)</f>
        <v/>
      </c>
      <c r="AT243" s="75">
        <f>IFERROR(SQRT(AT204/AT$210)*100,0)</f>
        <v/>
      </c>
      <c r="AU243" s="75">
        <f>IFERROR(SQRT(AU204/AU$210)*100,0)</f>
        <v/>
      </c>
      <c r="AV243" s="75">
        <f>IFERROR(SQRT(AV204/AV$210)*100,0)</f>
        <v/>
      </c>
      <c r="AW243" s="75">
        <f>IFERROR(SQRT(AW204/AW$210)*100,0)</f>
        <v/>
      </c>
      <c r="AX243" s="75">
        <f>IFERROR(SQRT(AX204/AX$210)*100,0)</f>
        <v/>
      </c>
      <c r="AY243" s="75">
        <f>IFERROR(SQRT(AY204/AY$210)*100,0)</f>
        <v/>
      </c>
      <c r="AZ243" s="75">
        <f>IFERROR(SQRT(AZ204/AZ$210)*100,0)</f>
        <v/>
      </c>
      <c r="BA243" s="75">
        <f>IFERROR(SQRT(BA204/BA$210)*100,0)</f>
        <v/>
      </c>
      <c r="BB243" s="75">
        <f>IFERROR(SQRT(BB204/BB$210)*100,0)</f>
        <v/>
      </c>
    </row>
    <row r="244">
      <c r="D244" s="237">
        <f>D127</f>
        <v/>
      </c>
      <c r="E244" s="75">
        <f>IFERROR(SQRT(E205/E$210)*100,0)</f>
        <v/>
      </c>
      <c r="F244" s="75">
        <f>IFERROR(SQRT(F205/F$210)*100,0)</f>
        <v/>
      </c>
      <c r="G244" s="75">
        <f>IFERROR(SQRT(G205/G$210)*100,0)</f>
        <v/>
      </c>
      <c r="H244" s="75">
        <f>IFERROR(SQRT(H205/H$210)*100,0)</f>
        <v/>
      </c>
      <c r="I244" s="75">
        <f>IFERROR(SQRT(I205/I$210)*100,0)</f>
        <v/>
      </c>
      <c r="J244" s="75">
        <f>IFERROR(SQRT(J205/J$210)*100,0)</f>
        <v/>
      </c>
      <c r="K244" s="75">
        <f>IFERROR(SQRT(K205/K$210)*100,0)</f>
        <v/>
      </c>
      <c r="L244" s="75">
        <f>IFERROR(SQRT(L205/L$210)*100,0)</f>
        <v/>
      </c>
      <c r="M244" s="75">
        <f>IFERROR(SQRT(M205/M$210)*100,0)</f>
        <v/>
      </c>
      <c r="N244" s="75">
        <f>IFERROR(SQRT(N205/N$210)*100,0)</f>
        <v/>
      </c>
      <c r="O244" s="75">
        <f>IFERROR(SQRT(O205/O$210)*100,0)</f>
        <v/>
      </c>
      <c r="P244" s="75">
        <f>IFERROR(SQRT(P205/P$210)*100,0)</f>
        <v/>
      </c>
      <c r="Q244" s="75">
        <f>IFERROR(SQRT(Q205/Q$210)*100,0)</f>
        <v/>
      </c>
      <c r="R244" s="75">
        <f>IFERROR(SQRT(R205/R$210)*100,0)</f>
        <v/>
      </c>
      <c r="S244" s="75">
        <f>IFERROR(SQRT(S205/S$210)*100,0)</f>
        <v/>
      </c>
      <c r="T244" s="75">
        <f>IFERROR(SQRT(T205/T$210)*100,0)</f>
        <v/>
      </c>
      <c r="U244" s="75">
        <f>IFERROR(SQRT(U205/U$210)*100,0)</f>
        <v/>
      </c>
      <c r="V244" s="75">
        <f>IFERROR(SQRT(V205/V$210)*100,0)</f>
        <v/>
      </c>
      <c r="W244" s="75">
        <f>IFERROR(SQRT(W205/W$210)*100,0)</f>
        <v/>
      </c>
      <c r="X244" s="75">
        <f>IFERROR(SQRT(X205/X$210)*100,0)</f>
        <v/>
      </c>
      <c r="Y244" s="75">
        <f>IFERROR(SQRT(Y205/Y$210)*100,0)</f>
        <v/>
      </c>
      <c r="Z244" s="75">
        <f>IFERROR(SQRT(Z205/Z$210)*100,0)</f>
        <v/>
      </c>
      <c r="AA244" s="75">
        <f>IFERROR(SQRT(AA205/AA$210)*100,0)</f>
        <v/>
      </c>
      <c r="AB244" s="75">
        <f>IFERROR(SQRT(AB205/AB$210)*100,0)</f>
        <v/>
      </c>
      <c r="AC244" s="75">
        <f>IFERROR(SQRT(AC205/AC$210)*100,0)</f>
        <v/>
      </c>
      <c r="AD244" s="75">
        <f>IFERROR(SQRT(AD205/AD$210)*100,0)</f>
        <v/>
      </c>
      <c r="AE244" s="75">
        <f>IFERROR(SQRT(AE205/AE$210)*100,0)</f>
        <v/>
      </c>
      <c r="AF244" s="75">
        <f>IFERROR(SQRT(AF205/AF$210)*100,0)</f>
        <v/>
      </c>
      <c r="AG244" s="75">
        <f>IFERROR(SQRT(AG205/AG$210)*100,0)</f>
        <v/>
      </c>
      <c r="AH244" s="75">
        <f>IFERROR(SQRT(AH205/AH$210)*100,0)</f>
        <v/>
      </c>
      <c r="AI244" s="75">
        <f>IFERROR(SQRT(AI205/AI$210)*100,0)</f>
        <v/>
      </c>
      <c r="AJ244" s="75">
        <f>IFERROR(SQRT(AJ205/AJ$210)*100,0)</f>
        <v/>
      </c>
      <c r="AK244" s="75">
        <f>IFERROR(SQRT(AK205/AK$210)*100,0)</f>
        <v/>
      </c>
      <c r="AL244" s="75">
        <f>IFERROR(SQRT(AL205/AL$210)*100,0)</f>
        <v/>
      </c>
      <c r="AM244" s="75">
        <f>IFERROR(SQRT(AM205/AM$210)*100,0)</f>
        <v/>
      </c>
      <c r="AN244" s="75">
        <f>IFERROR(SQRT(AN205/AN$210)*100,0)</f>
        <v/>
      </c>
      <c r="AO244" s="75">
        <f>IFERROR(SQRT(AO205/AO$210)*100,0)</f>
        <v/>
      </c>
      <c r="AP244" s="75">
        <f>IFERROR(SQRT(AP205/AP$210)*100,0)</f>
        <v/>
      </c>
      <c r="AQ244" s="75">
        <f>IFERROR(SQRT(AQ205/AQ$210)*100,0)</f>
        <v/>
      </c>
      <c r="AR244" s="75">
        <f>IFERROR(SQRT(AR205/AR$210)*100,0)</f>
        <v/>
      </c>
      <c r="AS244" s="75">
        <f>IFERROR(SQRT(AS205/AS$210)*100,0)</f>
        <v/>
      </c>
      <c r="AT244" s="75">
        <f>IFERROR(SQRT(AT205/AT$210)*100,0)</f>
        <v/>
      </c>
      <c r="AU244" s="75">
        <f>IFERROR(SQRT(AU205/AU$210)*100,0)</f>
        <v/>
      </c>
      <c r="AV244" s="75">
        <f>IFERROR(SQRT(AV205/AV$210)*100,0)</f>
        <v/>
      </c>
      <c r="AW244" s="75">
        <f>IFERROR(SQRT(AW205/AW$210)*100,0)</f>
        <v/>
      </c>
      <c r="AX244" s="75">
        <f>IFERROR(SQRT(AX205/AX$210)*100,0)</f>
        <v/>
      </c>
      <c r="AY244" s="75">
        <f>IFERROR(SQRT(AY205/AY$210)*100,0)</f>
        <v/>
      </c>
      <c r="AZ244" s="75">
        <f>IFERROR(SQRT(AZ205/AZ$210)*100,0)</f>
        <v/>
      </c>
      <c r="BA244" s="75">
        <f>IFERROR(SQRT(BA205/BA$210)*100,0)</f>
        <v/>
      </c>
      <c r="BB244" s="75">
        <f>IFERROR(SQRT(BB205/BB$210)*100,0)</f>
        <v/>
      </c>
    </row>
    <row r="245">
      <c r="D245" s="237">
        <f>D128</f>
        <v/>
      </c>
      <c r="E245" s="75">
        <f>IFERROR(SQRT(E206/E$210)*100,0)</f>
        <v/>
      </c>
      <c r="F245" s="75">
        <f>IFERROR(SQRT(F206/F$210)*100,0)</f>
        <v/>
      </c>
      <c r="G245" s="75">
        <f>IFERROR(SQRT(G206/G$210)*100,0)</f>
        <v/>
      </c>
      <c r="H245" s="75">
        <f>IFERROR(SQRT(H206/H$210)*100,0)</f>
        <v/>
      </c>
      <c r="I245" s="75">
        <f>IFERROR(SQRT(I206/I$210)*100,0)</f>
        <v/>
      </c>
      <c r="J245" s="75">
        <f>IFERROR(SQRT(J206/J$210)*100,0)</f>
        <v/>
      </c>
      <c r="K245" s="75">
        <f>IFERROR(SQRT(K206/K$210)*100,0)</f>
        <v/>
      </c>
      <c r="L245" s="75">
        <f>IFERROR(SQRT(L206/L$210)*100,0)</f>
        <v/>
      </c>
      <c r="M245" s="75">
        <f>IFERROR(SQRT(M206/M$210)*100,0)</f>
        <v/>
      </c>
      <c r="N245" s="75">
        <f>IFERROR(SQRT(N206/N$210)*100,0)</f>
        <v/>
      </c>
      <c r="O245" s="75">
        <f>IFERROR(SQRT(O206/O$210)*100,0)</f>
        <v/>
      </c>
      <c r="P245" s="75">
        <f>IFERROR(SQRT(P206/P$210)*100,0)</f>
        <v/>
      </c>
      <c r="Q245" s="75">
        <f>IFERROR(SQRT(Q206/Q$210)*100,0)</f>
        <v/>
      </c>
      <c r="R245" s="75">
        <f>IFERROR(SQRT(R206/R$210)*100,0)</f>
        <v/>
      </c>
      <c r="S245" s="75">
        <f>IFERROR(SQRT(S206/S$210)*100,0)</f>
        <v/>
      </c>
      <c r="T245" s="75">
        <f>IFERROR(SQRT(T206/T$210)*100,0)</f>
        <v/>
      </c>
      <c r="U245" s="75">
        <f>IFERROR(SQRT(U206/U$210)*100,0)</f>
        <v/>
      </c>
      <c r="V245" s="75">
        <f>IFERROR(SQRT(V206/V$210)*100,0)</f>
        <v/>
      </c>
      <c r="W245" s="75">
        <f>IFERROR(SQRT(W206/W$210)*100,0)</f>
        <v/>
      </c>
      <c r="X245" s="75">
        <f>IFERROR(SQRT(X206/X$210)*100,0)</f>
        <v/>
      </c>
      <c r="Y245" s="75">
        <f>IFERROR(SQRT(Y206/Y$210)*100,0)</f>
        <v/>
      </c>
      <c r="Z245" s="75">
        <f>IFERROR(SQRT(Z206/Z$210)*100,0)</f>
        <v/>
      </c>
      <c r="AA245" s="75">
        <f>IFERROR(SQRT(AA206/AA$210)*100,0)</f>
        <v/>
      </c>
      <c r="AB245" s="75">
        <f>IFERROR(SQRT(AB206/AB$210)*100,0)</f>
        <v/>
      </c>
      <c r="AC245" s="75">
        <f>IFERROR(SQRT(AC206/AC$210)*100,0)</f>
        <v/>
      </c>
      <c r="AD245" s="75">
        <f>IFERROR(SQRT(AD206/AD$210)*100,0)</f>
        <v/>
      </c>
      <c r="AE245" s="75">
        <f>IFERROR(SQRT(AE206/AE$210)*100,0)</f>
        <v/>
      </c>
      <c r="AF245" s="75">
        <f>IFERROR(SQRT(AF206/AF$210)*100,0)</f>
        <v/>
      </c>
      <c r="AG245" s="75">
        <f>IFERROR(SQRT(AG206/AG$210)*100,0)</f>
        <v/>
      </c>
      <c r="AH245" s="75">
        <f>IFERROR(SQRT(AH206/AH$210)*100,0)</f>
        <v/>
      </c>
      <c r="AI245" s="75">
        <f>IFERROR(SQRT(AI206/AI$210)*100,0)</f>
        <v/>
      </c>
      <c r="AJ245" s="75">
        <f>IFERROR(SQRT(AJ206/AJ$210)*100,0)</f>
        <v/>
      </c>
      <c r="AK245" s="75">
        <f>IFERROR(SQRT(AK206/AK$210)*100,0)</f>
        <v/>
      </c>
      <c r="AL245" s="75">
        <f>IFERROR(SQRT(AL206/AL$210)*100,0)</f>
        <v/>
      </c>
      <c r="AM245" s="75">
        <f>IFERROR(SQRT(AM206/AM$210)*100,0)</f>
        <v/>
      </c>
      <c r="AN245" s="75">
        <f>IFERROR(SQRT(AN206/AN$210)*100,0)</f>
        <v/>
      </c>
      <c r="AO245" s="75">
        <f>IFERROR(SQRT(AO206/AO$210)*100,0)</f>
        <v/>
      </c>
      <c r="AP245" s="75">
        <f>IFERROR(SQRT(AP206/AP$210)*100,0)</f>
        <v/>
      </c>
      <c r="AQ245" s="75">
        <f>IFERROR(SQRT(AQ206/AQ$210)*100,0)</f>
        <v/>
      </c>
      <c r="AR245" s="75">
        <f>IFERROR(SQRT(AR206/AR$210)*100,0)</f>
        <v/>
      </c>
      <c r="AS245" s="75">
        <f>IFERROR(SQRT(AS206/AS$210)*100,0)</f>
        <v/>
      </c>
      <c r="AT245" s="75">
        <f>IFERROR(SQRT(AT206/AT$210)*100,0)</f>
        <v/>
      </c>
      <c r="AU245" s="75">
        <f>IFERROR(SQRT(AU206/AU$210)*100,0)</f>
        <v/>
      </c>
      <c r="AV245" s="75">
        <f>IFERROR(SQRT(AV206/AV$210)*100,0)</f>
        <v/>
      </c>
      <c r="AW245" s="75">
        <f>IFERROR(SQRT(AW206/AW$210)*100,0)</f>
        <v/>
      </c>
      <c r="AX245" s="75">
        <f>IFERROR(SQRT(AX206/AX$210)*100,0)</f>
        <v/>
      </c>
      <c r="AY245" s="75">
        <f>IFERROR(SQRT(AY206/AY$210)*100,0)</f>
        <v/>
      </c>
      <c r="AZ245" s="75">
        <f>IFERROR(SQRT(AZ206/AZ$210)*100,0)</f>
        <v/>
      </c>
      <c r="BA245" s="75">
        <f>IFERROR(SQRT(BA206/BA$210)*100,0)</f>
        <v/>
      </c>
      <c r="BB245" s="75">
        <f>IFERROR(SQRT(BB206/BB$210)*100,0)</f>
        <v/>
      </c>
    </row>
    <row r="246">
      <c r="D246" s="237">
        <f>D129</f>
        <v/>
      </c>
      <c r="E246" s="75">
        <f>IFERROR(SQRT(E207/E$210)*100,0)</f>
        <v/>
      </c>
      <c r="F246" s="75">
        <f>IFERROR(SQRT(F207/F$210)*100,0)</f>
        <v/>
      </c>
      <c r="G246" s="75">
        <f>IFERROR(SQRT(G207/G$210)*100,0)</f>
        <v/>
      </c>
      <c r="H246" s="75">
        <f>IFERROR(SQRT(H207/H$210)*100,0)</f>
        <v/>
      </c>
      <c r="I246" s="75">
        <f>IFERROR(SQRT(I207/I$210)*100,0)</f>
        <v/>
      </c>
      <c r="J246" s="75">
        <f>IFERROR(SQRT(J207/J$210)*100,0)</f>
        <v/>
      </c>
      <c r="K246" s="75">
        <f>IFERROR(SQRT(K207/K$210)*100,0)</f>
        <v/>
      </c>
      <c r="L246" s="75">
        <f>IFERROR(SQRT(L207/L$210)*100,0)</f>
        <v/>
      </c>
      <c r="M246" s="75">
        <f>IFERROR(SQRT(M207/M$210)*100,0)</f>
        <v/>
      </c>
      <c r="N246" s="75">
        <f>IFERROR(SQRT(N207/N$210)*100,0)</f>
        <v/>
      </c>
      <c r="O246" s="75">
        <f>IFERROR(SQRT(O207/O$210)*100,0)</f>
        <v/>
      </c>
      <c r="P246" s="75">
        <f>IFERROR(SQRT(P207/P$210)*100,0)</f>
        <v/>
      </c>
      <c r="Q246" s="75">
        <f>IFERROR(SQRT(Q207/Q$210)*100,0)</f>
        <v/>
      </c>
      <c r="R246" s="75">
        <f>IFERROR(SQRT(R207/R$210)*100,0)</f>
        <v/>
      </c>
      <c r="S246" s="75">
        <f>IFERROR(SQRT(S207/S$210)*100,0)</f>
        <v/>
      </c>
      <c r="T246" s="75">
        <f>IFERROR(SQRT(T207/T$210)*100,0)</f>
        <v/>
      </c>
      <c r="U246" s="75">
        <f>IFERROR(SQRT(U207/U$210)*100,0)</f>
        <v/>
      </c>
      <c r="V246" s="75">
        <f>IFERROR(SQRT(V207/V$210)*100,0)</f>
        <v/>
      </c>
      <c r="W246" s="75">
        <f>IFERROR(SQRT(W207/W$210)*100,0)</f>
        <v/>
      </c>
      <c r="X246" s="75">
        <f>IFERROR(SQRT(X207/X$210)*100,0)</f>
        <v/>
      </c>
      <c r="Y246" s="75">
        <f>IFERROR(SQRT(Y207/Y$210)*100,0)</f>
        <v/>
      </c>
      <c r="Z246" s="75">
        <f>IFERROR(SQRT(Z207/Z$210)*100,0)</f>
        <v/>
      </c>
      <c r="AA246" s="75">
        <f>IFERROR(SQRT(AA207/AA$210)*100,0)</f>
        <v/>
      </c>
      <c r="AB246" s="75">
        <f>IFERROR(SQRT(AB207/AB$210)*100,0)</f>
        <v/>
      </c>
      <c r="AC246" s="75">
        <f>IFERROR(SQRT(AC207/AC$210)*100,0)</f>
        <v/>
      </c>
      <c r="AD246" s="75">
        <f>IFERROR(SQRT(AD207/AD$210)*100,0)</f>
        <v/>
      </c>
      <c r="AE246" s="75">
        <f>IFERROR(SQRT(AE207/AE$210)*100,0)</f>
        <v/>
      </c>
      <c r="AF246" s="75">
        <f>IFERROR(SQRT(AF207/AF$210)*100,0)</f>
        <v/>
      </c>
      <c r="AG246" s="75">
        <f>IFERROR(SQRT(AG207/AG$210)*100,0)</f>
        <v/>
      </c>
      <c r="AH246" s="75">
        <f>IFERROR(SQRT(AH207/AH$210)*100,0)</f>
        <v/>
      </c>
      <c r="AI246" s="75">
        <f>IFERROR(SQRT(AI207/AI$210)*100,0)</f>
        <v/>
      </c>
      <c r="AJ246" s="75">
        <f>IFERROR(SQRT(AJ207/AJ$210)*100,0)</f>
        <v/>
      </c>
      <c r="AK246" s="75">
        <f>IFERROR(SQRT(AK207/AK$210)*100,0)</f>
        <v/>
      </c>
      <c r="AL246" s="75">
        <f>IFERROR(SQRT(AL207/AL$210)*100,0)</f>
        <v/>
      </c>
      <c r="AM246" s="75">
        <f>IFERROR(SQRT(AM207/AM$210)*100,0)</f>
        <v/>
      </c>
      <c r="AN246" s="75">
        <f>IFERROR(SQRT(AN207/AN$210)*100,0)</f>
        <v/>
      </c>
      <c r="AO246" s="75">
        <f>IFERROR(SQRT(AO207/AO$210)*100,0)</f>
        <v/>
      </c>
      <c r="AP246" s="75">
        <f>IFERROR(SQRT(AP207/AP$210)*100,0)</f>
        <v/>
      </c>
      <c r="AQ246" s="75">
        <f>IFERROR(SQRT(AQ207/AQ$210)*100,0)</f>
        <v/>
      </c>
      <c r="AR246" s="75">
        <f>IFERROR(SQRT(AR207/AR$210)*100,0)</f>
        <v/>
      </c>
      <c r="AS246" s="75">
        <f>IFERROR(SQRT(AS207/AS$210)*100,0)</f>
        <v/>
      </c>
      <c r="AT246" s="75">
        <f>IFERROR(SQRT(AT207/AT$210)*100,0)</f>
        <v/>
      </c>
      <c r="AU246" s="75">
        <f>IFERROR(SQRT(AU207/AU$210)*100,0)</f>
        <v/>
      </c>
      <c r="AV246" s="75">
        <f>IFERROR(SQRT(AV207/AV$210)*100,0)</f>
        <v/>
      </c>
      <c r="AW246" s="75">
        <f>IFERROR(SQRT(AW207/AW$210)*100,0)</f>
        <v/>
      </c>
      <c r="AX246" s="75">
        <f>IFERROR(SQRT(AX207/AX$210)*100,0)</f>
        <v/>
      </c>
      <c r="AY246" s="75">
        <f>IFERROR(SQRT(AY207/AY$210)*100,0)</f>
        <v/>
      </c>
      <c r="AZ246" s="75">
        <f>IFERROR(SQRT(AZ207/AZ$210)*100,0)</f>
        <v/>
      </c>
      <c r="BA246" s="75">
        <f>IFERROR(SQRT(BA207/BA$210)*100,0)</f>
        <v/>
      </c>
      <c r="BB246" s="75">
        <f>IFERROR(SQRT(BB207/BB$210)*100,0)</f>
        <v/>
      </c>
    </row>
    <row r="247">
      <c r="D247" s="237">
        <f>D130</f>
        <v/>
      </c>
      <c r="E247" s="75">
        <f>IFERROR(SQRT(E208/E$210)*100,0)</f>
        <v/>
      </c>
      <c r="F247" s="75">
        <f>IFERROR(SQRT(F208/F$210)*100,0)</f>
        <v/>
      </c>
      <c r="G247" s="75">
        <f>IFERROR(SQRT(G208/G$210)*100,0)</f>
        <v/>
      </c>
      <c r="H247" s="75">
        <f>IFERROR(SQRT(H208/H$210)*100,0)</f>
        <v/>
      </c>
      <c r="I247" s="75">
        <f>IFERROR(SQRT(I208/I$210)*100,0)</f>
        <v/>
      </c>
      <c r="J247" s="75">
        <f>IFERROR(SQRT(J208/J$210)*100,0)</f>
        <v/>
      </c>
      <c r="K247" s="75">
        <f>IFERROR(SQRT(K208/K$210)*100,0)</f>
        <v/>
      </c>
      <c r="L247" s="75">
        <f>IFERROR(SQRT(L208/L$210)*100,0)</f>
        <v/>
      </c>
      <c r="M247" s="75">
        <f>IFERROR(SQRT(M208/M$210)*100,0)</f>
        <v/>
      </c>
      <c r="N247" s="75">
        <f>IFERROR(SQRT(N208/N$210)*100,0)</f>
        <v/>
      </c>
      <c r="O247" s="75">
        <f>IFERROR(SQRT(O208/O$210)*100,0)</f>
        <v/>
      </c>
      <c r="P247" s="75">
        <f>IFERROR(SQRT(P208/P$210)*100,0)</f>
        <v/>
      </c>
      <c r="Q247" s="75">
        <f>IFERROR(SQRT(Q208/Q$210)*100,0)</f>
        <v/>
      </c>
      <c r="R247" s="75">
        <f>IFERROR(SQRT(R208/R$210)*100,0)</f>
        <v/>
      </c>
      <c r="S247" s="75">
        <f>IFERROR(SQRT(S208/S$210)*100,0)</f>
        <v/>
      </c>
      <c r="T247" s="75">
        <f>IFERROR(SQRT(T208/T$210)*100,0)</f>
        <v/>
      </c>
      <c r="U247" s="75">
        <f>IFERROR(SQRT(U208/U$210)*100,0)</f>
        <v/>
      </c>
      <c r="V247" s="75">
        <f>IFERROR(SQRT(V208/V$210)*100,0)</f>
        <v/>
      </c>
      <c r="W247" s="75">
        <f>IFERROR(SQRT(W208/W$210)*100,0)</f>
        <v/>
      </c>
      <c r="X247" s="75">
        <f>IFERROR(SQRT(X208/X$210)*100,0)</f>
        <v/>
      </c>
      <c r="Y247" s="75">
        <f>IFERROR(SQRT(Y208/Y$210)*100,0)</f>
        <v/>
      </c>
      <c r="Z247" s="75">
        <f>IFERROR(SQRT(Z208/Z$210)*100,0)</f>
        <v/>
      </c>
      <c r="AA247" s="75">
        <f>IFERROR(SQRT(AA208/AA$210)*100,0)</f>
        <v/>
      </c>
      <c r="AB247" s="75">
        <f>IFERROR(SQRT(AB208/AB$210)*100,0)</f>
        <v/>
      </c>
      <c r="AC247" s="75">
        <f>IFERROR(SQRT(AC208/AC$210)*100,0)</f>
        <v/>
      </c>
      <c r="AD247" s="75">
        <f>IFERROR(SQRT(AD208/AD$210)*100,0)</f>
        <v/>
      </c>
      <c r="AE247" s="75">
        <f>IFERROR(SQRT(AE208/AE$210)*100,0)</f>
        <v/>
      </c>
      <c r="AF247" s="75">
        <f>IFERROR(SQRT(AF208/AF$210)*100,0)</f>
        <v/>
      </c>
      <c r="AG247" s="75">
        <f>IFERROR(SQRT(AG208/AG$210)*100,0)</f>
        <v/>
      </c>
      <c r="AH247" s="75">
        <f>IFERROR(SQRT(AH208/AH$210)*100,0)</f>
        <v/>
      </c>
      <c r="AI247" s="75">
        <f>IFERROR(SQRT(AI208/AI$210)*100,0)</f>
        <v/>
      </c>
      <c r="AJ247" s="75">
        <f>IFERROR(SQRT(AJ208/AJ$210)*100,0)</f>
        <v/>
      </c>
      <c r="AK247" s="75">
        <f>IFERROR(SQRT(AK208/AK$210)*100,0)</f>
        <v/>
      </c>
      <c r="AL247" s="75">
        <f>IFERROR(SQRT(AL208/AL$210)*100,0)</f>
        <v/>
      </c>
      <c r="AM247" s="75">
        <f>IFERROR(SQRT(AM208/AM$210)*100,0)</f>
        <v/>
      </c>
      <c r="AN247" s="75">
        <f>IFERROR(SQRT(AN208/AN$210)*100,0)</f>
        <v/>
      </c>
      <c r="AO247" s="75">
        <f>IFERROR(SQRT(AO208/AO$210)*100,0)</f>
        <v/>
      </c>
      <c r="AP247" s="75">
        <f>IFERROR(SQRT(AP208/AP$210)*100,0)</f>
        <v/>
      </c>
      <c r="AQ247" s="75">
        <f>IFERROR(SQRT(AQ208/AQ$210)*100,0)</f>
        <v/>
      </c>
      <c r="AR247" s="75">
        <f>IFERROR(SQRT(AR208/AR$210)*100,0)</f>
        <v/>
      </c>
      <c r="AS247" s="75">
        <f>IFERROR(SQRT(AS208/AS$210)*100,0)</f>
        <v/>
      </c>
      <c r="AT247" s="75">
        <f>IFERROR(SQRT(AT208/AT$210)*100,0)</f>
        <v/>
      </c>
      <c r="AU247" s="75">
        <f>IFERROR(SQRT(AU208/AU$210)*100,0)</f>
        <v/>
      </c>
      <c r="AV247" s="75">
        <f>IFERROR(SQRT(AV208/AV$210)*100,0)</f>
        <v/>
      </c>
      <c r="AW247" s="75">
        <f>IFERROR(SQRT(AW208/AW$210)*100,0)</f>
        <v/>
      </c>
      <c r="AX247" s="75">
        <f>IFERROR(SQRT(AX208/AX$210)*100,0)</f>
        <v/>
      </c>
      <c r="AY247" s="75">
        <f>IFERROR(SQRT(AY208/AY$210)*100,0)</f>
        <v/>
      </c>
      <c r="AZ247" s="75">
        <f>IFERROR(SQRT(AZ208/AZ$210)*100,0)</f>
        <v/>
      </c>
      <c r="BA247" s="75">
        <f>IFERROR(SQRT(BA208/BA$210)*100,0)</f>
        <v/>
      </c>
      <c r="BB247" s="75">
        <f>IFERROR(SQRT(BB208/BB$210)*100,0)</f>
        <v/>
      </c>
    </row>
    <row r="248">
      <c r="D248" s="237">
        <f>D131</f>
        <v/>
      </c>
      <c r="E248" s="75">
        <f>IFERROR(SQRT(E209/E$210)*100,0)</f>
        <v/>
      </c>
      <c r="F248" s="75">
        <f>IFERROR(SQRT(F209/F$210)*100,0)</f>
        <v/>
      </c>
      <c r="G248" s="75">
        <f>IFERROR(SQRT(G209/G$210)*100,0)</f>
        <v/>
      </c>
      <c r="H248" s="75">
        <f>IFERROR(SQRT(H209/H$210)*100,0)</f>
        <v/>
      </c>
      <c r="I248" s="75">
        <f>IFERROR(SQRT(I209/I$210)*100,0)</f>
        <v/>
      </c>
      <c r="J248" s="75">
        <f>IFERROR(SQRT(J209/J$210)*100,0)</f>
        <v/>
      </c>
      <c r="K248" s="75">
        <f>IFERROR(SQRT(K209/K$210)*100,0)</f>
        <v/>
      </c>
      <c r="L248" s="75">
        <f>IFERROR(SQRT(L209/L$210)*100,0)</f>
        <v/>
      </c>
      <c r="M248" s="75">
        <f>IFERROR(SQRT(M209/M$210)*100,0)</f>
        <v/>
      </c>
      <c r="N248" s="75">
        <f>IFERROR(SQRT(N209/N$210)*100,0)</f>
        <v/>
      </c>
      <c r="O248" s="75">
        <f>IFERROR(SQRT(O209/O$210)*100,0)</f>
        <v/>
      </c>
      <c r="P248" s="75">
        <f>IFERROR(SQRT(P209/P$210)*100,0)</f>
        <v/>
      </c>
      <c r="Q248" s="75">
        <f>IFERROR(SQRT(Q209/Q$210)*100,0)</f>
        <v/>
      </c>
      <c r="R248" s="75">
        <f>IFERROR(SQRT(R209/R$210)*100,0)</f>
        <v/>
      </c>
      <c r="S248" s="75">
        <f>IFERROR(SQRT(S209/S$210)*100,0)</f>
        <v/>
      </c>
      <c r="T248" s="75">
        <f>IFERROR(SQRT(T209/T$210)*100,0)</f>
        <v/>
      </c>
      <c r="U248" s="75">
        <f>IFERROR(SQRT(U209/U$210)*100,0)</f>
        <v/>
      </c>
      <c r="V248" s="75">
        <f>IFERROR(SQRT(V209/V$210)*100,0)</f>
        <v/>
      </c>
      <c r="W248" s="75">
        <f>IFERROR(SQRT(W209/W$210)*100,0)</f>
        <v/>
      </c>
      <c r="X248" s="75">
        <f>IFERROR(SQRT(X209/X$210)*100,0)</f>
        <v/>
      </c>
      <c r="Y248" s="75">
        <f>IFERROR(SQRT(Y209/Y$210)*100,0)</f>
        <v/>
      </c>
      <c r="Z248" s="75">
        <f>IFERROR(SQRT(Z209/Z$210)*100,0)</f>
        <v/>
      </c>
      <c r="AA248" s="75">
        <f>IFERROR(SQRT(AA209/AA$210)*100,0)</f>
        <v/>
      </c>
      <c r="AB248" s="75">
        <f>IFERROR(SQRT(AB209/AB$210)*100,0)</f>
        <v/>
      </c>
      <c r="AC248" s="75">
        <f>IFERROR(SQRT(AC209/AC$210)*100,0)</f>
        <v/>
      </c>
      <c r="AD248" s="75">
        <f>IFERROR(SQRT(AD209/AD$210)*100,0)</f>
        <v/>
      </c>
      <c r="AE248" s="75">
        <f>IFERROR(SQRT(AE209/AE$210)*100,0)</f>
        <v/>
      </c>
      <c r="AF248" s="75">
        <f>IFERROR(SQRT(AF209/AF$210)*100,0)</f>
        <v/>
      </c>
      <c r="AG248" s="75">
        <f>IFERROR(SQRT(AG209/AG$210)*100,0)</f>
        <v/>
      </c>
      <c r="AH248" s="75">
        <f>IFERROR(SQRT(AH209/AH$210)*100,0)</f>
        <v/>
      </c>
      <c r="AI248" s="75">
        <f>IFERROR(SQRT(AI209/AI$210)*100,0)</f>
        <v/>
      </c>
      <c r="AJ248" s="75">
        <f>IFERROR(SQRT(AJ209/AJ$210)*100,0)</f>
        <v/>
      </c>
      <c r="AK248" s="75">
        <f>IFERROR(SQRT(AK209/AK$210)*100,0)</f>
        <v/>
      </c>
      <c r="AL248" s="75">
        <f>IFERROR(SQRT(AL209/AL$210)*100,0)</f>
        <v/>
      </c>
      <c r="AM248" s="75">
        <f>IFERROR(SQRT(AM209/AM$210)*100,0)</f>
        <v/>
      </c>
      <c r="AN248" s="75">
        <f>IFERROR(SQRT(AN209/AN$210)*100,0)</f>
        <v/>
      </c>
      <c r="AO248" s="75">
        <f>IFERROR(SQRT(AO209/AO$210)*100,0)</f>
        <v/>
      </c>
      <c r="AP248" s="75">
        <f>IFERROR(SQRT(AP209/AP$210)*100,0)</f>
        <v/>
      </c>
      <c r="AQ248" s="75">
        <f>IFERROR(SQRT(AQ209/AQ$210)*100,0)</f>
        <v/>
      </c>
      <c r="AR248" s="75">
        <f>IFERROR(SQRT(AR209/AR$210)*100,0)</f>
        <v/>
      </c>
      <c r="AS248" s="75">
        <f>IFERROR(SQRT(AS209/AS$210)*100,0)</f>
        <v/>
      </c>
      <c r="AT248" s="75">
        <f>IFERROR(SQRT(AT209/AT$210)*100,0)</f>
        <v/>
      </c>
      <c r="AU248" s="75">
        <f>IFERROR(SQRT(AU209/AU$210)*100,0)</f>
        <v/>
      </c>
      <c r="AV248" s="75">
        <f>IFERROR(SQRT(AV209/AV$210)*100,0)</f>
        <v/>
      </c>
      <c r="AW248" s="75">
        <f>IFERROR(SQRT(AW209/AW$210)*100,0)</f>
        <v/>
      </c>
      <c r="AX248" s="75">
        <f>IFERROR(SQRT(AX209/AX$210)*100,0)</f>
        <v/>
      </c>
      <c r="AY248" s="75">
        <f>IFERROR(SQRT(AY209/AY$210)*100,0)</f>
        <v/>
      </c>
      <c r="AZ248" s="75">
        <f>IFERROR(SQRT(AZ209/AZ$210)*100,0)</f>
        <v/>
      </c>
      <c r="BA248" s="75">
        <f>IFERROR(SQRT(BA209/BA$210)*100,0)</f>
        <v/>
      </c>
      <c r="BB248" s="75">
        <f>IFERROR(SQRT(BB209/BB$210)*100,0)</f>
        <v/>
      </c>
    </row>
    <row r="249">
      <c r="D249" s="237" t="inlineStr">
        <is>
          <t>average</t>
        </is>
      </c>
      <c r="E249" s="75">
        <f>IFERROR(SQRT(E210/E$210)*100,0)</f>
        <v/>
      </c>
      <c r="F249" s="75">
        <f>IFERROR(SQRT(F210/F$210)*100,0)</f>
        <v/>
      </c>
      <c r="G249" s="75">
        <f>IFERROR(SQRT(G210/G$210)*100,0)</f>
        <v/>
      </c>
      <c r="H249" s="75">
        <f>IFERROR(SQRT(H210/H$210)*100,0)</f>
        <v/>
      </c>
      <c r="I249" s="75">
        <f>IFERROR(SQRT(I210/I$210)*100,0)</f>
        <v/>
      </c>
      <c r="J249" s="75">
        <f>IFERROR(SQRT(J210/J$210)*100,0)</f>
        <v/>
      </c>
      <c r="K249" s="75">
        <f>IFERROR(SQRT(K210/K$210)*100,0)</f>
        <v/>
      </c>
      <c r="L249" s="75">
        <f>IFERROR(SQRT(L210/L$210)*100,0)</f>
        <v/>
      </c>
      <c r="M249" s="75">
        <f>IFERROR(SQRT(M210/M$210)*100,0)</f>
        <v/>
      </c>
      <c r="N249" s="75">
        <f>IFERROR(SQRT(N210/N$210)*100,0)</f>
        <v/>
      </c>
      <c r="O249" s="75">
        <f>IFERROR(SQRT(O210/O$210)*100,0)</f>
        <v/>
      </c>
      <c r="P249" s="75">
        <f>IFERROR(SQRT(P210/P$210)*100,0)</f>
        <v/>
      </c>
      <c r="Q249" s="75">
        <f>IFERROR(SQRT(Q210/Q$210)*100,0)</f>
        <v/>
      </c>
      <c r="R249" s="75">
        <f>IFERROR(SQRT(R210/R$210)*100,0)</f>
        <v/>
      </c>
      <c r="S249" s="75">
        <f>IFERROR(SQRT(S210/S$210)*100,0)</f>
        <v/>
      </c>
      <c r="T249" s="75">
        <f>IFERROR(SQRT(T210/T$210)*100,0)</f>
        <v/>
      </c>
      <c r="U249" s="75">
        <f>IFERROR(SQRT(U210/U$210)*100,0)</f>
        <v/>
      </c>
      <c r="V249" s="75">
        <f>IFERROR(SQRT(V210/V$210)*100,0)</f>
        <v/>
      </c>
      <c r="W249" s="75">
        <f>IFERROR(SQRT(W210/W$210)*100,0)</f>
        <v/>
      </c>
      <c r="X249" s="75">
        <f>IFERROR(SQRT(X210/X$210)*100,0)</f>
        <v/>
      </c>
      <c r="Y249" s="75">
        <f>IFERROR(SQRT(Y210/Y$210)*100,0)</f>
        <v/>
      </c>
      <c r="Z249" s="75">
        <f>IFERROR(SQRT(Z210/Z$210)*100,0)</f>
        <v/>
      </c>
      <c r="AA249" s="75">
        <f>IFERROR(SQRT(AA210/AA$210)*100,0)</f>
        <v/>
      </c>
      <c r="AB249" s="75">
        <f>IFERROR(SQRT(AB210/AB$210)*100,0)</f>
        <v/>
      </c>
      <c r="AC249" s="75">
        <f>IFERROR(SQRT(AC210/AC$210)*100,0)</f>
        <v/>
      </c>
      <c r="AD249" s="75">
        <f>IFERROR(SQRT(AD210/AD$210)*100,0)</f>
        <v/>
      </c>
      <c r="AE249" s="75">
        <f>IFERROR(SQRT(AE210/AE$210)*100,0)</f>
        <v/>
      </c>
      <c r="AF249" s="75">
        <f>IFERROR(SQRT(AF210/AF$210)*100,0)</f>
        <v/>
      </c>
      <c r="AG249" s="75">
        <f>IFERROR(SQRT(AG210/AG$210)*100,0)</f>
        <v/>
      </c>
      <c r="AH249" s="75">
        <f>IFERROR(SQRT(AH210/AH$210)*100,0)</f>
        <v/>
      </c>
      <c r="AI249" s="75">
        <f>IFERROR(SQRT(AI210/AI$210)*100,0)</f>
        <v/>
      </c>
      <c r="AJ249" s="75">
        <f>IFERROR(SQRT(AJ210/AJ$210)*100,0)</f>
        <v/>
      </c>
      <c r="AK249" s="75">
        <f>IFERROR(SQRT(AK210/AK$210)*100,0)</f>
        <v/>
      </c>
      <c r="AL249" s="75">
        <f>IFERROR(SQRT(AL210/AL$210)*100,0)</f>
        <v/>
      </c>
      <c r="AM249" s="75">
        <f>IFERROR(SQRT(AM210/AM$210)*100,0)</f>
        <v/>
      </c>
      <c r="AN249" s="75">
        <f>IFERROR(SQRT(AN210/AN$210)*100,0)</f>
        <v/>
      </c>
      <c r="AO249" s="75">
        <f>IFERROR(SQRT(AO210/AO$210)*100,0)</f>
        <v/>
      </c>
      <c r="AP249" s="75">
        <f>IFERROR(SQRT(AP210/AP$210)*100,0)</f>
        <v/>
      </c>
      <c r="AQ249" s="75">
        <f>IFERROR(SQRT(AQ210/AQ$210)*100,0)</f>
        <v/>
      </c>
      <c r="AR249" s="75">
        <f>IFERROR(SQRT(AR210/AR$210)*100,0)</f>
        <v/>
      </c>
      <c r="AS249" s="75">
        <f>IFERROR(SQRT(AS210/AS$210)*100,0)</f>
        <v/>
      </c>
      <c r="AT249" s="75">
        <f>IFERROR(SQRT(AT210/AT$210)*100,0)</f>
        <v/>
      </c>
      <c r="AU249" s="75">
        <f>IFERROR(SQRT(AU210/AU$210)*100,0)</f>
        <v/>
      </c>
      <c r="AV249" s="75">
        <f>IFERROR(SQRT(AV210/AV$210)*100,0)</f>
        <v/>
      </c>
      <c r="AW249" s="75">
        <f>IFERROR(SQRT(AW210/AW$210)*100,0)</f>
        <v/>
      </c>
      <c r="AX249" s="75">
        <f>IFERROR(SQRT(AX210/AX$210)*100,0)</f>
        <v/>
      </c>
      <c r="AY249" s="75">
        <f>IFERROR(SQRT(AY210/AY$210)*100,0)</f>
        <v/>
      </c>
      <c r="AZ249" s="75">
        <f>IFERROR(SQRT(AZ210/AZ$210)*100,0)</f>
        <v/>
      </c>
      <c r="BA249" s="75">
        <f>IFERROR(SQRT(BA210/BA$210)*100,0)</f>
        <v/>
      </c>
      <c r="BB249" s="75">
        <f>IFERROR(SQRT(BB210/BB$210)*100,0)</f>
        <v/>
      </c>
    </row>
  </sheetData>
  <mergeCells count="5">
    <mergeCell ref="A4:A7"/>
    <mergeCell ref="A96:B96"/>
    <mergeCell ref="A8:A11"/>
    <mergeCell ref="B8:B11"/>
    <mergeCell ref="B4:B7"/>
  </mergeCells>
  <conditionalFormatting sqref="C42:C44 D41 D44 E45:BB4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3:D9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 D131:D13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4">
    <cfRule type="cellIs" priority="5" operator="equal" dxfId="6">
      <formula>0</formula>
    </cfRule>
  </conditionalFormatting>
  <conditionalFormatting sqref="E3:BB40">
    <cfRule type="cellIs" priority="6" operator="equal" dxfId="6">
      <formula>0</formula>
    </cfRule>
  </conditionalFormatting>
  <conditionalFormatting sqref="E42:BB43">
    <cfRule type="cellIs" priority="9" operator="equal" dxfId="6">
      <formula>0</formula>
    </cfRule>
  </conditionalFormatting>
  <conditionalFormatting sqref="E46:BB46">
    <cfRule type="cellIs" priority="8" operator="equal" dxfId="6">
      <formula>0</formula>
    </cfRule>
  </conditionalFormatting>
  <conditionalFormatting sqref="D219:D248 E214:BB249">
    <cfRule type="cellIs" priority="1" operator="equal" dxfId="0">
      <formula>0</formula>
    </cfRule>
  </conditionalFormatting>
  <conditionalFormatting sqref="D180:BB209 E58:BD92 E175:BB179 E210:BB210">
    <cfRule type="cellIs" priority="3" operator="equal" dxfId="0">
      <formula>0</formula>
    </cfRule>
  </conditionalFormatting>
  <conditionalFormatting sqref="H1:BB2">
    <cfRule type="cellIs" priority="7" operator="equal" dxfId="6">
      <formula>0</formula>
    </cfRule>
  </conditionalFormatting>
  <conditionalFormatting sqref="D141:G170 H136:BB170">
    <cfRule type="cellIs" priority="11" operator="equal" dxfId="0">
      <formula>0</formula>
    </cfRule>
  </conditionalFormatting>
  <conditionalFormatting sqref="D102:G131 H97:K108 H109:L131 L97:BB106 L107:L108 M107:BB131">
    <cfRule type="cellIs" priority="12" operator="equal" dxfId="0">
      <formula>0</formula>
    </cfRule>
  </conditionalFormatting>
  <conditionalFormatting sqref="N4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paperSize="9"/>
</worksheet>
</file>

<file path=xl/worksheets/sheet13.xml><?xml version="1.0" encoding="utf-8"?>
<worksheet xmlns="http://schemas.openxmlformats.org/spreadsheetml/2006/main">
  <sheetPr codeName="Sheet13">
    <tabColor theme="1" tint="0.0499893185216834"/>
    <outlinePr summaryBelow="1" summaryRight="1"/>
    <pageSetUpPr/>
  </sheetPr>
  <dimension ref="B1:AZ161"/>
  <sheetViews>
    <sheetView zoomScale="55" zoomScaleNormal="70" workbookViewId="0">
      <selection activeCell="CH26" sqref="CH26"/>
    </sheetView>
  </sheetViews>
  <sheetFormatPr baseColWidth="8" defaultColWidth="9.1640625" defaultRowHeight="14"/>
  <cols>
    <col width="9.1640625" customWidth="1" style="53" min="1" max="1"/>
    <col width="41.75" customWidth="1" style="51" min="2" max="2"/>
    <col width="9.4140625" customWidth="1" style="51" min="3" max="7"/>
    <col width="9.4140625" customWidth="1" style="53" min="8" max="10"/>
    <col width="9.1640625" customWidth="1" style="53" min="11" max="11"/>
    <col width="10.75" customWidth="1" style="53" min="12" max="12"/>
    <col width="9.1640625" customWidth="1" style="53" min="13" max="22"/>
    <col width="9.1640625" customWidth="1" style="53" min="23" max="26"/>
    <col width="9.1640625" customWidth="1" style="53" min="27" max="16384"/>
  </cols>
  <sheetData>
    <row r="1" ht="66" customHeight="1" s="179">
      <c r="B1" s="52" t="inlineStr">
        <is>
          <t>KPI</t>
        </is>
      </c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  <c r="AP1" s="52" t="n"/>
      <c r="AQ1" s="52" t="n"/>
      <c r="AR1" s="52" t="n"/>
      <c r="AS1" s="52" t="n"/>
      <c r="AT1" s="52" t="n"/>
      <c r="AU1" s="52" t="n"/>
      <c r="AV1" s="52" t="n"/>
      <c r="AW1" s="52" t="n"/>
      <c r="AX1" s="52" t="n"/>
      <c r="AY1" s="52" t="n"/>
      <c r="AZ1" s="52" t="n"/>
    </row>
    <row r="2" ht="33" customHeight="1" s="179">
      <c r="B2" s="54" t="n"/>
      <c r="C2" s="55">
        <f>'2D Mapping'!D3</f>
        <v/>
      </c>
      <c r="D2" s="55">
        <f>'2D Mapping'!D4</f>
        <v/>
      </c>
      <c r="E2" s="55">
        <f>'2D Mapping'!D5</f>
        <v/>
      </c>
      <c r="F2" s="55">
        <f>'2D Mapping'!D6</f>
        <v/>
      </c>
      <c r="G2" s="55">
        <f>'2D Mapping'!D7</f>
        <v/>
      </c>
      <c r="H2" s="55">
        <f>'2D Mapping'!D8</f>
        <v/>
      </c>
      <c r="I2" s="55">
        <f>'2D Mapping'!D9</f>
        <v/>
      </c>
      <c r="J2" s="55">
        <f>'2D Mapping'!D10</f>
        <v/>
      </c>
      <c r="K2" s="55">
        <f>'2D Mapping'!D11</f>
        <v/>
      </c>
      <c r="L2" s="55">
        <f>'2D Mapping'!D12</f>
        <v/>
      </c>
      <c r="M2" s="55">
        <f>'2D Mapping'!D13</f>
        <v/>
      </c>
      <c r="N2" s="55">
        <f>'2D Mapping'!D14</f>
        <v/>
      </c>
      <c r="O2" s="55">
        <f>'2D Mapping'!D15</f>
        <v/>
      </c>
      <c r="P2" s="55">
        <f>'2D Mapping'!D16</f>
        <v/>
      </c>
      <c r="Q2" s="55">
        <f>'2D Mapping'!D17</f>
        <v/>
      </c>
      <c r="R2" s="55">
        <f>'2D Mapping'!D18</f>
        <v/>
      </c>
      <c r="S2" s="55">
        <f>'2D Mapping'!D19</f>
        <v/>
      </c>
      <c r="T2" s="55">
        <f>'2D Mapping'!D20</f>
        <v/>
      </c>
      <c r="U2" s="55">
        <f>'2D Mapping'!D21</f>
        <v/>
      </c>
      <c r="V2" s="55">
        <f>'2D Mapping'!D22</f>
        <v/>
      </c>
      <c r="W2" s="55">
        <f>'2D Mapping'!G20</f>
        <v/>
      </c>
      <c r="X2" s="55">
        <f>'2D Mapping'!G21</f>
        <v/>
      </c>
      <c r="Y2" s="55">
        <f>'2D Mapping'!G22</f>
        <v/>
      </c>
      <c r="Z2" s="55">
        <f>'2D Mapping'!J20</f>
        <v/>
      </c>
      <c r="AA2" s="55">
        <f>'2D Mapping'!J21</f>
        <v/>
      </c>
      <c r="AB2" s="55">
        <f>'2D Mapping'!J22</f>
        <v/>
      </c>
      <c r="AC2" s="55">
        <f>'2D Mapping'!M20</f>
        <v/>
      </c>
      <c r="AD2" s="55">
        <f>'2D Mapping'!M21</f>
        <v/>
      </c>
      <c r="AE2" s="55">
        <f>'2D Mapping'!M22</f>
        <v/>
      </c>
      <c r="AF2" s="55">
        <f>'2D Mapping'!P20</f>
        <v/>
      </c>
      <c r="AG2" s="55">
        <f>'2D Mapping'!P21</f>
        <v/>
      </c>
      <c r="AH2" s="55">
        <f>'2D Mapping'!P22</f>
        <v/>
      </c>
      <c r="AI2" s="55">
        <f>'2D Mapping'!S20</f>
        <v/>
      </c>
      <c r="AJ2" s="55">
        <f>'2D Mapping'!S21</f>
        <v/>
      </c>
      <c r="AK2" s="55">
        <f>'2D Mapping'!S22</f>
        <v/>
      </c>
      <c r="AL2" s="55">
        <f>'2D Mapping'!V20</f>
        <v/>
      </c>
      <c r="AM2" s="55">
        <f>'2D Mapping'!V21</f>
        <v/>
      </c>
      <c r="AN2" s="55">
        <f>'2D Mapping'!V22</f>
        <v/>
      </c>
      <c r="AO2" s="55">
        <f>'2D Mapping'!Y20</f>
        <v/>
      </c>
      <c r="AP2" s="55">
        <f>'2D Mapping'!Y21</f>
        <v/>
      </c>
      <c r="AQ2" s="55">
        <f>'2D Mapping'!Y22</f>
        <v/>
      </c>
      <c r="AR2" s="55">
        <f>'2D Mapping'!AB20</f>
        <v/>
      </c>
      <c r="AS2" s="55">
        <f>'2D Mapping'!AB21</f>
        <v/>
      </c>
      <c r="AT2" s="55">
        <f>'2D Mapping'!AB22</f>
        <v/>
      </c>
      <c r="AU2" s="55">
        <f>'2D Mapping'!AE20</f>
        <v/>
      </c>
      <c r="AV2" s="55">
        <f>'2D Mapping'!AE21</f>
        <v/>
      </c>
      <c r="AW2" s="55">
        <f>'2D Mapping'!AE22</f>
        <v/>
      </c>
      <c r="AX2" s="55">
        <f>'2D Mapping'!AH20</f>
        <v/>
      </c>
      <c r="AY2" s="55">
        <f>'2D Mapping'!AI20</f>
        <v/>
      </c>
      <c r="AZ2" s="55">
        <f>'2D Mapping'!AI21</f>
        <v/>
      </c>
    </row>
    <row r="3">
      <c r="B3" s="56" t="inlineStr">
        <is>
          <t>Other (No exposure)</t>
        </is>
      </c>
      <c r="C3" s="240">
        <f>'2E.ROE Scan'!E49</f>
        <v/>
      </c>
      <c r="D3" s="240">
        <f>'2E.ROE Scan'!F49</f>
        <v/>
      </c>
      <c r="E3" s="240">
        <f>'2E.ROE Scan'!G49</f>
        <v/>
      </c>
      <c r="F3" s="240">
        <f>'2E.ROE Scan'!H49</f>
        <v/>
      </c>
      <c r="G3" s="240">
        <f>'2E.ROE Scan'!I49</f>
        <v/>
      </c>
      <c r="H3" s="240">
        <f>'2E.ROE Scan'!J49</f>
        <v/>
      </c>
      <c r="I3" s="240">
        <f>'2E.ROE Scan'!K49</f>
        <v/>
      </c>
      <c r="J3" s="240">
        <f>'2E.ROE Scan'!L49</f>
        <v/>
      </c>
      <c r="K3" s="240">
        <f>'2E.ROE Scan'!M49</f>
        <v/>
      </c>
      <c r="L3" s="240">
        <f>'2E.ROE Scan'!N49</f>
        <v/>
      </c>
      <c r="M3" s="240">
        <f>'2E.ROE Scan'!O49</f>
        <v/>
      </c>
      <c r="N3" s="240">
        <f>'2E.ROE Scan'!P49</f>
        <v/>
      </c>
      <c r="O3" s="240">
        <f>'2E.ROE Scan'!Q49</f>
        <v/>
      </c>
      <c r="P3" s="240">
        <f>'2E.ROE Scan'!R49</f>
        <v/>
      </c>
      <c r="Q3" s="240">
        <f>'2E.ROE Scan'!S49</f>
        <v/>
      </c>
      <c r="R3" s="240">
        <f>'2E.ROE Scan'!T49</f>
        <v/>
      </c>
      <c r="S3" s="240">
        <f>'2E.ROE Scan'!U49</f>
        <v/>
      </c>
      <c r="T3" s="240">
        <f>'2E.ROE Scan'!V49</f>
        <v/>
      </c>
      <c r="U3" s="240">
        <f>'2E.ROE Scan'!W49</f>
        <v/>
      </c>
      <c r="V3" s="240">
        <f>'2E.ROE Scan'!X49</f>
        <v/>
      </c>
      <c r="W3" s="240">
        <f>'2E.ROE Scan'!Y49</f>
        <v/>
      </c>
      <c r="X3" s="240">
        <f>'2E.ROE Scan'!Z49</f>
        <v/>
      </c>
      <c r="Y3" s="240">
        <f>'2E.ROE Scan'!AA49</f>
        <v/>
      </c>
      <c r="Z3" s="240">
        <f>'2E.ROE Scan'!AB49</f>
        <v/>
      </c>
      <c r="AA3" s="240">
        <f>'2E.ROE Scan'!AC49</f>
        <v/>
      </c>
      <c r="AB3" s="240">
        <f>'2E.ROE Scan'!AD49</f>
        <v/>
      </c>
      <c r="AC3" s="240">
        <f>'2E.ROE Scan'!AE49</f>
        <v/>
      </c>
      <c r="AD3" s="240">
        <f>'2E.ROE Scan'!AF49</f>
        <v/>
      </c>
      <c r="AE3" s="240">
        <f>'2E.ROE Scan'!AG49</f>
        <v/>
      </c>
      <c r="AF3" s="240">
        <f>'2E.ROE Scan'!AH49</f>
        <v/>
      </c>
      <c r="AG3" s="240">
        <f>'2E.ROE Scan'!AI49</f>
        <v/>
      </c>
      <c r="AH3" s="240">
        <f>'2E.ROE Scan'!AJ49</f>
        <v/>
      </c>
      <c r="AI3" s="240">
        <f>'2E.ROE Scan'!AK49</f>
        <v/>
      </c>
      <c r="AJ3" s="240">
        <f>'2E.ROE Scan'!AL49</f>
        <v/>
      </c>
      <c r="AK3" s="240">
        <f>'2E.ROE Scan'!AM49</f>
        <v/>
      </c>
      <c r="AL3" s="240">
        <f>'2E.ROE Scan'!AN49</f>
        <v/>
      </c>
      <c r="AM3" s="240">
        <f>'2E.ROE Scan'!AO49</f>
        <v/>
      </c>
      <c r="AN3" s="240">
        <f>'2E.ROE Scan'!AP49</f>
        <v/>
      </c>
      <c r="AO3" s="240">
        <f>'2E.ROE Scan'!AQ49</f>
        <v/>
      </c>
      <c r="AP3" s="240">
        <f>'2E.ROE Scan'!AR49</f>
        <v/>
      </c>
      <c r="AQ3" s="240">
        <f>'2E.ROE Scan'!AS49</f>
        <v/>
      </c>
      <c r="AR3" s="240">
        <f>'2E.ROE Scan'!AT49</f>
        <v/>
      </c>
      <c r="AS3" s="240">
        <f>'2E.ROE Scan'!AU49</f>
        <v/>
      </c>
      <c r="AT3" s="240">
        <f>'2E.ROE Scan'!AV49</f>
        <v/>
      </c>
      <c r="AU3" s="240">
        <f>'2E.ROE Scan'!AW49</f>
        <v/>
      </c>
      <c r="AV3" s="240">
        <f>'2E.ROE Scan'!AX49</f>
        <v/>
      </c>
      <c r="AW3" s="240">
        <f>'2E.ROE Scan'!AY49</f>
        <v/>
      </c>
      <c r="AX3" s="240">
        <f>'2E.ROE Scan'!AZ49</f>
        <v/>
      </c>
      <c r="AY3" s="240">
        <f>'2E.ROE Scan'!BA49</f>
        <v/>
      </c>
      <c r="AZ3" s="240">
        <f>'2E.ROE Scan'!BB49</f>
        <v/>
      </c>
    </row>
    <row r="4">
      <c r="B4" s="58" t="inlineStr">
        <is>
          <t>Campaign Impacts (contribution from exposure)</t>
        </is>
      </c>
      <c r="C4" s="240">
        <f>'2E.ROE Scan'!E50</f>
        <v/>
      </c>
      <c r="D4" s="240">
        <f>'2E.ROE Scan'!F50</f>
        <v/>
      </c>
      <c r="E4" s="240">
        <f>'2E.ROE Scan'!G50</f>
        <v/>
      </c>
      <c r="F4" s="240">
        <f>'2E.ROE Scan'!H50</f>
        <v/>
      </c>
      <c r="G4" s="240">
        <f>'2E.ROE Scan'!I50</f>
        <v/>
      </c>
      <c r="H4" s="240">
        <f>'2E.ROE Scan'!J50</f>
        <v/>
      </c>
      <c r="I4" s="240">
        <f>'2E.ROE Scan'!K50</f>
        <v/>
      </c>
      <c r="J4" s="240">
        <f>'2E.ROE Scan'!L50</f>
        <v/>
      </c>
      <c r="K4" s="240">
        <f>'2E.ROE Scan'!M50</f>
        <v/>
      </c>
      <c r="L4" s="240">
        <f>'2E.ROE Scan'!N50</f>
        <v/>
      </c>
      <c r="M4" s="240">
        <f>'2E.ROE Scan'!O50</f>
        <v/>
      </c>
      <c r="N4" s="240">
        <f>'2E.ROE Scan'!P50</f>
        <v/>
      </c>
      <c r="O4" s="240">
        <f>'2E.ROE Scan'!Q50</f>
        <v/>
      </c>
      <c r="P4" s="240">
        <f>'2E.ROE Scan'!R50</f>
        <v/>
      </c>
      <c r="Q4" s="240">
        <f>'2E.ROE Scan'!S50</f>
        <v/>
      </c>
      <c r="R4" s="240">
        <f>'2E.ROE Scan'!T50</f>
        <v/>
      </c>
      <c r="S4" s="240">
        <f>'2E.ROE Scan'!U50</f>
        <v/>
      </c>
      <c r="T4" s="240">
        <f>'2E.ROE Scan'!V50</f>
        <v/>
      </c>
      <c r="U4" s="240">
        <f>'2E.ROE Scan'!W50</f>
        <v/>
      </c>
      <c r="V4" s="240">
        <f>'2E.ROE Scan'!X50</f>
        <v/>
      </c>
      <c r="W4" s="240">
        <f>'2E.ROE Scan'!Y50</f>
        <v/>
      </c>
      <c r="X4" s="240">
        <f>'2E.ROE Scan'!Z50</f>
        <v/>
      </c>
      <c r="Y4" s="240">
        <f>'2E.ROE Scan'!AA50</f>
        <v/>
      </c>
      <c r="Z4" s="240">
        <f>'2E.ROE Scan'!AB50</f>
        <v/>
      </c>
      <c r="AA4" s="240">
        <f>'2E.ROE Scan'!AC50</f>
        <v/>
      </c>
      <c r="AB4" s="240">
        <f>'2E.ROE Scan'!AD50</f>
        <v/>
      </c>
      <c r="AC4" s="240">
        <f>'2E.ROE Scan'!AE50</f>
        <v/>
      </c>
      <c r="AD4" s="240">
        <f>'2E.ROE Scan'!AF50</f>
        <v/>
      </c>
      <c r="AE4" s="240">
        <f>'2E.ROE Scan'!AG50</f>
        <v/>
      </c>
      <c r="AF4" s="240">
        <f>'2E.ROE Scan'!AH50</f>
        <v/>
      </c>
      <c r="AG4" s="240">
        <f>'2E.ROE Scan'!AI50</f>
        <v/>
      </c>
      <c r="AH4" s="240">
        <f>'2E.ROE Scan'!AJ50</f>
        <v/>
      </c>
      <c r="AI4" s="240">
        <f>'2E.ROE Scan'!AK50</f>
        <v/>
      </c>
      <c r="AJ4" s="240">
        <f>'2E.ROE Scan'!AL50</f>
        <v/>
      </c>
      <c r="AK4" s="240">
        <f>'2E.ROE Scan'!AM50</f>
        <v/>
      </c>
      <c r="AL4" s="240">
        <f>'2E.ROE Scan'!AN50</f>
        <v/>
      </c>
      <c r="AM4" s="240">
        <f>'2E.ROE Scan'!AO50</f>
        <v/>
      </c>
      <c r="AN4" s="240">
        <f>'2E.ROE Scan'!AP50</f>
        <v/>
      </c>
      <c r="AO4" s="240">
        <f>'2E.ROE Scan'!AQ50</f>
        <v/>
      </c>
      <c r="AP4" s="240">
        <f>'2E.ROE Scan'!AR50</f>
        <v/>
      </c>
      <c r="AQ4" s="240">
        <f>'2E.ROE Scan'!AS50</f>
        <v/>
      </c>
      <c r="AR4" s="240">
        <f>'2E.ROE Scan'!AT50</f>
        <v/>
      </c>
      <c r="AS4" s="240">
        <f>'2E.ROE Scan'!AU50</f>
        <v/>
      </c>
      <c r="AT4" s="240">
        <f>'2E.ROE Scan'!AV50</f>
        <v/>
      </c>
      <c r="AU4" s="240">
        <f>'2E.ROE Scan'!AW50</f>
        <v/>
      </c>
      <c r="AV4" s="240">
        <f>'2E.ROE Scan'!AX50</f>
        <v/>
      </c>
      <c r="AW4" s="240">
        <f>'2E.ROE Scan'!AY50</f>
        <v/>
      </c>
      <c r="AX4" s="240">
        <f>'2E.ROE Scan'!AZ50</f>
        <v/>
      </c>
      <c r="AY4" s="240">
        <f>'2E.ROE Scan'!BA50</f>
        <v/>
      </c>
      <c r="AZ4" s="240">
        <f>'2E.ROE Scan'!BB50</f>
        <v/>
      </c>
    </row>
    <row r="5">
      <c r="B5" s="59" t="inlineStr">
        <is>
          <t>Performance</t>
        </is>
      </c>
      <c r="C5" s="241">
        <f>'2E.ROE Scan'!E48</f>
        <v/>
      </c>
      <c r="D5" s="241">
        <f>'2E.ROE Scan'!F48</f>
        <v/>
      </c>
      <c r="E5" s="241">
        <f>'2E.ROE Scan'!G48</f>
        <v/>
      </c>
      <c r="F5" s="241">
        <f>'2E.ROE Scan'!H48</f>
        <v/>
      </c>
      <c r="G5" s="241">
        <f>'2E.ROE Scan'!I48</f>
        <v/>
      </c>
      <c r="H5" s="241">
        <f>'2E.ROE Scan'!J48</f>
        <v/>
      </c>
      <c r="I5" s="241">
        <f>'2E.ROE Scan'!K48</f>
        <v/>
      </c>
      <c r="J5" s="241">
        <f>'2E.ROE Scan'!L48</f>
        <v/>
      </c>
      <c r="K5" s="241">
        <f>'2E.ROE Scan'!M48</f>
        <v/>
      </c>
      <c r="L5" s="241">
        <f>'2E.ROE Scan'!N48</f>
        <v/>
      </c>
      <c r="M5" s="241">
        <f>'2E.ROE Scan'!O48</f>
        <v/>
      </c>
      <c r="N5" s="241">
        <f>'2E.ROE Scan'!P48</f>
        <v/>
      </c>
      <c r="O5" s="241">
        <f>'2E.ROE Scan'!Q48</f>
        <v/>
      </c>
      <c r="P5" s="241">
        <f>'2E.ROE Scan'!R48</f>
        <v/>
      </c>
      <c r="Q5" s="241">
        <f>'2E.ROE Scan'!S48</f>
        <v/>
      </c>
      <c r="R5" s="241">
        <f>'2E.ROE Scan'!T48</f>
        <v/>
      </c>
      <c r="S5" s="241">
        <f>'2E.ROE Scan'!U48</f>
        <v/>
      </c>
      <c r="T5" s="241">
        <f>'2E.ROE Scan'!V48</f>
        <v/>
      </c>
      <c r="U5" s="241">
        <f>'2E.ROE Scan'!W48</f>
        <v/>
      </c>
      <c r="V5" s="241">
        <f>'2E.ROE Scan'!X48</f>
        <v/>
      </c>
      <c r="W5" s="241">
        <f>'2E.ROE Scan'!Y48</f>
        <v/>
      </c>
      <c r="X5" s="241">
        <f>'2E.ROE Scan'!Z48</f>
        <v/>
      </c>
      <c r="Y5" s="241">
        <f>'2E.ROE Scan'!AA48</f>
        <v/>
      </c>
      <c r="Z5" s="241">
        <f>'2E.ROE Scan'!AB48</f>
        <v/>
      </c>
      <c r="AA5" s="241">
        <f>'2E.ROE Scan'!AC48</f>
        <v/>
      </c>
      <c r="AB5" s="241">
        <f>'2E.ROE Scan'!AD48</f>
        <v/>
      </c>
      <c r="AC5" s="241">
        <f>'2E.ROE Scan'!AE48</f>
        <v/>
      </c>
      <c r="AD5" s="241">
        <f>'2E.ROE Scan'!AF48</f>
        <v/>
      </c>
      <c r="AE5" s="241">
        <f>'2E.ROE Scan'!AG48</f>
        <v/>
      </c>
      <c r="AF5" s="241">
        <f>'2E.ROE Scan'!AH48</f>
        <v/>
      </c>
      <c r="AG5" s="241">
        <f>'2E.ROE Scan'!AI48</f>
        <v/>
      </c>
      <c r="AH5" s="241">
        <f>'2E.ROE Scan'!AJ48</f>
        <v/>
      </c>
      <c r="AI5" s="241">
        <f>'2E.ROE Scan'!AK48</f>
        <v/>
      </c>
      <c r="AJ5" s="241">
        <f>'2E.ROE Scan'!AL48</f>
        <v/>
      </c>
      <c r="AK5" s="241">
        <f>'2E.ROE Scan'!AM48</f>
        <v/>
      </c>
      <c r="AL5" s="241">
        <f>'2E.ROE Scan'!AN48</f>
        <v/>
      </c>
      <c r="AM5" s="241">
        <f>'2E.ROE Scan'!AO48</f>
        <v/>
      </c>
      <c r="AN5" s="241">
        <f>'2E.ROE Scan'!AP48</f>
        <v/>
      </c>
      <c r="AO5" s="241">
        <f>'2E.ROE Scan'!AQ48</f>
        <v/>
      </c>
      <c r="AP5" s="241">
        <f>'2E.ROE Scan'!AR48</f>
        <v/>
      </c>
      <c r="AQ5" s="241">
        <f>'2E.ROE Scan'!AS48</f>
        <v/>
      </c>
      <c r="AR5" s="241">
        <f>'2E.ROE Scan'!AT48</f>
        <v/>
      </c>
      <c r="AS5" s="241">
        <f>'2E.ROE Scan'!AU48</f>
        <v/>
      </c>
      <c r="AT5" s="241">
        <f>'2E.ROE Scan'!AV48</f>
        <v/>
      </c>
      <c r="AU5" s="241">
        <f>'2E.ROE Scan'!AW48</f>
        <v/>
      </c>
      <c r="AV5" s="241">
        <f>'2E.ROE Scan'!AX48</f>
        <v/>
      </c>
      <c r="AW5" s="241">
        <f>'2E.ROE Scan'!AY48</f>
        <v/>
      </c>
      <c r="AX5" s="241">
        <f>'2E.ROE Scan'!AZ48</f>
        <v/>
      </c>
      <c r="AY5" s="241">
        <f>'2E.ROE Scan'!BA48</f>
        <v/>
      </c>
      <c r="AZ5" s="241">
        <f>'2E.ROE Scan'!BB48</f>
        <v/>
      </c>
    </row>
    <row r="6">
      <c r="C6" s="242" t="n"/>
      <c r="D6" s="242" t="n"/>
      <c r="E6" s="242" t="n"/>
      <c r="F6" s="242" t="n"/>
      <c r="G6" s="242" t="n"/>
      <c r="H6" s="242" t="n"/>
      <c r="I6" s="242" t="n"/>
      <c r="J6" s="242" t="n"/>
    </row>
    <row r="7">
      <c r="B7" s="62" t="n"/>
      <c r="C7" s="62" t="n"/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</row>
    <row r="8" ht="16.5" customHeight="1" s="179">
      <c r="B8" s="63" t="inlineStr">
        <is>
          <t xml:space="preserve">Contribution% of Media Channel </t>
        </is>
      </c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</row>
    <row r="9" ht="33.75" customHeight="1" s="179">
      <c r="B9" s="64" t="n"/>
      <c r="C9" s="55">
        <f>C2</f>
        <v/>
      </c>
      <c r="D9" s="55">
        <f>D2</f>
        <v/>
      </c>
      <c r="E9" s="55">
        <f>E2</f>
        <v/>
      </c>
      <c r="F9" s="55">
        <f>F2</f>
        <v/>
      </c>
      <c r="G9" s="55">
        <f>G2</f>
        <v/>
      </c>
      <c r="H9" s="55">
        <f>H2</f>
        <v/>
      </c>
      <c r="I9" s="55">
        <f>I2</f>
        <v/>
      </c>
      <c r="J9" s="55">
        <f>J2</f>
        <v/>
      </c>
      <c r="K9" s="55">
        <f>K2</f>
        <v/>
      </c>
      <c r="L9" s="55">
        <f>L2</f>
        <v/>
      </c>
      <c r="M9" s="55">
        <f>M2</f>
        <v/>
      </c>
      <c r="N9" s="55">
        <f>N2</f>
        <v/>
      </c>
      <c r="O9" s="55">
        <f>O2</f>
        <v/>
      </c>
      <c r="P9" s="55">
        <f>P2</f>
        <v/>
      </c>
      <c r="Q9" s="55">
        <f>Q2</f>
        <v/>
      </c>
      <c r="R9" s="55">
        <f>R2</f>
        <v/>
      </c>
      <c r="S9" s="55">
        <f>S2</f>
        <v/>
      </c>
      <c r="T9" s="55">
        <f>T2</f>
        <v/>
      </c>
      <c r="U9" s="55">
        <f>U2</f>
        <v/>
      </c>
      <c r="V9" s="55">
        <f>V2</f>
        <v/>
      </c>
      <c r="W9" s="55">
        <f>W2</f>
        <v/>
      </c>
      <c r="X9" s="55">
        <f>X2</f>
        <v/>
      </c>
      <c r="Y9" s="55">
        <f>Y2</f>
        <v/>
      </c>
      <c r="Z9" s="55">
        <f>Z2</f>
        <v/>
      </c>
      <c r="AA9" s="55">
        <f>AA2</f>
        <v/>
      </c>
      <c r="AB9" s="55">
        <f>AB2</f>
        <v/>
      </c>
      <c r="AC9" s="55">
        <f>AC2</f>
        <v/>
      </c>
      <c r="AD9" s="55">
        <f>AD2</f>
        <v/>
      </c>
      <c r="AE9" s="55">
        <f>AE2</f>
        <v/>
      </c>
      <c r="AF9" s="55">
        <f>AF2</f>
        <v/>
      </c>
      <c r="AG9" s="55">
        <f>AG2</f>
        <v/>
      </c>
      <c r="AH9" s="55">
        <f>AH2</f>
        <v/>
      </c>
      <c r="AI9" s="55">
        <f>AI2</f>
        <v/>
      </c>
      <c r="AJ9" s="55">
        <f>AJ2</f>
        <v/>
      </c>
      <c r="AK9" s="55">
        <f>AK2</f>
        <v/>
      </c>
      <c r="AL9" s="55">
        <f>AL2</f>
        <v/>
      </c>
      <c r="AM9" s="55">
        <f>AM2</f>
        <v/>
      </c>
      <c r="AN9" s="55">
        <f>AN2</f>
        <v/>
      </c>
      <c r="AO9" s="55">
        <f>AO2</f>
        <v/>
      </c>
      <c r="AP9" s="55">
        <f>AP2</f>
        <v/>
      </c>
      <c r="AQ9" s="55">
        <f>AQ2</f>
        <v/>
      </c>
      <c r="AR9" s="55">
        <f>AR2</f>
        <v/>
      </c>
      <c r="AS9" s="55">
        <f>AS2</f>
        <v/>
      </c>
      <c r="AT9" s="55">
        <f>AT2</f>
        <v/>
      </c>
      <c r="AU9" s="55">
        <f>AU2</f>
        <v/>
      </c>
      <c r="AV9" s="55">
        <f>AV2</f>
        <v/>
      </c>
      <c r="AW9" s="55">
        <f>AW2</f>
        <v/>
      </c>
      <c r="AX9" s="55">
        <f>AX2</f>
        <v/>
      </c>
      <c r="AY9" s="55">
        <f>AY2</f>
        <v/>
      </c>
      <c r="AZ9" s="55">
        <f>AZ2</f>
        <v/>
      </c>
    </row>
    <row r="10" ht="16.5" customHeight="1" s="179">
      <c r="B10" s="65">
        <f>'2D Mapping'!H2</f>
        <v/>
      </c>
      <c r="C10" s="68">
        <f>'2E.ROE Scan'!E136</f>
        <v/>
      </c>
      <c r="D10" s="68">
        <f>'2E.ROE Scan'!F136</f>
        <v/>
      </c>
      <c r="E10" s="68">
        <f>'2E.ROE Scan'!G136</f>
        <v/>
      </c>
      <c r="F10" s="68">
        <f>'2E.ROE Scan'!H136</f>
        <v/>
      </c>
      <c r="G10" s="68">
        <f>'2E.ROE Scan'!I136</f>
        <v/>
      </c>
      <c r="H10" s="68">
        <f>'2E.ROE Scan'!J136</f>
        <v/>
      </c>
      <c r="I10" s="68">
        <f>'2E.ROE Scan'!K136</f>
        <v/>
      </c>
      <c r="J10" s="68">
        <f>'2E.ROE Scan'!L136</f>
        <v/>
      </c>
      <c r="K10" s="68">
        <f>'2E.ROE Scan'!M136</f>
        <v/>
      </c>
      <c r="L10" s="68">
        <f>'2E.ROE Scan'!N136</f>
        <v/>
      </c>
      <c r="M10" s="68">
        <f>'2E.ROE Scan'!O136</f>
        <v/>
      </c>
      <c r="N10" s="68">
        <f>'2E.ROE Scan'!P136</f>
        <v/>
      </c>
      <c r="O10" s="68">
        <f>'2E.ROE Scan'!Q136</f>
        <v/>
      </c>
      <c r="P10" s="68">
        <f>'2E.ROE Scan'!R136</f>
        <v/>
      </c>
      <c r="Q10" s="68">
        <f>'2E.ROE Scan'!S136</f>
        <v/>
      </c>
      <c r="R10" s="68">
        <f>'2E.ROE Scan'!T136</f>
        <v/>
      </c>
      <c r="S10" s="68">
        <f>'2E.ROE Scan'!U136</f>
        <v/>
      </c>
      <c r="T10" s="68">
        <f>'2E.ROE Scan'!V136</f>
        <v/>
      </c>
      <c r="U10" s="68">
        <f>'2E.ROE Scan'!W136</f>
        <v/>
      </c>
      <c r="V10" s="68">
        <f>'2E.ROE Scan'!X136</f>
        <v/>
      </c>
      <c r="W10" s="68">
        <f>'2E.ROE Scan'!Y136</f>
        <v/>
      </c>
      <c r="X10" s="68">
        <f>'2E.ROE Scan'!Z136</f>
        <v/>
      </c>
      <c r="Y10" s="68">
        <f>'2E.ROE Scan'!AA136</f>
        <v/>
      </c>
      <c r="Z10" s="68">
        <f>'2E.ROE Scan'!AB136</f>
        <v/>
      </c>
      <c r="AA10" s="68">
        <f>'2E.ROE Scan'!AC136</f>
        <v/>
      </c>
      <c r="AB10" s="68">
        <f>'2E.ROE Scan'!AD136</f>
        <v/>
      </c>
      <c r="AC10" s="68">
        <f>'2E.ROE Scan'!AE136</f>
        <v/>
      </c>
      <c r="AD10" s="68">
        <f>'2E.ROE Scan'!AF136</f>
        <v/>
      </c>
      <c r="AE10" s="68">
        <f>'2E.ROE Scan'!AG136</f>
        <v/>
      </c>
      <c r="AF10" s="68">
        <f>'2E.ROE Scan'!AH136</f>
        <v/>
      </c>
      <c r="AG10" s="68">
        <f>'2E.ROE Scan'!AI136</f>
        <v/>
      </c>
      <c r="AH10" s="68">
        <f>'2E.ROE Scan'!AJ136</f>
        <v/>
      </c>
      <c r="AI10" s="68">
        <f>'2E.ROE Scan'!AK136</f>
        <v/>
      </c>
      <c r="AJ10" s="68">
        <f>'2E.ROE Scan'!AL136</f>
        <v/>
      </c>
      <c r="AK10" s="68">
        <f>'2E.ROE Scan'!AM136</f>
        <v/>
      </c>
      <c r="AL10" s="68">
        <f>'2E.ROE Scan'!AN136</f>
        <v/>
      </c>
      <c r="AM10" s="68">
        <f>'2E.ROE Scan'!AO136</f>
        <v/>
      </c>
      <c r="AN10" s="68">
        <f>'2E.ROE Scan'!AP136</f>
        <v/>
      </c>
      <c r="AO10" s="68">
        <f>'2E.ROE Scan'!AQ136</f>
        <v/>
      </c>
      <c r="AP10" s="68">
        <f>'2E.ROE Scan'!AR136</f>
        <v/>
      </c>
      <c r="AQ10" s="68">
        <f>'2E.ROE Scan'!AS136</f>
        <v/>
      </c>
      <c r="AR10" s="68">
        <f>'2E.ROE Scan'!AT136</f>
        <v/>
      </c>
      <c r="AS10" s="68">
        <f>'2E.ROE Scan'!AU136</f>
        <v/>
      </c>
      <c r="AT10" s="68">
        <f>'2E.ROE Scan'!AV136</f>
        <v/>
      </c>
      <c r="AU10" s="68">
        <f>'2E.ROE Scan'!AW136</f>
        <v/>
      </c>
      <c r="AV10" s="68">
        <f>'2E.ROE Scan'!AX136</f>
        <v/>
      </c>
      <c r="AW10" s="68">
        <f>'2E.ROE Scan'!AY136</f>
        <v/>
      </c>
      <c r="AX10" s="68">
        <f>'2E.ROE Scan'!AZ136</f>
        <v/>
      </c>
      <c r="AY10" s="68">
        <f>'2E.ROE Scan'!BA136</f>
        <v/>
      </c>
      <c r="AZ10" s="68">
        <f>'2E.ROE Scan'!BB136</f>
        <v/>
      </c>
    </row>
    <row r="11" ht="16.5" customHeight="1" s="179">
      <c r="B11" s="65">
        <f>'2D Mapping'!H3</f>
        <v/>
      </c>
      <c r="C11" s="68">
        <f>'2E.ROE Scan'!E137</f>
        <v/>
      </c>
      <c r="D11" s="68">
        <f>'2E.ROE Scan'!F137</f>
        <v/>
      </c>
      <c r="E11" s="68">
        <f>'2E.ROE Scan'!G137</f>
        <v/>
      </c>
      <c r="F11" s="68">
        <f>'2E.ROE Scan'!H137</f>
        <v/>
      </c>
      <c r="G11" s="68">
        <f>'2E.ROE Scan'!I137</f>
        <v/>
      </c>
      <c r="H11" s="68">
        <f>'2E.ROE Scan'!J137</f>
        <v/>
      </c>
      <c r="I11" s="68">
        <f>'2E.ROE Scan'!K137</f>
        <v/>
      </c>
      <c r="J11" s="68">
        <f>'2E.ROE Scan'!L137</f>
        <v/>
      </c>
      <c r="K11" s="68">
        <f>'2E.ROE Scan'!M137</f>
        <v/>
      </c>
      <c r="L11" s="68">
        <f>'2E.ROE Scan'!N137</f>
        <v/>
      </c>
      <c r="M11" s="68">
        <f>'2E.ROE Scan'!O137</f>
        <v/>
      </c>
      <c r="N11" s="68">
        <f>'2E.ROE Scan'!P137</f>
        <v/>
      </c>
      <c r="O11" s="68">
        <f>'2E.ROE Scan'!Q137</f>
        <v/>
      </c>
      <c r="P11" s="68">
        <f>'2E.ROE Scan'!R137</f>
        <v/>
      </c>
      <c r="Q11" s="68">
        <f>'2E.ROE Scan'!S137</f>
        <v/>
      </c>
      <c r="R11" s="68">
        <f>'2E.ROE Scan'!T137</f>
        <v/>
      </c>
      <c r="S11" s="68">
        <f>'2E.ROE Scan'!U137</f>
        <v/>
      </c>
      <c r="T11" s="68">
        <f>'2E.ROE Scan'!V137</f>
        <v/>
      </c>
      <c r="U11" s="68">
        <f>'2E.ROE Scan'!W137</f>
        <v/>
      </c>
      <c r="V11" s="68">
        <f>'2E.ROE Scan'!X137</f>
        <v/>
      </c>
      <c r="W11" s="68">
        <f>'2E.ROE Scan'!Y137</f>
        <v/>
      </c>
      <c r="X11" s="68">
        <f>'2E.ROE Scan'!Z137</f>
        <v/>
      </c>
      <c r="Y11" s="68">
        <f>'2E.ROE Scan'!AA137</f>
        <v/>
      </c>
      <c r="Z11" s="68">
        <f>'2E.ROE Scan'!AB137</f>
        <v/>
      </c>
      <c r="AA11" s="68">
        <f>'2E.ROE Scan'!AC137</f>
        <v/>
      </c>
      <c r="AB11" s="68">
        <f>'2E.ROE Scan'!AD137</f>
        <v/>
      </c>
      <c r="AC11" s="68">
        <f>'2E.ROE Scan'!AE137</f>
        <v/>
      </c>
      <c r="AD11" s="68">
        <f>'2E.ROE Scan'!AF137</f>
        <v/>
      </c>
      <c r="AE11" s="68">
        <f>'2E.ROE Scan'!AG137</f>
        <v/>
      </c>
      <c r="AF11" s="68">
        <f>'2E.ROE Scan'!AH137</f>
        <v/>
      </c>
      <c r="AG11" s="68">
        <f>'2E.ROE Scan'!AI137</f>
        <v/>
      </c>
      <c r="AH11" s="68">
        <f>'2E.ROE Scan'!AJ137</f>
        <v/>
      </c>
      <c r="AI11" s="68">
        <f>'2E.ROE Scan'!AK137</f>
        <v/>
      </c>
      <c r="AJ11" s="68">
        <f>'2E.ROE Scan'!AL137</f>
        <v/>
      </c>
      <c r="AK11" s="68">
        <f>'2E.ROE Scan'!AM137</f>
        <v/>
      </c>
      <c r="AL11" s="68">
        <f>'2E.ROE Scan'!AN137</f>
        <v/>
      </c>
      <c r="AM11" s="68">
        <f>'2E.ROE Scan'!AO137</f>
        <v/>
      </c>
      <c r="AN11" s="68">
        <f>'2E.ROE Scan'!AP137</f>
        <v/>
      </c>
      <c r="AO11" s="68">
        <f>'2E.ROE Scan'!AQ137</f>
        <v/>
      </c>
      <c r="AP11" s="68">
        <f>'2E.ROE Scan'!AR137</f>
        <v/>
      </c>
      <c r="AQ11" s="68">
        <f>'2E.ROE Scan'!AS137</f>
        <v/>
      </c>
      <c r="AR11" s="68">
        <f>'2E.ROE Scan'!AT137</f>
        <v/>
      </c>
      <c r="AS11" s="68">
        <f>'2E.ROE Scan'!AU137</f>
        <v/>
      </c>
      <c r="AT11" s="68">
        <f>'2E.ROE Scan'!AV137</f>
        <v/>
      </c>
      <c r="AU11" s="68">
        <f>'2E.ROE Scan'!AW137</f>
        <v/>
      </c>
      <c r="AV11" s="68">
        <f>'2E.ROE Scan'!AX137</f>
        <v/>
      </c>
      <c r="AW11" s="68">
        <f>'2E.ROE Scan'!AY137</f>
        <v/>
      </c>
      <c r="AX11" s="68">
        <f>'2E.ROE Scan'!AZ137</f>
        <v/>
      </c>
      <c r="AY11" s="68">
        <f>'2E.ROE Scan'!BA137</f>
        <v/>
      </c>
      <c r="AZ11" s="68">
        <f>'2E.ROE Scan'!BB137</f>
        <v/>
      </c>
    </row>
    <row r="12" ht="16.5" customHeight="1" s="179">
      <c r="B12" s="65">
        <f>'2D Mapping'!H4</f>
        <v/>
      </c>
      <c r="C12" s="68">
        <f>'2E.ROE Scan'!E138</f>
        <v/>
      </c>
      <c r="D12" s="68">
        <f>'2E.ROE Scan'!F138</f>
        <v/>
      </c>
      <c r="E12" s="68">
        <f>'2E.ROE Scan'!G138</f>
        <v/>
      </c>
      <c r="F12" s="68">
        <f>'2E.ROE Scan'!H138</f>
        <v/>
      </c>
      <c r="G12" s="68">
        <f>'2E.ROE Scan'!I138</f>
        <v/>
      </c>
      <c r="H12" s="68">
        <f>'2E.ROE Scan'!J138</f>
        <v/>
      </c>
      <c r="I12" s="68">
        <f>'2E.ROE Scan'!K138</f>
        <v/>
      </c>
      <c r="J12" s="68">
        <f>'2E.ROE Scan'!L138</f>
        <v/>
      </c>
      <c r="K12" s="68">
        <f>'2E.ROE Scan'!M138</f>
        <v/>
      </c>
      <c r="L12" s="68">
        <f>'2E.ROE Scan'!N138</f>
        <v/>
      </c>
      <c r="M12" s="68">
        <f>'2E.ROE Scan'!O138</f>
        <v/>
      </c>
      <c r="N12" s="68">
        <f>'2E.ROE Scan'!P138</f>
        <v/>
      </c>
      <c r="O12" s="68">
        <f>'2E.ROE Scan'!Q138</f>
        <v/>
      </c>
      <c r="P12" s="68">
        <f>'2E.ROE Scan'!R138</f>
        <v/>
      </c>
      <c r="Q12" s="68">
        <f>'2E.ROE Scan'!S138</f>
        <v/>
      </c>
      <c r="R12" s="68">
        <f>'2E.ROE Scan'!T138</f>
        <v/>
      </c>
      <c r="S12" s="68">
        <f>'2E.ROE Scan'!U138</f>
        <v/>
      </c>
      <c r="T12" s="68">
        <f>'2E.ROE Scan'!V138</f>
        <v/>
      </c>
      <c r="U12" s="68">
        <f>'2E.ROE Scan'!W138</f>
        <v/>
      </c>
      <c r="V12" s="68">
        <f>'2E.ROE Scan'!X138</f>
        <v/>
      </c>
      <c r="W12" s="68">
        <f>'2E.ROE Scan'!Y138</f>
        <v/>
      </c>
      <c r="X12" s="68">
        <f>'2E.ROE Scan'!Z138</f>
        <v/>
      </c>
      <c r="Y12" s="68">
        <f>'2E.ROE Scan'!AA138</f>
        <v/>
      </c>
      <c r="Z12" s="68">
        <f>'2E.ROE Scan'!AB138</f>
        <v/>
      </c>
      <c r="AA12" s="68">
        <f>'2E.ROE Scan'!AC138</f>
        <v/>
      </c>
      <c r="AB12" s="68">
        <f>'2E.ROE Scan'!AD138</f>
        <v/>
      </c>
      <c r="AC12" s="68">
        <f>'2E.ROE Scan'!AE138</f>
        <v/>
      </c>
      <c r="AD12" s="68">
        <f>'2E.ROE Scan'!AF138</f>
        <v/>
      </c>
      <c r="AE12" s="68">
        <f>'2E.ROE Scan'!AG138</f>
        <v/>
      </c>
      <c r="AF12" s="68">
        <f>'2E.ROE Scan'!AH138</f>
        <v/>
      </c>
      <c r="AG12" s="68">
        <f>'2E.ROE Scan'!AI138</f>
        <v/>
      </c>
      <c r="AH12" s="68">
        <f>'2E.ROE Scan'!AJ138</f>
        <v/>
      </c>
      <c r="AI12" s="68">
        <f>'2E.ROE Scan'!AK138</f>
        <v/>
      </c>
      <c r="AJ12" s="68">
        <f>'2E.ROE Scan'!AL138</f>
        <v/>
      </c>
      <c r="AK12" s="68">
        <f>'2E.ROE Scan'!AM138</f>
        <v/>
      </c>
      <c r="AL12" s="68">
        <f>'2E.ROE Scan'!AN138</f>
        <v/>
      </c>
      <c r="AM12" s="68">
        <f>'2E.ROE Scan'!AO138</f>
        <v/>
      </c>
      <c r="AN12" s="68">
        <f>'2E.ROE Scan'!AP138</f>
        <v/>
      </c>
      <c r="AO12" s="68">
        <f>'2E.ROE Scan'!AQ138</f>
        <v/>
      </c>
      <c r="AP12" s="68">
        <f>'2E.ROE Scan'!AR138</f>
        <v/>
      </c>
      <c r="AQ12" s="68">
        <f>'2E.ROE Scan'!AS138</f>
        <v/>
      </c>
      <c r="AR12" s="68">
        <f>'2E.ROE Scan'!AT138</f>
        <v/>
      </c>
      <c r="AS12" s="68">
        <f>'2E.ROE Scan'!AU138</f>
        <v/>
      </c>
      <c r="AT12" s="68">
        <f>'2E.ROE Scan'!AV138</f>
        <v/>
      </c>
      <c r="AU12" s="68">
        <f>'2E.ROE Scan'!AW138</f>
        <v/>
      </c>
      <c r="AV12" s="68">
        <f>'2E.ROE Scan'!AX138</f>
        <v/>
      </c>
      <c r="AW12" s="68">
        <f>'2E.ROE Scan'!AY138</f>
        <v/>
      </c>
      <c r="AX12" s="68">
        <f>'2E.ROE Scan'!AZ138</f>
        <v/>
      </c>
      <c r="AY12" s="68">
        <f>'2E.ROE Scan'!BA138</f>
        <v/>
      </c>
      <c r="AZ12" s="68">
        <f>'2E.ROE Scan'!BB138</f>
        <v/>
      </c>
    </row>
    <row r="13" ht="16.5" customHeight="1" s="179">
      <c r="B13" s="65">
        <f>'2D Mapping'!H5</f>
        <v/>
      </c>
      <c r="C13" s="68">
        <f>'2E.ROE Scan'!E139</f>
        <v/>
      </c>
      <c r="D13" s="68">
        <f>'2E.ROE Scan'!F139</f>
        <v/>
      </c>
      <c r="E13" s="68">
        <f>'2E.ROE Scan'!G139</f>
        <v/>
      </c>
      <c r="F13" s="68">
        <f>'2E.ROE Scan'!H139</f>
        <v/>
      </c>
      <c r="G13" s="68">
        <f>'2E.ROE Scan'!I139</f>
        <v/>
      </c>
      <c r="H13" s="68">
        <f>'2E.ROE Scan'!J139</f>
        <v/>
      </c>
      <c r="I13" s="68">
        <f>'2E.ROE Scan'!K139</f>
        <v/>
      </c>
      <c r="J13" s="68">
        <f>'2E.ROE Scan'!L139</f>
        <v/>
      </c>
      <c r="K13" s="68">
        <f>'2E.ROE Scan'!M139</f>
        <v/>
      </c>
      <c r="L13" s="68">
        <f>'2E.ROE Scan'!N139</f>
        <v/>
      </c>
      <c r="M13" s="68">
        <f>'2E.ROE Scan'!O139</f>
        <v/>
      </c>
      <c r="N13" s="68">
        <f>'2E.ROE Scan'!P139</f>
        <v/>
      </c>
      <c r="O13" s="68">
        <f>'2E.ROE Scan'!Q139</f>
        <v/>
      </c>
      <c r="P13" s="68">
        <f>'2E.ROE Scan'!R139</f>
        <v/>
      </c>
      <c r="Q13" s="68">
        <f>'2E.ROE Scan'!S139</f>
        <v/>
      </c>
      <c r="R13" s="68">
        <f>'2E.ROE Scan'!T139</f>
        <v/>
      </c>
      <c r="S13" s="68">
        <f>'2E.ROE Scan'!U139</f>
        <v/>
      </c>
      <c r="T13" s="68">
        <f>'2E.ROE Scan'!V139</f>
        <v/>
      </c>
      <c r="U13" s="68">
        <f>'2E.ROE Scan'!W139</f>
        <v/>
      </c>
      <c r="V13" s="68">
        <f>'2E.ROE Scan'!X139</f>
        <v/>
      </c>
      <c r="W13" s="68">
        <f>'2E.ROE Scan'!Y139</f>
        <v/>
      </c>
      <c r="X13" s="68">
        <f>'2E.ROE Scan'!Z139</f>
        <v/>
      </c>
      <c r="Y13" s="68">
        <f>'2E.ROE Scan'!AA139</f>
        <v/>
      </c>
      <c r="Z13" s="68">
        <f>'2E.ROE Scan'!AB139</f>
        <v/>
      </c>
      <c r="AA13" s="68">
        <f>'2E.ROE Scan'!AC139</f>
        <v/>
      </c>
      <c r="AB13" s="68">
        <f>'2E.ROE Scan'!AD139</f>
        <v/>
      </c>
      <c r="AC13" s="68">
        <f>'2E.ROE Scan'!AE139</f>
        <v/>
      </c>
      <c r="AD13" s="68">
        <f>'2E.ROE Scan'!AF139</f>
        <v/>
      </c>
      <c r="AE13" s="68">
        <f>'2E.ROE Scan'!AG139</f>
        <v/>
      </c>
      <c r="AF13" s="68">
        <f>'2E.ROE Scan'!AH139</f>
        <v/>
      </c>
      <c r="AG13" s="68">
        <f>'2E.ROE Scan'!AI139</f>
        <v/>
      </c>
      <c r="AH13" s="68">
        <f>'2E.ROE Scan'!AJ139</f>
        <v/>
      </c>
      <c r="AI13" s="68">
        <f>'2E.ROE Scan'!AK139</f>
        <v/>
      </c>
      <c r="AJ13" s="68">
        <f>'2E.ROE Scan'!AL139</f>
        <v/>
      </c>
      <c r="AK13" s="68">
        <f>'2E.ROE Scan'!AM139</f>
        <v/>
      </c>
      <c r="AL13" s="68">
        <f>'2E.ROE Scan'!AN139</f>
        <v/>
      </c>
      <c r="AM13" s="68">
        <f>'2E.ROE Scan'!AO139</f>
        <v/>
      </c>
      <c r="AN13" s="68">
        <f>'2E.ROE Scan'!AP139</f>
        <v/>
      </c>
      <c r="AO13" s="68">
        <f>'2E.ROE Scan'!AQ139</f>
        <v/>
      </c>
      <c r="AP13" s="68">
        <f>'2E.ROE Scan'!AR139</f>
        <v/>
      </c>
      <c r="AQ13" s="68">
        <f>'2E.ROE Scan'!AS139</f>
        <v/>
      </c>
      <c r="AR13" s="68">
        <f>'2E.ROE Scan'!AT139</f>
        <v/>
      </c>
      <c r="AS13" s="68">
        <f>'2E.ROE Scan'!AU139</f>
        <v/>
      </c>
      <c r="AT13" s="68">
        <f>'2E.ROE Scan'!AV139</f>
        <v/>
      </c>
      <c r="AU13" s="68">
        <f>'2E.ROE Scan'!AW139</f>
        <v/>
      </c>
      <c r="AV13" s="68">
        <f>'2E.ROE Scan'!AX139</f>
        <v/>
      </c>
      <c r="AW13" s="68">
        <f>'2E.ROE Scan'!AY139</f>
        <v/>
      </c>
      <c r="AX13" s="68">
        <f>'2E.ROE Scan'!AZ139</f>
        <v/>
      </c>
      <c r="AY13" s="68">
        <f>'2E.ROE Scan'!BA139</f>
        <v/>
      </c>
      <c r="AZ13" s="68">
        <f>'2E.ROE Scan'!BB139</f>
        <v/>
      </c>
    </row>
    <row r="14" ht="16.5" customHeight="1" s="179">
      <c r="B14" s="65">
        <f>'2D Mapping'!H6</f>
        <v/>
      </c>
      <c r="C14" s="68">
        <f>'2E.ROE Scan'!E140</f>
        <v/>
      </c>
      <c r="D14" s="68">
        <f>'2E.ROE Scan'!F140</f>
        <v/>
      </c>
      <c r="E14" s="68">
        <f>'2E.ROE Scan'!G140</f>
        <v/>
      </c>
      <c r="F14" s="68">
        <f>'2E.ROE Scan'!H140</f>
        <v/>
      </c>
      <c r="G14" s="68">
        <f>'2E.ROE Scan'!I140</f>
        <v/>
      </c>
      <c r="H14" s="68">
        <f>'2E.ROE Scan'!J140</f>
        <v/>
      </c>
      <c r="I14" s="68">
        <f>'2E.ROE Scan'!K140</f>
        <v/>
      </c>
      <c r="J14" s="68">
        <f>'2E.ROE Scan'!L140</f>
        <v/>
      </c>
      <c r="K14" s="68">
        <f>'2E.ROE Scan'!M140</f>
        <v/>
      </c>
      <c r="L14" s="68">
        <f>'2E.ROE Scan'!N140</f>
        <v/>
      </c>
      <c r="M14" s="68">
        <f>'2E.ROE Scan'!O140</f>
        <v/>
      </c>
      <c r="N14" s="68">
        <f>'2E.ROE Scan'!P140</f>
        <v/>
      </c>
      <c r="O14" s="68">
        <f>'2E.ROE Scan'!Q140</f>
        <v/>
      </c>
      <c r="P14" s="68">
        <f>'2E.ROE Scan'!R140</f>
        <v/>
      </c>
      <c r="Q14" s="68">
        <f>'2E.ROE Scan'!S140</f>
        <v/>
      </c>
      <c r="R14" s="68">
        <f>'2E.ROE Scan'!T140</f>
        <v/>
      </c>
      <c r="S14" s="68">
        <f>'2E.ROE Scan'!U140</f>
        <v/>
      </c>
      <c r="T14" s="68">
        <f>'2E.ROE Scan'!V140</f>
        <v/>
      </c>
      <c r="U14" s="68">
        <f>'2E.ROE Scan'!W140</f>
        <v/>
      </c>
      <c r="V14" s="68">
        <f>'2E.ROE Scan'!X140</f>
        <v/>
      </c>
      <c r="W14" s="68">
        <f>'2E.ROE Scan'!Y140</f>
        <v/>
      </c>
      <c r="X14" s="68">
        <f>'2E.ROE Scan'!Z140</f>
        <v/>
      </c>
      <c r="Y14" s="68">
        <f>'2E.ROE Scan'!AA140</f>
        <v/>
      </c>
      <c r="Z14" s="68">
        <f>'2E.ROE Scan'!AB140</f>
        <v/>
      </c>
      <c r="AA14" s="68">
        <f>'2E.ROE Scan'!AC140</f>
        <v/>
      </c>
      <c r="AB14" s="68">
        <f>'2E.ROE Scan'!AD140</f>
        <v/>
      </c>
      <c r="AC14" s="68">
        <f>'2E.ROE Scan'!AE140</f>
        <v/>
      </c>
      <c r="AD14" s="68">
        <f>'2E.ROE Scan'!AF140</f>
        <v/>
      </c>
      <c r="AE14" s="68">
        <f>'2E.ROE Scan'!AG140</f>
        <v/>
      </c>
      <c r="AF14" s="68">
        <f>'2E.ROE Scan'!AH140</f>
        <v/>
      </c>
      <c r="AG14" s="68">
        <f>'2E.ROE Scan'!AI140</f>
        <v/>
      </c>
      <c r="AH14" s="68">
        <f>'2E.ROE Scan'!AJ140</f>
        <v/>
      </c>
      <c r="AI14" s="68">
        <f>'2E.ROE Scan'!AK140</f>
        <v/>
      </c>
      <c r="AJ14" s="68">
        <f>'2E.ROE Scan'!AL140</f>
        <v/>
      </c>
      <c r="AK14" s="68">
        <f>'2E.ROE Scan'!AM140</f>
        <v/>
      </c>
      <c r="AL14" s="68">
        <f>'2E.ROE Scan'!AN140</f>
        <v/>
      </c>
      <c r="AM14" s="68">
        <f>'2E.ROE Scan'!AO140</f>
        <v/>
      </c>
      <c r="AN14" s="68">
        <f>'2E.ROE Scan'!AP140</f>
        <v/>
      </c>
      <c r="AO14" s="68">
        <f>'2E.ROE Scan'!AQ140</f>
        <v/>
      </c>
      <c r="AP14" s="68">
        <f>'2E.ROE Scan'!AR140</f>
        <v/>
      </c>
      <c r="AQ14" s="68">
        <f>'2E.ROE Scan'!AS140</f>
        <v/>
      </c>
      <c r="AR14" s="68">
        <f>'2E.ROE Scan'!AT140</f>
        <v/>
      </c>
      <c r="AS14" s="68">
        <f>'2E.ROE Scan'!AU140</f>
        <v/>
      </c>
      <c r="AT14" s="68">
        <f>'2E.ROE Scan'!AV140</f>
        <v/>
      </c>
      <c r="AU14" s="68">
        <f>'2E.ROE Scan'!AW140</f>
        <v/>
      </c>
      <c r="AV14" s="68">
        <f>'2E.ROE Scan'!AX140</f>
        <v/>
      </c>
      <c r="AW14" s="68">
        <f>'2E.ROE Scan'!AY140</f>
        <v/>
      </c>
      <c r="AX14" s="68">
        <f>'2E.ROE Scan'!AZ140</f>
        <v/>
      </c>
      <c r="AY14" s="68">
        <f>'2E.ROE Scan'!BA140</f>
        <v/>
      </c>
      <c r="AZ14" s="68">
        <f>'2E.ROE Scan'!BB140</f>
        <v/>
      </c>
    </row>
    <row r="15" ht="16.5" customHeight="1" s="179">
      <c r="B15" s="65">
        <f>'2D Mapping'!H7</f>
        <v/>
      </c>
      <c r="C15" s="68">
        <f>'2E.ROE Scan'!E141</f>
        <v/>
      </c>
      <c r="D15" s="68">
        <f>'2E.ROE Scan'!F141</f>
        <v/>
      </c>
      <c r="E15" s="68">
        <f>'2E.ROE Scan'!G141</f>
        <v/>
      </c>
      <c r="F15" s="68">
        <f>'2E.ROE Scan'!H141</f>
        <v/>
      </c>
      <c r="G15" s="68">
        <f>'2E.ROE Scan'!I141</f>
        <v/>
      </c>
      <c r="H15" s="68">
        <f>'2E.ROE Scan'!J141</f>
        <v/>
      </c>
      <c r="I15" s="68">
        <f>'2E.ROE Scan'!K141</f>
        <v/>
      </c>
      <c r="J15" s="68">
        <f>'2E.ROE Scan'!L141</f>
        <v/>
      </c>
      <c r="K15" s="68">
        <f>'2E.ROE Scan'!M141</f>
        <v/>
      </c>
      <c r="L15" s="68">
        <f>'2E.ROE Scan'!N141</f>
        <v/>
      </c>
      <c r="M15" s="68">
        <f>'2E.ROE Scan'!O141</f>
        <v/>
      </c>
      <c r="N15" s="68">
        <f>'2E.ROE Scan'!P141</f>
        <v/>
      </c>
      <c r="O15" s="68">
        <f>'2E.ROE Scan'!Q141</f>
        <v/>
      </c>
      <c r="P15" s="68">
        <f>'2E.ROE Scan'!R141</f>
        <v/>
      </c>
      <c r="Q15" s="68">
        <f>'2E.ROE Scan'!S141</f>
        <v/>
      </c>
      <c r="R15" s="68">
        <f>'2E.ROE Scan'!T141</f>
        <v/>
      </c>
      <c r="S15" s="68">
        <f>'2E.ROE Scan'!U141</f>
        <v/>
      </c>
      <c r="T15" s="68">
        <f>'2E.ROE Scan'!V141</f>
        <v/>
      </c>
      <c r="U15" s="68">
        <f>'2E.ROE Scan'!W141</f>
        <v/>
      </c>
      <c r="V15" s="68">
        <f>'2E.ROE Scan'!X141</f>
        <v/>
      </c>
      <c r="W15" s="68">
        <f>'2E.ROE Scan'!Y141</f>
        <v/>
      </c>
      <c r="X15" s="68">
        <f>'2E.ROE Scan'!Z141</f>
        <v/>
      </c>
      <c r="Y15" s="68">
        <f>'2E.ROE Scan'!AA141</f>
        <v/>
      </c>
      <c r="Z15" s="68">
        <f>'2E.ROE Scan'!AB141</f>
        <v/>
      </c>
      <c r="AA15" s="68">
        <f>'2E.ROE Scan'!AC141</f>
        <v/>
      </c>
      <c r="AB15" s="68">
        <f>'2E.ROE Scan'!AD141</f>
        <v/>
      </c>
      <c r="AC15" s="68">
        <f>'2E.ROE Scan'!AE141</f>
        <v/>
      </c>
      <c r="AD15" s="68">
        <f>'2E.ROE Scan'!AF141</f>
        <v/>
      </c>
      <c r="AE15" s="68">
        <f>'2E.ROE Scan'!AG141</f>
        <v/>
      </c>
      <c r="AF15" s="68">
        <f>'2E.ROE Scan'!AH141</f>
        <v/>
      </c>
      <c r="AG15" s="68">
        <f>'2E.ROE Scan'!AI141</f>
        <v/>
      </c>
      <c r="AH15" s="68">
        <f>'2E.ROE Scan'!AJ141</f>
        <v/>
      </c>
      <c r="AI15" s="68">
        <f>'2E.ROE Scan'!AK141</f>
        <v/>
      </c>
      <c r="AJ15" s="68">
        <f>'2E.ROE Scan'!AL141</f>
        <v/>
      </c>
      <c r="AK15" s="68">
        <f>'2E.ROE Scan'!AM141</f>
        <v/>
      </c>
      <c r="AL15" s="68">
        <f>'2E.ROE Scan'!AN141</f>
        <v/>
      </c>
      <c r="AM15" s="68">
        <f>'2E.ROE Scan'!AO141</f>
        <v/>
      </c>
      <c r="AN15" s="68">
        <f>'2E.ROE Scan'!AP141</f>
        <v/>
      </c>
      <c r="AO15" s="68">
        <f>'2E.ROE Scan'!AQ141</f>
        <v/>
      </c>
      <c r="AP15" s="68">
        <f>'2E.ROE Scan'!AR141</f>
        <v/>
      </c>
      <c r="AQ15" s="68">
        <f>'2E.ROE Scan'!AS141</f>
        <v/>
      </c>
      <c r="AR15" s="68">
        <f>'2E.ROE Scan'!AT141</f>
        <v/>
      </c>
      <c r="AS15" s="68">
        <f>'2E.ROE Scan'!AU141</f>
        <v/>
      </c>
      <c r="AT15" s="68">
        <f>'2E.ROE Scan'!AV141</f>
        <v/>
      </c>
      <c r="AU15" s="68">
        <f>'2E.ROE Scan'!AW141</f>
        <v/>
      </c>
      <c r="AV15" s="68">
        <f>'2E.ROE Scan'!AX141</f>
        <v/>
      </c>
      <c r="AW15" s="68">
        <f>'2E.ROE Scan'!AY141</f>
        <v/>
      </c>
      <c r="AX15" s="68">
        <f>'2E.ROE Scan'!AZ141</f>
        <v/>
      </c>
      <c r="AY15" s="68">
        <f>'2E.ROE Scan'!BA141</f>
        <v/>
      </c>
      <c r="AZ15" s="68">
        <f>'2E.ROE Scan'!BB141</f>
        <v/>
      </c>
    </row>
    <row r="16" ht="16.5" customHeight="1" s="179">
      <c r="B16" s="65">
        <f>'2D Mapping'!H8</f>
        <v/>
      </c>
      <c r="C16" s="68">
        <f>'2E.ROE Scan'!E142</f>
        <v/>
      </c>
      <c r="D16" s="68">
        <f>'2E.ROE Scan'!F142</f>
        <v/>
      </c>
      <c r="E16" s="68">
        <f>'2E.ROE Scan'!G142</f>
        <v/>
      </c>
      <c r="F16" s="68">
        <f>'2E.ROE Scan'!H142</f>
        <v/>
      </c>
      <c r="G16" s="68">
        <f>'2E.ROE Scan'!I142</f>
        <v/>
      </c>
      <c r="H16" s="68">
        <f>'2E.ROE Scan'!J142</f>
        <v/>
      </c>
      <c r="I16" s="68">
        <f>'2E.ROE Scan'!K142</f>
        <v/>
      </c>
      <c r="J16" s="68">
        <f>'2E.ROE Scan'!L142</f>
        <v/>
      </c>
      <c r="K16" s="68">
        <f>'2E.ROE Scan'!M142</f>
        <v/>
      </c>
      <c r="L16" s="68">
        <f>'2E.ROE Scan'!N142</f>
        <v/>
      </c>
      <c r="M16" s="68">
        <f>'2E.ROE Scan'!O142</f>
        <v/>
      </c>
      <c r="N16" s="68">
        <f>'2E.ROE Scan'!P142</f>
        <v/>
      </c>
      <c r="O16" s="68">
        <f>'2E.ROE Scan'!Q142</f>
        <v/>
      </c>
      <c r="P16" s="68">
        <f>'2E.ROE Scan'!R142</f>
        <v/>
      </c>
      <c r="Q16" s="68">
        <f>'2E.ROE Scan'!S142</f>
        <v/>
      </c>
      <c r="R16" s="68">
        <f>'2E.ROE Scan'!T142</f>
        <v/>
      </c>
      <c r="S16" s="68">
        <f>'2E.ROE Scan'!U142</f>
        <v/>
      </c>
      <c r="T16" s="68">
        <f>'2E.ROE Scan'!V142</f>
        <v/>
      </c>
      <c r="U16" s="68">
        <f>'2E.ROE Scan'!W142</f>
        <v/>
      </c>
      <c r="V16" s="68">
        <f>'2E.ROE Scan'!X142</f>
        <v/>
      </c>
      <c r="W16" s="68">
        <f>'2E.ROE Scan'!Y142</f>
        <v/>
      </c>
      <c r="X16" s="68">
        <f>'2E.ROE Scan'!Z142</f>
        <v/>
      </c>
      <c r="Y16" s="68">
        <f>'2E.ROE Scan'!AA142</f>
        <v/>
      </c>
      <c r="Z16" s="68">
        <f>'2E.ROE Scan'!AB142</f>
        <v/>
      </c>
      <c r="AA16" s="68">
        <f>'2E.ROE Scan'!AC142</f>
        <v/>
      </c>
      <c r="AB16" s="68">
        <f>'2E.ROE Scan'!AD142</f>
        <v/>
      </c>
      <c r="AC16" s="68">
        <f>'2E.ROE Scan'!AE142</f>
        <v/>
      </c>
      <c r="AD16" s="68">
        <f>'2E.ROE Scan'!AF142</f>
        <v/>
      </c>
      <c r="AE16" s="68">
        <f>'2E.ROE Scan'!AG142</f>
        <v/>
      </c>
      <c r="AF16" s="68">
        <f>'2E.ROE Scan'!AH142</f>
        <v/>
      </c>
      <c r="AG16" s="68">
        <f>'2E.ROE Scan'!AI142</f>
        <v/>
      </c>
      <c r="AH16" s="68">
        <f>'2E.ROE Scan'!AJ142</f>
        <v/>
      </c>
      <c r="AI16" s="68">
        <f>'2E.ROE Scan'!AK142</f>
        <v/>
      </c>
      <c r="AJ16" s="68">
        <f>'2E.ROE Scan'!AL142</f>
        <v/>
      </c>
      <c r="AK16" s="68">
        <f>'2E.ROE Scan'!AM142</f>
        <v/>
      </c>
      <c r="AL16" s="68">
        <f>'2E.ROE Scan'!AN142</f>
        <v/>
      </c>
      <c r="AM16" s="68">
        <f>'2E.ROE Scan'!AO142</f>
        <v/>
      </c>
      <c r="AN16" s="68">
        <f>'2E.ROE Scan'!AP142</f>
        <v/>
      </c>
      <c r="AO16" s="68">
        <f>'2E.ROE Scan'!AQ142</f>
        <v/>
      </c>
      <c r="AP16" s="68">
        <f>'2E.ROE Scan'!AR142</f>
        <v/>
      </c>
      <c r="AQ16" s="68">
        <f>'2E.ROE Scan'!AS142</f>
        <v/>
      </c>
      <c r="AR16" s="68">
        <f>'2E.ROE Scan'!AT142</f>
        <v/>
      </c>
      <c r="AS16" s="68">
        <f>'2E.ROE Scan'!AU142</f>
        <v/>
      </c>
      <c r="AT16" s="68">
        <f>'2E.ROE Scan'!AV142</f>
        <v/>
      </c>
      <c r="AU16" s="68">
        <f>'2E.ROE Scan'!AW142</f>
        <v/>
      </c>
      <c r="AV16" s="68">
        <f>'2E.ROE Scan'!AX142</f>
        <v/>
      </c>
      <c r="AW16" s="68">
        <f>'2E.ROE Scan'!AY142</f>
        <v/>
      </c>
      <c r="AX16" s="68">
        <f>'2E.ROE Scan'!AZ142</f>
        <v/>
      </c>
      <c r="AY16" s="68">
        <f>'2E.ROE Scan'!BA142</f>
        <v/>
      </c>
      <c r="AZ16" s="68">
        <f>'2E.ROE Scan'!BB142</f>
        <v/>
      </c>
    </row>
    <row r="17" ht="16.5" customHeight="1" s="179">
      <c r="B17" s="65">
        <f>'2D Mapping'!H9</f>
        <v/>
      </c>
      <c r="C17" s="68">
        <f>'2E.ROE Scan'!E143</f>
        <v/>
      </c>
      <c r="D17" s="68">
        <f>'2E.ROE Scan'!F143</f>
        <v/>
      </c>
      <c r="E17" s="68">
        <f>'2E.ROE Scan'!G143</f>
        <v/>
      </c>
      <c r="F17" s="68">
        <f>'2E.ROE Scan'!H143</f>
        <v/>
      </c>
      <c r="G17" s="68">
        <f>'2E.ROE Scan'!I143</f>
        <v/>
      </c>
      <c r="H17" s="68">
        <f>'2E.ROE Scan'!J143</f>
        <v/>
      </c>
      <c r="I17" s="68">
        <f>'2E.ROE Scan'!K143</f>
        <v/>
      </c>
      <c r="J17" s="68">
        <f>'2E.ROE Scan'!L143</f>
        <v/>
      </c>
      <c r="K17" s="68">
        <f>'2E.ROE Scan'!M143</f>
        <v/>
      </c>
      <c r="L17" s="68">
        <f>'2E.ROE Scan'!N143</f>
        <v/>
      </c>
      <c r="M17" s="68">
        <f>'2E.ROE Scan'!O143</f>
        <v/>
      </c>
      <c r="N17" s="68">
        <f>'2E.ROE Scan'!P143</f>
        <v/>
      </c>
      <c r="O17" s="68">
        <f>'2E.ROE Scan'!Q143</f>
        <v/>
      </c>
      <c r="P17" s="68">
        <f>'2E.ROE Scan'!R143</f>
        <v/>
      </c>
      <c r="Q17" s="68">
        <f>'2E.ROE Scan'!S143</f>
        <v/>
      </c>
      <c r="R17" s="68">
        <f>'2E.ROE Scan'!T143</f>
        <v/>
      </c>
      <c r="S17" s="68">
        <f>'2E.ROE Scan'!U143</f>
        <v/>
      </c>
      <c r="T17" s="68">
        <f>'2E.ROE Scan'!V143</f>
        <v/>
      </c>
      <c r="U17" s="68">
        <f>'2E.ROE Scan'!W143</f>
        <v/>
      </c>
      <c r="V17" s="68">
        <f>'2E.ROE Scan'!X143</f>
        <v/>
      </c>
      <c r="W17" s="68">
        <f>'2E.ROE Scan'!Y143</f>
        <v/>
      </c>
      <c r="X17" s="68">
        <f>'2E.ROE Scan'!Z143</f>
        <v/>
      </c>
      <c r="Y17" s="68">
        <f>'2E.ROE Scan'!AA143</f>
        <v/>
      </c>
      <c r="Z17" s="68">
        <f>'2E.ROE Scan'!AB143</f>
        <v/>
      </c>
      <c r="AA17" s="68">
        <f>'2E.ROE Scan'!AC143</f>
        <v/>
      </c>
      <c r="AB17" s="68">
        <f>'2E.ROE Scan'!AD143</f>
        <v/>
      </c>
      <c r="AC17" s="68">
        <f>'2E.ROE Scan'!AE143</f>
        <v/>
      </c>
      <c r="AD17" s="68">
        <f>'2E.ROE Scan'!AF143</f>
        <v/>
      </c>
      <c r="AE17" s="68">
        <f>'2E.ROE Scan'!AG143</f>
        <v/>
      </c>
      <c r="AF17" s="68">
        <f>'2E.ROE Scan'!AH143</f>
        <v/>
      </c>
      <c r="AG17" s="68">
        <f>'2E.ROE Scan'!AI143</f>
        <v/>
      </c>
      <c r="AH17" s="68">
        <f>'2E.ROE Scan'!AJ143</f>
        <v/>
      </c>
      <c r="AI17" s="68">
        <f>'2E.ROE Scan'!AK143</f>
        <v/>
      </c>
      <c r="AJ17" s="68">
        <f>'2E.ROE Scan'!AL143</f>
        <v/>
      </c>
      <c r="AK17" s="68">
        <f>'2E.ROE Scan'!AM143</f>
        <v/>
      </c>
      <c r="AL17" s="68">
        <f>'2E.ROE Scan'!AN143</f>
        <v/>
      </c>
      <c r="AM17" s="68">
        <f>'2E.ROE Scan'!AO143</f>
        <v/>
      </c>
      <c r="AN17" s="68">
        <f>'2E.ROE Scan'!AP143</f>
        <v/>
      </c>
      <c r="AO17" s="68">
        <f>'2E.ROE Scan'!AQ143</f>
        <v/>
      </c>
      <c r="AP17" s="68">
        <f>'2E.ROE Scan'!AR143</f>
        <v/>
      </c>
      <c r="AQ17" s="68">
        <f>'2E.ROE Scan'!AS143</f>
        <v/>
      </c>
      <c r="AR17" s="68">
        <f>'2E.ROE Scan'!AT143</f>
        <v/>
      </c>
      <c r="AS17" s="68">
        <f>'2E.ROE Scan'!AU143</f>
        <v/>
      </c>
      <c r="AT17" s="68">
        <f>'2E.ROE Scan'!AV143</f>
        <v/>
      </c>
      <c r="AU17" s="68">
        <f>'2E.ROE Scan'!AW143</f>
        <v/>
      </c>
      <c r="AV17" s="68">
        <f>'2E.ROE Scan'!AX143</f>
        <v/>
      </c>
      <c r="AW17" s="68">
        <f>'2E.ROE Scan'!AY143</f>
        <v/>
      </c>
      <c r="AX17" s="68">
        <f>'2E.ROE Scan'!AZ143</f>
        <v/>
      </c>
      <c r="AY17" s="68">
        <f>'2E.ROE Scan'!BA143</f>
        <v/>
      </c>
      <c r="AZ17" s="68">
        <f>'2E.ROE Scan'!BB143</f>
        <v/>
      </c>
    </row>
    <row r="18" ht="16.5" customHeight="1" s="179">
      <c r="B18" s="65">
        <f>'2D Mapping'!H10</f>
        <v/>
      </c>
      <c r="C18" s="68">
        <f>'2E.ROE Scan'!E144</f>
        <v/>
      </c>
      <c r="D18" s="68">
        <f>'2E.ROE Scan'!F144</f>
        <v/>
      </c>
      <c r="E18" s="68">
        <f>'2E.ROE Scan'!G144</f>
        <v/>
      </c>
      <c r="F18" s="68">
        <f>'2E.ROE Scan'!H144</f>
        <v/>
      </c>
      <c r="G18" s="68">
        <f>'2E.ROE Scan'!I144</f>
        <v/>
      </c>
      <c r="H18" s="68">
        <f>'2E.ROE Scan'!J144</f>
        <v/>
      </c>
      <c r="I18" s="68">
        <f>'2E.ROE Scan'!K144</f>
        <v/>
      </c>
      <c r="J18" s="68">
        <f>'2E.ROE Scan'!L144</f>
        <v/>
      </c>
      <c r="K18" s="68">
        <f>'2E.ROE Scan'!M144</f>
        <v/>
      </c>
      <c r="L18" s="68">
        <f>'2E.ROE Scan'!N144</f>
        <v/>
      </c>
      <c r="M18" s="68">
        <f>'2E.ROE Scan'!O144</f>
        <v/>
      </c>
      <c r="N18" s="68">
        <f>'2E.ROE Scan'!P144</f>
        <v/>
      </c>
      <c r="O18" s="68">
        <f>'2E.ROE Scan'!Q144</f>
        <v/>
      </c>
      <c r="P18" s="68">
        <f>'2E.ROE Scan'!R144</f>
        <v/>
      </c>
      <c r="Q18" s="68">
        <f>'2E.ROE Scan'!S144</f>
        <v/>
      </c>
      <c r="R18" s="68">
        <f>'2E.ROE Scan'!T144</f>
        <v/>
      </c>
      <c r="S18" s="68">
        <f>'2E.ROE Scan'!U144</f>
        <v/>
      </c>
      <c r="T18" s="68">
        <f>'2E.ROE Scan'!V144</f>
        <v/>
      </c>
      <c r="U18" s="68">
        <f>'2E.ROE Scan'!W144</f>
        <v/>
      </c>
      <c r="V18" s="68">
        <f>'2E.ROE Scan'!X144</f>
        <v/>
      </c>
      <c r="W18" s="68">
        <f>'2E.ROE Scan'!Y144</f>
        <v/>
      </c>
      <c r="X18" s="68">
        <f>'2E.ROE Scan'!Z144</f>
        <v/>
      </c>
      <c r="Y18" s="68">
        <f>'2E.ROE Scan'!AA144</f>
        <v/>
      </c>
      <c r="Z18" s="68">
        <f>'2E.ROE Scan'!AB144</f>
        <v/>
      </c>
      <c r="AA18" s="68">
        <f>'2E.ROE Scan'!AC144</f>
        <v/>
      </c>
      <c r="AB18" s="68">
        <f>'2E.ROE Scan'!AD144</f>
        <v/>
      </c>
      <c r="AC18" s="68">
        <f>'2E.ROE Scan'!AE144</f>
        <v/>
      </c>
      <c r="AD18" s="68">
        <f>'2E.ROE Scan'!AF144</f>
        <v/>
      </c>
      <c r="AE18" s="68">
        <f>'2E.ROE Scan'!AG144</f>
        <v/>
      </c>
      <c r="AF18" s="68">
        <f>'2E.ROE Scan'!AH144</f>
        <v/>
      </c>
      <c r="AG18" s="68">
        <f>'2E.ROE Scan'!AI144</f>
        <v/>
      </c>
      <c r="AH18" s="68">
        <f>'2E.ROE Scan'!AJ144</f>
        <v/>
      </c>
      <c r="AI18" s="68">
        <f>'2E.ROE Scan'!AK144</f>
        <v/>
      </c>
      <c r="AJ18" s="68">
        <f>'2E.ROE Scan'!AL144</f>
        <v/>
      </c>
      <c r="AK18" s="68">
        <f>'2E.ROE Scan'!AM144</f>
        <v/>
      </c>
      <c r="AL18" s="68">
        <f>'2E.ROE Scan'!AN144</f>
        <v/>
      </c>
      <c r="AM18" s="68">
        <f>'2E.ROE Scan'!AO144</f>
        <v/>
      </c>
      <c r="AN18" s="68">
        <f>'2E.ROE Scan'!AP144</f>
        <v/>
      </c>
      <c r="AO18" s="68">
        <f>'2E.ROE Scan'!AQ144</f>
        <v/>
      </c>
      <c r="AP18" s="68">
        <f>'2E.ROE Scan'!AR144</f>
        <v/>
      </c>
      <c r="AQ18" s="68">
        <f>'2E.ROE Scan'!AS144</f>
        <v/>
      </c>
      <c r="AR18" s="68">
        <f>'2E.ROE Scan'!AT144</f>
        <v/>
      </c>
      <c r="AS18" s="68">
        <f>'2E.ROE Scan'!AU144</f>
        <v/>
      </c>
      <c r="AT18" s="68">
        <f>'2E.ROE Scan'!AV144</f>
        <v/>
      </c>
      <c r="AU18" s="68">
        <f>'2E.ROE Scan'!AW144</f>
        <v/>
      </c>
      <c r="AV18" s="68">
        <f>'2E.ROE Scan'!AX144</f>
        <v/>
      </c>
      <c r="AW18" s="68">
        <f>'2E.ROE Scan'!AY144</f>
        <v/>
      </c>
      <c r="AX18" s="68">
        <f>'2E.ROE Scan'!AZ144</f>
        <v/>
      </c>
      <c r="AY18" s="68">
        <f>'2E.ROE Scan'!BA144</f>
        <v/>
      </c>
      <c r="AZ18" s="68">
        <f>'2E.ROE Scan'!BB144</f>
        <v/>
      </c>
    </row>
    <row r="19" ht="16.5" customHeight="1" s="179">
      <c r="B19" s="65">
        <f>'2D Mapping'!H11</f>
        <v/>
      </c>
      <c r="C19" s="68">
        <f>'2E.ROE Scan'!E145</f>
        <v/>
      </c>
      <c r="D19" s="68">
        <f>'2E.ROE Scan'!F145</f>
        <v/>
      </c>
      <c r="E19" s="68">
        <f>'2E.ROE Scan'!G145</f>
        <v/>
      </c>
      <c r="F19" s="68">
        <f>'2E.ROE Scan'!H145</f>
        <v/>
      </c>
      <c r="G19" s="68">
        <f>'2E.ROE Scan'!I145</f>
        <v/>
      </c>
      <c r="H19" s="68">
        <f>'2E.ROE Scan'!J145</f>
        <v/>
      </c>
      <c r="I19" s="68">
        <f>'2E.ROE Scan'!K145</f>
        <v/>
      </c>
      <c r="J19" s="68">
        <f>'2E.ROE Scan'!L145</f>
        <v/>
      </c>
      <c r="K19" s="68">
        <f>'2E.ROE Scan'!M145</f>
        <v/>
      </c>
      <c r="L19" s="68">
        <f>'2E.ROE Scan'!N145</f>
        <v/>
      </c>
      <c r="M19" s="68">
        <f>'2E.ROE Scan'!O145</f>
        <v/>
      </c>
      <c r="N19" s="68">
        <f>'2E.ROE Scan'!P145</f>
        <v/>
      </c>
      <c r="O19" s="68">
        <f>'2E.ROE Scan'!Q145</f>
        <v/>
      </c>
      <c r="P19" s="68">
        <f>'2E.ROE Scan'!R145</f>
        <v/>
      </c>
      <c r="Q19" s="68">
        <f>'2E.ROE Scan'!S145</f>
        <v/>
      </c>
      <c r="R19" s="68">
        <f>'2E.ROE Scan'!T145</f>
        <v/>
      </c>
      <c r="S19" s="68">
        <f>'2E.ROE Scan'!U145</f>
        <v/>
      </c>
      <c r="T19" s="68">
        <f>'2E.ROE Scan'!V145</f>
        <v/>
      </c>
      <c r="U19" s="68">
        <f>'2E.ROE Scan'!W145</f>
        <v/>
      </c>
      <c r="V19" s="68">
        <f>'2E.ROE Scan'!X145</f>
        <v/>
      </c>
      <c r="W19" s="68">
        <f>'2E.ROE Scan'!Y145</f>
        <v/>
      </c>
      <c r="X19" s="68">
        <f>'2E.ROE Scan'!Z145</f>
        <v/>
      </c>
      <c r="Y19" s="68">
        <f>'2E.ROE Scan'!AA145</f>
        <v/>
      </c>
      <c r="Z19" s="68">
        <f>'2E.ROE Scan'!AB145</f>
        <v/>
      </c>
      <c r="AA19" s="68">
        <f>'2E.ROE Scan'!AC145</f>
        <v/>
      </c>
      <c r="AB19" s="68">
        <f>'2E.ROE Scan'!AD145</f>
        <v/>
      </c>
      <c r="AC19" s="68">
        <f>'2E.ROE Scan'!AE145</f>
        <v/>
      </c>
      <c r="AD19" s="68">
        <f>'2E.ROE Scan'!AF145</f>
        <v/>
      </c>
      <c r="AE19" s="68">
        <f>'2E.ROE Scan'!AG145</f>
        <v/>
      </c>
      <c r="AF19" s="68">
        <f>'2E.ROE Scan'!AH145</f>
        <v/>
      </c>
      <c r="AG19" s="68">
        <f>'2E.ROE Scan'!AI145</f>
        <v/>
      </c>
      <c r="AH19" s="68">
        <f>'2E.ROE Scan'!AJ145</f>
        <v/>
      </c>
      <c r="AI19" s="68">
        <f>'2E.ROE Scan'!AK145</f>
        <v/>
      </c>
      <c r="AJ19" s="68">
        <f>'2E.ROE Scan'!AL145</f>
        <v/>
      </c>
      <c r="AK19" s="68">
        <f>'2E.ROE Scan'!AM145</f>
        <v/>
      </c>
      <c r="AL19" s="68">
        <f>'2E.ROE Scan'!AN145</f>
        <v/>
      </c>
      <c r="AM19" s="68">
        <f>'2E.ROE Scan'!AO145</f>
        <v/>
      </c>
      <c r="AN19" s="68">
        <f>'2E.ROE Scan'!AP145</f>
        <v/>
      </c>
      <c r="AO19" s="68">
        <f>'2E.ROE Scan'!AQ145</f>
        <v/>
      </c>
      <c r="AP19" s="68">
        <f>'2E.ROE Scan'!AR145</f>
        <v/>
      </c>
      <c r="AQ19" s="68">
        <f>'2E.ROE Scan'!AS145</f>
        <v/>
      </c>
      <c r="AR19" s="68">
        <f>'2E.ROE Scan'!AT145</f>
        <v/>
      </c>
      <c r="AS19" s="68">
        <f>'2E.ROE Scan'!AU145</f>
        <v/>
      </c>
      <c r="AT19" s="68">
        <f>'2E.ROE Scan'!AV145</f>
        <v/>
      </c>
      <c r="AU19" s="68">
        <f>'2E.ROE Scan'!AW145</f>
        <v/>
      </c>
      <c r="AV19" s="68">
        <f>'2E.ROE Scan'!AX145</f>
        <v/>
      </c>
      <c r="AW19" s="68">
        <f>'2E.ROE Scan'!AY145</f>
        <v/>
      </c>
      <c r="AX19" s="68">
        <f>'2E.ROE Scan'!AZ145</f>
        <v/>
      </c>
      <c r="AY19" s="68">
        <f>'2E.ROE Scan'!BA145</f>
        <v/>
      </c>
      <c r="AZ19" s="68">
        <f>'2E.ROE Scan'!BB145</f>
        <v/>
      </c>
    </row>
    <row r="20" ht="16.5" customHeight="1" s="179">
      <c r="B20" s="65">
        <f>'2D Mapping'!H12</f>
        <v/>
      </c>
      <c r="C20" s="68">
        <f>'2E.ROE Scan'!E146</f>
        <v/>
      </c>
      <c r="D20" s="68">
        <f>'2E.ROE Scan'!F146</f>
        <v/>
      </c>
      <c r="E20" s="68">
        <f>'2E.ROE Scan'!G146</f>
        <v/>
      </c>
      <c r="F20" s="68">
        <f>'2E.ROE Scan'!H146</f>
        <v/>
      </c>
      <c r="G20" s="68">
        <f>'2E.ROE Scan'!I146</f>
        <v/>
      </c>
      <c r="H20" s="68">
        <f>'2E.ROE Scan'!J146</f>
        <v/>
      </c>
      <c r="I20" s="68">
        <f>'2E.ROE Scan'!K146</f>
        <v/>
      </c>
      <c r="J20" s="68">
        <f>'2E.ROE Scan'!L146</f>
        <v/>
      </c>
      <c r="K20" s="68">
        <f>'2E.ROE Scan'!M146</f>
        <v/>
      </c>
      <c r="L20" s="68">
        <f>'2E.ROE Scan'!N146</f>
        <v/>
      </c>
      <c r="M20" s="68">
        <f>'2E.ROE Scan'!O146</f>
        <v/>
      </c>
      <c r="N20" s="68">
        <f>'2E.ROE Scan'!P146</f>
        <v/>
      </c>
      <c r="O20" s="68">
        <f>'2E.ROE Scan'!Q146</f>
        <v/>
      </c>
      <c r="P20" s="68">
        <f>'2E.ROE Scan'!R146</f>
        <v/>
      </c>
      <c r="Q20" s="68">
        <f>'2E.ROE Scan'!S146</f>
        <v/>
      </c>
      <c r="R20" s="68">
        <f>'2E.ROE Scan'!T146</f>
        <v/>
      </c>
      <c r="S20" s="68">
        <f>'2E.ROE Scan'!U146</f>
        <v/>
      </c>
      <c r="T20" s="68">
        <f>'2E.ROE Scan'!V146</f>
        <v/>
      </c>
      <c r="U20" s="68">
        <f>'2E.ROE Scan'!W146</f>
        <v/>
      </c>
      <c r="V20" s="68">
        <f>'2E.ROE Scan'!X146</f>
        <v/>
      </c>
      <c r="W20" s="68">
        <f>'2E.ROE Scan'!Y146</f>
        <v/>
      </c>
      <c r="X20" s="68">
        <f>'2E.ROE Scan'!Z146</f>
        <v/>
      </c>
      <c r="Y20" s="68">
        <f>'2E.ROE Scan'!AA146</f>
        <v/>
      </c>
      <c r="Z20" s="68">
        <f>'2E.ROE Scan'!AB146</f>
        <v/>
      </c>
      <c r="AA20" s="68">
        <f>'2E.ROE Scan'!AC146</f>
        <v/>
      </c>
      <c r="AB20" s="68">
        <f>'2E.ROE Scan'!AD146</f>
        <v/>
      </c>
      <c r="AC20" s="68">
        <f>'2E.ROE Scan'!AE146</f>
        <v/>
      </c>
      <c r="AD20" s="68">
        <f>'2E.ROE Scan'!AF146</f>
        <v/>
      </c>
      <c r="AE20" s="68">
        <f>'2E.ROE Scan'!AG146</f>
        <v/>
      </c>
      <c r="AF20" s="68">
        <f>'2E.ROE Scan'!AH146</f>
        <v/>
      </c>
      <c r="AG20" s="68">
        <f>'2E.ROE Scan'!AI146</f>
        <v/>
      </c>
      <c r="AH20" s="68">
        <f>'2E.ROE Scan'!AJ146</f>
        <v/>
      </c>
      <c r="AI20" s="68">
        <f>'2E.ROE Scan'!AK146</f>
        <v/>
      </c>
      <c r="AJ20" s="68">
        <f>'2E.ROE Scan'!AL146</f>
        <v/>
      </c>
      <c r="AK20" s="68">
        <f>'2E.ROE Scan'!AM146</f>
        <v/>
      </c>
      <c r="AL20" s="68">
        <f>'2E.ROE Scan'!AN146</f>
        <v/>
      </c>
      <c r="AM20" s="68">
        <f>'2E.ROE Scan'!AO146</f>
        <v/>
      </c>
      <c r="AN20" s="68">
        <f>'2E.ROE Scan'!AP146</f>
        <v/>
      </c>
      <c r="AO20" s="68">
        <f>'2E.ROE Scan'!AQ146</f>
        <v/>
      </c>
      <c r="AP20" s="68">
        <f>'2E.ROE Scan'!AR146</f>
        <v/>
      </c>
      <c r="AQ20" s="68">
        <f>'2E.ROE Scan'!AS146</f>
        <v/>
      </c>
      <c r="AR20" s="68">
        <f>'2E.ROE Scan'!AT146</f>
        <v/>
      </c>
      <c r="AS20" s="68">
        <f>'2E.ROE Scan'!AU146</f>
        <v/>
      </c>
      <c r="AT20" s="68">
        <f>'2E.ROE Scan'!AV146</f>
        <v/>
      </c>
      <c r="AU20" s="68">
        <f>'2E.ROE Scan'!AW146</f>
        <v/>
      </c>
      <c r="AV20" s="68">
        <f>'2E.ROE Scan'!AX146</f>
        <v/>
      </c>
      <c r="AW20" s="68">
        <f>'2E.ROE Scan'!AY146</f>
        <v/>
      </c>
      <c r="AX20" s="68">
        <f>'2E.ROE Scan'!AZ146</f>
        <v/>
      </c>
      <c r="AY20" s="68">
        <f>'2E.ROE Scan'!BA146</f>
        <v/>
      </c>
      <c r="AZ20" s="68">
        <f>'2E.ROE Scan'!BB146</f>
        <v/>
      </c>
    </row>
    <row r="21" ht="16.5" customHeight="1" s="179">
      <c r="B21" s="65">
        <f>'2D Mapping'!H13</f>
        <v/>
      </c>
      <c r="C21" s="68">
        <f>'2E.ROE Scan'!E147</f>
        <v/>
      </c>
      <c r="D21" s="68">
        <f>'2E.ROE Scan'!F147</f>
        <v/>
      </c>
      <c r="E21" s="68">
        <f>'2E.ROE Scan'!G147</f>
        <v/>
      </c>
      <c r="F21" s="68">
        <f>'2E.ROE Scan'!H147</f>
        <v/>
      </c>
      <c r="G21" s="68">
        <f>'2E.ROE Scan'!I147</f>
        <v/>
      </c>
      <c r="H21" s="68">
        <f>'2E.ROE Scan'!J147</f>
        <v/>
      </c>
      <c r="I21" s="68">
        <f>'2E.ROE Scan'!K147</f>
        <v/>
      </c>
      <c r="J21" s="68">
        <f>'2E.ROE Scan'!L147</f>
        <v/>
      </c>
      <c r="K21" s="68">
        <f>'2E.ROE Scan'!M147</f>
        <v/>
      </c>
      <c r="L21" s="68">
        <f>'2E.ROE Scan'!N147</f>
        <v/>
      </c>
      <c r="M21" s="68">
        <f>'2E.ROE Scan'!O147</f>
        <v/>
      </c>
      <c r="N21" s="68">
        <f>'2E.ROE Scan'!P147</f>
        <v/>
      </c>
      <c r="O21" s="68">
        <f>'2E.ROE Scan'!Q147</f>
        <v/>
      </c>
      <c r="P21" s="68">
        <f>'2E.ROE Scan'!R147</f>
        <v/>
      </c>
      <c r="Q21" s="68">
        <f>'2E.ROE Scan'!S147</f>
        <v/>
      </c>
      <c r="R21" s="68">
        <f>'2E.ROE Scan'!T147</f>
        <v/>
      </c>
      <c r="S21" s="68">
        <f>'2E.ROE Scan'!U147</f>
        <v/>
      </c>
      <c r="T21" s="68">
        <f>'2E.ROE Scan'!V147</f>
        <v/>
      </c>
      <c r="U21" s="68">
        <f>'2E.ROE Scan'!W147</f>
        <v/>
      </c>
      <c r="V21" s="68">
        <f>'2E.ROE Scan'!X147</f>
        <v/>
      </c>
      <c r="W21" s="68">
        <f>'2E.ROE Scan'!Y147</f>
        <v/>
      </c>
      <c r="X21" s="68">
        <f>'2E.ROE Scan'!Z147</f>
        <v/>
      </c>
      <c r="Y21" s="68">
        <f>'2E.ROE Scan'!AA147</f>
        <v/>
      </c>
      <c r="Z21" s="68">
        <f>'2E.ROE Scan'!AB147</f>
        <v/>
      </c>
      <c r="AA21" s="68">
        <f>'2E.ROE Scan'!AC147</f>
        <v/>
      </c>
      <c r="AB21" s="68">
        <f>'2E.ROE Scan'!AD147</f>
        <v/>
      </c>
      <c r="AC21" s="68">
        <f>'2E.ROE Scan'!AE147</f>
        <v/>
      </c>
      <c r="AD21" s="68">
        <f>'2E.ROE Scan'!AF147</f>
        <v/>
      </c>
      <c r="AE21" s="68">
        <f>'2E.ROE Scan'!AG147</f>
        <v/>
      </c>
      <c r="AF21" s="68">
        <f>'2E.ROE Scan'!AH147</f>
        <v/>
      </c>
      <c r="AG21" s="68">
        <f>'2E.ROE Scan'!AI147</f>
        <v/>
      </c>
      <c r="AH21" s="68">
        <f>'2E.ROE Scan'!AJ147</f>
        <v/>
      </c>
      <c r="AI21" s="68">
        <f>'2E.ROE Scan'!AK147</f>
        <v/>
      </c>
      <c r="AJ21" s="68">
        <f>'2E.ROE Scan'!AL147</f>
        <v/>
      </c>
      <c r="AK21" s="68">
        <f>'2E.ROE Scan'!AM147</f>
        <v/>
      </c>
      <c r="AL21" s="68">
        <f>'2E.ROE Scan'!AN147</f>
        <v/>
      </c>
      <c r="AM21" s="68">
        <f>'2E.ROE Scan'!AO147</f>
        <v/>
      </c>
      <c r="AN21" s="68">
        <f>'2E.ROE Scan'!AP147</f>
        <v/>
      </c>
      <c r="AO21" s="68">
        <f>'2E.ROE Scan'!AQ147</f>
        <v/>
      </c>
      <c r="AP21" s="68">
        <f>'2E.ROE Scan'!AR147</f>
        <v/>
      </c>
      <c r="AQ21" s="68">
        <f>'2E.ROE Scan'!AS147</f>
        <v/>
      </c>
      <c r="AR21" s="68">
        <f>'2E.ROE Scan'!AT147</f>
        <v/>
      </c>
      <c r="AS21" s="68">
        <f>'2E.ROE Scan'!AU147</f>
        <v/>
      </c>
      <c r="AT21" s="68">
        <f>'2E.ROE Scan'!AV147</f>
        <v/>
      </c>
      <c r="AU21" s="68">
        <f>'2E.ROE Scan'!AW147</f>
        <v/>
      </c>
      <c r="AV21" s="68">
        <f>'2E.ROE Scan'!AX147</f>
        <v/>
      </c>
      <c r="AW21" s="68">
        <f>'2E.ROE Scan'!AY147</f>
        <v/>
      </c>
      <c r="AX21" s="68">
        <f>'2E.ROE Scan'!AZ147</f>
        <v/>
      </c>
      <c r="AY21" s="68">
        <f>'2E.ROE Scan'!BA147</f>
        <v/>
      </c>
      <c r="AZ21" s="68">
        <f>'2E.ROE Scan'!BB147</f>
        <v/>
      </c>
    </row>
    <row r="22" ht="16.5" customHeight="1" s="179">
      <c r="B22" s="65">
        <f>'2D Mapping'!H14</f>
        <v/>
      </c>
      <c r="C22" s="68">
        <f>'2E.ROE Scan'!E148</f>
        <v/>
      </c>
      <c r="D22" s="68">
        <f>'2E.ROE Scan'!F148</f>
        <v/>
      </c>
      <c r="E22" s="68">
        <f>'2E.ROE Scan'!G148</f>
        <v/>
      </c>
      <c r="F22" s="68">
        <f>'2E.ROE Scan'!H148</f>
        <v/>
      </c>
      <c r="G22" s="68">
        <f>'2E.ROE Scan'!I148</f>
        <v/>
      </c>
      <c r="H22" s="68">
        <f>'2E.ROE Scan'!J148</f>
        <v/>
      </c>
      <c r="I22" s="68">
        <f>'2E.ROE Scan'!K148</f>
        <v/>
      </c>
      <c r="J22" s="68">
        <f>'2E.ROE Scan'!L148</f>
        <v/>
      </c>
      <c r="K22" s="68">
        <f>'2E.ROE Scan'!M148</f>
        <v/>
      </c>
      <c r="L22" s="68">
        <f>'2E.ROE Scan'!N148</f>
        <v/>
      </c>
      <c r="M22" s="68">
        <f>'2E.ROE Scan'!O148</f>
        <v/>
      </c>
      <c r="N22" s="68">
        <f>'2E.ROE Scan'!P148</f>
        <v/>
      </c>
      <c r="O22" s="68">
        <f>'2E.ROE Scan'!Q148</f>
        <v/>
      </c>
      <c r="P22" s="68">
        <f>'2E.ROE Scan'!R148</f>
        <v/>
      </c>
      <c r="Q22" s="68">
        <f>'2E.ROE Scan'!S148</f>
        <v/>
      </c>
      <c r="R22" s="68">
        <f>'2E.ROE Scan'!T148</f>
        <v/>
      </c>
      <c r="S22" s="68">
        <f>'2E.ROE Scan'!U148</f>
        <v/>
      </c>
      <c r="T22" s="68">
        <f>'2E.ROE Scan'!V148</f>
        <v/>
      </c>
      <c r="U22" s="68">
        <f>'2E.ROE Scan'!W148</f>
        <v/>
      </c>
      <c r="V22" s="68">
        <f>'2E.ROE Scan'!X148</f>
        <v/>
      </c>
      <c r="W22" s="68">
        <f>'2E.ROE Scan'!Y148</f>
        <v/>
      </c>
      <c r="X22" s="68">
        <f>'2E.ROE Scan'!Z148</f>
        <v/>
      </c>
      <c r="Y22" s="68">
        <f>'2E.ROE Scan'!AA148</f>
        <v/>
      </c>
      <c r="Z22" s="68">
        <f>'2E.ROE Scan'!AB148</f>
        <v/>
      </c>
      <c r="AA22" s="68">
        <f>'2E.ROE Scan'!AC148</f>
        <v/>
      </c>
      <c r="AB22" s="68">
        <f>'2E.ROE Scan'!AD148</f>
        <v/>
      </c>
      <c r="AC22" s="68">
        <f>'2E.ROE Scan'!AE148</f>
        <v/>
      </c>
      <c r="AD22" s="68">
        <f>'2E.ROE Scan'!AF148</f>
        <v/>
      </c>
      <c r="AE22" s="68">
        <f>'2E.ROE Scan'!AG148</f>
        <v/>
      </c>
      <c r="AF22" s="68">
        <f>'2E.ROE Scan'!AH148</f>
        <v/>
      </c>
      <c r="AG22" s="68">
        <f>'2E.ROE Scan'!AI148</f>
        <v/>
      </c>
      <c r="AH22" s="68">
        <f>'2E.ROE Scan'!AJ148</f>
        <v/>
      </c>
      <c r="AI22" s="68">
        <f>'2E.ROE Scan'!AK148</f>
        <v/>
      </c>
      <c r="AJ22" s="68">
        <f>'2E.ROE Scan'!AL148</f>
        <v/>
      </c>
      <c r="AK22" s="68">
        <f>'2E.ROE Scan'!AM148</f>
        <v/>
      </c>
      <c r="AL22" s="68">
        <f>'2E.ROE Scan'!AN148</f>
        <v/>
      </c>
      <c r="AM22" s="68">
        <f>'2E.ROE Scan'!AO148</f>
        <v/>
      </c>
      <c r="AN22" s="68">
        <f>'2E.ROE Scan'!AP148</f>
        <v/>
      </c>
      <c r="AO22" s="68">
        <f>'2E.ROE Scan'!AQ148</f>
        <v/>
      </c>
      <c r="AP22" s="68">
        <f>'2E.ROE Scan'!AR148</f>
        <v/>
      </c>
      <c r="AQ22" s="68">
        <f>'2E.ROE Scan'!AS148</f>
        <v/>
      </c>
      <c r="AR22" s="68">
        <f>'2E.ROE Scan'!AT148</f>
        <v/>
      </c>
      <c r="AS22" s="68">
        <f>'2E.ROE Scan'!AU148</f>
        <v/>
      </c>
      <c r="AT22" s="68">
        <f>'2E.ROE Scan'!AV148</f>
        <v/>
      </c>
      <c r="AU22" s="68">
        <f>'2E.ROE Scan'!AW148</f>
        <v/>
      </c>
      <c r="AV22" s="68">
        <f>'2E.ROE Scan'!AX148</f>
        <v/>
      </c>
      <c r="AW22" s="68">
        <f>'2E.ROE Scan'!AY148</f>
        <v/>
      </c>
      <c r="AX22" s="68">
        <f>'2E.ROE Scan'!AZ148</f>
        <v/>
      </c>
      <c r="AY22" s="68">
        <f>'2E.ROE Scan'!BA148</f>
        <v/>
      </c>
      <c r="AZ22" s="68">
        <f>'2E.ROE Scan'!BB148</f>
        <v/>
      </c>
    </row>
    <row r="23" ht="16.5" customHeight="1" s="179">
      <c r="B23" s="65">
        <f>'2D Mapping'!H15</f>
        <v/>
      </c>
      <c r="C23" s="68">
        <f>'2E.ROE Scan'!E149</f>
        <v/>
      </c>
      <c r="D23" s="68">
        <f>'2E.ROE Scan'!F149</f>
        <v/>
      </c>
      <c r="E23" s="68">
        <f>'2E.ROE Scan'!G149</f>
        <v/>
      </c>
      <c r="F23" s="68">
        <f>'2E.ROE Scan'!H149</f>
        <v/>
      </c>
      <c r="G23" s="68">
        <f>'2E.ROE Scan'!I149</f>
        <v/>
      </c>
      <c r="H23" s="68">
        <f>'2E.ROE Scan'!J149</f>
        <v/>
      </c>
      <c r="I23" s="68">
        <f>'2E.ROE Scan'!K149</f>
        <v/>
      </c>
      <c r="J23" s="68">
        <f>'2E.ROE Scan'!L149</f>
        <v/>
      </c>
      <c r="K23" s="68">
        <f>'2E.ROE Scan'!M149</f>
        <v/>
      </c>
      <c r="L23" s="68">
        <f>'2E.ROE Scan'!N149</f>
        <v/>
      </c>
      <c r="M23" s="68">
        <f>'2E.ROE Scan'!O149</f>
        <v/>
      </c>
      <c r="N23" s="68">
        <f>'2E.ROE Scan'!P149</f>
        <v/>
      </c>
      <c r="O23" s="68">
        <f>'2E.ROE Scan'!Q149</f>
        <v/>
      </c>
      <c r="P23" s="68">
        <f>'2E.ROE Scan'!R149</f>
        <v/>
      </c>
      <c r="Q23" s="68">
        <f>'2E.ROE Scan'!S149</f>
        <v/>
      </c>
      <c r="R23" s="68">
        <f>'2E.ROE Scan'!T149</f>
        <v/>
      </c>
      <c r="S23" s="68">
        <f>'2E.ROE Scan'!U149</f>
        <v/>
      </c>
      <c r="T23" s="68">
        <f>'2E.ROE Scan'!V149</f>
        <v/>
      </c>
      <c r="U23" s="68">
        <f>'2E.ROE Scan'!W149</f>
        <v/>
      </c>
      <c r="V23" s="68">
        <f>'2E.ROE Scan'!X149</f>
        <v/>
      </c>
      <c r="W23" s="68">
        <f>'2E.ROE Scan'!Y149</f>
        <v/>
      </c>
      <c r="X23" s="68">
        <f>'2E.ROE Scan'!Z149</f>
        <v/>
      </c>
      <c r="Y23" s="68">
        <f>'2E.ROE Scan'!AA149</f>
        <v/>
      </c>
      <c r="Z23" s="68">
        <f>'2E.ROE Scan'!AB149</f>
        <v/>
      </c>
      <c r="AA23" s="68">
        <f>'2E.ROE Scan'!AC149</f>
        <v/>
      </c>
      <c r="AB23" s="68">
        <f>'2E.ROE Scan'!AD149</f>
        <v/>
      </c>
      <c r="AC23" s="68">
        <f>'2E.ROE Scan'!AE149</f>
        <v/>
      </c>
      <c r="AD23" s="68">
        <f>'2E.ROE Scan'!AF149</f>
        <v/>
      </c>
      <c r="AE23" s="68">
        <f>'2E.ROE Scan'!AG149</f>
        <v/>
      </c>
      <c r="AF23" s="68">
        <f>'2E.ROE Scan'!AH149</f>
        <v/>
      </c>
      <c r="AG23" s="68">
        <f>'2E.ROE Scan'!AI149</f>
        <v/>
      </c>
      <c r="AH23" s="68">
        <f>'2E.ROE Scan'!AJ149</f>
        <v/>
      </c>
      <c r="AI23" s="68">
        <f>'2E.ROE Scan'!AK149</f>
        <v/>
      </c>
      <c r="AJ23" s="68">
        <f>'2E.ROE Scan'!AL149</f>
        <v/>
      </c>
      <c r="AK23" s="68">
        <f>'2E.ROE Scan'!AM149</f>
        <v/>
      </c>
      <c r="AL23" s="68">
        <f>'2E.ROE Scan'!AN149</f>
        <v/>
      </c>
      <c r="AM23" s="68">
        <f>'2E.ROE Scan'!AO149</f>
        <v/>
      </c>
      <c r="AN23" s="68">
        <f>'2E.ROE Scan'!AP149</f>
        <v/>
      </c>
      <c r="AO23" s="68">
        <f>'2E.ROE Scan'!AQ149</f>
        <v/>
      </c>
      <c r="AP23" s="68">
        <f>'2E.ROE Scan'!AR149</f>
        <v/>
      </c>
      <c r="AQ23" s="68">
        <f>'2E.ROE Scan'!AS149</f>
        <v/>
      </c>
      <c r="AR23" s="68">
        <f>'2E.ROE Scan'!AT149</f>
        <v/>
      </c>
      <c r="AS23" s="68">
        <f>'2E.ROE Scan'!AU149</f>
        <v/>
      </c>
      <c r="AT23" s="68">
        <f>'2E.ROE Scan'!AV149</f>
        <v/>
      </c>
      <c r="AU23" s="68">
        <f>'2E.ROE Scan'!AW149</f>
        <v/>
      </c>
      <c r="AV23" s="68">
        <f>'2E.ROE Scan'!AX149</f>
        <v/>
      </c>
      <c r="AW23" s="68">
        <f>'2E.ROE Scan'!AY149</f>
        <v/>
      </c>
      <c r="AX23" s="68">
        <f>'2E.ROE Scan'!AZ149</f>
        <v/>
      </c>
      <c r="AY23" s="68">
        <f>'2E.ROE Scan'!BA149</f>
        <v/>
      </c>
      <c r="AZ23" s="68">
        <f>'2E.ROE Scan'!BB149</f>
        <v/>
      </c>
    </row>
    <row r="24" ht="16.5" customHeight="1" s="179">
      <c r="B24" s="65">
        <f>'2D Mapping'!H16</f>
        <v/>
      </c>
      <c r="C24" s="68">
        <f>'2E.ROE Scan'!E150</f>
        <v/>
      </c>
      <c r="D24" s="68">
        <f>'2E.ROE Scan'!F150</f>
        <v/>
      </c>
      <c r="E24" s="68">
        <f>'2E.ROE Scan'!G150</f>
        <v/>
      </c>
      <c r="F24" s="68">
        <f>'2E.ROE Scan'!H150</f>
        <v/>
      </c>
      <c r="G24" s="68">
        <f>'2E.ROE Scan'!I150</f>
        <v/>
      </c>
      <c r="H24" s="68">
        <f>'2E.ROE Scan'!J150</f>
        <v/>
      </c>
      <c r="I24" s="68">
        <f>'2E.ROE Scan'!K150</f>
        <v/>
      </c>
      <c r="J24" s="68">
        <f>'2E.ROE Scan'!L150</f>
        <v/>
      </c>
      <c r="K24" s="68">
        <f>'2E.ROE Scan'!M150</f>
        <v/>
      </c>
      <c r="L24" s="68">
        <f>'2E.ROE Scan'!N150</f>
        <v/>
      </c>
      <c r="M24" s="68">
        <f>'2E.ROE Scan'!O150</f>
        <v/>
      </c>
      <c r="N24" s="68">
        <f>'2E.ROE Scan'!P150</f>
        <v/>
      </c>
      <c r="O24" s="68">
        <f>'2E.ROE Scan'!Q150</f>
        <v/>
      </c>
      <c r="P24" s="68">
        <f>'2E.ROE Scan'!R150</f>
        <v/>
      </c>
      <c r="Q24" s="68">
        <f>'2E.ROE Scan'!S150</f>
        <v/>
      </c>
      <c r="R24" s="68">
        <f>'2E.ROE Scan'!T150</f>
        <v/>
      </c>
      <c r="S24" s="68">
        <f>'2E.ROE Scan'!U150</f>
        <v/>
      </c>
      <c r="T24" s="68">
        <f>'2E.ROE Scan'!V150</f>
        <v/>
      </c>
      <c r="U24" s="68">
        <f>'2E.ROE Scan'!W150</f>
        <v/>
      </c>
      <c r="V24" s="68">
        <f>'2E.ROE Scan'!X150</f>
        <v/>
      </c>
      <c r="W24" s="68">
        <f>'2E.ROE Scan'!Y150</f>
        <v/>
      </c>
      <c r="X24" s="68">
        <f>'2E.ROE Scan'!Z150</f>
        <v/>
      </c>
      <c r="Y24" s="68">
        <f>'2E.ROE Scan'!AA150</f>
        <v/>
      </c>
      <c r="Z24" s="68">
        <f>'2E.ROE Scan'!AB150</f>
        <v/>
      </c>
      <c r="AA24" s="68">
        <f>'2E.ROE Scan'!AC150</f>
        <v/>
      </c>
      <c r="AB24" s="68">
        <f>'2E.ROE Scan'!AD150</f>
        <v/>
      </c>
      <c r="AC24" s="68">
        <f>'2E.ROE Scan'!AE150</f>
        <v/>
      </c>
      <c r="AD24" s="68">
        <f>'2E.ROE Scan'!AF150</f>
        <v/>
      </c>
      <c r="AE24" s="68">
        <f>'2E.ROE Scan'!AG150</f>
        <v/>
      </c>
      <c r="AF24" s="68">
        <f>'2E.ROE Scan'!AH150</f>
        <v/>
      </c>
      <c r="AG24" s="68">
        <f>'2E.ROE Scan'!AI150</f>
        <v/>
      </c>
      <c r="AH24" s="68">
        <f>'2E.ROE Scan'!AJ150</f>
        <v/>
      </c>
      <c r="AI24" s="68">
        <f>'2E.ROE Scan'!AK150</f>
        <v/>
      </c>
      <c r="AJ24" s="68">
        <f>'2E.ROE Scan'!AL150</f>
        <v/>
      </c>
      <c r="AK24" s="68">
        <f>'2E.ROE Scan'!AM150</f>
        <v/>
      </c>
      <c r="AL24" s="68">
        <f>'2E.ROE Scan'!AN150</f>
        <v/>
      </c>
      <c r="AM24" s="68">
        <f>'2E.ROE Scan'!AO150</f>
        <v/>
      </c>
      <c r="AN24" s="68">
        <f>'2E.ROE Scan'!AP150</f>
        <v/>
      </c>
      <c r="AO24" s="68">
        <f>'2E.ROE Scan'!AQ150</f>
        <v/>
      </c>
      <c r="AP24" s="68">
        <f>'2E.ROE Scan'!AR150</f>
        <v/>
      </c>
      <c r="AQ24" s="68">
        <f>'2E.ROE Scan'!AS150</f>
        <v/>
      </c>
      <c r="AR24" s="68">
        <f>'2E.ROE Scan'!AT150</f>
        <v/>
      </c>
      <c r="AS24" s="68">
        <f>'2E.ROE Scan'!AU150</f>
        <v/>
      </c>
      <c r="AT24" s="68">
        <f>'2E.ROE Scan'!AV150</f>
        <v/>
      </c>
      <c r="AU24" s="68">
        <f>'2E.ROE Scan'!AW150</f>
        <v/>
      </c>
      <c r="AV24" s="68">
        <f>'2E.ROE Scan'!AX150</f>
        <v/>
      </c>
      <c r="AW24" s="68">
        <f>'2E.ROE Scan'!AY150</f>
        <v/>
      </c>
      <c r="AX24" s="68">
        <f>'2E.ROE Scan'!AZ150</f>
        <v/>
      </c>
      <c r="AY24" s="68">
        <f>'2E.ROE Scan'!BA150</f>
        <v/>
      </c>
      <c r="AZ24" s="68">
        <f>'2E.ROE Scan'!BB150</f>
        <v/>
      </c>
    </row>
    <row r="25" ht="16.5" customHeight="1" s="179">
      <c r="B25" s="65">
        <f>'2D Mapping'!H17</f>
        <v/>
      </c>
      <c r="C25" s="68">
        <f>'2E.ROE Scan'!E151</f>
        <v/>
      </c>
      <c r="D25" s="68">
        <f>'2E.ROE Scan'!F151</f>
        <v/>
      </c>
      <c r="E25" s="68">
        <f>'2E.ROE Scan'!G151</f>
        <v/>
      </c>
      <c r="F25" s="68">
        <f>'2E.ROE Scan'!H151</f>
        <v/>
      </c>
      <c r="G25" s="68">
        <f>'2E.ROE Scan'!I151</f>
        <v/>
      </c>
      <c r="H25" s="68">
        <f>'2E.ROE Scan'!J151</f>
        <v/>
      </c>
      <c r="I25" s="68">
        <f>'2E.ROE Scan'!K151</f>
        <v/>
      </c>
      <c r="J25" s="68">
        <f>'2E.ROE Scan'!L151</f>
        <v/>
      </c>
      <c r="K25" s="68">
        <f>'2E.ROE Scan'!M151</f>
        <v/>
      </c>
      <c r="L25" s="68">
        <f>'2E.ROE Scan'!N151</f>
        <v/>
      </c>
      <c r="M25" s="68">
        <f>'2E.ROE Scan'!O151</f>
        <v/>
      </c>
      <c r="N25" s="68">
        <f>'2E.ROE Scan'!P151</f>
        <v/>
      </c>
      <c r="O25" s="68">
        <f>'2E.ROE Scan'!Q151</f>
        <v/>
      </c>
      <c r="P25" s="68">
        <f>'2E.ROE Scan'!R151</f>
        <v/>
      </c>
      <c r="Q25" s="68">
        <f>'2E.ROE Scan'!S151</f>
        <v/>
      </c>
      <c r="R25" s="68">
        <f>'2E.ROE Scan'!T151</f>
        <v/>
      </c>
      <c r="S25" s="68">
        <f>'2E.ROE Scan'!U151</f>
        <v/>
      </c>
      <c r="T25" s="68">
        <f>'2E.ROE Scan'!V151</f>
        <v/>
      </c>
      <c r="U25" s="68">
        <f>'2E.ROE Scan'!W151</f>
        <v/>
      </c>
      <c r="V25" s="68">
        <f>'2E.ROE Scan'!X151</f>
        <v/>
      </c>
      <c r="W25" s="68">
        <f>'2E.ROE Scan'!Y151</f>
        <v/>
      </c>
      <c r="X25" s="68">
        <f>'2E.ROE Scan'!Z151</f>
        <v/>
      </c>
      <c r="Y25" s="68">
        <f>'2E.ROE Scan'!AA151</f>
        <v/>
      </c>
      <c r="Z25" s="68">
        <f>'2E.ROE Scan'!AB151</f>
        <v/>
      </c>
      <c r="AA25" s="68">
        <f>'2E.ROE Scan'!AC151</f>
        <v/>
      </c>
      <c r="AB25" s="68">
        <f>'2E.ROE Scan'!AD151</f>
        <v/>
      </c>
      <c r="AC25" s="68">
        <f>'2E.ROE Scan'!AE151</f>
        <v/>
      </c>
      <c r="AD25" s="68">
        <f>'2E.ROE Scan'!AF151</f>
        <v/>
      </c>
      <c r="AE25" s="68">
        <f>'2E.ROE Scan'!AG151</f>
        <v/>
      </c>
      <c r="AF25" s="68">
        <f>'2E.ROE Scan'!AH151</f>
        <v/>
      </c>
      <c r="AG25" s="68">
        <f>'2E.ROE Scan'!AI151</f>
        <v/>
      </c>
      <c r="AH25" s="68">
        <f>'2E.ROE Scan'!AJ151</f>
        <v/>
      </c>
      <c r="AI25" s="68">
        <f>'2E.ROE Scan'!AK151</f>
        <v/>
      </c>
      <c r="AJ25" s="68">
        <f>'2E.ROE Scan'!AL151</f>
        <v/>
      </c>
      <c r="AK25" s="68">
        <f>'2E.ROE Scan'!AM151</f>
        <v/>
      </c>
      <c r="AL25" s="68">
        <f>'2E.ROE Scan'!AN151</f>
        <v/>
      </c>
      <c r="AM25" s="68">
        <f>'2E.ROE Scan'!AO151</f>
        <v/>
      </c>
      <c r="AN25" s="68">
        <f>'2E.ROE Scan'!AP151</f>
        <v/>
      </c>
      <c r="AO25" s="68">
        <f>'2E.ROE Scan'!AQ151</f>
        <v/>
      </c>
      <c r="AP25" s="68">
        <f>'2E.ROE Scan'!AR151</f>
        <v/>
      </c>
      <c r="AQ25" s="68">
        <f>'2E.ROE Scan'!AS151</f>
        <v/>
      </c>
      <c r="AR25" s="68">
        <f>'2E.ROE Scan'!AT151</f>
        <v/>
      </c>
      <c r="AS25" s="68">
        <f>'2E.ROE Scan'!AU151</f>
        <v/>
      </c>
      <c r="AT25" s="68">
        <f>'2E.ROE Scan'!AV151</f>
        <v/>
      </c>
      <c r="AU25" s="68">
        <f>'2E.ROE Scan'!AW151</f>
        <v/>
      </c>
      <c r="AV25" s="68">
        <f>'2E.ROE Scan'!AX151</f>
        <v/>
      </c>
      <c r="AW25" s="68">
        <f>'2E.ROE Scan'!AY151</f>
        <v/>
      </c>
      <c r="AX25" s="68">
        <f>'2E.ROE Scan'!AZ151</f>
        <v/>
      </c>
      <c r="AY25" s="68">
        <f>'2E.ROE Scan'!BA151</f>
        <v/>
      </c>
      <c r="AZ25" s="68">
        <f>'2E.ROE Scan'!BB151</f>
        <v/>
      </c>
    </row>
    <row r="26" ht="16.5" customHeight="1" s="179">
      <c r="B26" s="65">
        <f>'2D Mapping'!H18</f>
        <v/>
      </c>
      <c r="C26" s="68">
        <f>'2E.ROE Scan'!E152</f>
        <v/>
      </c>
      <c r="D26" s="68">
        <f>'2E.ROE Scan'!F152</f>
        <v/>
      </c>
      <c r="E26" s="68">
        <f>'2E.ROE Scan'!G152</f>
        <v/>
      </c>
      <c r="F26" s="68">
        <f>'2E.ROE Scan'!H152</f>
        <v/>
      </c>
      <c r="G26" s="68">
        <f>'2E.ROE Scan'!I152</f>
        <v/>
      </c>
      <c r="H26" s="68">
        <f>'2E.ROE Scan'!J152</f>
        <v/>
      </c>
      <c r="I26" s="68">
        <f>'2E.ROE Scan'!K152</f>
        <v/>
      </c>
      <c r="J26" s="68">
        <f>'2E.ROE Scan'!L152</f>
        <v/>
      </c>
      <c r="K26" s="68">
        <f>'2E.ROE Scan'!M152</f>
        <v/>
      </c>
      <c r="L26" s="68">
        <f>'2E.ROE Scan'!N152</f>
        <v/>
      </c>
      <c r="M26" s="68">
        <f>'2E.ROE Scan'!O152</f>
        <v/>
      </c>
      <c r="N26" s="68">
        <f>'2E.ROE Scan'!P152</f>
        <v/>
      </c>
      <c r="O26" s="68">
        <f>'2E.ROE Scan'!Q152</f>
        <v/>
      </c>
      <c r="P26" s="68">
        <f>'2E.ROE Scan'!R152</f>
        <v/>
      </c>
      <c r="Q26" s="68">
        <f>'2E.ROE Scan'!S152</f>
        <v/>
      </c>
      <c r="R26" s="68">
        <f>'2E.ROE Scan'!T152</f>
        <v/>
      </c>
      <c r="S26" s="68">
        <f>'2E.ROE Scan'!U152</f>
        <v/>
      </c>
      <c r="T26" s="68">
        <f>'2E.ROE Scan'!V152</f>
        <v/>
      </c>
      <c r="U26" s="68">
        <f>'2E.ROE Scan'!W152</f>
        <v/>
      </c>
      <c r="V26" s="68">
        <f>'2E.ROE Scan'!X152</f>
        <v/>
      </c>
      <c r="W26" s="68">
        <f>'2E.ROE Scan'!Y152</f>
        <v/>
      </c>
      <c r="X26" s="68">
        <f>'2E.ROE Scan'!Z152</f>
        <v/>
      </c>
      <c r="Y26" s="68">
        <f>'2E.ROE Scan'!AA152</f>
        <v/>
      </c>
      <c r="Z26" s="68">
        <f>'2E.ROE Scan'!AB152</f>
        <v/>
      </c>
      <c r="AA26" s="68">
        <f>'2E.ROE Scan'!AC152</f>
        <v/>
      </c>
      <c r="AB26" s="68">
        <f>'2E.ROE Scan'!AD152</f>
        <v/>
      </c>
      <c r="AC26" s="68">
        <f>'2E.ROE Scan'!AE152</f>
        <v/>
      </c>
      <c r="AD26" s="68">
        <f>'2E.ROE Scan'!AF152</f>
        <v/>
      </c>
      <c r="AE26" s="68">
        <f>'2E.ROE Scan'!AG152</f>
        <v/>
      </c>
      <c r="AF26" s="68">
        <f>'2E.ROE Scan'!AH152</f>
        <v/>
      </c>
      <c r="AG26" s="68">
        <f>'2E.ROE Scan'!AI152</f>
        <v/>
      </c>
      <c r="AH26" s="68">
        <f>'2E.ROE Scan'!AJ152</f>
        <v/>
      </c>
      <c r="AI26" s="68">
        <f>'2E.ROE Scan'!AK152</f>
        <v/>
      </c>
      <c r="AJ26" s="68">
        <f>'2E.ROE Scan'!AL152</f>
        <v/>
      </c>
      <c r="AK26" s="68">
        <f>'2E.ROE Scan'!AM152</f>
        <v/>
      </c>
      <c r="AL26" s="68">
        <f>'2E.ROE Scan'!AN152</f>
        <v/>
      </c>
      <c r="AM26" s="68">
        <f>'2E.ROE Scan'!AO152</f>
        <v/>
      </c>
      <c r="AN26" s="68">
        <f>'2E.ROE Scan'!AP152</f>
        <v/>
      </c>
      <c r="AO26" s="68">
        <f>'2E.ROE Scan'!AQ152</f>
        <v/>
      </c>
      <c r="AP26" s="68">
        <f>'2E.ROE Scan'!AR152</f>
        <v/>
      </c>
      <c r="AQ26" s="68">
        <f>'2E.ROE Scan'!AS152</f>
        <v/>
      </c>
      <c r="AR26" s="68">
        <f>'2E.ROE Scan'!AT152</f>
        <v/>
      </c>
      <c r="AS26" s="68">
        <f>'2E.ROE Scan'!AU152</f>
        <v/>
      </c>
      <c r="AT26" s="68">
        <f>'2E.ROE Scan'!AV152</f>
        <v/>
      </c>
      <c r="AU26" s="68">
        <f>'2E.ROE Scan'!AW152</f>
        <v/>
      </c>
      <c r="AV26" s="68">
        <f>'2E.ROE Scan'!AX152</f>
        <v/>
      </c>
      <c r="AW26" s="68">
        <f>'2E.ROE Scan'!AY152</f>
        <v/>
      </c>
      <c r="AX26" s="68">
        <f>'2E.ROE Scan'!AZ152</f>
        <v/>
      </c>
      <c r="AY26" s="68">
        <f>'2E.ROE Scan'!BA152</f>
        <v/>
      </c>
      <c r="AZ26" s="68">
        <f>'2E.ROE Scan'!BB152</f>
        <v/>
      </c>
    </row>
    <row r="27" ht="16.5" customHeight="1" s="179">
      <c r="B27" s="65">
        <f>'2D Mapping'!H19</f>
        <v/>
      </c>
      <c r="C27" s="68">
        <f>'2E.ROE Scan'!E153</f>
        <v/>
      </c>
      <c r="D27" s="68">
        <f>'2E.ROE Scan'!F153</f>
        <v/>
      </c>
      <c r="E27" s="68">
        <f>'2E.ROE Scan'!G153</f>
        <v/>
      </c>
      <c r="F27" s="68">
        <f>'2E.ROE Scan'!H153</f>
        <v/>
      </c>
      <c r="G27" s="68">
        <f>'2E.ROE Scan'!I153</f>
        <v/>
      </c>
      <c r="H27" s="68">
        <f>'2E.ROE Scan'!J153</f>
        <v/>
      </c>
      <c r="I27" s="68">
        <f>'2E.ROE Scan'!K153</f>
        <v/>
      </c>
      <c r="J27" s="68">
        <f>'2E.ROE Scan'!L153</f>
        <v/>
      </c>
      <c r="K27" s="68">
        <f>'2E.ROE Scan'!M153</f>
        <v/>
      </c>
      <c r="L27" s="68">
        <f>'2E.ROE Scan'!N153</f>
        <v/>
      </c>
      <c r="M27" s="68">
        <f>'2E.ROE Scan'!O153</f>
        <v/>
      </c>
      <c r="N27" s="68">
        <f>'2E.ROE Scan'!P153</f>
        <v/>
      </c>
      <c r="O27" s="68">
        <f>'2E.ROE Scan'!Q153</f>
        <v/>
      </c>
      <c r="P27" s="68">
        <f>'2E.ROE Scan'!R153</f>
        <v/>
      </c>
      <c r="Q27" s="68">
        <f>'2E.ROE Scan'!S153</f>
        <v/>
      </c>
      <c r="R27" s="68">
        <f>'2E.ROE Scan'!T153</f>
        <v/>
      </c>
      <c r="S27" s="68">
        <f>'2E.ROE Scan'!U153</f>
        <v/>
      </c>
      <c r="T27" s="68">
        <f>'2E.ROE Scan'!V153</f>
        <v/>
      </c>
      <c r="U27" s="68">
        <f>'2E.ROE Scan'!W153</f>
        <v/>
      </c>
      <c r="V27" s="68">
        <f>'2E.ROE Scan'!X153</f>
        <v/>
      </c>
      <c r="W27" s="68">
        <f>'2E.ROE Scan'!Y153</f>
        <v/>
      </c>
      <c r="X27" s="68">
        <f>'2E.ROE Scan'!Z153</f>
        <v/>
      </c>
      <c r="Y27" s="68">
        <f>'2E.ROE Scan'!AA153</f>
        <v/>
      </c>
      <c r="Z27" s="68">
        <f>'2E.ROE Scan'!AB153</f>
        <v/>
      </c>
      <c r="AA27" s="68">
        <f>'2E.ROE Scan'!AC153</f>
        <v/>
      </c>
      <c r="AB27" s="68">
        <f>'2E.ROE Scan'!AD153</f>
        <v/>
      </c>
      <c r="AC27" s="68">
        <f>'2E.ROE Scan'!AE153</f>
        <v/>
      </c>
      <c r="AD27" s="68">
        <f>'2E.ROE Scan'!AF153</f>
        <v/>
      </c>
      <c r="AE27" s="68">
        <f>'2E.ROE Scan'!AG153</f>
        <v/>
      </c>
      <c r="AF27" s="68">
        <f>'2E.ROE Scan'!AH153</f>
        <v/>
      </c>
      <c r="AG27" s="68">
        <f>'2E.ROE Scan'!AI153</f>
        <v/>
      </c>
      <c r="AH27" s="68">
        <f>'2E.ROE Scan'!AJ153</f>
        <v/>
      </c>
      <c r="AI27" s="68">
        <f>'2E.ROE Scan'!AK153</f>
        <v/>
      </c>
      <c r="AJ27" s="68">
        <f>'2E.ROE Scan'!AL153</f>
        <v/>
      </c>
      <c r="AK27" s="68">
        <f>'2E.ROE Scan'!AM153</f>
        <v/>
      </c>
      <c r="AL27" s="68">
        <f>'2E.ROE Scan'!AN153</f>
        <v/>
      </c>
      <c r="AM27" s="68">
        <f>'2E.ROE Scan'!AO153</f>
        <v/>
      </c>
      <c r="AN27" s="68">
        <f>'2E.ROE Scan'!AP153</f>
        <v/>
      </c>
      <c r="AO27" s="68">
        <f>'2E.ROE Scan'!AQ153</f>
        <v/>
      </c>
      <c r="AP27" s="68">
        <f>'2E.ROE Scan'!AR153</f>
        <v/>
      </c>
      <c r="AQ27" s="68">
        <f>'2E.ROE Scan'!AS153</f>
        <v/>
      </c>
      <c r="AR27" s="68">
        <f>'2E.ROE Scan'!AT153</f>
        <v/>
      </c>
      <c r="AS27" s="68">
        <f>'2E.ROE Scan'!AU153</f>
        <v/>
      </c>
      <c r="AT27" s="68">
        <f>'2E.ROE Scan'!AV153</f>
        <v/>
      </c>
      <c r="AU27" s="68">
        <f>'2E.ROE Scan'!AW153</f>
        <v/>
      </c>
      <c r="AV27" s="68">
        <f>'2E.ROE Scan'!AX153</f>
        <v/>
      </c>
      <c r="AW27" s="68">
        <f>'2E.ROE Scan'!AY153</f>
        <v/>
      </c>
      <c r="AX27" s="68">
        <f>'2E.ROE Scan'!AZ153</f>
        <v/>
      </c>
      <c r="AY27" s="68">
        <f>'2E.ROE Scan'!BA153</f>
        <v/>
      </c>
      <c r="AZ27" s="68">
        <f>'2E.ROE Scan'!BB153</f>
        <v/>
      </c>
    </row>
    <row r="28" ht="16.5" customHeight="1" s="179">
      <c r="B28" s="65">
        <f>'2D Mapping'!H20</f>
        <v/>
      </c>
      <c r="C28" s="68">
        <f>'2E.ROE Scan'!E154</f>
        <v/>
      </c>
      <c r="D28" s="68">
        <f>'2E.ROE Scan'!F154</f>
        <v/>
      </c>
      <c r="E28" s="68">
        <f>'2E.ROE Scan'!G154</f>
        <v/>
      </c>
      <c r="F28" s="68">
        <f>'2E.ROE Scan'!H154</f>
        <v/>
      </c>
      <c r="G28" s="68">
        <f>'2E.ROE Scan'!I154</f>
        <v/>
      </c>
      <c r="H28" s="68">
        <f>'2E.ROE Scan'!J154</f>
        <v/>
      </c>
      <c r="I28" s="68">
        <f>'2E.ROE Scan'!K154</f>
        <v/>
      </c>
      <c r="J28" s="68">
        <f>'2E.ROE Scan'!L154</f>
        <v/>
      </c>
      <c r="K28" s="68">
        <f>'2E.ROE Scan'!M154</f>
        <v/>
      </c>
      <c r="L28" s="68">
        <f>'2E.ROE Scan'!N154</f>
        <v/>
      </c>
      <c r="M28" s="68">
        <f>'2E.ROE Scan'!O154</f>
        <v/>
      </c>
      <c r="N28" s="68">
        <f>'2E.ROE Scan'!P154</f>
        <v/>
      </c>
      <c r="O28" s="68">
        <f>'2E.ROE Scan'!Q154</f>
        <v/>
      </c>
      <c r="P28" s="68">
        <f>'2E.ROE Scan'!R154</f>
        <v/>
      </c>
      <c r="Q28" s="68">
        <f>'2E.ROE Scan'!S154</f>
        <v/>
      </c>
      <c r="R28" s="68">
        <f>'2E.ROE Scan'!T154</f>
        <v/>
      </c>
      <c r="S28" s="68">
        <f>'2E.ROE Scan'!U154</f>
        <v/>
      </c>
      <c r="T28" s="68">
        <f>'2E.ROE Scan'!V154</f>
        <v/>
      </c>
      <c r="U28" s="68">
        <f>'2E.ROE Scan'!W154</f>
        <v/>
      </c>
      <c r="V28" s="68">
        <f>'2E.ROE Scan'!X154</f>
        <v/>
      </c>
      <c r="W28" s="68">
        <f>'2E.ROE Scan'!Y154</f>
        <v/>
      </c>
      <c r="X28" s="68">
        <f>'2E.ROE Scan'!Z154</f>
        <v/>
      </c>
      <c r="Y28" s="68">
        <f>'2E.ROE Scan'!AA154</f>
        <v/>
      </c>
      <c r="Z28" s="68">
        <f>'2E.ROE Scan'!AB154</f>
        <v/>
      </c>
      <c r="AA28" s="68">
        <f>'2E.ROE Scan'!AC154</f>
        <v/>
      </c>
      <c r="AB28" s="68">
        <f>'2E.ROE Scan'!AD154</f>
        <v/>
      </c>
      <c r="AC28" s="68">
        <f>'2E.ROE Scan'!AE154</f>
        <v/>
      </c>
      <c r="AD28" s="68">
        <f>'2E.ROE Scan'!AF154</f>
        <v/>
      </c>
      <c r="AE28" s="68">
        <f>'2E.ROE Scan'!AG154</f>
        <v/>
      </c>
      <c r="AF28" s="68">
        <f>'2E.ROE Scan'!AH154</f>
        <v/>
      </c>
      <c r="AG28" s="68">
        <f>'2E.ROE Scan'!AI154</f>
        <v/>
      </c>
      <c r="AH28" s="68">
        <f>'2E.ROE Scan'!AJ154</f>
        <v/>
      </c>
      <c r="AI28" s="68">
        <f>'2E.ROE Scan'!AK154</f>
        <v/>
      </c>
      <c r="AJ28" s="68">
        <f>'2E.ROE Scan'!AL154</f>
        <v/>
      </c>
      <c r="AK28" s="68">
        <f>'2E.ROE Scan'!AM154</f>
        <v/>
      </c>
      <c r="AL28" s="68">
        <f>'2E.ROE Scan'!AN154</f>
        <v/>
      </c>
      <c r="AM28" s="68">
        <f>'2E.ROE Scan'!AO154</f>
        <v/>
      </c>
      <c r="AN28" s="68">
        <f>'2E.ROE Scan'!AP154</f>
        <v/>
      </c>
      <c r="AO28" s="68">
        <f>'2E.ROE Scan'!AQ154</f>
        <v/>
      </c>
      <c r="AP28" s="68">
        <f>'2E.ROE Scan'!AR154</f>
        <v/>
      </c>
      <c r="AQ28" s="68">
        <f>'2E.ROE Scan'!AS154</f>
        <v/>
      </c>
      <c r="AR28" s="68">
        <f>'2E.ROE Scan'!AT154</f>
        <v/>
      </c>
      <c r="AS28" s="68">
        <f>'2E.ROE Scan'!AU154</f>
        <v/>
      </c>
      <c r="AT28" s="68">
        <f>'2E.ROE Scan'!AV154</f>
        <v/>
      </c>
      <c r="AU28" s="68">
        <f>'2E.ROE Scan'!AW154</f>
        <v/>
      </c>
      <c r="AV28" s="68">
        <f>'2E.ROE Scan'!AX154</f>
        <v/>
      </c>
      <c r="AW28" s="68">
        <f>'2E.ROE Scan'!AY154</f>
        <v/>
      </c>
      <c r="AX28" s="68">
        <f>'2E.ROE Scan'!AZ154</f>
        <v/>
      </c>
      <c r="AY28" s="68">
        <f>'2E.ROE Scan'!BA154</f>
        <v/>
      </c>
      <c r="AZ28" s="68">
        <f>'2E.ROE Scan'!BB154</f>
        <v/>
      </c>
    </row>
    <row r="29" ht="16.5" customHeight="1" s="179">
      <c r="B29" s="65">
        <f>'2D Mapping'!H21</f>
        <v/>
      </c>
      <c r="C29" s="68">
        <f>'2E.ROE Scan'!E155</f>
        <v/>
      </c>
      <c r="D29" s="68">
        <f>'2E.ROE Scan'!F155</f>
        <v/>
      </c>
      <c r="E29" s="68">
        <f>'2E.ROE Scan'!G155</f>
        <v/>
      </c>
      <c r="F29" s="68">
        <f>'2E.ROE Scan'!H155</f>
        <v/>
      </c>
      <c r="G29" s="68">
        <f>'2E.ROE Scan'!I155</f>
        <v/>
      </c>
      <c r="H29" s="68">
        <f>'2E.ROE Scan'!J155</f>
        <v/>
      </c>
      <c r="I29" s="68">
        <f>'2E.ROE Scan'!K155</f>
        <v/>
      </c>
      <c r="J29" s="68">
        <f>'2E.ROE Scan'!L155</f>
        <v/>
      </c>
      <c r="K29" s="68">
        <f>'2E.ROE Scan'!M155</f>
        <v/>
      </c>
      <c r="L29" s="68">
        <f>'2E.ROE Scan'!N155</f>
        <v/>
      </c>
      <c r="M29" s="68">
        <f>'2E.ROE Scan'!O155</f>
        <v/>
      </c>
      <c r="N29" s="68">
        <f>'2E.ROE Scan'!P155</f>
        <v/>
      </c>
      <c r="O29" s="68">
        <f>'2E.ROE Scan'!Q155</f>
        <v/>
      </c>
      <c r="P29" s="68">
        <f>'2E.ROE Scan'!R155</f>
        <v/>
      </c>
      <c r="Q29" s="68">
        <f>'2E.ROE Scan'!S155</f>
        <v/>
      </c>
      <c r="R29" s="68">
        <f>'2E.ROE Scan'!T155</f>
        <v/>
      </c>
      <c r="S29" s="68">
        <f>'2E.ROE Scan'!U155</f>
        <v/>
      </c>
      <c r="T29" s="68">
        <f>'2E.ROE Scan'!V155</f>
        <v/>
      </c>
      <c r="U29" s="68">
        <f>'2E.ROE Scan'!W155</f>
        <v/>
      </c>
      <c r="V29" s="68">
        <f>'2E.ROE Scan'!X155</f>
        <v/>
      </c>
      <c r="W29" s="68">
        <f>'2E.ROE Scan'!Y155</f>
        <v/>
      </c>
      <c r="X29" s="68">
        <f>'2E.ROE Scan'!Z155</f>
        <v/>
      </c>
      <c r="Y29" s="68">
        <f>'2E.ROE Scan'!AA155</f>
        <v/>
      </c>
      <c r="Z29" s="68">
        <f>'2E.ROE Scan'!AB155</f>
        <v/>
      </c>
      <c r="AA29" s="68">
        <f>'2E.ROE Scan'!AC155</f>
        <v/>
      </c>
      <c r="AB29" s="68">
        <f>'2E.ROE Scan'!AD155</f>
        <v/>
      </c>
      <c r="AC29" s="68">
        <f>'2E.ROE Scan'!AE155</f>
        <v/>
      </c>
      <c r="AD29" s="68">
        <f>'2E.ROE Scan'!AF155</f>
        <v/>
      </c>
      <c r="AE29" s="68">
        <f>'2E.ROE Scan'!AG155</f>
        <v/>
      </c>
      <c r="AF29" s="68">
        <f>'2E.ROE Scan'!AH155</f>
        <v/>
      </c>
      <c r="AG29" s="68">
        <f>'2E.ROE Scan'!AI155</f>
        <v/>
      </c>
      <c r="AH29" s="68">
        <f>'2E.ROE Scan'!AJ155</f>
        <v/>
      </c>
      <c r="AI29" s="68">
        <f>'2E.ROE Scan'!AK155</f>
        <v/>
      </c>
      <c r="AJ29" s="68">
        <f>'2E.ROE Scan'!AL155</f>
        <v/>
      </c>
      <c r="AK29" s="68">
        <f>'2E.ROE Scan'!AM155</f>
        <v/>
      </c>
      <c r="AL29" s="68">
        <f>'2E.ROE Scan'!AN155</f>
        <v/>
      </c>
      <c r="AM29" s="68">
        <f>'2E.ROE Scan'!AO155</f>
        <v/>
      </c>
      <c r="AN29" s="68">
        <f>'2E.ROE Scan'!AP155</f>
        <v/>
      </c>
      <c r="AO29" s="68">
        <f>'2E.ROE Scan'!AQ155</f>
        <v/>
      </c>
      <c r="AP29" s="68">
        <f>'2E.ROE Scan'!AR155</f>
        <v/>
      </c>
      <c r="AQ29" s="68">
        <f>'2E.ROE Scan'!AS155</f>
        <v/>
      </c>
      <c r="AR29" s="68">
        <f>'2E.ROE Scan'!AT155</f>
        <v/>
      </c>
      <c r="AS29" s="68">
        <f>'2E.ROE Scan'!AU155</f>
        <v/>
      </c>
      <c r="AT29" s="68">
        <f>'2E.ROE Scan'!AV155</f>
        <v/>
      </c>
      <c r="AU29" s="68">
        <f>'2E.ROE Scan'!AW155</f>
        <v/>
      </c>
      <c r="AV29" s="68">
        <f>'2E.ROE Scan'!AX155</f>
        <v/>
      </c>
      <c r="AW29" s="68">
        <f>'2E.ROE Scan'!AY155</f>
        <v/>
      </c>
      <c r="AX29" s="68">
        <f>'2E.ROE Scan'!AZ155</f>
        <v/>
      </c>
      <c r="AY29" s="68">
        <f>'2E.ROE Scan'!BA155</f>
        <v/>
      </c>
      <c r="AZ29" s="68">
        <f>'2E.ROE Scan'!BB155</f>
        <v/>
      </c>
    </row>
    <row r="30" ht="16.5" customHeight="1" s="179">
      <c r="B30" s="65">
        <f>'2D Mapping'!H22</f>
        <v/>
      </c>
      <c r="C30" s="68">
        <f>'2E.ROE Scan'!E156</f>
        <v/>
      </c>
      <c r="D30" s="68">
        <f>'2E.ROE Scan'!F156</f>
        <v/>
      </c>
      <c r="E30" s="68">
        <f>'2E.ROE Scan'!G156</f>
        <v/>
      </c>
      <c r="F30" s="68">
        <f>'2E.ROE Scan'!H156</f>
        <v/>
      </c>
      <c r="G30" s="68">
        <f>'2E.ROE Scan'!I156</f>
        <v/>
      </c>
      <c r="H30" s="68">
        <f>'2E.ROE Scan'!J156</f>
        <v/>
      </c>
      <c r="I30" s="68">
        <f>'2E.ROE Scan'!K156</f>
        <v/>
      </c>
      <c r="J30" s="68">
        <f>'2E.ROE Scan'!L156</f>
        <v/>
      </c>
      <c r="K30" s="68">
        <f>'2E.ROE Scan'!M156</f>
        <v/>
      </c>
      <c r="L30" s="68">
        <f>'2E.ROE Scan'!N156</f>
        <v/>
      </c>
      <c r="M30" s="68">
        <f>'2E.ROE Scan'!O156</f>
        <v/>
      </c>
      <c r="N30" s="68">
        <f>'2E.ROE Scan'!P156</f>
        <v/>
      </c>
      <c r="O30" s="68">
        <f>'2E.ROE Scan'!Q156</f>
        <v/>
      </c>
      <c r="P30" s="68">
        <f>'2E.ROE Scan'!R156</f>
        <v/>
      </c>
      <c r="Q30" s="68">
        <f>'2E.ROE Scan'!S156</f>
        <v/>
      </c>
      <c r="R30" s="68">
        <f>'2E.ROE Scan'!T156</f>
        <v/>
      </c>
      <c r="S30" s="68">
        <f>'2E.ROE Scan'!U156</f>
        <v/>
      </c>
      <c r="T30" s="68">
        <f>'2E.ROE Scan'!V156</f>
        <v/>
      </c>
      <c r="U30" s="68">
        <f>'2E.ROE Scan'!W156</f>
        <v/>
      </c>
      <c r="V30" s="68">
        <f>'2E.ROE Scan'!X156</f>
        <v/>
      </c>
      <c r="W30" s="68">
        <f>'2E.ROE Scan'!Y156</f>
        <v/>
      </c>
      <c r="X30" s="68">
        <f>'2E.ROE Scan'!Z156</f>
        <v/>
      </c>
      <c r="Y30" s="68">
        <f>'2E.ROE Scan'!AA156</f>
        <v/>
      </c>
      <c r="Z30" s="68">
        <f>'2E.ROE Scan'!AB156</f>
        <v/>
      </c>
      <c r="AA30" s="68">
        <f>'2E.ROE Scan'!AC156</f>
        <v/>
      </c>
      <c r="AB30" s="68">
        <f>'2E.ROE Scan'!AD156</f>
        <v/>
      </c>
      <c r="AC30" s="68">
        <f>'2E.ROE Scan'!AE156</f>
        <v/>
      </c>
      <c r="AD30" s="68">
        <f>'2E.ROE Scan'!AF156</f>
        <v/>
      </c>
      <c r="AE30" s="68">
        <f>'2E.ROE Scan'!AG156</f>
        <v/>
      </c>
      <c r="AF30" s="68">
        <f>'2E.ROE Scan'!AH156</f>
        <v/>
      </c>
      <c r="AG30" s="68">
        <f>'2E.ROE Scan'!AI156</f>
        <v/>
      </c>
      <c r="AH30" s="68">
        <f>'2E.ROE Scan'!AJ156</f>
        <v/>
      </c>
      <c r="AI30" s="68">
        <f>'2E.ROE Scan'!AK156</f>
        <v/>
      </c>
      <c r="AJ30" s="68">
        <f>'2E.ROE Scan'!AL156</f>
        <v/>
      </c>
      <c r="AK30" s="68">
        <f>'2E.ROE Scan'!AM156</f>
        <v/>
      </c>
      <c r="AL30" s="68">
        <f>'2E.ROE Scan'!AN156</f>
        <v/>
      </c>
      <c r="AM30" s="68">
        <f>'2E.ROE Scan'!AO156</f>
        <v/>
      </c>
      <c r="AN30" s="68">
        <f>'2E.ROE Scan'!AP156</f>
        <v/>
      </c>
      <c r="AO30" s="68">
        <f>'2E.ROE Scan'!AQ156</f>
        <v/>
      </c>
      <c r="AP30" s="68">
        <f>'2E.ROE Scan'!AR156</f>
        <v/>
      </c>
      <c r="AQ30" s="68">
        <f>'2E.ROE Scan'!AS156</f>
        <v/>
      </c>
      <c r="AR30" s="68">
        <f>'2E.ROE Scan'!AT156</f>
        <v/>
      </c>
      <c r="AS30" s="68">
        <f>'2E.ROE Scan'!AU156</f>
        <v/>
      </c>
      <c r="AT30" s="68">
        <f>'2E.ROE Scan'!AV156</f>
        <v/>
      </c>
      <c r="AU30" s="68">
        <f>'2E.ROE Scan'!AW156</f>
        <v/>
      </c>
      <c r="AV30" s="68">
        <f>'2E.ROE Scan'!AX156</f>
        <v/>
      </c>
      <c r="AW30" s="68">
        <f>'2E.ROE Scan'!AY156</f>
        <v/>
      </c>
      <c r="AX30" s="68">
        <f>'2E.ROE Scan'!AZ156</f>
        <v/>
      </c>
      <c r="AY30" s="68">
        <f>'2E.ROE Scan'!BA156</f>
        <v/>
      </c>
      <c r="AZ30" s="68">
        <f>'2E.ROE Scan'!BB156</f>
        <v/>
      </c>
    </row>
    <row r="31" ht="16.5" customHeight="1" s="179">
      <c r="B31" s="65">
        <f>'2D Mapping'!H23</f>
        <v/>
      </c>
      <c r="C31" s="68">
        <f>'2E.ROE Scan'!E157</f>
        <v/>
      </c>
      <c r="D31" s="68">
        <f>'2E.ROE Scan'!F157</f>
        <v/>
      </c>
      <c r="E31" s="68">
        <f>'2E.ROE Scan'!G157</f>
        <v/>
      </c>
      <c r="F31" s="68">
        <f>'2E.ROE Scan'!H157</f>
        <v/>
      </c>
      <c r="G31" s="68">
        <f>'2E.ROE Scan'!I157</f>
        <v/>
      </c>
      <c r="H31" s="68">
        <f>'2E.ROE Scan'!J157</f>
        <v/>
      </c>
      <c r="I31" s="68">
        <f>'2E.ROE Scan'!K157</f>
        <v/>
      </c>
      <c r="J31" s="68">
        <f>'2E.ROE Scan'!L157</f>
        <v/>
      </c>
      <c r="K31" s="68">
        <f>'2E.ROE Scan'!M157</f>
        <v/>
      </c>
      <c r="L31" s="68">
        <f>'2E.ROE Scan'!N157</f>
        <v/>
      </c>
      <c r="M31" s="68">
        <f>'2E.ROE Scan'!O157</f>
        <v/>
      </c>
      <c r="N31" s="68">
        <f>'2E.ROE Scan'!P157</f>
        <v/>
      </c>
      <c r="O31" s="68">
        <f>'2E.ROE Scan'!Q157</f>
        <v/>
      </c>
      <c r="P31" s="68">
        <f>'2E.ROE Scan'!R157</f>
        <v/>
      </c>
      <c r="Q31" s="68">
        <f>'2E.ROE Scan'!S157</f>
        <v/>
      </c>
      <c r="R31" s="68">
        <f>'2E.ROE Scan'!T157</f>
        <v/>
      </c>
      <c r="S31" s="68">
        <f>'2E.ROE Scan'!U157</f>
        <v/>
      </c>
      <c r="T31" s="68">
        <f>'2E.ROE Scan'!V157</f>
        <v/>
      </c>
      <c r="U31" s="68">
        <f>'2E.ROE Scan'!W157</f>
        <v/>
      </c>
      <c r="V31" s="68">
        <f>'2E.ROE Scan'!X157</f>
        <v/>
      </c>
      <c r="W31" s="68">
        <f>'2E.ROE Scan'!Y157</f>
        <v/>
      </c>
      <c r="X31" s="68">
        <f>'2E.ROE Scan'!Z157</f>
        <v/>
      </c>
      <c r="Y31" s="68">
        <f>'2E.ROE Scan'!AA157</f>
        <v/>
      </c>
      <c r="Z31" s="68">
        <f>'2E.ROE Scan'!AB157</f>
        <v/>
      </c>
      <c r="AA31" s="68">
        <f>'2E.ROE Scan'!AC157</f>
        <v/>
      </c>
      <c r="AB31" s="68">
        <f>'2E.ROE Scan'!AD157</f>
        <v/>
      </c>
      <c r="AC31" s="68">
        <f>'2E.ROE Scan'!AE157</f>
        <v/>
      </c>
      <c r="AD31" s="68">
        <f>'2E.ROE Scan'!AF157</f>
        <v/>
      </c>
      <c r="AE31" s="68">
        <f>'2E.ROE Scan'!AG157</f>
        <v/>
      </c>
      <c r="AF31" s="68">
        <f>'2E.ROE Scan'!AH157</f>
        <v/>
      </c>
      <c r="AG31" s="68">
        <f>'2E.ROE Scan'!AI157</f>
        <v/>
      </c>
      <c r="AH31" s="68">
        <f>'2E.ROE Scan'!AJ157</f>
        <v/>
      </c>
      <c r="AI31" s="68">
        <f>'2E.ROE Scan'!AK157</f>
        <v/>
      </c>
      <c r="AJ31" s="68">
        <f>'2E.ROE Scan'!AL157</f>
        <v/>
      </c>
      <c r="AK31" s="68">
        <f>'2E.ROE Scan'!AM157</f>
        <v/>
      </c>
      <c r="AL31" s="68">
        <f>'2E.ROE Scan'!AN157</f>
        <v/>
      </c>
      <c r="AM31" s="68">
        <f>'2E.ROE Scan'!AO157</f>
        <v/>
      </c>
      <c r="AN31" s="68">
        <f>'2E.ROE Scan'!AP157</f>
        <v/>
      </c>
      <c r="AO31" s="68">
        <f>'2E.ROE Scan'!AQ157</f>
        <v/>
      </c>
      <c r="AP31" s="68">
        <f>'2E.ROE Scan'!AR157</f>
        <v/>
      </c>
      <c r="AQ31" s="68">
        <f>'2E.ROE Scan'!AS157</f>
        <v/>
      </c>
      <c r="AR31" s="68">
        <f>'2E.ROE Scan'!AT157</f>
        <v/>
      </c>
      <c r="AS31" s="68">
        <f>'2E.ROE Scan'!AU157</f>
        <v/>
      </c>
      <c r="AT31" s="68">
        <f>'2E.ROE Scan'!AV157</f>
        <v/>
      </c>
      <c r="AU31" s="68">
        <f>'2E.ROE Scan'!AW157</f>
        <v/>
      </c>
      <c r="AV31" s="68">
        <f>'2E.ROE Scan'!AX157</f>
        <v/>
      </c>
      <c r="AW31" s="68">
        <f>'2E.ROE Scan'!AY157</f>
        <v/>
      </c>
      <c r="AX31" s="68">
        <f>'2E.ROE Scan'!AZ157</f>
        <v/>
      </c>
      <c r="AY31" s="68">
        <f>'2E.ROE Scan'!BA157</f>
        <v/>
      </c>
      <c r="AZ31" s="68">
        <f>'2E.ROE Scan'!BB157</f>
        <v/>
      </c>
    </row>
    <row r="32" ht="16.5" customHeight="1" s="179">
      <c r="B32" s="65">
        <f>'2D Mapping'!H24</f>
        <v/>
      </c>
      <c r="C32" s="68">
        <f>'2E.ROE Scan'!E158</f>
        <v/>
      </c>
      <c r="D32" s="68">
        <f>'2E.ROE Scan'!F158</f>
        <v/>
      </c>
      <c r="E32" s="68">
        <f>'2E.ROE Scan'!G158</f>
        <v/>
      </c>
      <c r="F32" s="68">
        <f>'2E.ROE Scan'!H158</f>
        <v/>
      </c>
      <c r="G32" s="68">
        <f>'2E.ROE Scan'!I158</f>
        <v/>
      </c>
      <c r="H32" s="68">
        <f>'2E.ROE Scan'!J158</f>
        <v/>
      </c>
      <c r="I32" s="68">
        <f>'2E.ROE Scan'!K158</f>
        <v/>
      </c>
      <c r="J32" s="68">
        <f>'2E.ROE Scan'!L158</f>
        <v/>
      </c>
      <c r="K32" s="68">
        <f>'2E.ROE Scan'!M158</f>
        <v/>
      </c>
      <c r="L32" s="68">
        <f>'2E.ROE Scan'!N158</f>
        <v/>
      </c>
      <c r="M32" s="68">
        <f>'2E.ROE Scan'!O158</f>
        <v/>
      </c>
      <c r="N32" s="68">
        <f>'2E.ROE Scan'!P158</f>
        <v/>
      </c>
      <c r="O32" s="68">
        <f>'2E.ROE Scan'!Q158</f>
        <v/>
      </c>
      <c r="P32" s="68">
        <f>'2E.ROE Scan'!R158</f>
        <v/>
      </c>
      <c r="Q32" s="68">
        <f>'2E.ROE Scan'!S158</f>
        <v/>
      </c>
      <c r="R32" s="68">
        <f>'2E.ROE Scan'!T158</f>
        <v/>
      </c>
      <c r="S32" s="68">
        <f>'2E.ROE Scan'!U158</f>
        <v/>
      </c>
      <c r="T32" s="68">
        <f>'2E.ROE Scan'!V158</f>
        <v/>
      </c>
      <c r="U32" s="68">
        <f>'2E.ROE Scan'!W158</f>
        <v/>
      </c>
      <c r="V32" s="68">
        <f>'2E.ROE Scan'!X158</f>
        <v/>
      </c>
      <c r="W32" s="68">
        <f>'2E.ROE Scan'!Y158</f>
        <v/>
      </c>
      <c r="X32" s="68">
        <f>'2E.ROE Scan'!Z158</f>
        <v/>
      </c>
      <c r="Y32" s="68">
        <f>'2E.ROE Scan'!AA158</f>
        <v/>
      </c>
      <c r="Z32" s="68">
        <f>'2E.ROE Scan'!AB158</f>
        <v/>
      </c>
      <c r="AA32" s="68">
        <f>'2E.ROE Scan'!AC158</f>
        <v/>
      </c>
      <c r="AB32" s="68">
        <f>'2E.ROE Scan'!AD158</f>
        <v/>
      </c>
      <c r="AC32" s="68">
        <f>'2E.ROE Scan'!AE158</f>
        <v/>
      </c>
      <c r="AD32" s="68">
        <f>'2E.ROE Scan'!AF158</f>
        <v/>
      </c>
      <c r="AE32" s="68">
        <f>'2E.ROE Scan'!AG158</f>
        <v/>
      </c>
      <c r="AF32" s="68">
        <f>'2E.ROE Scan'!AH158</f>
        <v/>
      </c>
      <c r="AG32" s="68">
        <f>'2E.ROE Scan'!AI158</f>
        <v/>
      </c>
      <c r="AH32" s="68">
        <f>'2E.ROE Scan'!AJ158</f>
        <v/>
      </c>
      <c r="AI32" s="68">
        <f>'2E.ROE Scan'!AK158</f>
        <v/>
      </c>
      <c r="AJ32" s="68">
        <f>'2E.ROE Scan'!AL158</f>
        <v/>
      </c>
      <c r="AK32" s="68">
        <f>'2E.ROE Scan'!AM158</f>
        <v/>
      </c>
      <c r="AL32" s="68">
        <f>'2E.ROE Scan'!AN158</f>
        <v/>
      </c>
      <c r="AM32" s="68">
        <f>'2E.ROE Scan'!AO158</f>
        <v/>
      </c>
      <c r="AN32" s="68">
        <f>'2E.ROE Scan'!AP158</f>
        <v/>
      </c>
      <c r="AO32" s="68">
        <f>'2E.ROE Scan'!AQ158</f>
        <v/>
      </c>
      <c r="AP32" s="68">
        <f>'2E.ROE Scan'!AR158</f>
        <v/>
      </c>
      <c r="AQ32" s="68">
        <f>'2E.ROE Scan'!AS158</f>
        <v/>
      </c>
      <c r="AR32" s="68">
        <f>'2E.ROE Scan'!AT158</f>
        <v/>
      </c>
      <c r="AS32" s="68">
        <f>'2E.ROE Scan'!AU158</f>
        <v/>
      </c>
      <c r="AT32" s="68">
        <f>'2E.ROE Scan'!AV158</f>
        <v/>
      </c>
      <c r="AU32" s="68">
        <f>'2E.ROE Scan'!AW158</f>
        <v/>
      </c>
      <c r="AV32" s="68">
        <f>'2E.ROE Scan'!AX158</f>
        <v/>
      </c>
      <c r="AW32" s="68">
        <f>'2E.ROE Scan'!AY158</f>
        <v/>
      </c>
      <c r="AX32" s="68">
        <f>'2E.ROE Scan'!AZ158</f>
        <v/>
      </c>
      <c r="AY32" s="68">
        <f>'2E.ROE Scan'!BA158</f>
        <v/>
      </c>
      <c r="AZ32" s="68">
        <f>'2E.ROE Scan'!BB158</f>
        <v/>
      </c>
    </row>
    <row r="33" ht="16.5" customHeight="1" s="179">
      <c r="B33" s="65">
        <f>'2D Mapping'!H25</f>
        <v/>
      </c>
      <c r="C33" s="68">
        <f>'2E.ROE Scan'!E159</f>
        <v/>
      </c>
      <c r="D33" s="68">
        <f>'2E.ROE Scan'!F159</f>
        <v/>
      </c>
      <c r="E33" s="68">
        <f>'2E.ROE Scan'!G159</f>
        <v/>
      </c>
      <c r="F33" s="68">
        <f>'2E.ROE Scan'!H159</f>
        <v/>
      </c>
      <c r="G33" s="68">
        <f>'2E.ROE Scan'!I159</f>
        <v/>
      </c>
      <c r="H33" s="68">
        <f>'2E.ROE Scan'!J159</f>
        <v/>
      </c>
      <c r="I33" s="68">
        <f>'2E.ROE Scan'!K159</f>
        <v/>
      </c>
      <c r="J33" s="68">
        <f>'2E.ROE Scan'!L159</f>
        <v/>
      </c>
      <c r="K33" s="68">
        <f>'2E.ROE Scan'!M159</f>
        <v/>
      </c>
      <c r="L33" s="68">
        <f>'2E.ROE Scan'!N159</f>
        <v/>
      </c>
      <c r="M33" s="68">
        <f>'2E.ROE Scan'!O159</f>
        <v/>
      </c>
      <c r="N33" s="68">
        <f>'2E.ROE Scan'!P159</f>
        <v/>
      </c>
      <c r="O33" s="68">
        <f>'2E.ROE Scan'!Q159</f>
        <v/>
      </c>
      <c r="P33" s="68">
        <f>'2E.ROE Scan'!R159</f>
        <v/>
      </c>
      <c r="Q33" s="68">
        <f>'2E.ROE Scan'!S159</f>
        <v/>
      </c>
      <c r="R33" s="68">
        <f>'2E.ROE Scan'!T159</f>
        <v/>
      </c>
      <c r="S33" s="68">
        <f>'2E.ROE Scan'!U159</f>
        <v/>
      </c>
      <c r="T33" s="68">
        <f>'2E.ROE Scan'!V159</f>
        <v/>
      </c>
      <c r="U33" s="68">
        <f>'2E.ROE Scan'!W159</f>
        <v/>
      </c>
      <c r="V33" s="68">
        <f>'2E.ROE Scan'!X159</f>
        <v/>
      </c>
      <c r="W33" s="68">
        <f>'2E.ROE Scan'!Y159</f>
        <v/>
      </c>
      <c r="X33" s="68">
        <f>'2E.ROE Scan'!Z159</f>
        <v/>
      </c>
      <c r="Y33" s="68">
        <f>'2E.ROE Scan'!AA159</f>
        <v/>
      </c>
      <c r="Z33" s="68">
        <f>'2E.ROE Scan'!AB159</f>
        <v/>
      </c>
      <c r="AA33" s="68">
        <f>'2E.ROE Scan'!AC159</f>
        <v/>
      </c>
      <c r="AB33" s="68">
        <f>'2E.ROE Scan'!AD159</f>
        <v/>
      </c>
      <c r="AC33" s="68">
        <f>'2E.ROE Scan'!AE159</f>
        <v/>
      </c>
      <c r="AD33" s="68">
        <f>'2E.ROE Scan'!AF159</f>
        <v/>
      </c>
      <c r="AE33" s="68">
        <f>'2E.ROE Scan'!AG159</f>
        <v/>
      </c>
      <c r="AF33" s="68">
        <f>'2E.ROE Scan'!AH159</f>
        <v/>
      </c>
      <c r="AG33" s="68">
        <f>'2E.ROE Scan'!AI159</f>
        <v/>
      </c>
      <c r="AH33" s="68">
        <f>'2E.ROE Scan'!AJ159</f>
        <v/>
      </c>
      <c r="AI33" s="68">
        <f>'2E.ROE Scan'!AK159</f>
        <v/>
      </c>
      <c r="AJ33" s="68">
        <f>'2E.ROE Scan'!AL159</f>
        <v/>
      </c>
      <c r="AK33" s="68">
        <f>'2E.ROE Scan'!AM159</f>
        <v/>
      </c>
      <c r="AL33" s="68">
        <f>'2E.ROE Scan'!AN159</f>
        <v/>
      </c>
      <c r="AM33" s="68">
        <f>'2E.ROE Scan'!AO159</f>
        <v/>
      </c>
      <c r="AN33" s="68">
        <f>'2E.ROE Scan'!AP159</f>
        <v/>
      </c>
      <c r="AO33" s="68">
        <f>'2E.ROE Scan'!AQ159</f>
        <v/>
      </c>
      <c r="AP33" s="68">
        <f>'2E.ROE Scan'!AR159</f>
        <v/>
      </c>
      <c r="AQ33" s="68">
        <f>'2E.ROE Scan'!AS159</f>
        <v/>
      </c>
      <c r="AR33" s="68">
        <f>'2E.ROE Scan'!AT159</f>
        <v/>
      </c>
      <c r="AS33" s="68">
        <f>'2E.ROE Scan'!AU159</f>
        <v/>
      </c>
      <c r="AT33" s="68">
        <f>'2E.ROE Scan'!AV159</f>
        <v/>
      </c>
      <c r="AU33" s="68">
        <f>'2E.ROE Scan'!AW159</f>
        <v/>
      </c>
      <c r="AV33" s="68">
        <f>'2E.ROE Scan'!AX159</f>
        <v/>
      </c>
      <c r="AW33" s="68">
        <f>'2E.ROE Scan'!AY159</f>
        <v/>
      </c>
      <c r="AX33" s="68">
        <f>'2E.ROE Scan'!AZ159</f>
        <v/>
      </c>
      <c r="AY33" s="68">
        <f>'2E.ROE Scan'!BA159</f>
        <v/>
      </c>
      <c r="AZ33" s="68">
        <f>'2E.ROE Scan'!BB159</f>
        <v/>
      </c>
    </row>
    <row r="34" ht="16.5" customHeight="1" s="179">
      <c r="B34" s="65">
        <f>'2D Mapping'!H26</f>
        <v/>
      </c>
      <c r="C34" s="68">
        <f>'2E.ROE Scan'!E160</f>
        <v/>
      </c>
      <c r="D34" s="68">
        <f>'2E.ROE Scan'!F160</f>
        <v/>
      </c>
      <c r="E34" s="68">
        <f>'2E.ROE Scan'!G160</f>
        <v/>
      </c>
      <c r="F34" s="68">
        <f>'2E.ROE Scan'!H160</f>
        <v/>
      </c>
      <c r="G34" s="68">
        <f>'2E.ROE Scan'!I160</f>
        <v/>
      </c>
      <c r="H34" s="68">
        <f>'2E.ROE Scan'!J160</f>
        <v/>
      </c>
      <c r="I34" s="68">
        <f>'2E.ROE Scan'!K160</f>
        <v/>
      </c>
      <c r="J34" s="68">
        <f>'2E.ROE Scan'!L160</f>
        <v/>
      </c>
      <c r="K34" s="68">
        <f>'2E.ROE Scan'!M160</f>
        <v/>
      </c>
      <c r="L34" s="68">
        <f>'2E.ROE Scan'!N160</f>
        <v/>
      </c>
      <c r="M34" s="68">
        <f>'2E.ROE Scan'!O160</f>
        <v/>
      </c>
      <c r="N34" s="68">
        <f>'2E.ROE Scan'!P160</f>
        <v/>
      </c>
      <c r="O34" s="68">
        <f>'2E.ROE Scan'!Q160</f>
        <v/>
      </c>
      <c r="P34" s="68">
        <f>'2E.ROE Scan'!R160</f>
        <v/>
      </c>
      <c r="Q34" s="68">
        <f>'2E.ROE Scan'!S160</f>
        <v/>
      </c>
      <c r="R34" s="68">
        <f>'2E.ROE Scan'!T160</f>
        <v/>
      </c>
      <c r="S34" s="68">
        <f>'2E.ROE Scan'!U160</f>
        <v/>
      </c>
      <c r="T34" s="68">
        <f>'2E.ROE Scan'!V160</f>
        <v/>
      </c>
      <c r="U34" s="68">
        <f>'2E.ROE Scan'!W160</f>
        <v/>
      </c>
      <c r="V34" s="68">
        <f>'2E.ROE Scan'!X160</f>
        <v/>
      </c>
      <c r="W34" s="68">
        <f>'2E.ROE Scan'!Y160</f>
        <v/>
      </c>
      <c r="X34" s="68">
        <f>'2E.ROE Scan'!Z160</f>
        <v/>
      </c>
      <c r="Y34" s="68">
        <f>'2E.ROE Scan'!AA160</f>
        <v/>
      </c>
      <c r="Z34" s="68">
        <f>'2E.ROE Scan'!AB160</f>
        <v/>
      </c>
      <c r="AA34" s="68">
        <f>'2E.ROE Scan'!AC160</f>
        <v/>
      </c>
      <c r="AB34" s="68">
        <f>'2E.ROE Scan'!AD160</f>
        <v/>
      </c>
      <c r="AC34" s="68">
        <f>'2E.ROE Scan'!AE160</f>
        <v/>
      </c>
      <c r="AD34" s="68">
        <f>'2E.ROE Scan'!AF160</f>
        <v/>
      </c>
      <c r="AE34" s="68">
        <f>'2E.ROE Scan'!AG160</f>
        <v/>
      </c>
      <c r="AF34" s="68">
        <f>'2E.ROE Scan'!AH160</f>
        <v/>
      </c>
      <c r="AG34" s="68">
        <f>'2E.ROE Scan'!AI160</f>
        <v/>
      </c>
      <c r="AH34" s="68">
        <f>'2E.ROE Scan'!AJ160</f>
        <v/>
      </c>
      <c r="AI34" s="68">
        <f>'2E.ROE Scan'!AK160</f>
        <v/>
      </c>
      <c r="AJ34" s="68">
        <f>'2E.ROE Scan'!AL160</f>
        <v/>
      </c>
      <c r="AK34" s="68">
        <f>'2E.ROE Scan'!AM160</f>
        <v/>
      </c>
      <c r="AL34" s="68">
        <f>'2E.ROE Scan'!AN160</f>
        <v/>
      </c>
      <c r="AM34" s="68">
        <f>'2E.ROE Scan'!AO160</f>
        <v/>
      </c>
      <c r="AN34" s="68">
        <f>'2E.ROE Scan'!AP160</f>
        <v/>
      </c>
      <c r="AO34" s="68">
        <f>'2E.ROE Scan'!AQ160</f>
        <v/>
      </c>
      <c r="AP34" s="68">
        <f>'2E.ROE Scan'!AR160</f>
        <v/>
      </c>
      <c r="AQ34" s="68">
        <f>'2E.ROE Scan'!AS160</f>
        <v/>
      </c>
      <c r="AR34" s="68">
        <f>'2E.ROE Scan'!AT160</f>
        <v/>
      </c>
      <c r="AS34" s="68">
        <f>'2E.ROE Scan'!AU160</f>
        <v/>
      </c>
      <c r="AT34" s="68">
        <f>'2E.ROE Scan'!AV160</f>
        <v/>
      </c>
      <c r="AU34" s="68">
        <f>'2E.ROE Scan'!AW160</f>
        <v/>
      </c>
      <c r="AV34" s="68">
        <f>'2E.ROE Scan'!AX160</f>
        <v/>
      </c>
      <c r="AW34" s="68">
        <f>'2E.ROE Scan'!AY160</f>
        <v/>
      </c>
      <c r="AX34" s="68">
        <f>'2E.ROE Scan'!AZ160</f>
        <v/>
      </c>
      <c r="AY34" s="68">
        <f>'2E.ROE Scan'!BA160</f>
        <v/>
      </c>
      <c r="AZ34" s="68">
        <f>'2E.ROE Scan'!BB160</f>
        <v/>
      </c>
    </row>
    <row r="35" ht="16.5" customHeight="1" s="179">
      <c r="B35" s="65">
        <f>'2D Mapping'!H27</f>
        <v/>
      </c>
      <c r="C35" s="68">
        <f>'2E.ROE Scan'!E161</f>
        <v/>
      </c>
      <c r="D35" s="68">
        <f>'2E.ROE Scan'!F161</f>
        <v/>
      </c>
      <c r="E35" s="68">
        <f>'2E.ROE Scan'!G161</f>
        <v/>
      </c>
      <c r="F35" s="68">
        <f>'2E.ROE Scan'!H161</f>
        <v/>
      </c>
      <c r="G35" s="68">
        <f>'2E.ROE Scan'!I161</f>
        <v/>
      </c>
      <c r="H35" s="68">
        <f>'2E.ROE Scan'!J161</f>
        <v/>
      </c>
      <c r="I35" s="68">
        <f>'2E.ROE Scan'!K161</f>
        <v/>
      </c>
      <c r="J35" s="68">
        <f>'2E.ROE Scan'!L161</f>
        <v/>
      </c>
      <c r="K35" s="68">
        <f>'2E.ROE Scan'!M161</f>
        <v/>
      </c>
      <c r="L35" s="68">
        <f>'2E.ROE Scan'!N161</f>
        <v/>
      </c>
      <c r="M35" s="68">
        <f>'2E.ROE Scan'!O161</f>
        <v/>
      </c>
      <c r="N35" s="68">
        <f>'2E.ROE Scan'!P161</f>
        <v/>
      </c>
      <c r="O35" s="68">
        <f>'2E.ROE Scan'!Q161</f>
        <v/>
      </c>
      <c r="P35" s="68">
        <f>'2E.ROE Scan'!R161</f>
        <v/>
      </c>
      <c r="Q35" s="68">
        <f>'2E.ROE Scan'!S161</f>
        <v/>
      </c>
      <c r="R35" s="68">
        <f>'2E.ROE Scan'!T161</f>
        <v/>
      </c>
      <c r="S35" s="68">
        <f>'2E.ROE Scan'!U161</f>
        <v/>
      </c>
      <c r="T35" s="68">
        <f>'2E.ROE Scan'!V161</f>
        <v/>
      </c>
      <c r="U35" s="68">
        <f>'2E.ROE Scan'!W161</f>
        <v/>
      </c>
      <c r="V35" s="68">
        <f>'2E.ROE Scan'!X161</f>
        <v/>
      </c>
      <c r="W35" s="68">
        <f>'2E.ROE Scan'!Y161</f>
        <v/>
      </c>
      <c r="X35" s="68">
        <f>'2E.ROE Scan'!Z161</f>
        <v/>
      </c>
      <c r="Y35" s="68">
        <f>'2E.ROE Scan'!AA161</f>
        <v/>
      </c>
      <c r="Z35" s="68">
        <f>'2E.ROE Scan'!AB161</f>
        <v/>
      </c>
      <c r="AA35" s="68">
        <f>'2E.ROE Scan'!AC161</f>
        <v/>
      </c>
      <c r="AB35" s="68">
        <f>'2E.ROE Scan'!AD161</f>
        <v/>
      </c>
      <c r="AC35" s="68">
        <f>'2E.ROE Scan'!AE161</f>
        <v/>
      </c>
      <c r="AD35" s="68">
        <f>'2E.ROE Scan'!AF161</f>
        <v/>
      </c>
      <c r="AE35" s="68">
        <f>'2E.ROE Scan'!AG161</f>
        <v/>
      </c>
      <c r="AF35" s="68">
        <f>'2E.ROE Scan'!AH161</f>
        <v/>
      </c>
      <c r="AG35" s="68">
        <f>'2E.ROE Scan'!AI161</f>
        <v/>
      </c>
      <c r="AH35" s="68">
        <f>'2E.ROE Scan'!AJ161</f>
        <v/>
      </c>
      <c r="AI35" s="68">
        <f>'2E.ROE Scan'!AK161</f>
        <v/>
      </c>
      <c r="AJ35" s="68">
        <f>'2E.ROE Scan'!AL161</f>
        <v/>
      </c>
      <c r="AK35" s="68">
        <f>'2E.ROE Scan'!AM161</f>
        <v/>
      </c>
      <c r="AL35" s="68">
        <f>'2E.ROE Scan'!AN161</f>
        <v/>
      </c>
      <c r="AM35" s="68">
        <f>'2E.ROE Scan'!AO161</f>
        <v/>
      </c>
      <c r="AN35" s="68">
        <f>'2E.ROE Scan'!AP161</f>
        <v/>
      </c>
      <c r="AO35" s="68">
        <f>'2E.ROE Scan'!AQ161</f>
        <v/>
      </c>
      <c r="AP35" s="68">
        <f>'2E.ROE Scan'!AR161</f>
        <v/>
      </c>
      <c r="AQ35" s="68">
        <f>'2E.ROE Scan'!AS161</f>
        <v/>
      </c>
      <c r="AR35" s="68">
        <f>'2E.ROE Scan'!AT161</f>
        <v/>
      </c>
      <c r="AS35" s="68">
        <f>'2E.ROE Scan'!AU161</f>
        <v/>
      </c>
      <c r="AT35" s="68">
        <f>'2E.ROE Scan'!AV161</f>
        <v/>
      </c>
      <c r="AU35" s="68">
        <f>'2E.ROE Scan'!AW161</f>
        <v/>
      </c>
      <c r="AV35" s="68">
        <f>'2E.ROE Scan'!AX161</f>
        <v/>
      </c>
      <c r="AW35" s="68">
        <f>'2E.ROE Scan'!AY161</f>
        <v/>
      </c>
      <c r="AX35" s="68">
        <f>'2E.ROE Scan'!AZ161</f>
        <v/>
      </c>
      <c r="AY35" s="68">
        <f>'2E.ROE Scan'!BA161</f>
        <v/>
      </c>
      <c r="AZ35" s="68">
        <f>'2E.ROE Scan'!BB161</f>
        <v/>
      </c>
    </row>
    <row r="36" ht="16.5" customHeight="1" s="179">
      <c r="B36" s="65">
        <f>'2D Mapping'!H28</f>
        <v/>
      </c>
      <c r="C36" s="68">
        <f>'2E.ROE Scan'!E162</f>
        <v/>
      </c>
      <c r="D36" s="68">
        <f>'2E.ROE Scan'!F162</f>
        <v/>
      </c>
      <c r="E36" s="68">
        <f>'2E.ROE Scan'!G162</f>
        <v/>
      </c>
      <c r="F36" s="68">
        <f>'2E.ROE Scan'!H162</f>
        <v/>
      </c>
      <c r="G36" s="68">
        <f>'2E.ROE Scan'!I162</f>
        <v/>
      </c>
      <c r="H36" s="68">
        <f>'2E.ROE Scan'!J162</f>
        <v/>
      </c>
      <c r="I36" s="68">
        <f>'2E.ROE Scan'!K162</f>
        <v/>
      </c>
      <c r="J36" s="68">
        <f>'2E.ROE Scan'!L162</f>
        <v/>
      </c>
      <c r="K36" s="68">
        <f>'2E.ROE Scan'!M162</f>
        <v/>
      </c>
      <c r="L36" s="68">
        <f>'2E.ROE Scan'!N162</f>
        <v/>
      </c>
      <c r="M36" s="68">
        <f>'2E.ROE Scan'!O162</f>
        <v/>
      </c>
      <c r="N36" s="68">
        <f>'2E.ROE Scan'!P162</f>
        <v/>
      </c>
      <c r="O36" s="68">
        <f>'2E.ROE Scan'!Q162</f>
        <v/>
      </c>
      <c r="P36" s="68">
        <f>'2E.ROE Scan'!R162</f>
        <v/>
      </c>
      <c r="Q36" s="68">
        <f>'2E.ROE Scan'!S162</f>
        <v/>
      </c>
      <c r="R36" s="68">
        <f>'2E.ROE Scan'!T162</f>
        <v/>
      </c>
      <c r="S36" s="68">
        <f>'2E.ROE Scan'!U162</f>
        <v/>
      </c>
      <c r="T36" s="68">
        <f>'2E.ROE Scan'!V162</f>
        <v/>
      </c>
      <c r="U36" s="68">
        <f>'2E.ROE Scan'!W162</f>
        <v/>
      </c>
      <c r="V36" s="68">
        <f>'2E.ROE Scan'!X162</f>
        <v/>
      </c>
      <c r="W36" s="68">
        <f>'2E.ROE Scan'!Y162</f>
        <v/>
      </c>
      <c r="X36" s="68">
        <f>'2E.ROE Scan'!Z162</f>
        <v/>
      </c>
      <c r="Y36" s="68">
        <f>'2E.ROE Scan'!AA162</f>
        <v/>
      </c>
      <c r="Z36" s="68">
        <f>'2E.ROE Scan'!AB162</f>
        <v/>
      </c>
      <c r="AA36" s="68">
        <f>'2E.ROE Scan'!AC162</f>
        <v/>
      </c>
      <c r="AB36" s="68">
        <f>'2E.ROE Scan'!AD162</f>
        <v/>
      </c>
      <c r="AC36" s="68">
        <f>'2E.ROE Scan'!AE162</f>
        <v/>
      </c>
      <c r="AD36" s="68">
        <f>'2E.ROE Scan'!AF162</f>
        <v/>
      </c>
      <c r="AE36" s="68">
        <f>'2E.ROE Scan'!AG162</f>
        <v/>
      </c>
      <c r="AF36" s="68">
        <f>'2E.ROE Scan'!AH162</f>
        <v/>
      </c>
      <c r="AG36" s="68">
        <f>'2E.ROE Scan'!AI162</f>
        <v/>
      </c>
      <c r="AH36" s="68">
        <f>'2E.ROE Scan'!AJ162</f>
        <v/>
      </c>
      <c r="AI36" s="68">
        <f>'2E.ROE Scan'!AK162</f>
        <v/>
      </c>
      <c r="AJ36" s="68">
        <f>'2E.ROE Scan'!AL162</f>
        <v/>
      </c>
      <c r="AK36" s="68">
        <f>'2E.ROE Scan'!AM162</f>
        <v/>
      </c>
      <c r="AL36" s="68">
        <f>'2E.ROE Scan'!AN162</f>
        <v/>
      </c>
      <c r="AM36" s="68">
        <f>'2E.ROE Scan'!AO162</f>
        <v/>
      </c>
      <c r="AN36" s="68">
        <f>'2E.ROE Scan'!AP162</f>
        <v/>
      </c>
      <c r="AO36" s="68">
        <f>'2E.ROE Scan'!AQ162</f>
        <v/>
      </c>
      <c r="AP36" s="68">
        <f>'2E.ROE Scan'!AR162</f>
        <v/>
      </c>
      <c r="AQ36" s="68">
        <f>'2E.ROE Scan'!AS162</f>
        <v/>
      </c>
      <c r="AR36" s="68">
        <f>'2E.ROE Scan'!AT162</f>
        <v/>
      </c>
      <c r="AS36" s="68">
        <f>'2E.ROE Scan'!AU162</f>
        <v/>
      </c>
      <c r="AT36" s="68">
        <f>'2E.ROE Scan'!AV162</f>
        <v/>
      </c>
      <c r="AU36" s="68">
        <f>'2E.ROE Scan'!AW162</f>
        <v/>
      </c>
      <c r="AV36" s="68">
        <f>'2E.ROE Scan'!AX162</f>
        <v/>
      </c>
      <c r="AW36" s="68">
        <f>'2E.ROE Scan'!AY162</f>
        <v/>
      </c>
      <c r="AX36" s="68">
        <f>'2E.ROE Scan'!AZ162</f>
        <v/>
      </c>
      <c r="AY36" s="68">
        <f>'2E.ROE Scan'!BA162</f>
        <v/>
      </c>
      <c r="AZ36" s="68">
        <f>'2E.ROE Scan'!BB162</f>
        <v/>
      </c>
    </row>
    <row r="37" ht="16.5" customHeight="1" s="179">
      <c r="B37" s="65">
        <f>'2D Mapping'!H29</f>
        <v/>
      </c>
      <c r="C37" s="68">
        <f>'2E.ROE Scan'!E163</f>
        <v/>
      </c>
      <c r="D37" s="68">
        <f>'2E.ROE Scan'!F163</f>
        <v/>
      </c>
      <c r="E37" s="68">
        <f>'2E.ROE Scan'!G163</f>
        <v/>
      </c>
      <c r="F37" s="68">
        <f>'2E.ROE Scan'!H163</f>
        <v/>
      </c>
      <c r="G37" s="68">
        <f>'2E.ROE Scan'!I163</f>
        <v/>
      </c>
      <c r="H37" s="68">
        <f>'2E.ROE Scan'!J163</f>
        <v/>
      </c>
      <c r="I37" s="68">
        <f>'2E.ROE Scan'!K163</f>
        <v/>
      </c>
      <c r="J37" s="68">
        <f>'2E.ROE Scan'!L163</f>
        <v/>
      </c>
      <c r="K37" s="68">
        <f>'2E.ROE Scan'!M163</f>
        <v/>
      </c>
      <c r="L37" s="68">
        <f>'2E.ROE Scan'!N163</f>
        <v/>
      </c>
      <c r="M37" s="68">
        <f>'2E.ROE Scan'!O163</f>
        <v/>
      </c>
      <c r="N37" s="68">
        <f>'2E.ROE Scan'!P163</f>
        <v/>
      </c>
      <c r="O37" s="68">
        <f>'2E.ROE Scan'!Q163</f>
        <v/>
      </c>
      <c r="P37" s="68">
        <f>'2E.ROE Scan'!R163</f>
        <v/>
      </c>
      <c r="Q37" s="68">
        <f>'2E.ROE Scan'!S163</f>
        <v/>
      </c>
      <c r="R37" s="68">
        <f>'2E.ROE Scan'!T163</f>
        <v/>
      </c>
      <c r="S37" s="68">
        <f>'2E.ROE Scan'!U163</f>
        <v/>
      </c>
      <c r="T37" s="68">
        <f>'2E.ROE Scan'!V163</f>
        <v/>
      </c>
      <c r="U37" s="68">
        <f>'2E.ROE Scan'!W163</f>
        <v/>
      </c>
      <c r="V37" s="68">
        <f>'2E.ROE Scan'!X163</f>
        <v/>
      </c>
      <c r="W37" s="68">
        <f>'2E.ROE Scan'!Y163</f>
        <v/>
      </c>
      <c r="X37" s="68">
        <f>'2E.ROE Scan'!Z163</f>
        <v/>
      </c>
      <c r="Y37" s="68">
        <f>'2E.ROE Scan'!AA163</f>
        <v/>
      </c>
      <c r="Z37" s="68">
        <f>'2E.ROE Scan'!AB163</f>
        <v/>
      </c>
      <c r="AA37" s="68">
        <f>'2E.ROE Scan'!AC163</f>
        <v/>
      </c>
      <c r="AB37" s="68">
        <f>'2E.ROE Scan'!AD163</f>
        <v/>
      </c>
      <c r="AC37" s="68">
        <f>'2E.ROE Scan'!AE163</f>
        <v/>
      </c>
      <c r="AD37" s="68">
        <f>'2E.ROE Scan'!AF163</f>
        <v/>
      </c>
      <c r="AE37" s="68">
        <f>'2E.ROE Scan'!AG163</f>
        <v/>
      </c>
      <c r="AF37" s="68">
        <f>'2E.ROE Scan'!AH163</f>
        <v/>
      </c>
      <c r="AG37" s="68">
        <f>'2E.ROE Scan'!AI163</f>
        <v/>
      </c>
      <c r="AH37" s="68">
        <f>'2E.ROE Scan'!AJ163</f>
        <v/>
      </c>
      <c r="AI37" s="68">
        <f>'2E.ROE Scan'!AK163</f>
        <v/>
      </c>
      <c r="AJ37" s="68">
        <f>'2E.ROE Scan'!AL163</f>
        <v/>
      </c>
      <c r="AK37" s="68">
        <f>'2E.ROE Scan'!AM163</f>
        <v/>
      </c>
      <c r="AL37" s="68">
        <f>'2E.ROE Scan'!AN163</f>
        <v/>
      </c>
      <c r="AM37" s="68">
        <f>'2E.ROE Scan'!AO163</f>
        <v/>
      </c>
      <c r="AN37" s="68">
        <f>'2E.ROE Scan'!AP163</f>
        <v/>
      </c>
      <c r="AO37" s="68">
        <f>'2E.ROE Scan'!AQ163</f>
        <v/>
      </c>
      <c r="AP37" s="68">
        <f>'2E.ROE Scan'!AR163</f>
        <v/>
      </c>
      <c r="AQ37" s="68">
        <f>'2E.ROE Scan'!AS163</f>
        <v/>
      </c>
      <c r="AR37" s="68">
        <f>'2E.ROE Scan'!AT163</f>
        <v/>
      </c>
      <c r="AS37" s="68">
        <f>'2E.ROE Scan'!AU163</f>
        <v/>
      </c>
      <c r="AT37" s="68">
        <f>'2E.ROE Scan'!AV163</f>
        <v/>
      </c>
      <c r="AU37" s="68">
        <f>'2E.ROE Scan'!AW163</f>
        <v/>
      </c>
      <c r="AV37" s="68">
        <f>'2E.ROE Scan'!AX163</f>
        <v/>
      </c>
      <c r="AW37" s="68">
        <f>'2E.ROE Scan'!AY163</f>
        <v/>
      </c>
      <c r="AX37" s="68">
        <f>'2E.ROE Scan'!AZ163</f>
        <v/>
      </c>
      <c r="AY37" s="68">
        <f>'2E.ROE Scan'!BA163</f>
        <v/>
      </c>
      <c r="AZ37" s="68">
        <f>'2E.ROE Scan'!BB163</f>
        <v/>
      </c>
    </row>
    <row r="38" ht="16.5" customHeight="1" s="179">
      <c r="B38" s="65">
        <f>'2D Mapping'!H30</f>
        <v/>
      </c>
      <c r="C38" s="68">
        <f>'2E.ROE Scan'!E164</f>
        <v/>
      </c>
      <c r="D38" s="68">
        <f>'2E.ROE Scan'!F164</f>
        <v/>
      </c>
      <c r="E38" s="68">
        <f>'2E.ROE Scan'!G164</f>
        <v/>
      </c>
      <c r="F38" s="68">
        <f>'2E.ROE Scan'!H164</f>
        <v/>
      </c>
      <c r="G38" s="68">
        <f>'2E.ROE Scan'!I164</f>
        <v/>
      </c>
      <c r="H38" s="68">
        <f>'2E.ROE Scan'!J164</f>
        <v/>
      </c>
      <c r="I38" s="68">
        <f>'2E.ROE Scan'!K164</f>
        <v/>
      </c>
      <c r="J38" s="68">
        <f>'2E.ROE Scan'!L164</f>
        <v/>
      </c>
      <c r="K38" s="68">
        <f>'2E.ROE Scan'!M164</f>
        <v/>
      </c>
      <c r="L38" s="68">
        <f>'2E.ROE Scan'!N164</f>
        <v/>
      </c>
      <c r="M38" s="68">
        <f>'2E.ROE Scan'!O164</f>
        <v/>
      </c>
      <c r="N38" s="68">
        <f>'2E.ROE Scan'!P164</f>
        <v/>
      </c>
      <c r="O38" s="68">
        <f>'2E.ROE Scan'!Q164</f>
        <v/>
      </c>
      <c r="P38" s="68">
        <f>'2E.ROE Scan'!R164</f>
        <v/>
      </c>
      <c r="Q38" s="68">
        <f>'2E.ROE Scan'!S164</f>
        <v/>
      </c>
      <c r="R38" s="68">
        <f>'2E.ROE Scan'!T164</f>
        <v/>
      </c>
      <c r="S38" s="68">
        <f>'2E.ROE Scan'!U164</f>
        <v/>
      </c>
      <c r="T38" s="68">
        <f>'2E.ROE Scan'!V164</f>
        <v/>
      </c>
      <c r="U38" s="68">
        <f>'2E.ROE Scan'!W164</f>
        <v/>
      </c>
      <c r="V38" s="68">
        <f>'2E.ROE Scan'!X164</f>
        <v/>
      </c>
      <c r="W38" s="68">
        <f>'2E.ROE Scan'!Y164</f>
        <v/>
      </c>
      <c r="X38" s="68">
        <f>'2E.ROE Scan'!Z164</f>
        <v/>
      </c>
      <c r="Y38" s="68">
        <f>'2E.ROE Scan'!AA164</f>
        <v/>
      </c>
      <c r="Z38" s="68">
        <f>'2E.ROE Scan'!AB164</f>
        <v/>
      </c>
      <c r="AA38" s="68">
        <f>'2E.ROE Scan'!AC164</f>
        <v/>
      </c>
      <c r="AB38" s="68">
        <f>'2E.ROE Scan'!AD164</f>
        <v/>
      </c>
      <c r="AC38" s="68">
        <f>'2E.ROE Scan'!AE164</f>
        <v/>
      </c>
      <c r="AD38" s="68">
        <f>'2E.ROE Scan'!AF164</f>
        <v/>
      </c>
      <c r="AE38" s="68">
        <f>'2E.ROE Scan'!AG164</f>
        <v/>
      </c>
      <c r="AF38" s="68">
        <f>'2E.ROE Scan'!AH164</f>
        <v/>
      </c>
      <c r="AG38" s="68">
        <f>'2E.ROE Scan'!AI164</f>
        <v/>
      </c>
      <c r="AH38" s="68">
        <f>'2E.ROE Scan'!AJ164</f>
        <v/>
      </c>
      <c r="AI38" s="68">
        <f>'2E.ROE Scan'!AK164</f>
        <v/>
      </c>
      <c r="AJ38" s="68">
        <f>'2E.ROE Scan'!AL164</f>
        <v/>
      </c>
      <c r="AK38" s="68">
        <f>'2E.ROE Scan'!AM164</f>
        <v/>
      </c>
      <c r="AL38" s="68">
        <f>'2E.ROE Scan'!AN164</f>
        <v/>
      </c>
      <c r="AM38" s="68">
        <f>'2E.ROE Scan'!AO164</f>
        <v/>
      </c>
      <c r="AN38" s="68">
        <f>'2E.ROE Scan'!AP164</f>
        <v/>
      </c>
      <c r="AO38" s="68">
        <f>'2E.ROE Scan'!AQ164</f>
        <v/>
      </c>
      <c r="AP38" s="68">
        <f>'2E.ROE Scan'!AR164</f>
        <v/>
      </c>
      <c r="AQ38" s="68">
        <f>'2E.ROE Scan'!AS164</f>
        <v/>
      </c>
      <c r="AR38" s="68">
        <f>'2E.ROE Scan'!AT164</f>
        <v/>
      </c>
      <c r="AS38" s="68">
        <f>'2E.ROE Scan'!AU164</f>
        <v/>
      </c>
      <c r="AT38" s="68">
        <f>'2E.ROE Scan'!AV164</f>
        <v/>
      </c>
      <c r="AU38" s="68">
        <f>'2E.ROE Scan'!AW164</f>
        <v/>
      </c>
      <c r="AV38" s="68">
        <f>'2E.ROE Scan'!AX164</f>
        <v/>
      </c>
      <c r="AW38" s="68">
        <f>'2E.ROE Scan'!AY164</f>
        <v/>
      </c>
      <c r="AX38" s="68">
        <f>'2E.ROE Scan'!AZ164</f>
        <v/>
      </c>
      <c r="AY38" s="68">
        <f>'2E.ROE Scan'!BA164</f>
        <v/>
      </c>
      <c r="AZ38" s="68">
        <f>'2E.ROE Scan'!BB164</f>
        <v/>
      </c>
    </row>
    <row r="39" ht="16.5" customHeight="1" s="179">
      <c r="B39" s="65">
        <f>'2D Mapping'!H31</f>
        <v/>
      </c>
      <c r="C39" s="68">
        <f>'2E.ROE Scan'!E165</f>
        <v/>
      </c>
      <c r="D39" s="68">
        <f>'2E.ROE Scan'!F165</f>
        <v/>
      </c>
      <c r="E39" s="68">
        <f>'2E.ROE Scan'!G165</f>
        <v/>
      </c>
      <c r="F39" s="68">
        <f>'2E.ROE Scan'!H165</f>
        <v/>
      </c>
      <c r="G39" s="68">
        <f>'2E.ROE Scan'!I165</f>
        <v/>
      </c>
      <c r="H39" s="68">
        <f>'2E.ROE Scan'!J165</f>
        <v/>
      </c>
      <c r="I39" s="68">
        <f>'2E.ROE Scan'!K165</f>
        <v/>
      </c>
      <c r="J39" s="68">
        <f>'2E.ROE Scan'!L165</f>
        <v/>
      </c>
      <c r="K39" s="68">
        <f>'2E.ROE Scan'!M165</f>
        <v/>
      </c>
      <c r="L39" s="68">
        <f>'2E.ROE Scan'!N165</f>
        <v/>
      </c>
      <c r="M39" s="68">
        <f>'2E.ROE Scan'!O165</f>
        <v/>
      </c>
      <c r="N39" s="68">
        <f>'2E.ROE Scan'!P165</f>
        <v/>
      </c>
      <c r="O39" s="68">
        <f>'2E.ROE Scan'!Q165</f>
        <v/>
      </c>
      <c r="P39" s="68">
        <f>'2E.ROE Scan'!R165</f>
        <v/>
      </c>
      <c r="Q39" s="68">
        <f>'2E.ROE Scan'!S165</f>
        <v/>
      </c>
      <c r="R39" s="68">
        <f>'2E.ROE Scan'!T165</f>
        <v/>
      </c>
      <c r="S39" s="68">
        <f>'2E.ROE Scan'!U165</f>
        <v/>
      </c>
      <c r="T39" s="68">
        <f>'2E.ROE Scan'!V165</f>
        <v/>
      </c>
      <c r="U39" s="68">
        <f>'2E.ROE Scan'!W165</f>
        <v/>
      </c>
      <c r="V39" s="68">
        <f>'2E.ROE Scan'!X165</f>
        <v/>
      </c>
      <c r="W39" s="68">
        <f>'2E.ROE Scan'!Y165</f>
        <v/>
      </c>
      <c r="X39" s="68">
        <f>'2E.ROE Scan'!Z165</f>
        <v/>
      </c>
      <c r="Y39" s="68">
        <f>'2E.ROE Scan'!AA165</f>
        <v/>
      </c>
      <c r="Z39" s="68">
        <f>'2E.ROE Scan'!AB165</f>
        <v/>
      </c>
      <c r="AA39" s="68">
        <f>'2E.ROE Scan'!AC165</f>
        <v/>
      </c>
      <c r="AB39" s="68">
        <f>'2E.ROE Scan'!AD165</f>
        <v/>
      </c>
      <c r="AC39" s="68">
        <f>'2E.ROE Scan'!AE165</f>
        <v/>
      </c>
      <c r="AD39" s="68">
        <f>'2E.ROE Scan'!AF165</f>
        <v/>
      </c>
      <c r="AE39" s="68">
        <f>'2E.ROE Scan'!AG165</f>
        <v/>
      </c>
      <c r="AF39" s="68">
        <f>'2E.ROE Scan'!AH165</f>
        <v/>
      </c>
      <c r="AG39" s="68">
        <f>'2E.ROE Scan'!AI165</f>
        <v/>
      </c>
      <c r="AH39" s="68">
        <f>'2E.ROE Scan'!AJ165</f>
        <v/>
      </c>
      <c r="AI39" s="68">
        <f>'2E.ROE Scan'!AK165</f>
        <v/>
      </c>
      <c r="AJ39" s="68">
        <f>'2E.ROE Scan'!AL165</f>
        <v/>
      </c>
      <c r="AK39" s="68">
        <f>'2E.ROE Scan'!AM165</f>
        <v/>
      </c>
      <c r="AL39" s="68">
        <f>'2E.ROE Scan'!AN165</f>
        <v/>
      </c>
      <c r="AM39" s="68">
        <f>'2E.ROE Scan'!AO165</f>
        <v/>
      </c>
      <c r="AN39" s="68">
        <f>'2E.ROE Scan'!AP165</f>
        <v/>
      </c>
      <c r="AO39" s="68">
        <f>'2E.ROE Scan'!AQ165</f>
        <v/>
      </c>
      <c r="AP39" s="68">
        <f>'2E.ROE Scan'!AR165</f>
        <v/>
      </c>
      <c r="AQ39" s="68">
        <f>'2E.ROE Scan'!AS165</f>
        <v/>
      </c>
      <c r="AR39" s="68">
        <f>'2E.ROE Scan'!AT165</f>
        <v/>
      </c>
      <c r="AS39" s="68">
        <f>'2E.ROE Scan'!AU165</f>
        <v/>
      </c>
      <c r="AT39" s="68">
        <f>'2E.ROE Scan'!AV165</f>
        <v/>
      </c>
      <c r="AU39" s="68">
        <f>'2E.ROE Scan'!AW165</f>
        <v/>
      </c>
      <c r="AV39" s="68">
        <f>'2E.ROE Scan'!AX165</f>
        <v/>
      </c>
      <c r="AW39" s="68">
        <f>'2E.ROE Scan'!AY165</f>
        <v/>
      </c>
      <c r="AX39" s="68">
        <f>'2E.ROE Scan'!AZ165</f>
        <v/>
      </c>
      <c r="AY39" s="68">
        <f>'2E.ROE Scan'!BA165</f>
        <v/>
      </c>
      <c r="AZ39" s="68">
        <f>'2E.ROE Scan'!BB165</f>
        <v/>
      </c>
    </row>
    <row r="40" ht="16.5" customHeight="1" s="179">
      <c r="B40" s="65">
        <f>'2D Mapping'!H32</f>
        <v/>
      </c>
      <c r="C40" s="68">
        <f>'2E.ROE Scan'!E166</f>
        <v/>
      </c>
      <c r="D40" s="68">
        <f>'2E.ROE Scan'!F166</f>
        <v/>
      </c>
      <c r="E40" s="68">
        <f>'2E.ROE Scan'!G166</f>
        <v/>
      </c>
      <c r="F40" s="68">
        <f>'2E.ROE Scan'!H166</f>
        <v/>
      </c>
      <c r="G40" s="68">
        <f>'2E.ROE Scan'!I166</f>
        <v/>
      </c>
      <c r="H40" s="68">
        <f>'2E.ROE Scan'!J166</f>
        <v/>
      </c>
      <c r="I40" s="68">
        <f>'2E.ROE Scan'!K166</f>
        <v/>
      </c>
      <c r="J40" s="68">
        <f>'2E.ROE Scan'!L166</f>
        <v/>
      </c>
      <c r="K40" s="68">
        <f>'2E.ROE Scan'!M166</f>
        <v/>
      </c>
      <c r="L40" s="68">
        <f>'2E.ROE Scan'!N166</f>
        <v/>
      </c>
      <c r="M40" s="68">
        <f>'2E.ROE Scan'!O166</f>
        <v/>
      </c>
      <c r="N40" s="68">
        <f>'2E.ROE Scan'!P166</f>
        <v/>
      </c>
      <c r="O40" s="68">
        <f>'2E.ROE Scan'!Q166</f>
        <v/>
      </c>
      <c r="P40" s="68">
        <f>'2E.ROE Scan'!R166</f>
        <v/>
      </c>
      <c r="Q40" s="68">
        <f>'2E.ROE Scan'!S166</f>
        <v/>
      </c>
      <c r="R40" s="68">
        <f>'2E.ROE Scan'!T166</f>
        <v/>
      </c>
      <c r="S40" s="68">
        <f>'2E.ROE Scan'!U166</f>
        <v/>
      </c>
      <c r="T40" s="68">
        <f>'2E.ROE Scan'!V166</f>
        <v/>
      </c>
      <c r="U40" s="68">
        <f>'2E.ROE Scan'!W166</f>
        <v/>
      </c>
      <c r="V40" s="68">
        <f>'2E.ROE Scan'!X166</f>
        <v/>
      </c>
      <c r="W40" s="68">
        <f>'2E.ROE Scan'!Y166</f>
        <v/>
      </c>
      <c r="X40" s="68">
        <f>'2E.ROE Scan'!Z166</f>
        <v/>
      </c>
      <c r="Y40" s="68">
        <f>'2E.ROE Scan'!AA166</f>
        <v/>
      </c>
      <c r="Z40" s="68">
        <f>'2E.ROE Scan'!AB166</f>
        <v/>
      </c>
      <c r="AA40" s="68">
        <f>'2E.ROE Scan'!AC166</f>
        <v/>
      </c>
      <c r="AB40" s="68">
        <f>'2E.ROE Scan'!AD166</f>
        <v/>
      </c>
      <c r="AC40" s="68">
        <f>'2E.ROE Scan'!AE166</f>
        <v/>
      </c>
      <c r="AD40" s="68">
        <f>'2E.ROE Scan'!AF166</f>
        <v/>
      </c>
      <c r="AE40" s="68">
        <f>'2E.ROE Scan'!AG166</f>
        <v/>
      </c>
      <c r="AF40" s="68">
        <f>'2E.ROE Scan'!AH166</f>
        <v/>
      </c>
      <c r="AG40" s="68">
        <f>'2E.ROE Scan'!AI166</f>
        <v/>
      </c>
      <c r="AH40" s="68">
        <f>'2E.ROE Scan'!AJ166</f>
        <v/>
      </c>
      <c r="AI40" s="68">
        <f>'2E.ROE Scan'!AK166</f>
        <v/>
      </c>
      <c r="AJ40" s="68">
        <f>'2E.ROE Scan'!AL166</f>
        <v/>
      </c>
      <c r="AK40" s="68">
        <f>'2E.ROE Scan'!AM166</f>
        <v/>
      </c>
      <c r="AL40" s="68">
        <f>'2E.ROE Scan'!AN166</f>
        <v/>
      </c>
      <c r="AM40" s="68">
        <f>'2E.ROE Scan'!AO166</f>
        <v/>
      </c>
      <c r="AN40" s="68">
        <f>'2E.ROE Scan'!AP166</f>
        <v/>
      </c>
      <c r="AO40" s="68">
        <f>'2E.ROE Scan'!AQ166</f>
        <v/>
      </c>
      <c r="AP40" s="68">
        <f>'2E.ROE Scan'!AR166</f>
        <v/>
      </c>
      <c r="AQ40" s="68">
        <f>'2E.ROE Scan'!AS166</f>
        <v/>
      </c>
      <c r="AR40" s="68">
        <f>'2E.ROE Scan'!AT166</f>
        <v/>
      </c>
      <c r="AS40" s="68">
        <f>'2E.ROE Scan'!AU166</f>
        <v/>
      </c>
      <c r="AT40" s="68">
        <f>'2E.ROE Scan'!AV166</f>
        <v/>
      </c>
      <c r="AU40" s="68">
        <f>'2E.ROE Scan'!AW166</f>
        <v/>
      </c>
      <c r="AV40" s="68">
        <f>'2E.ROE Scan'!AX166</f>
        <v/>
      </c>
      <c r="AW40" s="68">
        <f>'2E.ROE Scan'!AY166</f>
        <v/>
      </c>
      <c r="AX40" s="68">
        <f>'2E.ROE Scan'!AZ166</f>
        <v/>
      </c>
      <c r="AY40" s="68">
        <f>'2E.ROE Scan'!BA166</f>
        <v/>
      </c>
      <c r="AZ40" s="68">
        <f>'2E.ROE Scan'!BB166</f>
        <v/>
      </c>
    </row>
    <row r="41" ht="16.5" customHeight="1" s="179">
      <c r="B41" s="65">
        <f>'2D Mapping'!H33</f>
        <v/>
      </c>
      <c r="C41" s="68">
        <f>'2E.ROE Scan'!E167</f>
        <v/>
      </c>
      <c r="D41" s="68">
        <f>'2E.ROE Scan'!F167</f>
        <v/>
      </c>
      <c r="E41" s="68">
        <f>'2E.ROE Scan'!G167</f>
        <v/>
      </c>
      <c r="F41" s="68">
        <f>'2E.ROE Scan'!H167</f>
        <v/>
      </c>
      <c r="G41" s="68">
        <f>'2E.ROE Scan'!I167</f>
        <v/>
      </c>
      <c r="H41" s="68">
        <f>'2E.ROE Scan'!J167</f>
        <v/>
      </c>
      <c r="I41" s="68">
        <f>'2E.ROE Scan'!K167</f>
        <v/>
      </c>
      <c r="J41" s="68">
        <f>'2E.ROE Scan'!L167</f>
        <v/>
      </c>
      <c r="K41" s="68">
        <f>'2E.ROE Scan'!M167</f>
        <v/>
      </c>
      <c r="L41" s="68">
        <f>'2E.ROE Scan'!N167</f>
        <v/>
      </c>
      <c r="M41" s="68">
        <f>'2E.ROE Scan'!O167</f>
        <v/>
      </c>
      <c r="N41" s="68">
        <f>'2E.ROE Scan'!P167</f>
        <v/>
      </c>
      <c r="O41" s="68">
        <f>'2E.ROE Scan'!Q167</f>
        <v/>
      </c>
      <c r="P41" s="68">
        <f>'2E.ROE Scan'!R167</f>
        <v/>
      </c>
      <c r="Q41" s="68">
        <f>'2E.ROE Scan'!S167</f>
        <v/>
      </c>
      <c r="R41" s="68">
        <f>'2E.ROE Scan'!T167</f>
        <v/>
      </c>
      <c r="S41" s="68">
        <f>'2E.ROE Scan'!U167</f>
        <v/>
      </c>
      <c r="T41" s="68">
        <f>'2E.ROE Scan'!V167</f>
        <v/>
      </c>
      <c r="U41" s="68">
        <f>'2E.ROE Scan'!W167</f>
        <v/>
      </c>
      <c r="V41" s="68">
        <f>'2E.ROE Scan'!X167</f>
        <v/>
      </c>
      <c r="W41" s="68">
        <f>'2E.ROE Scan'!Y167</f>
        <v/>
      </c>
      <c r="X41" s="68">
        <f>'2E.ROE Scan'!Z167</f>
        <v/>
      </c>
      <c r="Y41" s="68">
        <f>'2E.ROE Scan'!AA167</f>
        <v/>
      </c>
      <c r="Z41" s="68">
        <f>'2E.ROE Scan'!AB167</f>
        <v/>
      </c>
      <c r="AA41" s="68">
        <f>'2E.ROE Scan'!AC167</f>
        <v/>
      </c>
      <c r="AB41" s="68">
        <f>'2E.ROE Scan'!AD167</f>
        <v/>
      </c>
      <c r="AC41" s="68">
        <f>'2E.ROE Scan'!AE167</f>
        <v/>
      </c>
      <c r="AD41" s="68">
        <f>'2E.ROE Scan'!AF167</f>
        <v/>
      </c>
      <c r="AE41" s="68">
        <f>'2E.ROE Scan'!AG167</f>
        <v/>
      </c>
      <c r="AF41" s="68">
        <f>'2E.ROE Scan'!AH167</f>
        <v/>
      </c>
      <c r="AG41" s="68">
        <f>'2E.ROE Scan'!AI167</f>
        <v/>
      </c>
      <c r="AH41" s="68">
        <f>'2E.ROE Scan'!AJ167</f>
        <v/>
      </c>
      <c r="AI41" s="68">
        <f>'2E.ROE Scan'!AK167</f>
        <v/>
      </c>
      <c r="AJ41" s="68">
        <f>'2E.ROE Scan'!AL167</f>
        <v/>
      </c>
      <c r="AK41" s="68">
        <f>'2E.ROE Scan'!AM167</f>
        <v/>
      </c>
      <c r="AL41" s="68">
        <f>'2E.ROE Scan'!AN167</f>
        <v/>
      </c>
      <c r="AM41" s="68">
        <f>'2E.ROE Scan'!AO167</f>
        <v/>
      </c>
      <c r="AN41" s="68">
        <f>'2E.ROE Scan'!AP167</f>
        <v/>
      </c>
      <c r="AO41" s="68">
        <f>'2E.ROE Scan'!AQ167</f>
        <v/>
      </c>
      <c r="AP41" s="68">
        <f>'2E.ROE Scan'!AR167</f>
        <v/>
      </c>
      <c r="AQ41" s="68">
        <f>'2E.ROE Scan'!AS167</f>
        <v/>
      </c>
      <c r="AR41" s="68">
        <f>'2E.ROE Scan'!AT167</f>
        <v/>
      </c>
      <c r="AS41" s="68">
        <f>'2E.ROE Scan'!AU167</f>
        <v/>
      </c>
      <c r="AT41" s="68">
        <f>'2E.ROE Scan'!AV167</f>
        <v/>
      </c>
      <c r="AU41" s="68">
        <f>'2E.ROE Scan'!AW167</f>
        <v/>
      </c>
      <c r="AV41" s="68">
        <f>'2E.ROE Scan'!AX167</f>
        <v/>
      </c>
      <c r="AW41" s="68">
        <f>'2E.ROE Scan'!AY167</f>
        <v/>
      </c>
      <c r="AX41" s="68">
        <f>'2E.ROE Scan'!AZ167</f>
        <v/>
      </c>
      <c r="AY41" s="68">
        <f>'2E.ROE Scan'!BA167</f>
        <v/>
      </c>
      <c r="AZ41" s="68">
        <f>'2E.ROE Scan'!BB167</f>
        <v/>
      </c>
    </row>
    <row r="42" ht="16.5" customHeight="1" s="179">
      <c r="B42" s="65">
        <f>'2D Mapping'!H34</f>
        <v/>
      </c>
      <c r="C42" s="68">
        <f>'2E.ROE Scan'!E168</f>
        <v/>
      </c>
      <c r="D42" s="68">
        <f>'2E.ROE Scan'!F168</f>
        <v/>
      </c>
      <c r="E42" s="68">
        <f>'2E.ROE Scan'!G168</f>
        <v/>
      </c>
      <c r="F42" s="68">
        <f>'2E.ROE Scan'!H168</f>
        <v/>
      </c>
      <c r="G42" s="68">
        <f>'2E.ROE Scan'!I168</f>
        <v/>
      </c>
      <c r="H42" s="68">
        <f>'2E.ROE Scan'!J168</f>
        <v/>
      </c>
      <c r="I42" s="68">
        <f>'2E.ROE Scan'!K168</f>
        <v/>
      </c>
      <c r="J42" s="68">
        <f>'2E.ROE Scan'!L168</f>
        <v/>
      </c>
      <c r="K42" s="68">
        <f>'2E.ROE Scan'!M168</f>
        <v/>
      </c>
      <c r="L42" s="68">
        <f>'2E.ROE Scan'!N168</f>
        <v/>
      </c>
      <c r="M42" s="68">
        <f>'2E.ROE Scan'!O168</f>
        <v/>
      </c>
      <c r="N42" s="68">
        <f>'2E.ROE Scan'!P168</f>
        <v/>
      </c>
      <c r="O42" s="68">
        <f>'2E.ROE Scan'!Q168</f>
        <v/>
      </c>
      <c r="P42" s="68">
        <f>'2E.ROE Scan'!R168</f>
        <v/>
      </c>
      <c r="Q42" s="68">
        <f>'2E.ROE Scan'!S168</f>
        <v/>
      </c>
      <c r="R42" s="68">
        <f>'2E.ROE Scan'!T168</f>
        <v/>
      </c>
      <c r="S42" s="68">
        <f>'2E.ROE Scan'!U168</f>
        <v/>
      </c>
      <c r="T42" s="68">
        <f>'2E.ROE Scan'!V168</f>
        <v/>
      </c>
      <c r="U42" s="68">
        <f>'2E.ROE Scan'!W168</f>
        <v/>
      </c>
      <c r="V42" s="68">
        <f>'2E.ROE Scan'!X168</f>
        <v/>
      </c>
      <c r="W42" s="68">
        <f>'2E.ROE Scan'!Y168</f>
        <v/>
      </c>
      <c r="X42" s="68">
        <f>'2E.ROE Scan'!Z168</f>
        <v/>
      </c>
      <c r="Y42" s="68">
        <f>'2E.ROE Scan'!AA168</f>
        <v/>
      </c>
      <c r="Z42" s="68">
        <f>'2E.ROE Scan'!AB168</f>
        <v/>
      </c>
      <c r="AA42" s="68">
        <f>'2E.ROE Scan'!AC168</f>
        <v/>
      </c>
      <c r="AB42" s="68">
        <f>'2E.ROE Scan'!AD168</f>
        <v/>
      </c>
      <c r="AC42" s="68">
        <f>'2E.ROE Scan'!AE168</f>
        <v/>
      </c>
      <c r="AD42" s="68">
        <f>'2E.ROE Scan'!AF168</f>
        <v/>
      </c>
      <c r="AE42" s="68">
        <f>'2E.ROE Scan'!AG168</f>
        <v/>
      </c>
      <c r="AF42" s="68">
        <f>'2E.ROE Scan'!AH168</f>
        <v/>
      </c>
      <c r="AG42" s="68">
        <f>'2E.ROE Scan'!AI168</f>
        <v/>
      </c>
      <c r="AH42" s="68">
        <f>'2E.ROE Scan'!AJ168</f>
        <v/>
      </c>
      <c r="AI42" s="68">
        <f>'2E.ROE Scan'!AK168</f>
        <v/>
      </c>
      <c r="AJ42" s="68">
        <f>'2E.ROE Scan'!AL168</f>
        <v/>
      </c>
      <c r="AK42" s="68">
        <f>'2E.ROE Scan'!AM168</f>
        <v/>
      </c>
      <c r="AL42" s="68">
        <f>'2E.ROE Scan'!AN168</f>
        <v/>
      </c>
      <c r="AM42" s="68">
        <f>'2E.ROE Scan'!AO168</f>
        <v/>
      </c>
      <c r="AN42" s="68">
        <f>'2E.ROE Scan'!AP168</f>
        <v/>
      </c>
      <c r="AO42" s="68">
        <f>'2E.ROE Scan'!AQ168</f>
        <v/>
      </c>
      <c r="AP42" s="68">
        <f>'2E.ROE Scan'!AR168</f>
        <v/>
      </c>
      <c r="AQ42" s="68">
        <f>'2E.ROE Scan'!AS168</f>
        <v/>
      </c>
      <c r="AR42" s="68">
        <f>'2E.ROE Scan'!AT168</f>
        <v/>
      </c>
      <c r="AS42" s="68">
        <f>'2E.ROE Scan'!AU168</f>
        <v/>
      </c>
      <c r="AT42" s="68">
        <f>'2E.ROE Scan'!AV168</f>
        <v/>
      </c>
      <c r="AU42" s="68">
        <f>'2E.ROE Scan'!AW168</f>
        <v/>
      </c>
      <c r="AV42" s="68">
        <f>'2E.ROE Scan'!AX168</f>
        <v/>
      </c>
      <c r="AW42" s="68">
        <f>'2E.ROE Scan'!AY168</f>
        <v/>
      </c>
      <c r="AX42" s="68">
        <f>'2E.ROE Scan'!AZ168</f>
        <v/>
      </c>
      <c r="AY42" s="68">
        <f>'2E.ROE Scan'!BA168</f>
        <v/>
      </c>
      <c r="AZ42" s="68">
        <f>'2E.ROE Scan'!BB168</f>
        <v/>
      </c>
    </row>
    <row r="43" ht="16.5" customHeight="1" s="179">
      <c r="B43" s="65">
        <f>'2D Mapping'!H35</f>
        <v/>
      </c>
      <c r="C43" s="68">
        <f>'2E.ROE Scan'!E169</f>
        <v/>
      </c>
      <c r="D43" s="68">
        <f>'2E.ROE Scan'!F169</f>
        <v/>
      </c>
      <c r="E43" s="68">
        <f>'2E.ROE Scan'!G169</f>
        <v/>
      </c>
      <c r="F43" s="68">
        <f>'2E.ROE Scan'!H169</f>
        <v/>
      </c>
      <c r="G43" s="68">
        <f>'2E.ROE Scan'!I169</f>
        <v/>
      </c>
      <c r="H43" s="68">
        <f>'2E.ROE Scan'!J169</f>
        <v/>
      </c>
      <c r="I43" s="68">
        <f>'2E.ROE Scan'!K169</f>
        <v/>
      </c>
      <c r="J43" s="68">
        <f>'2E.ROE Scan'!L169</f>
        <v/>
      </c>
      <c r="K43" s="68">
        <f>'2E.ROE Scan'!M169</f>
        <v/>
      </c>
      <c r="L43" s="68">
        <f>'2E.ROE Scan'!N169</f>
        <v/>
      </c>
      <c r="M43" s="68">
        <f>'2E.ROE Scan'!O169</f>
        <v/>
      </c>
      <c r="N43" s="68">
        <f>'2E.ROE Scan'!P169</f>
        <v/>
      </c>
      <c r="O43" s="68">
        <f>'2E.ROE Scan'!Q169</f>
        <v/>
      </c>
      <c r="P43" s="68">
        <f>'2E.ROE Scan'!R169</f>
        <v/>
      </c>
      <c r="Q43" s="68">
        <f>'2E.ROE Scan'!S169</f>
        <v/>
      </c>
      <c r="R43" s="68">
        <f>'2E.ROE Scan'!T169</f>
        <v/>
      </c>
      <c r="S43" s="68">
        <f>'2E.ROE Scan'!U169</f>
        <v/>
      </c>
      <c r="T43" s="68">
        <f>'2E.ROE Scan'!V169</f>
        <v/>
      </c>
      <c r="U43" s="68">
        <f>'2E.ROE Scan'!W169</f>
        <v/>
      </c>
      <c r="V43" s="68">
        <f>'2E.ROE Scan'!X169</f>
        <v/>
      </c>
      <c r="W43" s="68">
        <f>'2E.ROE Scan'!Y169</f>
        <v/>
      </c>
      <c r="X43" s="68">
        <f>'2E.ROE Scan'!Z169</f>
        <v/>
      </c>
      <c r="Y43" s="68">
        <f>'2E.ROE Scan'!AA169</f>
        <v/>
      </c>
      <c r="Z43" s="68">
        <f>'2E.ROE Scan'!AB169</f>
        <v/>
      </c>
      <c r="AA43" s="68">
        <f>'2E.ROE Scan'!AC169</f>
        <v/>
      </c>
      <c r="AB43" s="68">
        <f>'2E.ROE Scan'!AD169</f>
        <v/>
      </c>
      <c r="AC43" s="68">
        <f>'2E.ROE Scan'!AE169</f>
        <v/>
      </c>
      <c r="AD43" s="68">
        <f>'2E.ROE Scan'!AF169</f>
        <v/>
      </c>
      <c r="AE43" s="68">
        <f>'2E.ROE Scan'!AG169</f>
        <v/>
      </c>
      <c r="AF43" s="68">
        <f>'2E.ROE Scan'!AH169</f>
        <v/>
      </c>
      <c r="AG43" s="68">
        <f>'2E.ROE Scan'!AI169</f>
        <v/>
      </c>
      <c r="AH43" s="68">
        <f>'2E.ROE Scan'!AJ169</f>
        <v/>
      </c>
      <c r="AI43" s="68">
        <f>'2E.ROE Scan'!AK169</f>
        <v/>
      </c>
      <c r="AJ43" s="68">
        <f>'2E.ROE Scan'!AL169</f>
        <v/>
      </c>
      <c r="AK43" s="68">
        <f>'2E.ROE Scan'!AM169</f>
        <v/>
      </c>
      <c r="AL43" s="68">
        <f>'2E.ROE Scan'!AN169</f>
        <v/>
      </c>
      <c r="AM43" s="68">
        <f>'2E.ROE Scan'!AO169</f>
        <v/>
      </c>
      <c r="AN43" s="68">
        <f>'2E.ROE Scan'!AP169</f>
        <v/>
      </c>
      <c r="AO43" s="68">
        <f>'2E.ROE Scan'!AQ169</f>
        <v/>
      </c>
      <c r="AP43" s="68">
        <f>'2E.ROE Scan'!AR169</f>
        <v/>
      </c>
      <c r="AQ43" s="68">
        <f>'2E.ROE Scan'!AS169</f>
        <v/>
      </c>
      <c r="AR43" s="68">
        <f>'2E.ROE Scan'!AT169</f>
        <v/>
      </c>
      <c r="AS43" s="68">
        <f>'2E.ROE Scan'!AU169</f>
        <v/>
      </c>
      <c r="AT43" s="68">
        <f>'2E.ROE Scan'!AV169</f>
        <v/>
      </c>
      <c r="AU43" s="68">
        <f>'2E.ROE Scan'!AW169</f>
        <v/>
      </c>
      <c r="AV43" s="68">
        <f>'2E.ROE Scan'!AX169</f>
        <v/>
      </c>
      <c r="AW43" s="68">
        <f>'2E.ROE Scan'!AY169</f>
        <v/>
      </c>
      <c r="AX43" s="68">
        <f>'2E.ROE Scan'!AZ169</f>
        <v/>
      </c>
      <c r="AY43" s="68">
        <f>'2E.ROE Scan'!BA169</f>
        <v/>
      </c>
      <c r="AZ43" s="68">
        <f>'2E.ROE Scan'!BB169</f>
        <v/>
      </c>
    </row>
    <row r="44" ht="16.5" customHeight="1" s="179">
      <c r="B44" s="65">
        <f>'2D Mapping'!H36</f>
        <v/>
      </c>
      <c r="C44" s="68">
        <f>'2E.ROE Scan'!E170</f>
        <v/>
      </c>
      <c r="D44" s="68">
        <f>'2E.ROE Scan'!F170</f>
        <v/>
      </c>
      <c r="E44" s="68">
        <f>'2E.ROE Scan'!G170</f>
        <v/>
      </c>
      <c r="F44" s="68">
        <f>'2E.ROE Scan'!H170</f>
        <v/>
      </c>
      <c r="G44" s="68">
        <f>'2E.ROE Scan'!I170</f>
        <v/>
      </c>
      <c r="H44" s="68">
        <f>'2E.ROE Scan'!J170</f>
        <v/>
      </c>
      <c r="I44" s="68">
        <f>'2E.ROE Scan'!K170</f>
        <v/>
      </c>
      <c r="J44" s="68">
        <f>'2E.ROE Scan'!L170</f>
        <v/>
      </c>
      <c r="K44" s="68">
        <f>'2E.ROE Scan'!M170</f>
        <v/>
      </c>
      <c r="L44" s="68">
        <f>'2E.ROE Scan'!N170</f>
        <v/>
      </c>
      <c r="M44" s="68">
        <f>'2E.ROE Scan'!O170</f>
        <v/>
      </c>
      <c r="N44" s="68">
        <f>'2E.ROE Scan'!P170</f>
        <v/>
      </c>
      <c r="O44" s="68">
        <f>'2E.ROE Scan'!Q170</f>
        <v/>
      </c>
      <c r="P44" s="68">
        <f>'2E.ROE Scan'!R170</f>
        <v/>
      </c>
      <c r="Q44" s="68">
        <f>'2E.ROE Scan'!S170</f>
        <v/>
      </c>
      <c r="R44" s="68">
        <f>'2E.ROE Scan'!T170</f>
        <v/>
      </c>
      <c r="S44" s="68">
        <f>'2E.ROE Scan'!U170</f>
        <v/>
      </c>
      <c r="T44" s="68">
        <f>'2E.ROE Scan'!V170</f>
        <v/>
      </c>
      <c r="U44" s="68">
        <f>'2E.ROE Scan'!W170</f>
        <v/>
      </c>
      <c r="V44" s="68">
        <f>'2E.ROE Scan'!X170</f>
        <v/>
      </c>
      <c r="W44" s="68">
        <f>'2E.ROE Scan'!Y170</f>
        <v/>
      </c>
      <c r="X44" s="68">
        <f>'2E.ROE Scan'!Z170</f>
        <v/>
      </c>
      <c r="Y44" s="68">
        <f>'2E.ROE Scan'!AA170</f>
        <v/>
      </c>
      <c r="Z44" s="68">
        <f>'2E.ROE Scan'!AB170</f>
        <v/>
      </c>
      <c r="AA44" s="68">
        <f>'2E.ROE Scan'!AC170</f>
        <v/>
      </c>
      <c r="AB44" s="68">
        <f>'2E.ROE Scan'!AD170</f>
        <v/>
      </c>
      <c r="AC44" s="68">
        <f>'2E.ROE Scan'!AE170</f>
        <v/>
      </c>
      <c r="AD44" s="68">
        <f>'2E.ROE Scan'!AF170</f>
        <v/>
      </c>
      <c r="AE44" s="68">
        <f>'2E.ROE Scan'!AG170</f>
        <v/>
      </c>
      <c r="AF44" s="68">
        <f>'2E.ROE Scan'!AH170</f>
        <v/>
      </c>
      <c r="AG44" s="68">
        <f>'2E.ROE Scan'!AI170</f>
        <v/>
      </c>
      <c r="AH44" s="68">
        <f>'2E.ROE Scan'!AJ170</f>
        <v/>
      </c>
      <c r="AI44" s="68">
        <f>'2E.ROE Scan'!AK170</f>
        <v/>
      </c>
      <c r="AJ44" s="68">
        <f>'2E.ROE Scan'!AL170</f>
        <v/>
      </c>
      <c r="AK44" s="68">
        <f>'2E.ROE Scan'!AM170</f>
        <v/>
      </c>
      <c r="AL44" s="68">
        <f>'2E.ROE Scan'!AN170</f>
        <v/>
      </c>
      <c r="AM44" s="68">
        <f>'2E.ROE Scan'!AO170</f>
        <v/>
      </c>
      <c r="AN44" s="68">
        <f>'2E.ROE Scan'!AP170</f>
        <v/>
      </c>
      <c r="AO44" s="68">
        <f>'2E.ROE Scan'!AQ170</f>
        <v/>
      </c>
      <c r="AP44" s="68">
        <f>'2E.ROE Scan'!AR170</f>
        <v/>
      </c>
      <c r="AQ44" s="68">
        <f>'2E.ROE Scan'!AS170</f>
        <v/>
      </c>
      <c r="AR44" s="68">
        <f>'2E.ROE Scan'!AT170</f>
        <v/>
      </c>
      <c r="AS44" s="68">
        <f>'2E.ROE Scan'!AU170</f>
        <v/>
      </c>
      <c r="AT44" s="68">
        <f>'2E.ROE Scan'!AV170</f>
        <v/>
      </c>
      <c r="AU44" s="68">
        <f>'2E.ROE Scan'!AW170</f>
        <v/>
      </c>
      <c r="AV44" s="68">
        <f>'2E.ROE Scan'!AX170</f>
        <v/>
      </c>
      <c r="AW44" s="68">
        <f>'2E.ROE Scan'!AY170</f>
        <v/>
      </c>
      <c r="AX44" s="68">
        <f>'2E.ROE Scan'!AZ170</f>
        <v/>
      </c>
      <c r="AY44" s="68">
        <f>'2E.ROE Scan'!BA170</f>
        <v/>
      </c>
      <c r="AZ44" s="68">
        <f>'2E.ROE Scan'!BB170</f>
        <v/>
      </c>
    </row>
    <row r="47" ht="14.5" customHeight="1" s="179">
      <c r="B47" s="63" t="inlineStr">
        <is>
          <t>Absolute Impact</t>
        </is>
      </c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2" t="n"/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</row>
    <row r="48" ht="101.5" customHeight="1" s="179">
      <c r="B48" s="64" t="n"/>
      <c r="C48" s="55">
        <f>C2</f>
        <v/>
      </c>
      <c r="D48" s="55">
        <f>D2</f>
        <v/>
      </c>
      <c r="E48" s="55">
        <f>E2</f>
        <v/>
      </c>
      <c r="F48" s="55">
        <f>F2</f>
        <v/>
      </c>
      <c r="G48" s="55">
        <f>G2</f>
        <v/>
      </c>
      <c r="H48" s="55">
        <f>H2</f>
        <v/>
      </c>
      <c r="I48" s="55">
        <f>I2</f>
        <v/>
      </c>
      <c r="J48" s="55">
        <f>J2</f>
        <v/>
      </c>
      <c r="K48" s="55">
        <f>K2</f>
        <v/>
      </c>
      <c r="L48" s="55">
        <f>L2</f>
        <v/>
      </c>
      <c r="M48" s="55">
        <f>M2</f>
        <v/>
      </c>
      <c r="N48" s="55">
        <f>N2</f>
        <v/>
      </c>
      <c r="O48" s="55">
        <f>O2</f>
        <v/>
      </c>
      <c r="P48" s="55">
        <f>P2</f>
        <v/>
      </c>
      <c r="Q48" s="55">
        <f>Q2</f>
        <v/>
      </c>
      <c r="R48" s="55">
        <f>R2</f>
        <v/>
      </c>
      <c r="S48" s="55">
        <f>S2</f>
        <v/>
      </c>
      <c r="T48" s="55">
        <f>T2</f>
        <v/>
      </c>
      <c r="U48" s="55">
        <f>U2</f>
        <v/>
      </c>
      <c r="V48" s="55">
        <f>V2</f>
        <v/>
      </c>
      <c r="W48" s="55">
        <f>W2</f>
        <v/>
      </c>
      <c r="X48" s="55">
        <f>X2</f>
        <v/>
      </c>
      <c r="Y48" s="55">
        <f>Y2</f>
        <v/>
      </c>
      <c r="Z48" s="55">
        <f>Z2</f>
        <v/>
      </c>
      <c r="AA48" s="55">
        <f>AA2</f>
        <v/>
      </c>
      <c r="AB48" s="55">
        <f>AB2</f>
        <v/>
      </c>
      <c r="AC48" s="55">
        <f>AC2</f>
        <v/>
      </c>
      <c r="AD48" s="55">
        <f>AD2</f>
        <v/>
      </c>
      <c r="AE48" s="55">
        <f>AE2</f>
        <v/>
      </c>
      <c r="AF48" s="55">
        <f>AF2</f>
        <v/>
      </c>
      <c r="AG48" s="55">
        <f>AG2</f>
        <v/>
      </c>
      <c r="AH48" s="55">
        <f>AH2</f>
        <v/>
      </c>
      <c r="AI48" s="55">
        <f>AI2</f>
        <v/>
      </c>
      <c r="AJ48" s="55">
        <f>AJ2</f>
        <v/>
      </c>
      <c r="AK48" s="55">
        <f>AK2</f>
        <v/>
      </c>
      <c r="AL48" s="55">
        <f>AL2</f>
        <v/>
      </c>
      <c r="AM48" s="55">
        <f>AM2</f>
        <v/>
      </c>
      <c r="AN48" s="55">
        <f>AN2</f>
        <v/>
      </c>
      <c r="AO48" s="55">
        <f>AO2</f>
        <v/>
      </c>
      <c r="AP48" s="55">
        <f>AP2</f>
        <v/>
      </c>
      <c r="AQ48" s="55">
        <f>AQ2</f>
        <v/>
      </c>
      <c r="AR48" s="55">
        <f>AR2</f>
        <v/>
      </c>
      <c r="AS48" s="55">
        <f>AS2</f>
        <v/>
      </c>
      <c r="AT48" s="55">
        <f>AT2</f>
        <v/>
      </c>
      <c r="AU48" s="55">
        <f>AU2</f>
        <v/>
      </c>
      <c r="AV48" s="55">
        <f>AV2</f>
        <v/>
      </c>
      <c r="AW48" s="55">
        <f>AW2</f>
        <v/>
      </c>
      <c r="AX48" s="55">
        <f>AX2</f>
        <v/>
      </c>
      <c r="AY48" s="55">
        <f>AY2</f>
        <v/>
      </c>
      <c r="AZ48" s="55">
        <f>AZ2</f>
        <v/>
      </c>
    </row>
    <row r="49" ht="14.5" customHeight="1" s="179">
      <c r="B49" s="65">
        <f>B10</f>
        <v/>
      </c>
      <c r="C49" s="68">
        <f>IFERROR(C10*C$4,"")</f>
        <v/>
      </c>
      <c r="D49" s="68">
        <f>IFERROR(D10*D$4,"")</f>
        <v/>
      </c>
      <c r="E49" s="68">
        <f>IFERROR(E10*E$4,"")</f>
        <v/>
      </c>
      <c r="F49" s="68">
        <f>IFERROR(F10*F$4,"")</f>
        <v/>
      </c>
      <c r="G49" s="68">
        <f>IFERROR(G10*G$4,"")</f>
        <v/>
      </c>
      <c r="H49" s="68">
        <f>IFERROR(H10*H$4,"")</f>
        <v/>
      </c>
      <c r="I49" s="68">
        <f>IFERROR(I10*I$4,"")</f>
        <v/>
      </c>
      <c r="J49" s="68">
        <f>IFERROR(J10*J$4,"")</f>
        <v/>
      </c>
      <c r="K49" s="68">
        <f>IFERROR(K10*K$4,"")</f>
        <v/>
      </c>
      <c r="L49" s="68">
        <f>IFERROR(L10*L$4,"")</f>
        <v/>
      </c>
      <c r="M49" s="68">
        <f>IFERROR(M10*M$4,"")</f>
        <v/>
      </c>
      <c r="N49" s="68">
        <f>IFERROR(N10*N$4,"")</f>
        <v/>
      </c>
      <c r="O49" s="68">
        <f>IFERROR(O10*O$4,"")</f>
        <v/>
      </c>
      <c r="P49" s="68">
        <f>IFERROR(P10*P$4,"")</f>
        <v/>
      </c>
      <c r="Q49" s="68">
        <f>IFERROR(Q10*Q$4,"")</f>
        <v/>
      </c>
      <c r="R49" s="68">
        <f>IFERROR(R10*R$4,"")</f>
        <v/>
      </c>
      <c r="S49" s="68">
        <f>IFERROR(S10*S$4,"")</f>
        <v/>
      </c>
      <c r="T49" s="68">
        <f>IFERROR(T10*T$4,"")</f>
        <v/>
      </c>
      <c r="U49" s="68">
        <f>IFERROR(U10*U$4,"")</f>
        <v/>
      </c>
      <c r="V49" s="68">
        <f>IFERROR(V10*V$4,"")</f>
        <v/>
      </c>
      <c r="W49" s="68">
        <f>IFERROR(W10*W$4,"")</f>
        <v/>
      </c>
      <c r="X49" s="68">
        <f>IFERROR(X10*X$4,"")</f>
        <v/>
      </c>
      <c r="Y49" s="68">
        <f>IFERROR(Y10*Y$4,"")</f>
        <v/>
      </c>
      <c r="Z49" s="68">
        <f>IFERROR(Z10*Z$4,"")</f>
        <v/>
      </c>
      <c r="AA49" s="68">
        <f>IFERROR(AA10*AA$4,"")</f>
        <v/>
      </c>
      <c r="AB49" s="68">
        <f>IFERROR(AB10*AB$4,"")</f>
        <v/>
      </c>
      <c r="AC49" s="68">
        <f>IFERROR(AC10*AC$4,"")</f>
        <v/>
      </c>
      <c r="AD49" s="68">
        <f>IFERROR(AD10*AD$4,"")</f>
        <v/>
      </c>
      <c r="AE49" s="68">
        <f>IFERROR(AE10*AE$4,"")</f>
        <v/>
      </c>
      <c r="AF49" s="68">
        <f>IFERROR(AF10*AF$4,"")</f>
        <v/>
      </c>
      <c r="AG49" s="68">
        <f>IFERROR(AG10*AG$4,"")</f>
        <v/>
      </c>
      <c r="AH49" s="68">
        <f>IFERROR(AH10*AH$4,"")</f>
        <v/>
      </c>
      <c r="AI49" s="68">
        <f>IFERROR(AI10*AI$4,"")</f>
        <v/>
      </c>
      <c r="AJ49" s="68">
        <f>IFERROR(AJ10*AJ$4,"")</f>
        <v/>
      </c>
      <c r="AK49" s="68">
        <f>IFERROR(AK10*AK$4,"")</f>
        <v/>
      </c>
      <c r="AL49" s="68">
        <f>IFERROR(AL10*AL$4,"")</f>
        <v/>
      </c>
      <c r="AM49" s="68">
        <f>IFERROR(AM10*AM$4,"")</f>
        <v/>
      </c>
      <c r="AN49" s="68">
        <f>IFERROR(AN10*AN$4,"")</f>
        <v/>
      </c>
      <c r="AO49" s="68">
        <f>IFERROR(AO10*AO$4,"")</f>
        <v/>
      </c>
      <c r="AP49" s="68">
        <f>IFERROR(AP10*AP$4,"")</f>
        <v/>
      </c>
      <c r="AQ49" s="68">
        <f>IFERROR(AQ10*AQ$4,"")</f>
        <v/>
      </c>
      <c r="AR49" s="68">
        <f>IFERROR(AR10*AR$4,"")</f>
        <v/>
      </c>
      <c r="AS49" s="68">
        <f>IFERROR(AS10*AS$4,"")</f>
        <v/>
      </c>
      <c r="AT49" s="68">
        <f>IFERROR(AT10*AT$4,"")</f>
        <v/>
      </c>
      <c r="AU49" s="68">
        <f>IFERROR(AU10*AU$4,"")</f>
        <v/>
      </c>
      <c r="AV49" s="68">
        <f>IFERROR(AV10*AV$4,"")</f>
        <v/>
      </c>
      <c r="AW49" s="68">
        <f>IFERROR(AW10*AW$4,"")</f>
        <v/>
      </c>
      <c r="AX49" s="68">
        <f>IFERROR(AX10*AX$4,"")</f>
        <v/>
      </c>
      <c r="AY49" s="68">
        <f>IFERROR(AY10*AY$4,"")</f>
        <v/>
      </c>
      <c r="AZ49" s="68">
        <f>IFERROR(AZ10*AZ$4,"")</f>
        <v/>
      </c>
    </row>
    <row r="50" ht="14.5" customHeight="1" s="179">
      <c r="B50" s="65">
        <f>B11</f>
        <v/>
      </c>
      <c r="C50" s="68">
        <f>IFERROR(C11*C$4,"")</f>
        <v/>
      </c>
      <c r="D50" s="68">
        <f>IFERROR(D11*D$4,"")</f>
        <v/>
      </c>
      <c r="E50" s="68">
        <f>IFERROR(E11*E$4,"")</f>
        <v/>
      </c>
      <c r="F50" s="68">
        <f>IFERROR(F11*F$4,"")</f>
        <v/>
      </c>
      <c r="G50" s="68">
        <f>IFERROR(G11*G$4,"")</f>
        <v/>
      </c>
      <c r="H50" s="68">
        <f>IFERROR(H11*H$4,"")</f>
        <v/>
      </c>
      <c r="I50" s="68">
        <f>IFERROR(I11*I$4,"")</f>
        <v/>
      </c>
      <c r="J50" s="68">
        <f>IFERROR(J11*J$4,"")</f>
        <v/>
      </c>
      <c r="K50" s="68">
        <f>IFERROR(K11*K$4,"")</f>
        <v/>
      </c>
      <c r="L50" s="68">
        <f>IFERROR(L11*L$4,"")</f>
        <v/>
      </c>
      <c r="M50" s="68">
        <f>IFERROR(M11*M$4,"")</f>
        <v/>
      </c>
      <c r="N50" s="68">
        <f>IFERROR(N11*N$4,"")</f>
        <v/>
      </c>
      <c r="O50" s="68">
        <f>IFERROR(O11*O$4,"")</f>
        <v/>
      </c>
      <c r="P50" s="68">
        <f>IFERROR(P11*P$4,"")</f>
        <v/>
      </c>
      <c r="Q50" s="68">
        <f>IFERROR(Q11*Q$4,"")</f>
        <v/>
      </c>
      <c r="R50" s="68">
        <f>IFERROR(R11*R$4,"")</f>
        <v/>
      </c>
      <c r="S50" s="68">
        <f>IFERROR(S11*S$4,"")</f>
        <v/>
      </c>
      <c r="T50" s="68">
        <f>IFERROR(T11*T$4,"")</f>
        <v/>
      </c>
      <c r="U50" s="68">
        <f>IFERROR(U11*U$4,"")</f>
        <v/>
      </c>
      <c r="V50" s="68">
        <f>IFERROR(V11*V$4,"")</f>
        <v/>
      </c>
      <c r="W50" s="68">
        <f>IFERROR(W11*W$4,"")</f>
        <v/>
      </c>
      <c r="X50" s="68">
        <f>IFERROR(X11*X$4,"")</f>
        <v/>
      </c>
      <c r="Y50" s="68">
        <f>IFERROR(Y11*Y$4,"")</f>
        <v/>
      </c>
      <c r="Z50" s="68">
        <f>IFERROR(Z11*Z$4,"")</f>
        <v/>
      </c>
      <c r="AA50" s="68">
        <f>IFERROR(AA11*AA$4,"")</f>
        <v/>
      </c>
      <c r="AB50" s="68">
        <f>IFERROR(AB11*AB$4,"")</f>
        <v/>
      </c>
      <c r="AC50" s="68">
        <f>IFERROR(AC11*AC$4,"")</f>
        <v/>
      </c>
      <c r="AD50" s="68">
        <f>IFERROR(AD11*AD$4,"")</f>
        <v/>
      </c>
      <c r="AE50" s="68">
        <f>IFERROR(AE11*AE$4,"")</f>
        <v/>
      </c>
      <c r="AF50" s="68">
        <f>IFERROR(AF11*AF$4,"")</f>
        <v/>
      </c>
      <c r="AG50" s="68">
        <f>IFERROR(AG11*AG$4,"")</f>
        <v/>
      </c>
      <c r="AH50" s="68">
        <f>IFERROR(AH11*AH$4,"")</f>
        <v/>
      </c>
      <c r="AI50" s="68">
        <f>IFERROR(AI11*AI$4,"")</f>
        <v/>
      </c>
      <c r="AJ50" s="68">
        <f>IFERROR(AJ11*AJ$4,"")</f>
        <v/>
      </c>
      <c r="AK50" s="68">
        <f>IFERROR(AK11*AK$4,"")</f>
        <v/>
      </c>
      <c r="AL50" s="68">
        <f>IFERROR(AL11*AL$4,"")</f>
        <v/>
      </c>
      <c r="AM50" s="68">
        <f>IFERROR(AM11*AM$4,"")</f>
        <v/>
      </c>
      <c r="AN50" s="68">
        <f>IFERROR(AN11*AN$4,"")</f>
        <v/>
      </c>
      <c r="AO50" s="68">
        <f>IFERROR(AO11*AO$4,"")</f>
        <v/>
      </c>
      <c r="AP50" s="68">
        <f>IFERROR(AP11*AP$4,"")</f>
        <v/>
      </c>
      <c r="AQ50" s="68">
        <f>IFERROR(AQ11*AQ$4,"")</f>
        <v/>
      </c>
      <c r="AR50" s="68">
        <f>IFERROR(AR11*AR$4,"")</f>
        <v/>
      </c>
      <c r="AS50" s="68">
        <f>IFERROR(AS11*AS$4,"")</f>
        <v/>
      </c>
      <c r="AT50" s="68">
        <f>IFERROR(AT11*AT$4,"")</f>
        <v/>
      </c>
      <c r="AU50" s="68">
        <f>IFERROR(AU11*AU$4,"")</f>
        <v/>
      </c>
      <c r="AV50" s="68">
        <f>IFERROR(AV11*AV$4,"")</f>
        <v/>
      </c>
      <c r="AW50" s="68">
        <f>IFERROR(AW11*AW$4,"")</f>
        <v/>
      </c>
      <c r="AX50" s="68">
        <f>IFERROR(AX11*AX$4,"")</f>
        <v/>
      </c>
      <c r="AY50" s="68">
        <f>IFERROR(AY11*AY$4,"")</f>
        <v/>
      </c>
      <c r="AZ50" s="68">
        <f>IFERROR(AZ11*AZ$4,"")</f>
        <v/>
      </c>
    </row>
    <row r="51" ht="14.5" customHeight="1" s="179">
      <c r="B51" s="65">
        <f>B12</f>
        <v/>
      </c>
      <c r="C51" s="68">
        <f>IFERROR(C12*C$4,"")</f>
        <v/>
      </c>
      <c r="D51" s="68">
        <f>IFERROR(D12*D$4,"")</f>
        <v/>
      </c>
      <c r="E51" s="68">
        <f>IFERROR(E12*E$4,"")</f>
        <v/>
      </c>
      <c r="F51" s="68">
        <f>IFERROR(F12*F$4,"")</f>
        <v/>
      </c>
      <c r="G51" s="68">
        <f>IFERROR(G12*G$4,"")</f>
        <v/>
      </c>
      <c r="H51" s="68">
        <f>IFERROR(H12*H$4,"")</f>
        <v/>
      </c>
      <c r="I51" s="68">
        <f>IFERROR(I12*I$4,"")</f>
        <v/>
      </c>
      <c r="J51" s="68">
        <f>IFERROR(J12*J$4,"")</f>
        <v/>
      </c>
      <c r="K51" s="68">
        <f>IFERROR(K12*K$4,"")</f>
        <v/>
      </c>
      <c r="L51" s="68">
        <f>IFERROR(L12*L$4,"")</f>
        <v/>
      </c>
      <c r="M51" s="68">
        <f>IFERROR(M12*M$4,"")</f>
        <v/>
      </c>
      <c r="N51" s="68">
        <f>IFERROR(N12*N$4,"")</f>
        <v/>
      </c>
      <c r="O51" s="68">
        <f>IFERROR(O12*O$4,"")</f>
        <v/>
      </c>
      <c r="P51" s="68">
        <f>IFERROR(P12*P$4,"")</f>
        <v/>
      </c>
      <c r="Q51" s="68">
        <f>IFERROR(Q12*Q$4,"")</f>
        <v/>
      </c>
      <c r="R51" s="68">
        <f>IFERROR(R12*R$4,"")</f>
        <v/>
      </c>
      <c r="S51" s="68">
        <f>IFERROR(S12*S$4,"")</f>
        <v/>
      </c>
      <c r="T51" s="68">
        <f>IFERROR(T12*T$4,"")</f>
        <v/>
      </c>
      <c r="U51" s="68">
        <f>IFERROR(U12*U$4,"")</f>
        <v/>
      </c>
      <c r="V51" s="68">
        <f>IFERROR(V12*V$4,"")</f>
        <v/>
      </c>
      <c r="W51" s="68">
        <f>IFERROR(W12*W$4,"")</f>
        <v/>
      </c>
      <c r="X51" s="68">
        <f>IFERROR(X12*X$4,"")</f>
        <v/>
      </c>
      <c r="Y51" s="68">
        <f>IFERROR(Y12*Y$4,"")</f>
        <v/>
      </c>
      <c r="Z51" s="68">
        <f>IFERROR(Z12*Z$4,"")</f>
        <v/>
      </c>
      <c r="AA51" s="68">
        <f>IFERROR(AA12*AA$4,"")</f>
        <v/>
      </c>
      <c r="AB51" s="68">
        <f>IFERROR(AB12*AB$4,"")</f>
        <v/>
      </c>
      <c r="AC51" s="68">
        <f>IFERROR(AC12*AC$4,"")</f>
        <v/>
      </c>
      <c r="AD51" s="68">
        <f>IFERROR(AD12*AD$4,"")</f>
        <v/>
      </c>
      <c r="AE51" s="68">
        <f>IFERROR(AE12*AE$4,"")</f>
        <v/>
      </c>
      <c r="AF51" s="68">
        <f>IFERROR(AF12*AF$4,"")</f>
        <v/>
      </c>
      <c r="AG51" s="68">
        <f>IFERROR(AG12*AG$4,"")</f>
        <v/>
      </c>
      <c r="AH51" s="68">
        <f>IFERROR(AH12*AH$4,"")</f>
        <v/>
      </c>
      <c r="AI51" s="68">
        <f>IFERROR(AI12*AI$4,"")</f>
        <v/>
      </c>
      <c r="AJ51" s="68">
        <f>IFERROR(AJ12*AJ$4,"")</f>
        <v/>
      </c>
      <c r="AK51" s="68">
        <f>IFERROR(AK12*AK$4,"")</f>
        <v/>
      </c>
      <c r="AL51" s="68">
        <f>IFERROR(AL12*AL$4,"")</f>
        <v/>
      </c>
      <c r="AM51" s="68">
        <f>IFERROR(AM12*AM$4,"")</f>
        <v/>
      </c>
      <c r="AN51" s="68">
        <f>IFERROR(AN12*AN$4,"")</f>
        <v/>
      </c>
      <c r="AO51" s="68">
        <f>IFERROR(AO12*AO$4,"")</f>
        <v/>
      </c>
      <c r="AP51" s="68">
        <f>IFERROR(AP12*AP$4,"")</f>
        <v/>
      </c>
      <c r="AQ51" s="68">
        <f>IFERROR(AQ12*AQ$4,"")</f>
        <v/>
      </c>
      <c r="AR51" s="68">
        <f>IFERROR(AR12*AR$4,"")</f>
        <v/>
      </c>
      <c r="AS51" s="68">
        <f>IFERROR(AS12*AS$4,"")</f>
        <v/>
      </c>
      <c r="AT51" s="68">
        <f>IFERROR(AT12*AT$4,"")</f>
        <v/>
      </c>
      <c r="AU51" s="68">
        <f>IFERROR(AU12*AU$4,"")</f>
        <v/>
      </c>
      <c r="AV51" s="68">
        <f>IFERROR(AV12*AV$4,"")</f>
        <v/>
      </c>
      <c r="AW51" s="68">
        <f>IFERROR(AW12*AW$4,"")</f>
        <v/>
      </c>
      <c r="AX51" s="68">
        <f>IFERROR(AX12*AX$4,"")</f>
        <v/>
      </c>
      <c r="AY51" s="68">
        <f>IFERROR(AY12*AY$4,"")</f>
        <v/>
      </c>
      <c r="AZ51" s="68">
        <f>IFERROR(AZ12*AZ$4,"")</f>
        <v/>
      </c>
    </row>
    <row r="52" ht="14.5" customHeight="1" s="179">
      <c r="B52" s="65">
        <f>B13</f>
        <v/>
      </c>
      <c r="C52" s="68">
        <f>IFERROR(C13*C$4,"")</f>
        <v/>
      </c>
      <c r="D52" s="68">
        <f>IFERROR(D13*D$4,"")</f>
        <v/>
      </c>
      <c r="E52" s="68">
        <f>IFERROR(E13*E$4,"")</f>
        <v/>
      </c>
      <c r="F52" s="68">
        <f>IFERROR(F13*F$4,"")</f>
        <v/>
      </c>
      <c r="G52" s="68">
        <f>IFERROR(G13*G$4,"")</f>
        <v/>
      </c>
      <c r="H52" s="68">
        <f>IFERROR(H13*H$4,"")</f>
        <v/>
      </c>
      <c r="I52" s="68">
        <f>IFERROR(I13*I$4,"")</f>
        <v/>
      </c>
      <c r="J52" s="68">
        <f>IFERROR(J13*J$4,"")</f>
        <v/>
      </c>
      <c r="K52" s="68">
        <f>IFERROR(K13*K$4,"")</f>
        <v/>
      </c>
      <c r="L52" s="68">
        <f>IFERROR(L13*L$4,"")</f>
        <v/>
      </c>
      <c r="M52" s="68">
        <f>IFERROR(M13*M$4,"")</f>
        <v/>
      </c>
      <c r="N52" s="68">
        <f>IFERROR(N13*N$4,"")</f>
        <v/>
      </c>
      <c r="O52" s="68">
        <f>IFERROR(O13*O$4,"")</f>
        <v/>
      </c>
      <c r="P52" s="68">
        <f>IFERROR(P13*P$4,"")</f>
        <v/>
      </c>
      <c r="Q52" s="68">
        <f>IFERROR(Q13*Q$4,"")</f>
        <v/>
      </c>
      <c r="R52" s="68">
        <f>IFERROR(R13*R$4,"")</f>
        <v/>
      </c>
      <c r="S52" s="68">
        <f>IFERROR(S13*S$4,"")</f>
        <v/>
      </c>
      <c r="T52" s="68">
        <f>IFERROR(T13*T$4,"")</f>
        <v/>
      </c>
      <c r="U52" s="68">
        <f>IFERROR(U13*U$4,"")</f>
        <v/>
      </c>
      <c r="V52" s="68">
        <f>IFERROR(V13*V$4,"")</f>
        <v/>
      </c>
      <c r="W52" s="68">
        <f>IFERROR(W13*W$4,"")</f>
        <v/>
      </c>
      <c r="X52" s="68">
        <f>IFERROR(X13*X$4,"")</f>
        <v/>
      </c>
      <c r="Y52" s="68">
        <f>IFERROR(Y13*Y$4,"")</f>
        <v/>
      </c>
      <c r="Z52" s="68">
        <f>IFERROR(Z13*Z$4,"")</f>
        <v/>
      </c>
      <c r="AA52" s="68">
        <f>IFERROR(AA13*AA$4,"")</f>
        <v/>
      </c>
      <c r="AB52" s="68">
        <f>IFERROR(AB13*AB$4,"")</f>
        <v/>
      </c>
      <c r="AC52" s="68">
        <f>IFERROR(AC13*AC$4,"")</f>
        <v/>
      </c>
      <c r="AD52" s="68">
        <f>IFERROR(AD13*AD$4,"")</f>
        <v/>
      </c>
      <c r="AE52" s="68">
        <f>IFERROR(AE13*AE$4,"")</f>
        <v/>
      </c>
      <c r="AF52" s="68">
        <f>IFERROR(AF13*AF$4,"")</f>
        <v/>
      </c>
      <c r="AG52" s="68">
        <f>IFERROR(AG13*AG$4,"")</f>
        <v/>
      </c>
      <c r="AH52" s="68">
        <f>IFERROR(AH13*AH$4,"")</f>
        <v/>
      </c>
      <c r="AI52" s="68">
        <f>IFERROR(AI13*AI$4,"")</f>
        <v/>
      </c>
      <c r="AJ52" s="68">
        <f>IFERROR(AJ13*AJ$4,"")</f>
        <v/>
      </c>
      <c r="AK52" s="68">
        <f>IFERROR(AK13*AK$4,"")</f>
        <v/>
      </c>
      <c r="AL52" s="68">
        <f>IFERROR(AL13*AL$4,"")</f>
        <v/>
      </c>
      <c r="AM52" s="68">
        <f>IFERROR(AM13*AM$4,"")</f>
        <v/>
      </c>
      <c r="AN52" s="68">
        <f>IFERROR(AN13*AN$4,"")</f>
        <v/>
      </c>
      <c r="AO52" s="68">
        <f>IFERROR(AO13*AO$4,"")</f>
        <v/>
      </c>
      <c r="AP52" s="68">
        <f>IFERROR(AP13*AP$4,"")</f>
        <v/>
      </c>
      <c r="AQ52" s="68">
        <f>IFERROR(AQ13*AQ$4,"")</f>
        <v/>
      </c>
      <c r="AR52" s="68">
        <f>IFERROR(AR13*AR$4,"")</f>
        <v/>
      </c>
      <c r="AS52" s="68">
        <f>IFERROR(AS13*AS$4,"")</f>
        <v/>
      </c>
      <c r="AT52" s="68">
        <f>IFERROR(AT13*AT$4,"")</f>
        <v/>
      </c>
      <c r="AU52" s="68">
        <f>IFERROR(AU13*AU$4,"")</f>
        <v/>
      </c>
      <c r="AV52" s="68">
        <f>IFERROR(AV13*AV$4,"")</f>
        <v/>
      </c>
      <c r="AW52" s="68">
        <f>IFERROR(AW13*AW$4,"")</f>
        <v/>
      </c>
      <c r="AX52" s="68">
        <f>IFERROR(AX13*AX$4,"")</f>
        <v/>
      </c>
      <c r="AY52" s="68">
        <f>IFERROR(AY13*AY$4,"")</f>
        <v/>
      </c>
      <c r="AZ52" s="68">
        <f>IFERROR(AZ13*AZ$4,"")</f>
        <v/>
      </c>
    </row>
    <row r="53" ht="14.5" customHeight="1" s="179">
      <c r="B53" s="65">
        <f>B14</f>
        <v/>
      </c>
      <c r="C53" s="68">
        <f>IFERROR(C14*C$4,"")</f>
        <v/>
      </c>
      <c r="D53" s="68">
        <f>IFERROR(D14*D$4,"")</f>
        <v/>
      </c>
      <c r="E53" s="68">
        <f>IFERROR(E14*E$4,"")</f>
        <v/>
      </c>
      <c r="F53" s="68">
        <f>IFERROR(F14*F$4,"")</f>
        <v/>
      </c>
      <c r="G53" s="68">
        <f>IFERROR(G14*G$4,"")</f>
        <v/>
      </c>
      <c r="H53" s="68">
        <f>IFERROR(H14*H$4,"")</f>
        <v/>
      </c>
      <c r="I53" s="68">
        <f>IFERROR(I14*I$4,"")</f>
        <v/>
      </c>
      <c r="J53" s="68">
        <f>IFERROR(J14*J$4,"")</f>
        <v/>
      </c>
      <c r="K53" s="68">
        <f>IFERROR(K14*K$4,"")</f>
        <v/>
      </c>
      <c r="L53" s="68">
        <f>IFERROR(L14*L$4,"")</f>
        <v/>
      </c>
      <c r="M53" s="68">
        <f>IFERROR(M14*M$4,"")</f>
        <v/>
      </c>
      <c r="N53" s="68">
        <f>IFERROR(N14*N$4,"")</f>
        <v/>
      </c>
      <c r="O53" s="68">
        <f>IFERROR(O14*O$4,"")</f>
        <v/>
      </c>
      <c r="P53" s="68">
        <f>IFERROR(P14*P$4,"")</f>
        <v/>
      </c>
      <c r="Q53" s="68">
        <f>IFERROR(Q14*Q$4,"")</f>
        <v/>
      </c>
      <c r="R53" s="68">
        <f>IFERROR(R14*R$4,"")</f>
        <v/>
      </c>
      <c r="S53" s="68">
        <f>IFERROR(S14*S$4,"")</f>
        <v/>
      </c>
      <c r="T53" s="68">
        <f>IFERROR(T14*T$4,"")</f>
        <v/>
      </c>
      <c r="U53" s="68">
        <f>IFERROR(U14*U$4,"")</f>
        <v/>
      </c>
      <c r="V53" s="68">
        <f>IFERROR(V14*V$4,"")</f>
        <v/>
      </c>
      <c r="W53" s="68">
        <f>IFERROR(W14*W$4,"")</f>
        <v/>
      </c>
      <c r="X53" s="68">
        <f>IFERROR(X14*X$4,"")</f>
        <v/>
      </c>
      <c r="Y53" s="68">
        <f>IFERROR(Y14*Y$4,"")</f>
        <v/>
      </c>
      <c r="Z53" s="68">
        <f>IFERROR(Z14*Z$4,"")</f>
        <v/>
      </c>
      <c r="AA53" s="68">
        <f>IFERROR(AA14*AA$4,"")</f>
        <v/>
      </c>
      <c r="AB53" s="68">
        <f>IFERROR(AB14*AB$4,"")</f>
        <v/>
      </c>
      <c r="AC53" s="68">
        <f>IFERROR(AC14*AC$4,"")</f>
        <v/>
      </c>
      <c r="AD53" s="68">
        <f>IFERROR(AD14*AD$4,"")</f>
        <v/>
      </c>
      <c r="AE53" s="68">
        <f>IFERROR(AE14*AE$4,"")</f>
        <v/>
      </c>
      <c r="AF53" s="68">
        <f>IFERROR(AF14*AF$4,"")</f>
        <v/>
      </c>
      <c r="AG53" s="68">
        <f>IFERROR(AG14*AG$4,"")</f>
        <v/>
      </c>
      <c r="AH53" s="68">
        <f>IFERROR(AH14*AH$4,"")</f>
        <v/>
      </c>
      <c r="AI53" s="68">
        <f>IFERROR(AI14*AI$4,"")</f>
        <v/>
      </c>
      <c r="AJ53" s="68">
        <f>IFERROR(AJ14*AJ$4,"")</f>
        <v/>
      </c>
      <c r="AK53" s="68">
        <f>IFERROR(AK14*AK$4,"")</f>
        <v/>
      </c>
      <c r="AL53" s="68">
        <f>IFERROR(AL14*AL$4,"")</f>
        <v/>
      </c>
      <c r="AM53" s="68">
        <f>IFERROR(AM14*AM$4,"")</f>
        <v/>
      </c>
      <c r="AN53" s="68">
        <f>IFERROR(AN14*AN$4,"")</f>
        <v/>
      </c>
      <c r="AO53" s="68">
        <f>IFERROR(AO14*AO$4,"")</f>
        <v/>
      </c>
      <c r="AP53" s="68">
        <f>IFERROR(AP14*AP$4,"")</f>
        <v/>
      </c>
      <c r="AQ53" s="68">
        <f>IFERROR(AQ14*AQ$4,"")</f>
        <v/>
      </c>
      <c r="AR53" s="68">
        <f>IFERROR(AR14*AR$4,"")</f>
        <v/>
      </c>
      <c r="AS53" s="68">
        <f>IFERROR(AS14*AS$4,"")</f>
        <v/>
      </c>
      <c r="AT53" s="68">
        <f>IFERROR(AT14*AT$4,"")</f>
        <v/>
      </c>
      <c r="AU53" s="68">
        <f>IFERROR(AU14*AU$4,"")</f>
        <v/>
      </c>
      <c r="AV53" s="68">
        <f>IFERROR(AV14*AV$4,"")</f>
        <v/>
      </c>
      <c r="AW53" s="68">
        <f>IFERROR(AW14*AW$4,"")</f>
        <v/>
      </c>
      <c r="AX53" s="68">
        <f>IFERROR(AX14*AX$4,"")</f>
        <v/>
      </c>
      <c r="AY53" s="68">
        <f>IFERROR(AY14*AY$4,"")</f>
        <v/>
      </c>
      <c r="AZ53" s="68">
        <f>IFERROR(AZ14*AZ$4,"")</f>
        <v/>
      </c>
    </row>
    <row r="54" ht="14.5" customHeight="1" s="179">
      <c r="B54" s="65">
        <f>B15</f>
        <v/>
      </c>
      <c r="C54" s="68">
        <f>IFERROR(C15*C$4,"")</f>
        <v/>
      </c>
      <c r="D54" s="68">
        <f>IFERROR(D15*D$4,"")</f>
        <v/>
      </c>
      <c r="E54" s="68">
        <f>IFERROR(E15*E$4,"")</f>
        <v/>
      </c>
      <c r="F54" s="68">
        <f>IFERROR(F15*F$4,"")</f>
        <v/>
      </c>
      <c r="G54" s="68">
        <f>IFERROR(G15*G$4,"")</f>
        <v/>
      </c>
      <c r="H54" s="68">
        <f>IFERROR(H15*H$4,"")</f>
        <v/>
      </c>
      <c r="I54" s="68">
        <f>IFERROR(I15*I$4,"")</f>
        <v/>
      </c>
      <c r="J54" s="68">
        <f>IFERROR(J15*J$4,"")</f>
        <v/>
      </c>
      <c r="K54" s="68">
        <f>IFERROR(K15*K$4,"")</f>
        <v/>
      </c>
      <c r="L54" s="68">
        <f>IFERROR(L15*L$4,"")</f>
        <v/>
      </c>
      <c r="M54" s="68">
        <f>IFERROR(M15*M$4,"")</f>
        <v/>
      </c>
      <c r="N54" s="68">
        <f>IFERROR(N15*N$4,"")</f>
        <v/>
      </c>
      <c r="O54" s="68">
        <f>IFERROR(O15*O$4,"")</f>
        <v/>
      </c>
      <c r="P54" s="68">
        <f>IFERROR(P15*P$4,"")</f>
        <v/>
      </c>
      <c r="Q54" s="68">
        <f>IFERROR(Q15*Q$4,"")</f>
        <v/>
      </c>
      <c r="R54" s="68">
        <f>IFERROR(R15*R$4,"")</f>
        <v/>
      </c>
      <c r="S54" s="68">
        <f>IFERROR(S15*S$4,"")</f>
        <v/>
      </c>
      <c r="T54" s="68">
        <f>IFERROR(T15*T$4,"")</f>
        <v/>
      </c>
      <c r="U54" s="68">
        <f>IFERROR(U15*U$4,"")</f>
        <v/>
      </c>
      <c r="V54" s="68">
        <f>IFERROR(V15*V$4,"")</f>
        <v/>
      </c>
      <c r="W54" s="68">
        <f>IFERROR(W15*W$4,"")</f>
        <v/>
      </c>
      <c r="X54" s="68">
        <f>IFERROR(X15*X$4,"")</f>
        <v/>
      </c>
      <c r="Y54" s="68">
        <f>IFERROR(Y15*Y$4,"")</f>
        <v/>
      </c>
      <c r="Z54" s="68">
        <f>IFERROR(Z15*Z$4,"")</f>
        <v/>
      </c>
      <c r="AA54" s="68">
        <f>IFERROR(AA15*AA$4,"")</f>
        <v/>
      </c>
      <c r="AB54" s="68">
        <f>IFERROR(AB15*AB$4,"")</f>
        <v/>
      </c>
      <c r="AC54" s="68">
        <f>IFERROR(AC15*AC$4,"")</f>
        <v/>
      </c>
      <c r="AD54" s="68">
        <f>IFERROR(AD15*AD$4,"")</f>
        <v/>
      </c>
      <c r="AE54" s="68">
        <f>IFERROR(AE15*AE$4,"")</f>
        <v/>
      </c>
      <c r="AF54" s="68">
        <f>IFERROR(AF15*AF$4,"")</f>
        <v/>
      </c>
      <c r="AG54" s="68">
        <f>IFERROR(AG15*AG$4,"")</f>
        <v/>
      </c>
      <c r="AH54" s="68">
        <f>IFERROR(AH15*AH$4,"")</f>
        <v/>
      </c>
      <c r="AI54" s="68">
        <f>IFERROR(AI15*AI$4,"")</f>
        <v/>
      </c>
      <c r="AJ54" s="68">
        <f>IFERROR(AJ15*AJ$4,"")</f>
        <v/>
      </c>
      <c r="AK54" s="68">
        <f>IFERROR(AK15*AK$4,"")</f>
        <v/>
      </c>
      <c r="AL54" s="68">
        <f>IFERROR(AL15*AL$4,"")</f>
        <v/>
      </c>
      <c r="AM54" s="68">
        <f>IFERROR(AM15*AM$4,"")</f>
        <v/>
      </c>
      <c r="AN54" s="68">
        <f>IFERROR(AN15*AN$4,"")</f>
        <v/>
      </c>
      <c r="AO54" s="68">
        <f>IFERROR(AO15*AO$4,"")</f>
        <v/>
      </c>
      <c r="AP54" s="68">
        <f>IFERROR(AP15*AP$4,"")</f>
        <v/>
      </c>
      <c r="AQ54" s="68">
        <f>IFERROR(AQ15*AQ$4,"")</f>
        <v/>
      </c>
      <c r="AR54" s="68">
        <f>IFERROR(AR15*AR$4,"")</f>
        <v/>
      </c>
      <c r="AS54" s="68">
        <f>IFERROR(AS15*AS$4,"")</f>
        <v/>
      </c>
      <c r="AT54" s="68">
        <f>IFERROR(AT15*AT$4,"")</f>
        <v/>
      </c>
      <c r="AU54" s="68">
        <f>IFERROR(AU15*AU$4,"")</f>
        <v/>
      </c>
      <c r="AV54" s="68">
        <f>IFERROR(AV15*AV$4,"")</f>
        <v/>
      </c>
      <c r="AW54" s="68">
        <f>IFERROR(AW15*AW$4,"")</f>
        <v/>
      </c>
      <c r="AX54" s="68">
        <f>IFERROR(AX15*AX$4,"")</f>
        <v/>
      </c>
      <c r="AY54" s="68">
        <f>IFERROR(AY15*AY$4,"")</f>
        <v/>
      </c>
      <c r="AZ54" s="68">
        <f>IFERROR(AZ15*AZ$4,"")</f>
        <v/>
      </c>
    </row>
    <row r="55" ht="14.5" customHeight="1" s="179">
      <c r="B55" s="65">
        <f>B16</f>
        <v/>
      </c>
      <c r="C55" s="68">
        <f>IFERROR(C16*C$4,"")</f>
        <v/>
      </c>
      <c r="D55" s="68">
        <f>IFERROR(D16*D$4,"")</f>
        <v/>
      </c>
      <c r="E55" s="68">
        <f>IFERROR(E16*E$4,"")</f>
        <v/>
      </c>
      <c r="F55" s="68">
        <f>IFERROR(F16*F$4,"")</f>
        <v/>
      </c>
      <c r="G55" s="68">
        <f>IFERROR(G16*G$4,"")</f>
        <v/>
      </c>
      <c r="H55" s="68">
        <f>IFERROR(H16*H$4,"")</f>
        <v/>
      </c>
      <c r="I55" s="68">
        <f>IFERROR(I16*I$4,"")</f>
        <v/>
      </c>
      <c r="J55" s="68">
        <f>IFERROR(J16*J$4,"")</f>
        <v/>
      </c>
      <c r="K55" s="68">
        <f>IFERROR(K16*K$4,"")</f>
        <v/>
      </c>
      <c r="L55" s="68">
        <f>IFERROR(L16*L$4,"")</f>
        <v/>
      </c>
      <c r="M55" s="68">
        <f>IFERROR(M16*M$4,"")</f>
        <v/>
      </c>
      <c r="N55" s="68">
        <f>IFERROR(N16*N$4,"")</f>
        <v/>
      </c>
      <c r="O55" s="68">
        <f>IFERROR(O16*O$4,"")</f>
        <v/>
      </c>
      <c r="P55" s="68">
        <f>IFERROR(P16*P$4,"")</f>
        <v/>
      </c>
      <c r="Q55" s="68">
        <f>IFERROR(Q16*Q$4,"")</f>
        <v/>
      </c>
      <c r="R55" s="68">
        <f>IFERROR(R16*R$4,"")</f>
        <v/>
      </c>
      <c r="S55" s="68">
        <f>IFERROR(S16*S$4,"")</f>
        <v/>
      </c>
      <c r="T55" s="68">
        <f>IFERROR(T16*T$4,"")</f>
        <v/>
      </c>
      <c r="U55" s="68">
        <f>IFERROR(U16*U$4,"")</f>
        <v/>
      </c>
      <c r="V55" s="68">
        <f>IFERROR(V16*V$4,"")</f>
        <v/>
      </c>
      <c r="W55" s="68">
        <f>IFERROR(W16*W$4,"")</f>
        <v/>
      </c>
      <c r="X55" s="68">
        <f>IFERROR(X16*X$4,"")</f>
        <v/>
      </c>
      <c r="Y55" s="68">
        <f>IFERROR(Y16*Y$4,"")</f>
        <v/>
      </c>
      <c r="Z55" s="68">
        <f>IFERROR(Z16*Z$4,"")</f>
        <v/>
      </c>
      <c r="AA55" s="68">
        <f>IFERROR(AA16*AA$4,"")</f>
        <v/>
      </c>
      <c r="AB55" s="68">
        <f>IFERROR(AB16*AB$4,"")</f>
        <v/>
      </c>
      <c r="AC55" s="68">
        <f>IFERROR(AC16*AC$4,"")</f>
        <v/>
      </c>
      <c r="AD55" s="68">
        <f>IFERROR(AD16*AD$4,"")</f>
        <v/>
      </c>
      <c r="AE55" s="68">
        <f>IFERROR(AE16*AE$4,"")</f>
        <v/>
      </c>
      <c r="AF55" s="68">
        <f>IFERROR(AF16*AF$4,"")</f>
        <v/>
      </c>
      <c r="AG55" s="68">
        <f>IFERROR(AG16*AG$4,"")</f>
        <v/>
      </c>
      <c r="AH55" s="68">
        <f>IFERROR(AH16*AH$4,"")</f>
        <v/>
      </c>
      <c r="AI55" s="68">
        <f>IFERROR(AI16*AI$4,"")</f>
        <v/>
      </c>
      <c r="AJ55" s="68">
        <f>IFERROR(AJ16*AJ$4,"")</f>
        <v/>
      </c>
      <c r="AK55" s="68">
        <f>IFERROR(AK16*AK$4,"")</f>
        <v/>
      </c>
      <c r="AL55" s="68">
        <f>IFERROR(AL16*AL$4,"")</f>
        <v/>
      </c>
      <c r="AM55" s="68">
        <f>IFERROR(AM16*AM$4,"")</f>
        <v/>
      </c>
      <c r="AN55" s="68">
        <f>IFERROR(AN16*AN$4,"")</f>
        <v/>
      </c>
      <c r="AO55" s="68">
        <f>IFERROR(AO16*AO$4,"")</f>
        <v/>
      </c>
      <c r="AP55" s="68">
        <f>IFERROR(AP16*AP$4,"")</f>
        <v/>
      </c>
      <c r="AQ55" s="68">
        <f>IFERROR(AQ16*AQ$4,"")</f>
        <v/>
      </c>
      <c r="AR55" s="68">
        <f>IFERROR(AR16*AR$4,"")</f>
        <v/>
      </c>
      <c r="AS55" s="68">
        <f>IFERROR(AS16*AS$4,"")</f>
        <v/>
      </c>
      <c r="AT55" s="68">
        <f>IFERROR(AT16*AT$4,"")</f>
        <v/>
      </c>
      <c r="AU55" s="68">
        <f>IFERROR(AU16*AU$4,"")</f>
        <v/>
      </c>
      <c r="AV55" s="68">
        <f>IFERROR(AV16*AV$4,"")</f>
        <v/>
      </c>
      <c r="AW55" s="68">
        <f>IFERROR(AW16*AW$4,"")</f>
        <v/>
      </c>
      <c r="AX55" s="68">
        <f>IFERROR(AX16*AX$4,"")</f>
        <v/>
      </c>
      <c r="AY55" s="68">
        <f>IFERROR(AY16*AY$4,"")</f>
        <v/>
      </c>
      <c r="AZ55" s="68">
        <f>IFERROR(AZ16*AZ$4,"")</f>
        <v/>
      </c>
    </row>
    <row r="56" ht="14.5" customHeight="1" s="179">
      <c r="B56" s="65">
        <f>B17</f>
        <v/>
      </c>
      <c r="C56" s="68">
        <f>IFERROR(C17*C$4,"")</f>
        <v/>
      </c>
      <c r="D56" s="68">
        <f>IFERROR(D17*D$4,"")</f>
        <v/>
      </c>
      <c r="E56" s="68">
        <f>IFERROR(E17*E$4,"")</f>
        <v/>
      </c>
      <c r="F56" s="68">
        <f>IFERROR(F17*F$4,"")</f>
        <v/>
      </c>
      <c r="G56" s="68">
        <f>IFERROR(G17*G$4,"")</f>
        <v/>
      </c>
      <c r="H56" s="68">
        <f>IFERROR(H17*H$4,"")</f>
        <v/>
      </c>
      <c r="I56" s="68">
        <f>IFERROR(I17*I$4,"")</f>
        <v/>
      </c>
      <c r="J56" s="68">
        <f>IFERROR(J17*J$4,"")</f>
        <v/>
      </c>
      <c r="K56" s="68">
        <f>IFERROR(K17*K$4,"")</f>
        <v/>
      </c>
      <c r="L56" s="68">
        <f>IFERROR(L17*L$4,"")</f>
        <v/>
      </c>
      <c r="M56" s="68">
        <f>IFERROR(M17*M$4,"")</f>
        <v/>
      </c>
      <c r="N56" s="68">
        <f>IFERROR(N17*N$4,"")</f>
        <v/>
      </c>
      <c r="O56" s="68">
        <f>IFERROR(O17*O$4,"")</f>
        <v/>
      </c>
      <c r="P56" s="68">
        <f>IFERROR(P17*P$4,"")</f>
        <v/>
      </c>
      <c r="Q56" s="68">
        <f>IFERROR(Q17*Q$4,"")</f>
        <v/>
      </c>
      <c r="R56" s="68">
        <f>IFERROR(R17*R$4,"")</f>
        <v/>
      </c>
      <c r="S56" s="68">
        <f>IFERROR(S17*S$4,"")</f>
        <v/>
      </c>
      <c r="T56" s="68">
        <f>IFERROR(T17*T$4,"")</f>
        <v/>
      </c>
      <c r="U56" s="68">
        <f>IFERROR(U17*U$4,"")</f>
        <v/>
      </c>
      <c r="V56" s="68">
        <f>IFERROR(V17*V$4,"")</f>
        <v/>
      </c>
      <c r="W56" s="68">
        <f>IFERROR(W17*W$4,"")</f>
        <v/>
      </c>
      <c r="X56" s="68">
        <f>IFERROR(X17*X$4,"")</f>
        <v/>
      </c>
      <c r="Y56" s="68">
        <f>IFERROR(Y17*Y$4,"")</f>
        <v/>
      </c>
      <c r="Z56" s="68">
        <f>IFERROR(Z17*Z$4,"")</f>
        <v/>
      </c>
      <c r="AA56" s="68">
        <f>IFERROR(AA17*AA$4,"")</f>
        <v/>
      </c>
      <c r="AB56" s="68">
        <f>IFERROR(AB17*AB$4,"")</f>
        <v/>
      </c>
      <c r="AC56" s="68">
        <f>IFERROR(AC17*AC$4,"")</f>
        <v/>
      </c>
      <c r="AD56" s="68">
        <f>IFERROR(AD17*AD$4,"")</f>
        <v/>
      </c>
      <c r="AE56" s="68">
        <f>IFERROR(AE17*AE$4,"")</f>
        <v/>
      </c>
      <c r="AF56" s="68">
        <f>IFERROR(AF17*AF$4,"")</f>
        <v/>
      </c>
      <c r="AG56" s="68">
        <f>IFERROR(AG17*AG$4,"")</f>
        <v/>
      </c>
      <c r="AH56" s="68">
        <f>IFERROR(AH17*AH$4,"")</f>
        <v/>
      </c>
      <c r="AI56" s="68">
        <f>IFERROR(AI17*AI$4,"")</f>
        <v/>
      </c>
      <c r="AJ56" s="68">
        <f>IFERROR(AJ17*AJ$4,"")</f>
        <v/>
      </c>
      <c r="AK56" s="68">
        <f>IFERROR(AK17*AK$4,"")</f>
        <v/>
      </c>
      <c r="AL56" s="68">
        <f>IFERROR(AL17*AL$4,"")</f>
        <v/>
      </c>
      <c r="AM56" s="68">
        <f>IFERROR(AM17*AM$4,"")</f>
        <v/>
      </c>
      <c r="AN56" s="68">
        <f>IFERROR(AN17*AN$4,"")</f>
        <v/>
      </c>
      <c r="AO56" s="68">
        <f>IFERROR(AO17*AO$4,"")</f>
        <v/>
      </c>
      <c r="AP56" s="68">
        <f>IFERROR(AP17*AP$4,"")</f>
        <v/>
      </c>
      <c r="AQ56" s="68">
        <f>IFERROR(AQ17*AQ$4,"")</f>
        <v/>
      </c>
      <c r="AR56" s="68">
        <f>IFERROR(AR17*AR$4,"")</f>
        <v/>
      </c>
      <c r="AS56" s="68">
        <f>IFERROR(AS17*AS$4,"")</f>
        <v/>
      </c>
      <c r="AT56" s="68">
        <f>IFERROR(AT17*AT$4,"")</f>
        <v/>
      </c>
      <c r="AU56" s="68">
        <f>IFERROR(AU17*AU$4,"")</f>
        <v/>
      </c>
      <c r="AV56" s="68">
        <f>IFERROR(AV17*AV$4,"")</f>
        <v/>
      </c>
      <c r="AW56" s="68">
        <f>IFERROR(AW17*AW$4,"")</f>
        <v/>
      </c>
      <c r="AX56" s="68">
        <f>IFERROR(AX17*AX$4,"")</f>
        <v/>
      </c>
      <c r="AY56" s="68">
        <f>IFERROR(AY17*AY$4,"")</f>
        <v/>
      </c>
      <c r="AZ56" s="68">
        <f>IFERROR(AZ17*AZ$4,"")</f>
        <v/>
      </c>
    </row>
    <row r="57" ht="14.5" customHeight="1" s="179">
      <c r="B57" s="65">
        <f>B18</f>
        <v/>
      </c>
      <c r="C57" s="68">
        <f>IFERROR(C18*C$4,"")</f>
        <v/>
      </c>
      <c r="D57" s="68">
        <f>IFERROR(D18*D$4,"")</f>
        <v/>
      </c>
      <c r="E57" s="68">
        <f>IFERROR(E18*E$4,"")</f>
        <v/>
      </c>
      <c r="F57" s="68">
        <f>IFERROR(F18*F$4,"")</f>
        <v/>
      </c>
      <c r="G57" s="68">
        <f>IFERROR(G18*G$4,"")</f>
        <v/>
      </c>
      <c r="H57" s="68">
        <f>IFERROR(H18*H$4,"")</f>
        <v/>
      </c>
      <c r="I57" s="68">
        <f>IFERROR(I18*I$4,"")</f>
        <v/>
      </c>
      <c r="J57" s="68">
        <f>IFERROR(J18*J$4,"")</f>
        <v/>
      </c>
      <c r="K57" s="68">
        <f>IFERROR(K18*K$4,"")</f>
        <v/>
      </c>
      <c r="L57" s="68">
        <f>IFERROR(L18*L$4,"")</f>
        <v/>
      </c>
      <c r="M57" s="68">
        <f>IFERROR(M18*M$4,"")</f>
        <v/>
      </c>
      <c r="N57" s="68">
        <f>IFERROR(N18*N$4,"")</f>
        <v/>
      </c>
      <c r="O57" s="68">
        <f>IFERROR(O18*O$4,"")</f>
        <v/>
      </c>
      <c r="P57" s="68">
        <f>IFERROR(P18*P$4,"")</f>
        <v/>
      </c>
      <c r="Q57" s="68">
        <f>IFERROR(Q18*Q$4,"")</f>
        <v/>
      </c>
      <c r="R57" s="68">
        <f>IFERROR(R18*R$4,"")</f>
        <v/>
      </c>
      <c r="S57" s="68">
        <f>IFERROR(S18*S$4,"")</f>
        <v/>
      </c>
      <c r="T57" s="68">
        <f>IFERROR(T18*T$4,"")</f>
        <v/>
      </c>
      <c r="U57" s="68">
        <f>IFERROR(U18*U$4,"")</f>
        <v/>
      </c>
      <c r="V57" s="68">
        <f>IFERROR(V18*V$4,"")</f>
        <v/>
      </c>
      <c r="W57" s="68">
        <f>IFERROR(W18*W$4,"")</f>
        <v/>
      </c>
      <c r="X57" s="68">
        <f>IFERROR(X18*X$4,"")</f>
        <v/>
      </c>
      <c r="Y57" s="68">
        <f>IFERROR(Y18*Y$4,"")</f>
        <v/>
      </c>
      <c r="Z57" s="68">
        <f>IFERROR(Z18*Z$4,"")</f>
        <v/>
      </c>
      <c r="AA57" s="68">
        <f>IFERROR(AA18*AA$4,"")</f>
        <v/>
      </c>
      <c r="AB57" s="68">
        <f>IFERROR(AB18*AB$4,"")</f>
        <v/>
      </c>
      <c r="AC57" s="68">
        <f>IFERROR(AC18*AC$4,"")</f>
        <v/>
      </c>
      <c r="AD57" s="68">
        <f>IFERROR(AD18*AD$4,"")</f>
        <v/>
      </c>
      <c r="AE57" s="68">
        <f>IFERROR(AE18*AE$4,"")</f>
        <v/>
      </c>
      <c r="AF57" s="68">
        <f>IFERROR(AF18*AF$4,"")</f>
        <v/>
      </c>
      <c r="AG57" s="68">
        <f>IFERROR(AG18*AG$4,"")</f>
        <v/>
      </c>
      <c r="AH57" s="68">
        <f>IFERROR(AH18*AH$4,"")</f>
        <v/>
      </c>
      <c r="AI57" s="68">
        <f>IFERROR(AI18*AI$4,"")</f>
        <v/>
      </c>
      <c r="AJ57" s="68">
        <f>IFERROR(AJ18*AJ$4,"")</f>
        <v/>
      </c>
      <c r="AK57" s="68">
        <f>IFERROR(AK18*AK$4,"")</f>
        <v/>
      </c>
      <c r="AL57" s="68">
        <f>IFERROR(AL18*AL$4,"")</f>
        <v/>
      </c>
      <c r="AM57" s="68">
        <f>IFERROR(AM18*AM$4,"")</f>
        <v/>
      </c>
      <c r="AN57" s="68">
        <f>IFERROR(AN18*AN$4,"")</f>
        <v/>
      </c>
      <c r="AO57" s="68">
        <f>IFERROR(AO18*AO$4,"")</f>
        <v/>
      </c>
      <c r="AP57" s="68">
        <f>IFERROR(AP18*AP$4,"")</f>
        <v/>
      </c>
      <c r="AQ57" s="68">
        <f>IFERROR(AQ18*AQ$4,"")</f>
        <v/>
      </c>
      <c r="AR57" s="68">
        <f>IFERROR(AR18*AR$4,"")</f>
        <v/>
      </c>
      <c r="AS57" s="68">
        <f>IFERROR(AS18*AS$4,"")</f>
        <v/>
      </c>
      <c r="AT57" s="68">
        <f>IFERROR(AT18*AT$4,"")</f>
        <v/>
      </c>
      <c r="AU57" s="68">
        <f>IFERROR(AU18*AU$4,"")</f>
        <v/>
      </c>
      <c r="AV57" s="68">
        <f>IFERROR(AV18*AV$4,"")</f>
        <v/>
      </c>
      <c r="AW57" s="68">
        <f>IFERROR(AW18*AW$4,"")</f>
        <v/>
      </c>
      <c r="AX57" s="68">
        <f>IFERROR(AX18*AX$4,"")</f>
        <v/>
      </c>
      <c r="AY57" s="68">
        <f>IFERROR(AY18*AY$4,"")</f>
        <v/>
      </c>
      <c r="AZ57" s="68">
        <f>IFERROR(AZ18*AZ$4,"")</f>
        <v/>
      </c>
    </row>
    <row r="58" ht="14.5" customHeight="1" s="179">
      <c r="B58" s="65">
        <f>B19</f>
        <v/>
      </c>
      <c r="C58" s="68">
        <f>IFERROR(C19*C$4,"")</f>
        <v/>
      </c>
      <c r="D58" s="68">
        <f>IFERROR(D19*D$4,"")</f>
        <v/>
      </c>
      <c r="E58" s="68">
        <f>IFERROR(E19*E$4,"")</f>
        <v/>
      </c>
      <c r="F58" s="68">
        <f>IFERROR(F19*F$4,"")</f>
        <v/>
      </c>
      <c r="G58" s="68">
        <f>IFERROR(G19*G$4,"")</f>
        <v/>
      </c>
      <c r="H58" s="68">
        <f>IFERROR(H19*H$4,"")</f>
        <v/>
      </c>
      <c r="I58" s="68">
        <f>IFERROR(I19*I$4,"")</f>
        <v/>
      </c>
      <c r="J58" s="68">
        <f>IFERROR(J19*J$4,"")</f>
        <v/>
      </c>
      <c r="K58" s="68">
        <f>IFERROR(K19*K$4,"")</f>
        <v/>
      </c>
      <c r="L58" s="68">
        <f>IFERROR(L19*L$4,"")</f>
        <v/>
      </c>
      <c r="M58" s="68">
        <f>IFERROR(M19*M$4,"")</f>
        <v/>
      </c>
      <c r="N58" s="68">
        <f>IFERROR(N19*N$4,"")</f>
        <v/>
      </c>
      <c r="O58" s="68">
        <f>IFERROR(O19*O$4,"")</f>
        <v/>
      </c>
      <c r="P58" s="68">
        <f>IFERROR(P19*P$4,"")</f>
        <v/>
      </c>
      <c r="Q58" s="68">
        <f>IFERROR(Q19*Q$4,"")</f>
        <v/>
      </c>
      <c r="R58" s="68">
        <f>IFERROR(R19*R$4,"")</f>
        <v/>
      </c>
      <c r="S58" s="68">
        <f>IFERROR(S19*S$4,"")</f>
        <v/>
      </c>
      <c r="T58" s="68">
        <f>IFERROR(T19*T$4,"")</f>
        <v/>
      </c>
      <c r="U58" s="68">
        <f>IFERROR(U19*U$4,"")</f>
        <v/>
      </c>
      <c r="V58" s="68">
        <f>IFERROR(V19*V$4,"")</f>
        <v/>
      </c>
      <c r="W58" s="68">
        <f>IFERROR(W19*W$4,"")</f>
        <v/>
      </c>
      <c r="X58" s="68">
        <f>IFERROR(X19*X$4,"")</f>
        <v/>
      </c>
      <c r="Y58" s="68">
        <f>IFERROR(Y19*Y$4,"")</f>
        <v/>
      </c>
      <c r="Z58" s="68">
        <f>IFERROR(Z19*Z$4,"")</f>
        <v/>
      </c>
      <c r="AA58" s="68">
        <f>IFERROR(AA19*AA$4,"")</f>
        <v/>
      </c>
      <c r="AB58" s="68">
        <f>IFERROR(AB19*AB$4,"")</f>
        <v/>
      </c>
      <c r="AC58" s="68">
        <f>IFERROR(AC19*AC$4,"")</f>
        <v/>
      </c>
      <c r="AD58" s="68">
        <f>IFERROR(AD19*AD$4,"")</f>
        <v/>
      </c>
      <c r="AE58" s="68">
        <f>IFERROR(AE19*AE$4,"")</f>
        <v/>
      </c>
      <c r="AF58" s="68">
        <f>IFERROR(AF19*AF$4,"")</f>
        <v/>
      </c>
      <c r="AG58" s="68">
        <f>IFERROR(AG19*AG$4,"")</f>
        <v/>
      </c>
      <c r="AH58" s="68">
        <f>IFERROR(AH19*AH$4,"")</f>
        <v/>
      </c>
      <c r="AI58" s="68">
        <f>IFERROR(AI19*AI$4,"")</f>
        <v/>
      </c>
      <c r="AJ58" s="68">
        <f>IFERROR(AJ19*AJ$4,"")</f>
        <v/>
      </c>
      <c r="AK58" s="68">
        <f>IFERROR(AK19*AK$4,"")</f>
        <v/>
      </c>
      <c r="AL58" s="68">
        <f>IFERROR(AL19*AL$4,"")</f>
        <v/>
      </c>
      <c r="AM58" s="68">
        <f>IFERROR(AM19*AM$4,"")</f>
        <v/>
      </c>
      <c r="AN58" s="68">
        <f>IFERROR(AN19*AN$4,"")</f>
        <v/>
      </c>
      <c r="AO58" s="68">
        <f>IFERROR(AO19*AO$4,"")</f>
        <v/>
      </c>
      <c r="AP58" s="68">
        <f>IFERROR(AP19*AP$4,"")</f>
        <v/>
      </c>
      <c r="AQ58" s="68">
        <f>IFERROR(AQ19*AQ$4,"")</f>
        <v/>
      </c>
      <c r="AR58" s="68">
        <f>IFERROR(AR19*AR$4,"")</f>
        <v/>
      </c>
      <c r="AS58" s="68">
        <f>IFERROR(AS19*AS$4,"")</f>
        <v/>
      </c>
      <c r="AT58" s="68">
        <f>IFERROR(AT19*AT$4,"")</f>
        <v/>
      </c>
      <c r="AU58" s="68">
        <f>IFERROR(AU19*AU$4,"")</f>
        <v/>
      </c>
      <c r="AV58" s="68">
        <f>IFERROR(AV19*AV$4,"")</f>
        <v/>
      </c>
      <c r="AW58" s="68">
        <f>IFERROR(AW19*AW$4,"")</f>
        <v/>
      </c>
      <c r="AX58" s="68">
        <f>IFERROR(AX19*AX$4,"")</f>
        <v/>
      </c>
      <c r="AY58" s="68">
        <f>IFERROR(AY19*AY$4,"")</f>
        <v/>
      </c>
      <c r="AZ58" s="68">
        <f>IFERROR(AZ19*AZ$4,"")</f>
        <v/>
      </c>
    </row>
    <row r="59" ht="14.5" customHeight="1" s="179">
      <c r="B59" s="65">
        <f>B20</f>
        <v/>
      </c>
      <c r="C59" s="68">
        <f>IFERROR(C20*C$4,"")</f>
        <v/>
      </c>
      <c r="D59" s="68">
        <f>IFERROR(D20*D$4,"")</f>
        <v/>
      </c>
      <c r="E59" s="68">
        <f>IFERROR(E20*E$4,"")</f>
        <v/>
      </c>
      <c r="F59" s="68">
        <f>IFERROR(F20*F$4,"")</f>
        <v/>
      </c>
      <c r="G59" s="68">
        <f>IFERROR(G20*G$4,"")</f>
        <v/>
      </c>
      <c r="H59" s="68">
        <f>IFERROR(H20*H$4,"")</f>
        <v/>
      </c>
      <c r="I59" s="68">
        <f>IFERROR(I20*I$4,"")</f>
        <v/>
      </c>
      <c r="J59" s="68">
        <f>IFERROR(J20*J$4,"")</f>
        <v/>
      </c>
      <c r="K59" s="68">
        <f>IFERROR(K20*K$4,"")</f>
        <v/>
      </c>
      <c r="L59" s="68">
        <f>IFERROR(L20*L$4,"")</f>
        <v/>
      </c>
      <c r="M59" s="68">
        <f>IFERROR(M20*M$4,"")</f>
        <v/>
      </c>
      <c r="N59" s="68">
        <f>IFERROR(N20*N$4,"")</f>
        <v/>
      </c>
      <c r="O59" s="68">
        <f>IFERROR(O20*O$4,"")</f>
        <v/>
      </c>
      <c r="P59" s="68">
        <f>IFERROR(P20*P$4,"")</f>
        <v/>
      </c>
      <c r="Q59" s="68">
        <f>IFERROR(Q20*Q$4,"")</f>
        <v/>
      </c>
      <c r="R59" s="68">
        <f>IFERROR(R20*R$4,"")</f>
        <v/>
      </c>
      <c r="S59" s="68">
        <f>IFERROR(S20*S$4,"")</f>
        <v/>
      </c>
      <c r="T59" s="68">
        <f>IFERROR(T20*T$4,"")</f>
        <v/>
      </c>
      <c r="U59" s="68">
        <f>IFERROR(U20*U$4,"")</f>
        <v/>
      </c>
      <c r="V59" s="68">
        <f>IFERROR(V20*V$4,"")</f>
        <v/>
      </c>
      <c r="W59" s="68">
        <f>IFERROR(W20*W$4,"")</f>
        <v/>
      </c>
      <c r="X59" s="68">
        <f>IFERROR(X20*X$4,"")</f>
        <v/>
      </c>
      <c r="Y59" s="68">
        <f>IFERROR(Y20*Y$4,"")</f>
        <v/>
      </c>
      <c r="Z59" s="68">
        <f>IFERROR(Z20*Z$4,"")</f>
        <v/>
      </c>
      <c r="AA59" s="68">
        <f>IFERROR(AA20*AA$4,"")</f>
        <v/>
      </c>
      <c r="AB59" s="68">
        <f>IFERROR(AB20*AB$4,"")</f>
        <v/>
      </c>
      <c r="AC59" s="68">
        <f>IFERROR(AC20*AC$4,"")</f>
        <v/>
      </c>
      <c r="AD59" s="68">
        <f>IFERROR(AD20*AD$4,"")</f>
        <v/>
      </c>
      <c r="AE59" s="68">
        <f>IFERROR(AE20*AE$4,"")</f>
        <v/>
      </c>
      <c r="AF59" s="68">
        <f>IFERROR(AF20*AF$4,"")</f>
        <v/>
      </c>
      <c r="AG59" s="68">
        <f>IFERROR(AG20*AG$4,"")</f>
        <v/>
      </c>
      <c r="AH59" s="68">
        <f>IFERROR(AH20*AH$4,"")</f>
        <v/>
      </c>
      <c r="AI59" s="68">
        <f>IFERROR(AI20*AI$4,"")</f>
        <v/>
      </c>
      <c r="AJ59" s="68">
        <f>IFERROR(AJ20*AJ$4,"")</f>
        <v/>
      </c>
      <c r="AK59" s="68">
        <f>IFERROR(AK20*AK$4,"")</f>
        <v/>
      </c>
      <c r="AL59" s="68">
        <f>IFERROR(AL20*AL$4,"")</f>
        <v/>
      </c>
      <c r="AM59" s="68">
        <f>IFERROR(AM20*AM$4,"")</f>
        <v/>
      </c>
      <c r="AN59" s="68">
        <f>IFERROR(AN20*AN$4,"")</f>
        <v/>
      </c>
      <c r="AO59" s="68">
        <f>IFERROR(AO20*AO$4,"")</f>
        <v/>
      </c>
      <c r="AP59" s="68">
        <f>IFERROR(AP20*AP$4,"")</f>
        <v/>
      </c>
      <c r="AQ59" s="68">
        <f>IFERROR(AQ20*AQ$4,"")</f>
        <v/>
      </c>
      <c r="AR59" s="68">
        <f>IFERROR(AR20*AR$4,"")</f>
        <v/>
      </c>
      <c r="AS59" s="68">
        <f>IFERROR(AS20*AS$4,"")</f>
        <v/>
      </c>
      <c r="AT59" s="68">
        <f>IFERROR(AT20*AT$4,"")</f>
        <v/>
      </c>
      <c r="AU59" s="68">
        <f>IFERROR(AU20*AU$4,"")</f>
        <v/>
      </c>
      <c r="AV59" s="68">
        <f>IFERROR(AV20*AV$4,"")</f>
        <v/>
      </c>
      <c r="AW59" s="68">
        <f>IFERROR(AW20*AW$4,"")</f>
        <v/>
      </c>
      <c r="AX59" s="68">
        <f>IFERROR(AX20*AX$4,"")</f>
        <v/>
      </c>
      <c r="AY59" s="68">
        <f>IFERROR(AY20*AY$4,"")</f>
        <v/>
      </c>
      <c r="AZ59" s="68">
        <f>IFERROR(AZ20*AZ$4,"")</f>
        <v/>
      </c>
    </row>
    <row r="60" ht="14.5" customHeight="1" s="179">
      <c r="B60" s="65">
        <f>B21</f>
        <v/>
      </c>
      <c r="C60" s="68">
        <f>IFERROR(C21*C$4,"")</f>
        <v/>
      </c>
      <c r="D60" s="68">
        <f>IFERROR(D21*D$4,"")</f>
        <v/>
      </c>
      <c r="E60" s="68">
        <f>IFERROR(E21*E$4,"")</f>
        <v/>
      </c>
      <c r="F60" s="68">
        <f>IFERROR(F21*F$4,"")</f>
        <v/>
      </c>
      <c r="G60" s="68">
        <f>IFERROR(G21*G$4,"")</f>
        <v/>
      </c>
      <c r="H60" s="68">
        <f>IFERROR(H21*H$4,"")</f>
        <v/>
      </c>
      <c r="I60" s="68">
        <f>IFERROR(I21*I$4,"")</f>
        <v/>
      </c>
      <c r="J60" s="68">
        <f>IFERROR(J21*J$4,"")</f>
        <v/>
      </c>
      <c r="K60" s="68">
        <f>IFERROR(K21*K$4,"")</f>
        <v/>
      </c>
      <c r="L60" s="68">
        <f>IFERROR(L21*L$4,"")</f>
        <v/>
      </c>
      <c r="M60" s="68">
        <f>IFERROR(M21*M$4,"")</f>
        <v/>
      </c>
      <c r="N60" s="68">
        <f>IFERROR(N21*N$4,"")</f>
        <v/>
      </c>
      <c r="O60" s="68">
        <f>IFERROR(O21*O$4,"")</f>
        <v/>
      </c>
      <c r="P60" s="68">
        <f>IFERROR(P21*P$4,"")</f>
        <v/>
      </c>
      <c r="Q60" s="68">
        <f>IFERROR(Q21*Q$4,"")</f>
        <v/>
      </c>
      <c r="R60" s="68">
        <f>IFERROR(R21*R$4,"")</f>
        <v/>
      </c>
      <c r="S60" s="68">
        <f>IFERROR(S21*S$4,"")</f>
        <v/>
      </c>
      <c r="T60" s="68">
        <f>IFERROR(T21*T$4,"")</f>
        <v/>
      </c>
      <c r="U60" s="68">
        <f>IFERROR(U21*U$4,"")</f>
        <v/>
      </c>
      <c r="V60" s="68">
        <f>IFERROR(V21*V$4,"")</f>
        <v/>
      </c>
      <c r="W60" s="68">
        <f>IFERROR(W21*W$4,"")</f>
        <v/>
      </c>
      <c r="X60" s="68">
        <f>IFERROR(X21*X$4,"")</f>
        <v/>
      </c>
      <c r="Y60" s="68">
        <f>IFERROR(Y21*Y$4,"")</f>
        <v/>
      </c>
      <c r="Z60" s="68">
        <f>IFERROR(Z21*Z$4,"")</f>
        <v/>
      </c>
      <c r="AA60" s="68">
        <f>IFERROR(AA21*AA$4,"")</f>
        <v/>
      </c>
      <c r="AB60" s="68">
        <f>IFERROR(AB21*AB$4,"")</f>
        <v/>
      </c>
      <c r="AC60" s="68">
        <f>IFERROR(AC21*AC$4,"")</f>
        <v/>
      </c>
      <c r="AD60" s="68">
        <f>IFERROR(AD21*AD$4,"")</f>
        <v/>
      </c>
      <c r="AE60" s="68">
        <f>IFERROR(AE21*AE$4,"")</f>
        <v/>
      </c>
      <c r="AF60" s="68">
        <f>IFERROR(AF21*AF$4,"")</f>
        <v/>
      </c>
      <c r="AG60" s="68">
        <f>IFERROR(AG21*AG$4,"")</f>
        <v/>
      </c>
      <c r="AH60" s="68">
        <f>IFERROR(AH21*AH$4,"")</f>
        <v/>
      </c>
      <c r="AI60" s="68">
        <f>IFERROR(AI21*AI$4,"")</f>
        <v/>
      </c>
      <c r="AJ60" s="68">
        <f>IFERROR(AJ21*AJ$4,"")</f>
        <v/>
      </c>
      <c r="AK60" s="68">
        <f>IFERROR(AK21*AK$4,"")</f>
        <v/>
      </c>
      <c r="AL60" s="68">
        <f>IFERROR(AL21*AL$4,"")</f>
        <v/>
      </c>
      <c r="AM60" s="68">
        <f>IFERROR(AM21*AM$4,"")</f>
        <v/>
      </c>
      <c r="AN60" s="68">
        <f>IFERROR(AN21*AN$4,"")</f>
        <v/>
      </c>
      <c r="AO60" s="68">
        <f>IFERROR(AO21*AO$4,"")</f>
        <v/>
      </c>
      <c r="AP60" s="68">
        <f>IFERROR(AP21*AP$4,"")</f>
        <v/>
      </c>
      <c r="AQ60" s="68">
        <f>IFERROR(AQ21*AQ$4,"")</f>
        <v/>
      </c>
      <c r="AR60" s="68">
        <f>IFERROR(AR21*AR$4,"")</f>
        <v/>
      </c>
      <c r="AS60" s="68">
        <f>IFERROR(AS21*AS$4,"")</f>
        <v/>
      </c>
      <c r="AT60" s="68">
        <f>IFERROR(AT21*AT$4,"")</f>
        <v/>
      </c>
      <c r="AU60" s="68">
        <f>IFERROR(AU21*AU$4,"")</f>
        <v/>
      </c>
      <c r="AV60" s="68">
        <f>IFERROR(AV21*AV$4,"")</f>
        <v/>
      </c>
      <c r="AW60" s="68">
        <f>IFERROR(AW21*AW$4,"")</f>
        <v/>
      </c>
      <c r="AX60" s="68">
        <f>IFERROR(AX21*AX$4,"")</f>
        <v/>
      </c>
      <c r="AY60" s="68">
        <f>IFERROR(AY21*AY$4,"")</f>
        <v/>
      </c>
      <c r="AZ60" s="68">
        <f>IFERROR(AZ21*AZ$4,"")</f>
        <v/>
      </c>
    </row>
    <row r="61" ht="14.5" customHeight="1" s="179">
      <c r="B61" s="65">
        <f>B22</f>
        <v/>
      </c>
      <c r="C61" s="68">
        <f>IFERROR(C22*C$4,"")</f>
        <v/>
      </c>
      <c r="D61" s="68">
        <f>IFERROR(D22*D$4,"")</f>
        <v/>
      </c>
      <c r="E61" s="68">
        <f>IFERROR(E22*E$4,"")</f>
        <v/>
      </c>
      <c r="F61" s="68">
        <f>IFERROR(F22*F$4,"")</f>
        <v/>
      </c>
      <c r="G61" s="68">
        <f>IFERROR(G22*G$4,"")</f>
        <v/>
      </c>
      <c r="H61" s="68">
        <f>IFERROR(H22*H$4,"")</f>
        <v/>
      </c>
      <c r="I61" s="68">
        <f>IFERROR(I22*I$4,"")</f>
        <v/>
      </c>
      <c r="J61" s="68">
        <f>IFERROR(J22*J$4,"")</f>
        <v/>
      </c>
      <c r="K61" s="68">
        <f>IFERROR(K22*K$4,"")</f>
        <v/>
      </c>
      <c r="L61" s="68">
        <f>IFERROR(L22*L$4,"")</f>
        <v/>
      </c>
      <c r="M61" s="68">
        <f>IFERROR(M22*M$4,"")</f>
        <v/>
      </c>
      <c r="N61" s="68">
        <f>IFERROR(N22*N$4,"")</f>
        <v/>
      </c>
      <c r="O61" s="68">
        <f>IFERROR(O22*O$4,"")</f>
        <v/>
      </c>
      <c r="P61" s="68">
        <f>IFERROR(P22*P$4,"")</f>
        <v/>
      </c>
      <c r="Q61" s="68">
        <f>IFERROR(Q22*Q$4,"")</f>
        <v/>
      </c>
      <c r="R61" s="68">
        <f>IFERROR(R22*R$4,"")</f>
        <v/>
      </c>
      <c r="S61" s="68">
        <f>IFERROR(S22*S$4,"")</f>
        <v/>
      </c>
      <c r="T61" s="68">
        <f>IFERROR(T22*T$4,"")</f>
        <v/>
      </c>
      <c r="U61" s="68">
        <f>IFERROR(U22*U$4,"")</f>
        <v/>
      </c>
      <c r="V61" s="68">
        <f>IFERROR(V22*V$4,"")</f>
        <v/>
      </c>
      <c r="W61" s="68">
        <f>IFERROR(W22*W$4,"")</f>
        <v/>
      </c>
      <c r="X61" s="68">
        <f>IFERROR(X22*X$4,"")</f>
        <v/>
      </c>
      <c r="Y61" s="68">
        <f>IFERROR(Y22*Y$4,"")</f>
        <v/>
      </c>
      <c r="Z61" s="68">
        <f>IFERROR(Z22*Z$4,"")</f>
        <v/>
      </c>
      <c r="AA61" s="68">
        <f>IFERROR(AA22*AA$4,"")</f>
        <v/>
      </c>
      <c r="AB61" s="68">
        <f>IFERROR(AB22*AB$4,"")</f>
        <v/>
      </c>
      <c r="AC61" s="68">
        <f>IFERROR(AC22*AC$4,"")</f>
        <v/>
      </c>
      <c r="AD61" s="68">
        <f>IFERROR(AD22*AD$4,"")</f>
        <v/>
      </c>
      <c r="AE61" s="68">
        <f>IFERROR(AE22*AE$4,"")</f>
        <v/>
      </c>
      <c r="AF61" s="68">
        <f>IFERROR(AF22*AF$4,"")</f>
        <v/>
      </c>
      <c r="AG61" s="68">
        <f>IFERROR(AG22*AG$4,"")</f>
        <v/>
      </c>
      <c r="AH61" s="68">
        <f>IFERROR(AH22*AH$4,"")</f>
        <v/>
      </c>
      <c r="AI61" s="68">
        <f>IFERROR(AI22*AI$4,"")</f>
        <v/>
      </c>
      <c r="AJ61" s="68">
        <f>IFERROR(AJ22*AJ$4,"")</f>
        <v/>
      </c>
      <c r="AK61" s="68">
        <f>IFERROR(AK22*AK$4,"")</f>
        <v/>
      </c>
      <c r="AL61" s="68">
        <f>IFERROR(AL22*AL$4,"")</f>
        <v/>
      </c>
      <c r="AM61" s="68">
        <f>IFERROR(AM22*AM$4,"")</f>
        <v/>
      </c>
      <c r="AN61" s="68">
        <f>IFERROR(AN22*AN$4,"")</f>
        <v/>
      </c>
      <c r="AO61" s="68">
        <f>IFERROR(AO22*AO$4,"")</f>
        <v/>
      </c>
      <c r="AP61" s="68">
        <f>IFERROR(AP22*AP$4,"")</f>
        <v/>
      </c>
      <c r="AQ61" s="68">
        <f>IFERROR(AQ22*AQ$4,"")</f>
        <v/>
      </c>
      <c r="AR61" s="68">
        <f>IFERROR(AR22*AR$4,"")</f>
        <v/>
      </c>
      <c r="AS61" s="68">
        <f>IFERROR(AS22*AS$4,"")</f>
        <v/>
      </c>
      <c r="AT61" s="68">
        <f>IFERROR(AT22*AT$4,"")</f>
        <v/>
      </c>
      <c r="AU61" s="68">
        <f>IFERROR(AU22*AU$4,"")</f>
        <v/>
      </c>
      <c r="AV61" s="68">
        <f>IFERROR(AV22*AV$4,"")</f>
        <v/>
      </c>
      <c r="AW61" s="68">
        <f>IFERROR(AW22*AW$4,"")</f>
        <v/>
      </c>
      <c r="AX61" s="68">
        <f>IFERROR(AX22*AX$4,"")</f>
        <v/>
      </c>
      <c r="AY61" s="68">
        <f>IFERROR(AY22*AY$4,"")</f>
        <v/>
      </c>
      <c r="AZ61" s="68">
        <f>IFERROR(AZ22*AZ$4,"")</f>
        <v/>
      </c>
    </row>
    <row r="62" ht="14.5" customHeight="1" s="179">
      <c r="B62" s="65">
        <f>B23</f>
        <v/>
      </c>
      <c r="C62" s="68">
        <f>IFERROR(C23*C$4,"")</f>
        <v/>
      </c>
      <c r="D62" s="68">
        <f>IFERROR(D23*D$4,"")</f>
        <v/>
      </c>
      <c r="E62" s="68">
        <f>IFERROR(E23*E$4,"")</f>
        <v/>
      </c>
      <c r="F62" s="68">
        <f>IFERROR(F23*F$4,"")</f>
        <v/>
      </c>
      <c r="G62" s="68">
        <f>IFERROR(G23*G$4,"")</f>
        <v/>
      </c>
      <c r="H62" s="68">
        <f>IFERROR(H23*H$4,"")</f>
        <v/>
      </c>
      <c r="I62" s="68">
        <f>IFERROR(I23*I$4,"")</f>
        <v/>
      </c>
      <c r="J62" s="68">
        <f>IFERROR(J23*J$4,"")</f>
        <v/>
      </c>
      <c r="K62" s="68">
        <f>IFERROR(K23*K$4,"")</f>
        <v/>
      </c>
      <c r="L62" s="68">
        <f>IFERROR(L23*L$4,"")</f>
        <v/>
      </c>
      <c r="M62" s="68">
        <f>IFERROR(M23*M$4,"")</f>
        <v/>
      </c>
      <c r="N62" s="68">
        <f>IFERROR(N23*N$4,"")</f>
        <v/>
      </c>
      <c r="O62" s="68">
        <f>IFERROR(O23*O$4,"")</f>
        <v/>
      </c>
      <c r="P62" s="68">
        <f>IFERROR(P23*P$4,"")</f>
        <v/>
      </c>
      <c r="Q62" s="68">
        <f>IFERROR(Q23*Q$4,"")</f>
        <v/>
      </c>
      <c r="R62" s="68">
        <f>IFERROR(R23*R$4,"")</f>
        <v/>
      </c>
      <c r="S62" s="68">
        <f>IFERROR(S23*S$4,"")</f>
        <v/>
      </c>
      <c r="T62" s="68">
        <f>IFERROR(T23*T$4,"")</f>
        <v/>
      </c>
      <c r="U62" s="68">
        <f>IFERROR(U23*U$4,"")</f>
        <v/>
      </c>
      <c r="V62" s="68">
        <f>IFERROR(V23*V$4,"")</f>
        <v/>
      </c>
      <c r="W62" s="68">
        <f>IFERROR(W23*W$4,"")</f>
        <v/>
      </c>
      <c r="X62" s="68">
        <f>IFERROR(X23*X$4,"")</f>
        <v/>
      </c>
      <c r="Y62" s="68">
        <f>IFERROR(Y23*Y$4,"")</f>
        <v/>
      </c>
      <c r="Z62" s="68">
        <f>IFERROR(Z23*Z$4,"")</f>
        <v/>
      </c>
      <c r="AA62" s="68">
        <f>IFERROR(AA23*AA$4,"")</f>
        <v/>
      </c>
      <c r="AB62" s="68">
        <f>IFERROR(AB23*AB$4,"")</f>
        <v/>
      </c>
      <c r="AC62" s="68">
        <f>IFERROR(AC23*AC$4,"")</f>
        <v/>
      </c>
      <c r="AD62" s="68">
        <f>IFERROR(AD23*AD$4,"")</f>
        <v/>
      </c>
      <c r="AE62" s="68">
        <f>IFERROR(AE23*AE$4,"")</f>
        <v/>
      </c>
      <c r="AF62" s="68">
        <f>IFERROR(AF23*AF$4,"")</f>
        <v/>
      </c>
      <c r="AG62" s="68">
        <f>IFERROR(AG23*AG$4,"")</f>
        <v/>
      </c>
      <c r="AH62" s="68">
        <f>IFERROR(AH23*AH$4,"")</f>
        <v/>
      </c>
      <c r="AI62" s="68">
        <f>IFERROR(AI23*AI$4,"")</f>
        <v/>
      </c>
      <c r="AJ62" s="68">
        <f>IFERROR(AJ23*AJ$4,"")</f>
        <v/>
      </c>
      <c r="AK62" s="68">
        <f>IFERROR(AK23*AK$4,"")</f>
        <v/>
      </c>
      <c r="AL62" s="68">
        <f>IFERROR(AL23*AL$4,"")</f>
        <v/>
      </c>
      <c r="AM62" s="68">
        <f>IFERROR(AM23*AM$4,"")</f>
        <v/>
      </c>
      <c r="AN62" s="68">
        <f>IFERROR(AN23*AN$4,"")</f>
        <v/>
      </c>
      <c r="AO62" s="68">
        <f>IFERROR(AO23*AO$4,"")</f>
        <v/>
      </c>
      <c r="AP62" s="68">
        <f>IFERROR(AP23*AP$4,"")</f>
        <v/>
      </c>
      <c r="AQ62" s="68">
        <f>IFERROR(AQ23*AQ$4,"")</f>
        <v/>
      </c>
      <c r="AR62" s="68">
        <f>IFERROR(AR23*AR$4,"")</f>
        <v/>
      </c>
      <c r="AS62" s="68">
        <f>IFERROR(AS23*AS$4,"")</f>
        <v/>
      </c>
      <c r="AT62" s="68">
        <f>IFERROR(AT23*AT$4,"")</f>
        <v/>
      </c>
      <c r="AU62" s="68">
        <f>IFERROR(AU23*AU$4,"")</f>
        <v/>
      </c>
      <c r="AV62" s="68">
        <f>IFERROR(AV23*AV$4,"")</f>
        <v/>
      </c>
      <c r="AW62" s="68">
        <f>IFERROR(AW23*AW$4,"")</f>
        <v/>
      </c>
      <c r="AX62" s="68">
        <f>IFERROR(AX23*AX$4,"")</f>
        <v/>
      </c>
      <c r="AY62" s="68">
        <f>IFERROR(AY23*AY$4,"")</f>
        <v/>
      </c>
      <c r="AZ62" s="68">
        <f>IFERROR(AZ23*AZ$4,"")</f>
        <v/>
      </c>
    </row>
    <row r="63" ht="14.5" customHeight="1" s="179">
      <c r="B63" s="65">
        <f>B24</f>
        <v/>
      </c>
      <c r="C63" s="68">
        <f>IFERROR(C24*C$4,"")</f>
        <v/>
      </c>
      <c r="D63" s="68">
        <f>IFERROR(D24*D$4,"")</f>
        <v/>
      </c>
      <c r="E63" s="68">
        <f>IFERROR(E24*E$4,"")</f>
        <v/>
      </c>
      <c r="F63" s="68">
        <f>IFERROR(F24*F$4,"")</f>
        <v/>
      </c>
      <c r="G63" s="68">
        <f>IFERROR(G24*G$4,"")</f>
        <v/>
      </c>
      <c r="H63" s="68">
        <f>IFERROR(H24*H$4,"")</f>
        <v/>
      </c>
      <c r="I63" s="68">
        <f>IFERROR(I24*I$4,"")</f>
        <v/>
      </c>
      <c r="J63" s="68">
        <f>IFERROR(J24*J$4,"")</f>
        <v/>
      </c>
      <c r="K63" s="68">
        <f>IFERROR(K24*K$4,"")</f>
        <v/>
      </c>
      <c r="L63" s="68">
        <f>IFERROR(L24*L$4,"")</f>
        <v/>
      </c>
      <c r="M63" s="68">
        <f>IFERROR(M24*M$4,"")</f>
        <v/>
      </c>
      <c r="N63" s="68">
        <f>IFERROR(N24*N$4,"")</f>
        <v/>
      </c>
      <c r="O63" s="68">
        <f>IFERROR(O24*O$4,"")</f>
        <v/>
      </c>
      <c r="P63" s="68">
        <f>IFERROR(P24*P$4,"")</f>
        <v/>
      </c>
      <c r="Q63" s="68">
        <f>IFERROR(Q24*Q$4,"")</f>
        <v/>
      </c>
      <c r="R63" s="68">
        <f>IFERROR(R24*R$4,"")</f>
        <v/>
      </c>
      <c r="S63" s="68">
        <f>IFERROR(S24*S$4,"")</f>
        <v/>
      </c>
      <c r="T63" s="68">
        <f>IFERROR(T24*T$4,"")</f>
        <v/>
      </c>
      <c r="U63" s="68">
        <f>IFERROR(U24*U$4,"")</f>
        <v/>
      </c>
      <c r="V63" s="68">
        <f>IFERROR(V24*V$4,"")</f>
        <v/>
      </c>
      <c r="W63" s="68">
        <f>IFERROR(W24*W$4,"")</f>
        <v/>
      </c>
      <c r="X63" s="68">
        <f>IFERROR(X24*X$4,"")</f>
        <v/>
      </c>
      <c r="Y63" s="68">
        <f>IFERROR(Y24*Y$4,"")</f>
        <v/>
      </c>
      <c r="Z63" s="68">
        <f>IFERROR(Z24*Z$4,"")</f>
        <v/>
      </c>
      <c r="AA63" s="68">
        <f>IFERROR(AA24*AA$4,"")</f>
        <v/>
      </c>
      <c r="AB63" s="68">
        <f>IFERROR(AB24*AB$4,"")</f>
        <v/>
      </c>
      <c r="AC63" s="68">
        <f>IFERROR(AC24*AC$4,"")</f>
        <v/>
      </c>
      <c r="AD63" s="68">
        <f>IFERROR(AD24*AD$4,"")</f>
        <v/>
      </c>
      <c r="AE63" s="68">
        <f>IFERROR(AE24*AE$4,"")</f>
        <v/>
      </c>
      <c r="AF63" s="68">
        <f>IFERROR(AF24*AF$4,"")</f>
        <v/>
      </c>
      <c r="AG63" s="68">
        <f>IFERROR(AG24*AG$4,"")</f>
        <v/>
      </c>
      <c r="AH63" s="68">
        <f>IFERROR(AH24*AH$4,"")</f>
        <v/>
      </c>
      <c r="AI63" s="68">
        <f>IFERROR(AI24*AI$4,"")</f>
        <v/>
      </c>
      <c r="AJ63" s="68">
        <f>IFERROR(AJ24*AJ$4,"")</f>
        <v/>
      </c>
      <c r="AK63" s="68">
        <f>IFERROR(AK24*AK$4,"")</f>
        <v/>
      </c>
      <c r="AL63" s="68">
        <f>IFERROR(AL24*AL$4,"")</f>
        <v/>
      </c>
      <c r="AM63" s="68">
        <f>IFERROR(AM24*AM$4,"")</f>
        <v/>
      </c>
      <c r="AN63" s="68">
        <f>IFERROR(AN24*AN$4,"")</f>
        <v/>
      </c>
      <c r="AO63" s="68">
        <f>IFERROR(AO24*AO$4,"")</f>
        <v/>
      </c>
      <c r="AP63" s="68">
        <f>IFERROR(AP24*AP$4,"")</f>
        <v/>
      </c>
      <c r="AQ63" s="68">
        <f>IFERROR(AQ24*AQ$4,"")</f>
        <v/>
      </c>
      <c r="AR63" s="68">
        <f>IFERROR(AR24*AR$4,"")</f>
        <v/>
      </c>
      <c r="AS63" s="68">
        <f>IFERROR(AS24*AS$4,"")</f>
        <v/>
      </c>
      <c r="AT63" s="68">
        <f>IFERROR(AT24*AT$4,"")</f>
        <v/>
      </c>
      <c r="AU63" s="68">
        <f>IFERROR(AU24*AU$4,"")</f>
        <v/>
      </c>
      <c r="AV63" s="68">
        <f>IFERROR(AV24*AV$4,"")</f>
        <v/>
      </c>
      <c r="AW63" s="68">
        <f>IFERROR(AW24*AW$4,"")</f>
        <v/>
      </c>
      <c r="AX63" s="68">
        <f>IFERROR(AX24*AX$4,"")</f>
        <v/>
      </c>
      <c r="AY63" s="68">
        <f>IFERROR(AY24*AY$4,"")</f>
        <v/>
      </c>
      <c r="AZ63" s="68">
        <f>IFERROR(AZ24*AZ$4,"")</f>
        <v/>
      </c>
    </row>
    <row r="64" ht="14.5" customHeight="1" s="179">
      <c r="B64" s="65">
        <f>B25</f>
        <v/>
      </c>
      <c r="C64" s="68">
        <f>IFERROR(C25*C$4,"")</f>
        <v/>
      </c>
      <c r="D64" s="68">
        <f>IFERROR(D25*D$4,"")</f>
        <v/>
      </c>
      <c r="E64" s="68">
        <f>IFERROR(E25*E$4,"")</f>
        <v/>
      </c>
      <c r="F64" s="68">
        <f>IFERROR(F25*F$4,"")</f>
        <v/>
      </c>
      <c r="G64" s="68">
        <f>IFERROR(G25*G$4,"")</f>
        <v/>
      </c>
      <c r="H64" s="68">
        <f>IFERROR(H25*H$4,"")</f>
        <v/>
      </c>
      <c r="I64" s="68">
        <f>IFERROR(I25*I$4,"")</f>
        <v/>
      </c>
      <c r="J64" s="68">
        <f>IFERROR(J25*J$4,"")</f>
        <v/>
      </c>
      <c r="K64" s="68">
        <f>IFERROR(K25*K$4,"")</f>
        <v/>
      </c>
      <c r="L64" s="68">
        <f>IFERROR(L25*L$4,"")</f>
        <v/>
      </c>
      <c r="M64" s="68">
        <f>IFERROR(M25*M$4,"")</f>
        <v/>
      </c>
      <c r="N64" s="68">
        <f>IFERROR(N25*N$4,"")</f>
        <v/>
      </c>
      <c r="O64" s="68">
        <f>IFERROR(O25*O$4,"")</f>
        <v/>
      </c>
      <c r="P64" s="68">
        <f>IFERROR(P25*P$4,"")</f>
        <v/>
      </c>
      <c r="Q64" s="68">
        <f>IFERROR(Q25*Q$4,"")</f>
        <v/>
      </c>
      <c r="R64" s="68">
        <f>IFERROR(R25*R$4,"")</f>
        <v/>
      </c>
      <c r="S64" s="68">
        <f>IFERROR(S25*S$4,"")</f>
        <v/>
      </c>
      <c r="T64" s="68">
        <f>IFERROR(T25*T$4,"")</f>
        <v/>
      </c>
      <c r="U64" s="68">
        <f>IFERROR(U25*U$4,"")</f>
        <v/>
      </c>
      <c r="V64" s="68">
        <f>IFERROR(V25*V$4,"")</f>
        <v/>
      </c>
      <c r="W64" s="68">
        <f>IFERROR(W25*W$4,"")</f>
        <v/>
      </c>
      <c r="X64" s="68">
        <f>IFERROR(X25*X$4,"")</f>
        <v/>
      </c>
      <c r="Y64" s="68">
        <f>IFERROR(Y25*Y$4,"")</f>
        <v/>
      </c>
      <c r="Z64" s="68">
        <f>IFERROR(Z25*Z$4,"")</f>
        <v/>
      </c>
      <c r="AA64" s="68">
        <f>IFERROR(AA25*AA$4,"")</f>
        <v/>
      </c>
      <c r="AB64" s="68">
        <f>IFERROR(AB25*AB$4,"")</f>
        <v/>
      </c>
      <c r="AC64" s="68">
        <f>IFERROR(AC25*AC$4,"")</f>
        <v/>
      </c>
      <c r="AD64" s="68">
        <f>IFERROR(AD25*AD$4,"")</f>
        <v/>
      </c>
      <c r="AE64" s="68">
        <f>IFERROR(AE25*AE$4,"")</f>
        <v/>
      </c>
      <c r="AF64" s="68">
        <f>IFERROR(AF25*AF$4,"")</f>
        <v/>
      </c>
      <c r="AG64" s="68">
        <f>IFERROR(AG25*AG$4,"")</f>
        <v/>
      </c>
      <c r="AH64" s="68">
        <f>IFERROR(AH25*AH$4,"")</f>
        <v/>
      </c>
      <c r="AI64" s="68">
        <f>IFERROR(AI25*AI$4,"")</f>
        <v/>
      </c>
      <c r="AJ64" s="68">
        <f>IFERROR(AJ25*AJ$4,"")</f>
        <v/>
      </c>
      <c r="AK64" s="68">
        <f>IFERROR(AK25*AK$4,"")</f>
        <v/>
      </c>
      <c r="AL64" s="68">
        <f>IFERROR(AL25*AL$4,"")</f>
        <v/>
      </c>
      <c r="AM64" s="68">
        <f>IFERROR(AM25*AM$4,"")</f>
        <v/>
      </c>
      <c r="AN64" s="68">
        <f>IFERROR(AN25*AN$4,"")</f>
        <v/>
      </c>
      <c r="AO64" s="68">
        <f>IFERROR(AO25*AO$4,"")</f>
        <v/>
      </c>
      <c r="AP64" s="68">
        <f>IFERROR(AP25*AP$4,"")</f>
        <v/>
      </c>
      <c r="AQ64" s="68">
        <f>IFERROR(AQ25*AQ$4,"")</f>
        <v/>
      </c>
      <c r="AR64" s="68">
        <f>IFERROR(AR25*AR$4,"")</f>
        <v/>
      </c>
      <c r="AS64" s="68">
        <f>IFERROR(AS25*AS$4,"")</f>
        <v/>
      </c>
      <c r="AT64" s="68">
        <f>IFERROR(AT25*AT$4,"")</f>
        <v/>
      </c>
      <c r="AU64" s="68">
        <f>IFERROR(AU25*AU$4,"")</f>
        <v/>
      </c>
      <c r="AV64" s="68">
        <f>IFERROR(AV25*AV$4,"")</f>
        <v/>
      </c>
      <c r="AW64" s="68">
        <f>IFERROR(AW25*AW$4,"")</f>
        <v/>
      </c>
      <c r="AX64" s="68">
        <f>IFERROR(AX25*AX$4,"")</f>
        <v/>
      </c>
      <c r="AY64" s="68">
        <f>IFERROR(AY25*AY$4,"")</f>
        <v/>
      </c>
      <c r="AZ64" s="68">
        <f>IFERROR(AZ25*AZ$4,"")</f>
        <v/>
      </c>
    </row>
    <row r="65" ht="14.5" customHeight="1" s="179">
      <c r="B65" s="65">
        <f>B26</f>
        <v/>
      </c>
      <c r="C65" s="68">
        <f>IFERROR(C26*C$4,"")</f>
        <v/>
      </c>
      <c r="D65" s="68">
        <f>IFERROR(D26*D$4,"")</f>
        <v/>
      </c>
      <c r="E65" s="68">
        <f>IFERROR(E26*E$4,"")</f>
        <v/>
      </c>
      <c r="F65" s="68">
        <f>IFERROR(F26*F$4,"")</f>
        <v/>
      </c>
      <c r="G65" s="68">
        <f>IFERROR(G26*G$4,"")</f>
        <v/>
      </c>
      <c r="H65" s="68">
        <f>IFERROR(H26*H$4,"")</f>
        <v/>
      </c>
      <c r="I65" s="68">
        <f>IFERROR(I26*I$4,"")</f>
        <v/>
      </c>
      <c r="J65" s="68">
        <f>IFERROR(J26*J$4,"")</f>
        <v/>
      </c>
      <c r="K65" s="68">
        <f>IFERROR(K26*K$4,"")</f>
        <v/>
      </c>
      <c r="L65" s="68">
        <f>IFERROR(L26*L$4,"")</f>
        <v/>
      </c>
      <c r="M65" s="68">
        <f>IFERROR(M26*M$4,"")</f>
        <v/>
      </c>
      <c r="N65" s="68">
        <f>IFERROR(N26*N$4,"")</f>
        <v/>
      </c>
      <c r="O65" s="68">
        <f>IFERROR(O26*O$4,"")</f>
        <v/>
      </c>
      <c r="P65" s="68">
        <f>IFERROR(P26*P$4,"")</f>
        <v/>
      </c>
      <c r="Q65" s="68">
        <f>IFERROR(Q26*Q$4,"")</f>
        <v/>
      </c>
      <c r="R65" s="68">
        <f>IFERROR(R26*R$4,"")</f>
        <v/>
      </c>
      <c r="S65" s="68">
        <f>IFERROR(S26*S$4,"")</f>
        <v/>
      </c>
      <c r="T65" s="68">
        <f>IFERROR(T26*T$4,"")</f>
        <v/>
      </c>
      <c r="U65" s="68">
        <f>IFERROR(U26*U$4,"")</f>
        <v/>
      </c>
      <c r="V65" s="68">
        <f>IFERROR(V26*V$4,"")</f>
        <v/>
      </c>
      <c r="W65" s="68">
        <f>IFERROR(W26*W$4,"")</f>
        <v/>
      </c>
      <c r="X65" s="68">
        <f>IFERROR(X26*X$4,"")</f>
        <v/>
      </c>
      <c r="Y65" s="68">
        <f>IFERROR(Y26*Y$4,"")</f>
        <v/>
      </c>
      <c r="Z65" s="68">
        <f>IFERROR(Z26*Z$4,"")</f>
        <v/>
      </c>
      <c r="AA65" s="68">
        <f>IFERROR(AA26*AA$4,"")</f>
        <v/>
      </c>
      <c r="AB65" s="68">
        <f>IFERROR(AB26*AB$4,"")</f>
        <v/>
      </c>
      <c r="AC65" s="68">
        <f>IFERROR(AC26*AC$4,"")</f>
        <v/>
      </c>
      <c r="AD65" s="68">
        <f>IFERROR(AD26*AD$4,"")</f>
        <v/>
      </c>
      <c r="AE65" s="68">
        <f>IFERROR(AE26*AE$4,"")</f>
        <v/>
      </c>
      <c r="AF65" s="68">
        <f>IFERROR(AF26*AF$4,"")</f>
        <v/>
      </c>
      <c r="AG65" s="68">
        <f>IFERROR(AG26*AG$4,"")</f>
        <v/>
      </c>
      <c r="AH65" s="68">
        <f>IFERROR(AH26*AH$4,"")</f>
        <v/>
      </c>
      <c r="AI65" s="68">
        <f>IFERROR(AI26*AI$4,"")</f>
        <v/>
      </c>
      <c r="AJ65" s="68">
        <f>IFERROR(AJ26*AJ$4,"")</f>
        <v/>
      </c>
      <c r="AK65" s="68">
        <f>IFERROR(AK26*AK$4,"")</f>
        <v/>
      </c>
      <c r="AL65" s="68">
        <f>IFERROR(AL26*AL$4,"")</f>
        <v/>
      </c>
      <c r="AM65" s="68">
        <f>IFERROR(AM26*AM$4,"")</f>
        <v/>
      </c>
      <c r="AN65" s="68">
        <f>IFERROR(AN26*AN$4,"")</f>
        <v/>
      </c>
      <c r="AO65" s="68">
        <f>IFERROR(AO26*AO$4,"")</f>
        <v/>
      </c>
      <c r="AP65" s="68">
        <f>IFERROR(AP26*AP$4,"")</f>
        <v/>
      </c>
      <c r="AQ65" s="68">
        <f>IFERROR(AQ26*AQ$4,"")</f>
        <v/>
      </c>
      <c r="AR65" s="68">
        <f>IFERROR(AR26*AR$4,"")</f>
        <v/>
      </c>
      <c r="AS65" s="68">
        <f>IFERROR(AS26*AS$4,"")</f>
        <v/>
      </c>
      <c r="AT65" s="68">
        <f>IFERROR(AT26*AT$4,"")</f>
        <v/>
      </c>
      <c r="AU65" s="68">
        <f>IFERROR(AU26*AU$4,"")</f>
        <v/>
      </c>
      <c r="AV65" s="68">
        <f>IFERROR(AV26*AV$4,"")</f>
        <v/>
      </c>
      <c r="AW65" s="68">
        <f>IFERROR(AW26*AW$4,"")</f>
        <v/>
      </c>
      <c r="AX65" s="68">
        <f>IFERROR(AX26*AX$4,"")</f>
        <v/>
      </c>
      <c r="AY65" s="68">
        <f>IFERROR(AY26*AY$4,"")</f>
        <v/>
      </c>
      <c r="AZ65" s="68">
        <f>IFERROR(AZ26*AZ$4,"")</f>
        <v/>
      </c>
    </row>
    <row r="66" ht="14.5" customHeight="1" s="179">
      <c r="B66" s="65">
        <f>B27</f>
        <v/>
      </c>
      <c r="C66" s="68">
        <f>IFERROR(C27*C$4,"")</f>
        <v/>
      </c>
      <c r="D66" s="68">
        <f>IFERROR(D27*D$4,"")</f>
        <v/>
      </c>
      <c r="E66" s="68">
        <f>IFERROR(E27*E$4,"")</f>
        <v/>
      </c>
      <c r="F66" s="68">
        <f>IFERROR(F27*F$4,"")</f>
        <v/>
      </c>
      <c r="G66" s="68">
        <f>IFERROR(G27*G$4,"")</f>
        <v/>
      </c>
      <c r="H66" s="68">
        <f>IFERROR(H27*H$4,"")</f>
        <v/>
      </c>
      <c r="I66" s="68">
        <f>IFERROR(I27*I$4,"")</f>
        <v/>
      </c>
      <c r="J66" s="68">
        <f>IFERROR(J27*J$4,"")</f>
        <v/>
      </c>
      <c r="K66" s="68">
        <f>IFERROR(K27*K$4,"")</f>
        <v/>
      </c>
      <c r="L66" s="68">
        <f>IFERROR(L27*L$4,"")</f>
        <v/>
      </c>
      <c r="M66" s="68">
        <f>IFERROR(M27*M$4,"")</f>
        <v/>
      </c>
      <c r="N66" s="68">
        <f>IFERROR(N27*N$4,"")</f>
        <v/>
      </c>
      <c r="O66" s="68">
        <f>IFERROR(O27*O$4,"")</f>
        <v/>
      </c>
      <c r="P66" s="68">
        <f>IFERROR(P27*P$4,"")</f>
        <v/>
      </c>
      <c r="Q66" s="68">
        <f>IFERROR(Q27*Q$4,"")</f>
        <v/>
      </c>
      <c r="R66" s="68">
        <f>IFERROR(R27*R$4,"")</f>
        <v/>
      </c>
      <c r="S66" s="68">
        <f>IFERROR(S27*S$4,"")</f>
        <v/>
      </c>
      <c r="T66" s="68">
        <f>IFERROR(T27*T$4,"")</f>
        <v/>
      </c>
      <c r="U66" s="68">
        <f>IFERROR(U27*U$4,"")</f>
        <v/>
      </c>
      <c r="V66" s="68">
        <f>IFERROR(V27*V$4,"")</f>
        <v/>
      </c>
      <c r="W66" s="68">
        <f>IFERROR(W27*W$4,"")</f>
        <v/>
      </c>
      <c r="X66" s="68">
        <f>IFERROR(X27*X$4,"")</f>
        <v/>
      </c>
      <c r="Y66" s="68">
        <f>IFERROR(Y27*Y$4,"")</f>
        <v/>
      </c>
      <c r="Z66" s="68">
        <f>IFERROR(Z27*Z$4,"")</f>
        <v/>
      </c>
      <c r="AA66" s="68">
        <f>IFERROR(AA27*AA$4,"")</f>
        <v/>
      </c>
      <c r="AB66" s="68">
        <f>IFERROR(AB27*AB$4,"")</f>
        <v/>
      </c>
      <c r="AC66" s="68">
        <f>IFERROR(AC27*AC$4,"")</f>
        <v/>
      </c>
      <c r="AD66" s="68">
        <f>IFERROR(AD27*AD$4,"")</f>
        <v/>
      </c>
      <c r="AE66" s="68">
        <f>IFERROR(AE27*AE$4,"")</f>
        <v/>
      </c>
      <c r="AF66" s="68">
        <f>IFERROR(AF27*AF$4,"")</f>
        <v/>
      </c>
      <c r="AG66" s="68">
        <f>IFERROR(AG27*AG$4,"")</f>
        <v/>
      </c>
      <c r="AH66" s="68">
        <f>IFERROR(AH27*AH$4,"")</f>
        <v/>
      </c>
      <c r="AI66" s="68">
        <f>IFERROR(AI27*AI$4,"")</f>
        <v/>
      </c>
      <c r="AJ66" s="68">
        <f>IFERROR(AJ27*AJ$4,"")</f>
        <v/>
      </c>
      <c r="AK66" s="68">
        <f>IFERROR(AK27*AK$4,"")</f>
        <v/>
      </c>
      <c r="AL66" s="68">
        <f>IFERROR(AL27*AL$4,"")</f>
        <v/>
      </c>
      <c r="AM66" s="68">
        <f>IFERROR(AM27*AM$4,"")</f>
        <v/>
      </c>
      <c r="AN66" s="68">
        <f>IFERROR(AN27*AN$4,"")</f>
        <v/>
      </c>
      <c r="AO66" s="68">
        <f>IFERROR(AO27*AO$4,"")</f>
        <v/>
      </c>
      <c r="AP66" s="68">
        <f>IFERROR(AP27*AP$4,"")</f>
        <v/>
      </c>
      <c r="AQ66" s="68">
        <f>IFERROR(AQ27*AQ$4,"")</f>
        <v/>
      </c>
      <c r="AR66" s="68">
        <f>IFERROR(AR27*AR$4,"")</f>
        <v/>
      </c>
      <c r="AS66" s="68">
        <f>IFERROR(AS27*AS$4,"")</f>
        <v/>
      </c>
      <c r="AT66" s="68">
        <f>IFERROR(AT27*AT$4,"")</f>
        <v/>
      </c>
      <c r="AU66" s="68">
        <f>IFERROR(AU27*AU$4,"")</f>
        <v/>
      </c>
      <c r="AV66" s="68">
        <f>IFERROR(AV27*AV$4,"")</f>
        <v/>
      </c>
      <c r="AW66" s="68">
        <f>IFERROR(AW27*AW$4,"")</f>
        <v/>
      </c>
      <c r="AX66" s="68">
        <f>IFERROR(AX27*AX$4,"")</f>
        <v/>
      </c>
      <c r="AY66" s="68">
        <f>IFERROR(AY27*AY$4,"")</f>
        <v/>
      </c>
      <c r="AZ66" s="68">
        <f>IFERROR(AZ27*AZ$4,"")</f>
        <v/>
      </c>
    </row>
    <row r="67" ht="14.5" customHeight="1" s="179">
      <c r="B67" s="65">
        <f>B28</f>
        <v/>
      </c>
      <c r="C67" s="68">
        <f>IFERROR(C28*C$4,"")</f>
        <v/>
      </c>
      <c r="D67" s="68">
        <f>IFERROR(D28*D$4,"")</f>
        <v/>
      </c>
      <c r="E67" s="68">
        <f>IFERROR(E28*E$4,"")</f>
        <v/>
      </c>
      <c r="F67" s="68">
        <f>IFERROR(F28*F$4,"")</f>
        <v/>
      </c>
      <c r="G67" s="68">
        <f>IFERROR(G28*G$4,"")</f>
        <v/>
      </c>
      <c r="H67" s="68">
        <f>IFERROR(H28*H$4,"")</f>
        <v/>
      </c>
      <c r="I67" s="68">
        <f>IFERROR(I28*I$4,"")</f>
        <v/>
      </c>
      <c r="J67" s="68">
        <f>IFERROR(J28*J$4,"")</f>
        <v/>
      </c>
      <c r="K67" s="68">
        <f>IFERROR(K28*K$4,"")</f>
        <v/>
      </c>
      <c r="L67" s="68">
        <f>IFERROR(L28*L$4,"")</f>
        <v/>
      </c>
      <c r="M67" s="68">
        <f>IFERROR(M28*M$4,"")</f>
        <v/>
      </c>
      <c r="N67" s="68">
        <f>IFERROR(N28*N$4,"")</f>
        <v/>
      </c>
      <c r="O67" s="68">
        <f>IFERROR(O28*O$4,"")</f>
        <v/>
      </c>
      <c r="P67" s="68">
        <f>IFERROR(P28*P$4,"")</f>
        <v/>
      </c>
      <c r="Q67" s="68">
        <f>IFERROR(Q28*Q$4,"")</f>
        <v/>
      </c>
      <c r="R67" s="68">
        <f>IFERROR(R28*R$4,"")</f>
        <v/>
      </c>
      <c r="S67" s="68">
        <f>IFERROR(S28*S$4,"")</f>
        <v/>
      </c>
      <c r="T67" s="68">
        <f>IFERROR(T28*T$4,"")</f>
        <v/>
      </c>
      <c r="U67" s="68">
        <f>IFERROR(U28*U$4,"")</f>
        <v/>
      </c>
      <c r="V67" s="68">
        <f>IFERROR(V28*V$4,"")</f>
        <v/>
      </c>
      <c r="W67" s="68">
        <f>IFERROR(W28*W$4,"")</f>
        <v/>
      </c>
      <c r="X67" s="68">
        <f>IFERROR(X28*X$4,"")</f>
        <v/>
      </c>
      <c r="Y67" s="68">
        <f>IFERROR(Y28*Y$4,"")</f>
        <v/>
      </c>
      <c r="Z67" s="68">
        <f>IFERROR(Z28*Z$4,"")</f>
        <v/>
      </c>
      <c r="AA67" s="68">
        <f>IFERROR(AA28*AA$4,"")</f>
        <v/>
      </c>
      <c r="AB67" s="68">
        <f>IFERROR(AB28*AB$4,"")</f>
        <v/>
      </c>
      <c r="AC67" s="68">
        <f>IFERROR(AC28*AC$4,"")</f>
        <v/>
      </c>
      <c r="AD67" s="68">
        <f>IFERROR(AD28*AD$4,"")</f>
        <v/>
      </c>
      <c r="AE67" s="68">
        <f>IFERROR(AE28*AE$4,"")</f>
        <v/>
      </c>
      <c r="AF67" s="68">
        <f>IFERROR(AF28*AF$4,"")</f>
        <v/>
      </c>
      <c r="AG67" s="68">
        <f>IFERROR(AG28*AG$4,"")</f>
        <v/>
      </c>
      <c r="AH67" s="68">
        <f>IFERROR(AH28*AH$4,"")</f>
        <v/>
      </c>
      <c r="AI67" s="68">
        <f>IFERROR(AI28*AI$4,"")</f>
        <v/>
      </c>
      <c r="AJ67" s="68">
        <f>IFERROR(AJ28*AJ$4,"")</f>
        <v/>
      </c>
      <c r="AK67" s="68">
        <f>IFERROR(AK28*AK$4,"")</f>
        <v/>
      </c>
      <c r="AL67" s="68">
        <f>IFERROR(AL28*AL$4,"")</f>
        <v/>
      </c>
      <c r="AM67" s="68">
        <f>IFERROR(AM28*AM$4,"")</f>
        <v/>
      </c>
      <c r="AN67" s="68">
        <f>IFERROR(AN28*AN$4,"")</f>
        <v/>
      </c>
      <c r="AO67" s="68">
        <f>IFERROR(AO28*AO$4,"")</f>
        <v/>
      </c>
      <c r="AP67" s="68">
        <f>IFERROR(AP28*AP$4,"")</f>
        <v/>
      </c>
      <c r="AQ67" s="68">
        <f>IFERROR(AQ28*AQ$4,"")</f>
        <v/>
      </c>
      <c r="AR67" s="68">
        <f>IFERROR(AR28*AR$4,"")</f>
        <v/>
      </c>
      <c r="AS67" s="68">
        <f>IFERROR(AS28*AS$4,"")</f>
        <v/>
      </c>
      <c r="AT67" s="68">
        <f>IFERROR(AT28*AT$4,"")</f>
        <v/>
      </c>
      <c r="AU67" s="68">
        <f>IFERROR(AU28*AU$4,"")</f>
        <v/>
      </c>
      <c r="AV67" s="68">
        <f>IFERROR(AV28*AV$4,"")</f>
        <v/>
      </c>
      <c r="AW67" s="68">
        <f>IFERROR(AW28*AW$4,"")</f>
        <v/>
      </c>
      <c r="AX67" s="68">
        <f>IFERROR(AX28*AX$4,"")</f>
        <v/>
      </c>
      <c r="AY67" s="68">
        <f>IFERROR(AY28*AY$4,"")</f>
        <v/>
      </c>
      <c r="AZ67" s="68">
        <f>IFERROR(AZ28*AZ$4,"")</f>
        <v/>
      </c>
    </row>
    <row r="68" ht="14.5" customHeight="1" s="179">
      <c r="B68" s="65">
        <f>B29</f>
        <v/>
      </c>
      <c r="C68" s="68">
        <f>IFERROR(C29*C$4,"")</f>
        <v/>
      </c>
      <c r="D68" s="68">
        <f>IFERROR(D29*D$4,"")</f>
        <v/>
      </c>
      <c r="E68" s="68">
        <f>IFERROR(E29*E$4,"")</f>
        <v/>
      </c>
      <c r="F68" s="68">
        <f>IFERROR(F29*F$4,"")</f>
        <v/>
      </c>
      <c r="G68" s="68">
        <f>IFERROR(G29*G$4,"")</f>
        <v/>
      </c>
      <c r="H68" s="68">
        <f>IFERROR(H29*H$4,"")</f>
        <v/>
      </c>
      <c r="I68" s="68">
        <f>IFERROR(I29*I$4,"")</f>
        <v/>
      </c>
      <c r="J68" s="68">
        <f>IFERROR(J29*J$4,"")</f>
        <v/>
      </c>
      <c r="K68" s="68">
        <f>IFERROR(K29*K$4,"")</f>
        <v/>
      </c>
      <c r="L68" s="68">
        <f>IFERROR(L29*L$4,"")</f>
        <v/>
      </c>
      <c r="M68" s="68">
        <f>IFERROR(M29*M$4,"")</f>
        <v/>
      </c>
      <c r="N68" s="68">
        <f>IFERROR(N29*N$4,"")</f>
        <v/>
      </c>
      <c r="O68" s="68">
        <f>IFERROR(O29*O$4,"")</f>
        <v/>
      </c>
      <c r="P68" s="68">
        <f>IFERROR(P29*P$4,"")</f>
        <v/>
      </c>
      <c r="Q68" s="68">
        <f>IFERROR(Q29*Q$4,"")</f>
        <v/>
      </c>
      <c r="R68" s="68">
        <f>IFERROR(R29*R$4,"")</f>
        <v/>
      </c>
      <c r="S68" s="68">
        <f>IFERROR(S29*S$4,"")</f>
        <v/>
      </c>
      <c r="T68" s="68">
        <f>IFERROR(T29*T$4,"")</f>
        <v/>
      </c>
      <c r="U68" s="68">
        <f>IFERROR(U29*U$4,"")</f>
        <v/>
      </c>
      <c r="V68" s="68">
        <f>IFERROR(V29*V$4,"")</f>
        <v/>
      </c>
      <c r="W68" s="68">
        <f>IFERROR(W29*W$4,"")</f>
        <v/>
      </c>
      <c r="X68" s="68">
        <f>IFERROR(X29*X$4,"")</f>
        <v/>
      </c>
      <c r="Y68" s="68">
        <f>IFERROR(Y29*Y$4,"")</f>
        <v/>
      </c>
      <c r="Z68" s="68">
        <f>IFERROR(Z29*Z$4,"")</f>
        <v/>
      </c>
      <c r="AA68" s="68">
        <f>IFERROR(AA29*AA$4,"")</f>
        <v/>
      </c>
      <c r="AB68" s="68">
        <f>IFERROR(AB29*AB$4,"")</f>
        <v/>
      </c>
      <c r="AC68" s="68">
        <f>IFERROR(AC29*AC$4,"")</f>
        <v/>
      </c>
      <c r="AD68" s="68">
        <f>IFERROR(AD29*AD$4,"")</f>
        <v/>
      </c>
      <c r="AE68" s="68">
        <f>IFERROR(AE29*AE$4,"")</f>
        <v/>
      </c>
      <c r="AF68" s="68">
        <f>IFERROR(AF29*AF$4,"")</f>
        <v/>
      </c>
      <c r="AG68" s="68">
        <f>IFERROR(AG29*AG$4,"")</f>
        <v/>
      </c>
      <c r="AH68" s="68">
        <f>IFERROR(AH29*AH$4,"")</f>
        <v/>
      </c>
      <c r="AI68" s="68">
        <f>IFERROR(AI29*AI$4,"")</f>
        <v/>
      </c>
      <c r="AJ68" s="68">
        <f>IFERROR(AJ29*AJ$4,"")</f>
        <v/>
      </c>
      <c r="AK68" s="68">
        <f>IFERROR(AK29*AK$4,"")</f>
        <v/>
      </c>
      <c r="AL68" s="68">
        <f>IFERROR(AL29*AL$4,"")</f>
        <v/>
      </c>
      <c r="AM68" s="68">
        <f>IFERROR(AM29*AM$4,"")</f>
        <v/>
      </c>
      <c r="AN68" s="68">
        <f>IFERROR(AN29*AN$4,"")</f>
        <v/>
      </c>
      <c r="AO68" s="68">
        <f>IFERROR(AO29*AO$4,"")</f>
        <v/>
      </c>
      <c r="AP68" s="68">
        <f>IFERROR(AP29*AP$4,"")</f>
        <v/>
      </c>
      <c r="AQ68" s="68">
        <f>IFERROR(AQ29*AQ$4,"")</f>
        <v/>
      </c>
      <c r="AR68" s="68">
        <f>IFERROR(AR29*AR$4,"")</f>
        <v/>
      </c>
      <c r="AS68" s="68">
        <f>IFERROR(AS29*AS$4,"")</f>
        <v/>
      </c>
      <c r="AT68" s="68">
        <f>IFERROR(AT29*AT$4,"")</f>
        <v/>
      </c>
      <c r="AU68" s="68">
        <f>IFERROR(AU29*AU$4,"")</f>
        <v/>
      </c>
      <c r="AV68" s="68">
        <f>IFERROR(AV29*AV$4,"")</f>
        <v/>
      </c>
      <c r="AW68" s="68">
        <f>IFERROR(AW29*AW$4,"")</f>
        <v/>
      </c>
      <c r="AX68" s="68">
        <f>IFERROR(AX29*AX$4,"")</f>
        <v/>
      </c>
      <c r="AY68" s="68">
        <f>IFERROR(AY29*AY$4,"")</f>
        <v/>
      </c>
      <c r="AZ68" s="68">
        <f>IFERROR(AZ29*AZ$4,"")</f>
        <v/>
      </c>
    </row>
    <row r="69" ht="14.5" customHeight="1" s="179">
      <c r="B69" s="65">
        <f>B30</f>
        <v/>
      </c>
      <c r="C69" s="68">
        <f>IFERROR(C30*C$4,"")</f>
        <v/>
      </c>
      <c r="D69" s="68">
        <f>IFERROR(D30*D$4,"")</f>
        <v/>
      </c>
      <c r="E69" s="68">
        <f>IFERROR(E30*E$4,"")</f>
        <v/>
      </c>
      <c r="F69" s="68">
        <f>IFERROR(F30*F$4,"")</f>
        <v/>
      </c>
      <c r="G69" s="68">
        <f>IFERROR(G30*G$4,"")</f>
        <v/>
      </c>
      <c r="H69" s="68">
        <f>IFERROR(H30*H$4,"")</f>
        <v/>
      </c>
      <c r="I69" s="68">
        <f>IFERROR(I30*I$4,"")</f>
        <v/>
      </c>
      <c r="J69" s="68">
        <f>IFERROR(J30*J$4,"")</f>
        <v/>
      </c>
      <c r="K69" s="68">
        <f>IFERROR(K30*K$4,"")</f>
        <v/>
      </c>
      <c r="L69" s="68">
        <f>IFERROR(L30*L$4,"")</f>
        <v/>
      </c>
      <c r="M69" s="68">
        <f>IFERROR(M30*M$4,"")</f>
        <v/>
      </c>
      <c r="N69" s="68">
        <f>IFERROR(N30*N$4,"")</f>
        <v/>
      </c>
      <c r="O69" s="68">
        <f>IFERROR(O30*O$4,"")</f>
        <v/>
      </c>
      <c r="P69" s="68">
        <f>IFERROR(P30*P$4,"")</f>
        <v/>
      </c>
      <c r="Q69" s="68">
        <f>IFERROR(Q30*Q$4,"")</f>
        <v/>
      </c>
      <c r="R69" s="68">
        <f>IFERROR(R30*R$4,"")</f>
        <v/>
      </c>
      <c r="S69" s="68">
        <f>IFERROR(S30*S$4,"")</f>
        <v/>
      </c>
      <c r="T69" s="68">
        <f>IFERROR(T30*T$4,"")</f>
        <v/>
      </c>
      <c r="U69" s="68">
        <f>IFERROR(U30*U$4,"")</f>
        <v/>
      </c>
      <c r="V69" s="68">
        <f>IFERROR(V30*V$4,"")</f>
        <v/>
      </c>
      <c r="W69" s="68">
        <f>IFERROR(W30*W$4,"")</f>
        <v/>
      </c>
      <c r="X69" s="68">
        <f>IFERROR(X30*X$4,"")</f>
        <v/>
      </c>
      <c r="Y69" s="68">
        <f>IFERROR(Y30*Y$4,"")</f>
        <v/>
      </c>
      <c r="Z69" s="68">
        <f>IFERROR(Z30*Z$4,"")</f>
        <v/>
      </c>
      <c r="AA69" s="68">
        <f>IFERROR(AA30*AA$4,"")</f>
        <v/>
      </c>
      <c r="AB69" s="68">
        <f>IFERROR(AB30*AB$4,"")</f>
        <v/>
      </c>
      <c r="AC69" s="68">
        <f>IFERROR(AC30*AC$4,"")</f>
        <v/>
      </c>
      <c r="AD69" s="68">
        <f>IFERROR(AD30*AD$4,"")</f>
        <v/>
      </c>
      <c r="AE69" s="68">
        <f>IFERROR(AE30*AE$4,"")</f>
        <v/>
      </c>
      <c r="AF69" s="68">
        <f>IFERROR(AF30*AF$4,"")</f>
        <v/>
      </c>
      <c r="AG69" s="68">
        <f>IFERROR(AG30*AG$4,"")</f>
        <v/>
      </c>
      <c r="AH69" s="68">
        <f>IFERROR(AH30*AH$4,"")</f>
        <v/>
      </c>
      <c r="AI69" s="68">
        <f>IFERROR(AI30*AI$4,"")</f>
        <v/>
      </c>
      <c r="AJ69" s="68">
        <f>IFERROR(AJ30*AJ$4,"")</f>
        <v/>
      </c>
      <c r="AK69" s="68">
        <f>IFERROR(AK30*AK$4,"")</f>
        <v/>
      </c>
      <c r="AL69" s="68">
        <f>IFERROR(AL30*AL$4,"")</f>
        <v/>
      </c>
      <c r="AM69" s="68">
        <f>IFERROR(AM30*AM$4,"")</f>
        <v/>
      </c>
      <c r="AN69" s="68">
        <f>IFERROR(AN30*AN$4,"")</f>
        <v/>
      </c>
      <c r="AO69" s="68">
        <f>IFERROR(AO30*AO$4,"")</f>
        <v/>
      </c>
      <c r="AP69" s="68">
        <f>IFERROR(AP30*AP$4,"")</f>
        <v/>
      </c>
      <c r="AQ69" s="68">
        <f>IFERROR(AQ30*AQ$4,"")</f>
        <v/>
      </c>
      <c r="AR69" s="68">
        <f>IFERROR(AR30*AR$4,"")</f>
        <v/>
      </c>
      <c r="AS69" s="68">
        <f>IFERROR(AS30*AS$4,"")</f>
        <v/>
      </c>
      <c r="AT69" s="68">
        <f>IFERROR(AT30*AT$4,"")</f>
        <v/>
      </c>
      <c r="AU69" s="68">
        <f>IFERROR(AU30*AU$4,"")</f>
        <v/>
      </c>
      <c r="AV69" s="68">
        <f>IFERROR(AV30*AV$4,"")</f>
        <v/>
      </c>
      <c r="AW69" s="68">
        <f>IFERROR(AW30*AW$4,"")</f>
        <v/>
      </c>
      <c r="AX69" s="68">
        <f>IFERROR(AX30*AX$4,"")</f>
        <v/>
      </c>
      <c r="AY69" s="68">
        <f>IFERROR(AY30*AY$4,"")</f>
        <v/>
      </c>
      <c r="AZ69" s="68">
        <f>IFERROR(AZ30*AZ$4,"")</f>
        <v/>
      </c>
    </row>
    <row r="70" ht="14.5" customHeight="1" s="179">
      <c r="B70" s="65">
        <f>B31</f>
        <v/>
      </c>
      <c r="C70" s="68">
        <f>IFERROR(C31*C$4,"")</f>
        <v/>
      </c>
      <c r="D70" s="68">
        <f>IFERROR(D31*D$4,"")</f>
        <v/>
      </c>
      <c r="E70" s="68">
        <f>IFERROR(E31*E$4,"")</f>
        <v/>
      </c>
      <c r="F70" s="68">
        <f>IFERROR(F31*F$4,"")</f>
        <v/>
      </c>
      <c r="G70" s="68">
        <f>IFERROR(G31*G$4,"")</f>
        <v/>
      </c>
      <c r="H70" s="68">
        <f>IFERROR(H31*H$4,"")</f>
        <v/>
      </c>
      <c r="I70" s="68">
        <f>IFERROR(I31*I$4,"")</f>
        <v/>
      </c>
      <c r="J70" s="68">
        <f>IFERROR(J31*J$4,"")</f>
        <v/>
      </c>
      <c r="K70" s="68">
        <f>IFERROR(K31*K$4,"")</f>
        <v/>
      </c>
      <c r="L70" s="68">
        <f>IFERROR(L31*L$4,"")</f>
        <v/>
      </c>
      <c r="M70" s="68">
        <f>IFERROR(M31*M$4,"")</f>
        <v/>
      </c>
      <c r="N70" s="68">
        <f>IFERROR(N31*N$4,"")</f>
        <v/>
      </c>
      <c r="O70" s="68">
        <f>IFERROR(O31*O$4,"")</f>
        <v/>
      </c>
      <c r="P70" s="68">
        <f>IFERROR(P31*P$4,"")</f>
        <v/>
      </c>
      <c r="Q70" s="68">
        <f>IFERROR(Q31*Q$4,"")</f>
        <v/>
      </c>
      <c r="R70" s="68">
        <f>IFERROR(R31*R$4,"")</f>
        <v/>
      </c>
      <c r="S70" s="68">
        <f>IFERROR(S31*S$4,"")</f>
        <v/>
      </c>
      <c r="T70" s="68">
        <f>IFERROR(T31*T$4,"")</f>
        <v/>
      </c>
      <c r="U70" s="68">
        <f>IFERROR(U31*U$4,"")</f>
        <v/>
      </c>
      <c r="V70" s="68">
        <f>IFERROR(V31*V$4,"")</f>
        <v/>
      </c>
      <c r="W70" s="68">
        <f>IFERROR(W31*W$4,"")</f>
        <v/>
      </c>
      <c r="X70" s="68">
        <f>IFERROR(X31*X$4,"")</f>
        <v/>
      </c>
      <c r="Y70" s="68">
        <f>IFERROR(Y31*Y$4,"")</f>
        <v/>
      </c>
      <c r="Z70" s="68">
        <f>IFERROR(Z31*Z$4,"")</f>
        <v/>
      </c>
      <c r="AA70" s="68">
        <f>IFERROR(AA31*AA$4,"")</f>
        <v/>
      </c>
      <c r="AB70" s="68">
        <f>IFERROR(AB31*AB$4,"")</f>
        <v/>
      </c>
      <c r="AC70" s="68">
        <f>IFERROR(AC31*AC$4,"")</f>
        <v/>
      </c>
      <c r="AD70" s="68">
        <f>IFERROR(AD31*AD$4,"")</f>
        <v/>
      </c>
      <c r="AE70" s="68">
        <f>IFERROR(AE31*AE$4,"")</f>
        <v/>
      </c>
      <c r="AF70" s="68">
        <f>IFERROR(AF31*AF$4,"")</f>
        <v/>
      </c>
      <c r="AG70" s="68">
        <f>IFERROR(AG31*AG$4,"")</f>
        <v/>
      </c>
      <c r="AH70" s="68">
        <f>IFERROR(AH31*AH$4,"")</f>
        <v/>
      </c>
      <c r="AI70" s="68">
        <f>IFERROR(AI31*AI$4,"")</f>
        <v/>
      </c>
      <c r="AJ70" s="68">
        <f>IFERROR(AJ31*AJ$4,"")</f>
        <v/>
      </c>
      <c r="AK70" s="68">
        <f>IFERROR(AK31*AK$4,"")</f>
        <v/>
      </c>
      <c r="AL70" s="68">
        <f>IFERROR(AL31*AL$4,"")</f>
        <v/>
      </c>
      <c r="AM70" s="68">
        <f>IFERROR(AM31*AM$4,"")</f>
        <v/>
      </c>
      <c r="AN70" s="68">
        <f>IFERROR(AN31*AN$4,"")</f>
        <v/>
      </c>
      <c r="AO70" s="68">
        <f>IFERROR(AO31*AO$4,"")</f>
        <v/>
      </c>
      <c r="AP70" s="68">
        <f>IFERROR(AP31*AP$4,"")</f>
        <v/>
      </c>
      <c r="AQ70" s="68">
        <f>IFERROR(AQ31*AQ$4,"")</f>
        <v/>
      </c>
      <c r="AR70" s="68">
        <f>IFERROR(AR31*AR$4,"")</f>
        <v/>
      </c>
      <c r="AS70" s="68">
        <f>IFERROR(AS31*AS$4,"")</f>
        <v/>
      </c>
      <c r="AT70" s="68">
        <f>IFERROR(AT31*AT$4,"")</f>
        <v/>
      </c>
      <c r="AU70" s="68">
        <f>IFERROR(AU31*AU$4,"")</f>
        <v/>
      </c>
      <c r="AV70" s="68">
        <f>IFERROR(AV31*AV$4,"")</f>
        <v/>
      </c>
      <c r="AW70" s="68">
        <f>IFERROR(AW31*AW$4,"")</f>
        <v/>
      </c>
      <c r="AX70" s="68">
        <f>IFERROR(AX31*AX$4,"")</f>
        <v/>
      </c>
      <c r="AY70" s="68">
        <f>IFERROR(AY31*AY$4,"")</f>
        <v/>
      </c>
      <c r="AZ70" s="68">
        <f>IFERROR(AZ31*AZ$4,"")</f>
        <v/>
      </c>
    </row>
    <row r="71" ht="14.5" customHeight="1" s="179">
      <c r="B71" s="65">
        <f>B32</f>
        <v/>
      </c>
      <c r="C71" s="68">
        <f>IFERROR(C32*C$4,"")</f>
        <v/>
      </c>
      <c r="D71" s="68">
        <f>IFERROR(D32*D$4,"")</f>
        <v/>
      </c>
      <c r="E71" s="68">
        <f>IFERROR(E32*E$4,"")</f>
        <v/>
      </c>
      <c r="F71" s="68">
        <f>IFERROR(F32*F$4,"")</f>
        <v/>
      </c>
      <c r="G71" s="68">
        <f>IFERROR(G32*G$4,"")</f>
        <v/>
      </c>
      <c r="H71" s="68">
        <f>IFERROR(H32*H$4,"")</f>
        <v/>
      </c>
      <c r="I71" s="68">
        <f>IFERROR(I32*I$4,"")</f>
        <v/>
      </c>
      <c r="J71" s="68">
        <f>IFERROR(J32*J$4,"")</f>
        <v/>
      </c>
      <c r="K71" s="68">
        <f>IFERROR(K32*K$4,"")</f>
        <v/>
      </c>
      <c r="L71" s="68">
        <f>IFERROR(L32*L$4,"")</f>
        <v/>
      </c>
      <c r="M71" s="68">
        <f>IFERROR(M32*M$4,"")</f>
        <v/>
      </c>
      <c r="N71" s="68">
        <f>IFERROR(N32*N$4,"")</f>
        <v/>
      </c>
      <c r="O71" s="68">
        <f>IFERROR(O32*O$4,"")</f>
        <v/>
      </c>
      <c r="P71" s="68">
        <f>IFERROR(P32*P$4,"")</f>
        <v/>
      </c>
      <c r="Q71" s="68">
        <f>IFERROR(Q32*Q$4,"")</f>
        <v/>
      </c>
      <c r="R71" s="68">
        <f>IFERROR(R32*R$4,"")</f>
        <v/>
      </c>
      <c r="S71" s="68">
        <f>IFERROR(S32*S$4,"")</f>
        <v/>
      </c>
      <c r="T71" s="68">
        <f>IFERROR(T32*T$4,"")</f>
        <v/>
      </c>
      <c r="U71" s="68">
        <f>IFERROR(U32*U$4,"")</f>
        <v/>
      </c>
      <c r="V71" s="68">
        <f>IFERROR(V32*V$4,"")</f>
        <v/>
      </c>
      <c r="W71" s="68">
        <f>IFERROR(W32*W$4,"")</f>
        <v/>
      </c>
      <c r="X71" s="68">
        <f>IFERROR(X32*X$4,"")</f>
        <v/>
      </c>
      <c r="Y71" s="68">
        <f>IFERROR(Y32*Y$4,"")</f>
        <v/>
      </c>
      <c r="Z71" s="68">
        <f>IFERROR(Z32*Z$4,"")</f>
        <v/>
      </c>
      <c r="AA71" s="68">
        <f>IFERROR(AA32*AA$4,"")</f>
        <v/>
      </c>
      <c r="AB71" s="68">
        <f>IFERROR(AB32*AB$4,"")</f>
        <v/>
      </c>
      <c r="AC71" s="68">
        <f>IFERROR(AC32*AC$4,"")</f>
        <v/>
      </c>
      <c r="AD71" s="68">
        <f>IFERROR(AD32*AD$4,"")</f>
        <v/>
      </c>
      <c r="AE71" s="68">
        <f>IFERROR(AE32*AE$4,"")</f>
        <v/>
      </c>
      <c r="AF71" s="68">
        <f>IFERROR(AF32*AF$4,"")</f>
        <v/>
      </c>
      <c r="AG71" s="68">
        <f>IFERROR(AG32*AG$4,"")</f>
        <v/>
      </c>
      <c r="AH71" s="68">
        <f>IFERROR(AH32*AH$4,"")</f>
        <v/>
      </c>
      <c r="AI71" s="68">
        <f>IFERROR(AI32*AI$4,"")</f>
        <v/>
      </c>
      <c r="AJ71" s="68">
        <f>IFERROR(AJ32*AJ$4,"")</f>
        <v/>
      </c>
      <c r="AK71" s="68">
        <f>IFERROR(AK32*AK$4,"")</f>
        <v/>
      </c>
      <c r="AL71" s="68">
        <f>IFERROR(AL32*AL$4,"")</f>
        <v/>
      </c>
      <c r="AM71" s="68">
        <f>IFERROR(AM32*AM$4,"")</f>
        <v/>
      </c>
      <c r="AN71" s="68">
        <f>IFERROR(AN32*AN$4,"")</f>
        <v/>
      </c>
      <c r="AO71" s="68">
        <f>IFERROR(AO32*AO$4,"")</f>
        <v/>
      </c>
      <c r="AP71" s="68">
        <f>IFERROR(AP32*AP$4,"")</f>
        <v/>
      </c>
      <c r="AQ71" s="68">
        <f>IFERROR(AQ32*AQ$4,"")</f>
        <v/>
      </c>
      <c r="AR71" s="68">
        <f>IFERROR(AR32*AR$4,"")</f>
        <v/>
      </c>
      <c r="AS71" s="68">
        <f>IFERROR(AS32*AS$4,"")</f>
        <v/>
      </c>
      <c r="AT71" s="68">
        <f>IFERROR(AT32*AT$4,"")</f>
        <v/>
      </c>
      <c r="AU71" s="68">
        <f>IFERROR(AU32*AU$4,"")</f>
        <v/>
      </c>
      <c r="AV71" s="68">
        <f>IFERROR(AV32*AV$4,"")</f>
        <v/>
      </c>
      <c r="AW71" s="68">
        <f>IFERROR(AW32*AW$4,"")</f>
        <v/>
      </c>
      <c r="AX71" s="68">
        <f>IFERROR(AX32*AX$4,"")</f>
        <v/>
      </c>
      <c r="AY71" s="68">
        <f>IFERROR(AY32*AY$4,"")</f>
        <v/>
      </c>
      <c r="AZ71" s="68">
        <f>IFERROR(AZ32*AZ$4,"")</f>
        <v/>
      </c>
    </row>
    <row r="72" ht="14.5" customHeight="1" s="179">
      <c r="B72" s="65">
        <f>B33</f>
        <v/>
      </c>
      <c r="C72" s="68">
        <f>IFERROR(C33*C$4,"")</f>
        <v/>
      </c>
      <c r="D72" s="68">
        <f>IFERROR(D33*D$4,"")</f>
        <v/>
      </c>
      <c r="E72" s="68">
        <f>IFERROR(E33*E$4,"")</f>
        <v/>
      </c>
      <c r="F72" s="68">
        <f>IFERROR(F33*F$4,"")</f>
        <v/>
      </c>
      <c r="G72" s="68">
        <f>IFERROR(G33*G$4,"")</f>
        <v/>
      </c>
      <c r="H72" s="68">
        <f>IFERROR(H33*H$4,"")</f>
        <v/>
      </c>
      <c r="I72" s="68">
        <f>IFERROR(I33*I$4,"")</f>
        <v/>
      </c>
      <c r="J72" s="68">
        <f>IFERROR(J33*J$4,"")</f>
        <v/>
      </c>
      <c r="K72" s="68">
        <f>IFERROR(K33*K$4,"")</f>
        <v/>
      </c>
      <c r="L72" s="68">
        <f>IFERROR(L33*L$4,"")</f>
        <v/>
      </c>
      <c r="M72" s="68">
        <f>IFERROR(M33*M$4,"")</f>
        <v/>
      </c>
      <c r="N72" s="68">
        <f>IFERROR(N33*N$4,"")</f>
        <v/>
      </c>
      <c r="O72" s="68">
        <f>IFERROR(O33*O$4,"")</f>
        <v/>
      </c>
      <c r="P72" s="68">
        <f>IFERROR(P33*P$4,"")</f>
        <v/>
      </c>
      <c r="Q72" s="68">
        <f>IFERROR(Q33*Q$4,"")</f>
        <v/>
      </c>
      <c r="R72" s="68">
        <f>IFERROR(R33*R$4,"")</f>
        <v/>
      </c>
      <c r="S72" s="68">
        <f>IFERROR(S33*S$4,"")</f>
        <v/>
      </c>
      <c r="T72" s="68">
        <f>IFERROR(T33*T$4,"")</f>
        <v/>
      </c>
      <c r="U72" s="68">
        <f>IFERROR(U33*U$4,"")</f>
        <v/>
      </c>
      <c r="V72" s="68">
        <f>IFERROR(V33*V$4,"")</f>
        <v/>
      </c>
      <c r="W72" s="68">
        <f>IFERROR(W33*W$4,"")</f>
        <v/>
      </c>
      <c r="X72" s="68">
        <f>IFERROR(X33*X$4,"")</f>
        <v/>
      </c>
      <c r="Y72" s="68">
        <f>IFERROR(Y33*Y$4,"")</f>
        <v/>
      </c>
      <c r="Z72" s="68">
        <f>IFERROR(Z33*Z$4,"")</f>
        <v/>
      </c>
      <c r="AA72" s="68">
        <f>IFERROR(AA33*AA$4,"")</f>
        <v/>
      </c>
      <c r="AB72" s="68">
        <f>IFERROR(AB33*AB$4,"")</f>
        <v/>
      </c>
      <c r="AC72" s="68">
        <f>IFERROR(AC33*AC$4,"")</f>
        <v/>
      </c>
      <c r="AD72" s="68">
        <f>IFERROR(AD33*AD$4,"")</f>
        <v/>
      </c>
      <c r="AE72" s="68">
        <f>IFERROR(AE33*AE$4,"")</f>
        <v/>
      </c>
      <c r="AF72" s="68">
        <f>IFERROR(AF33*AF$4,"")</f>
        <v/>
      </c>
      <c r="AG72" s="68">
        <f>IFERROR(AG33*AG$4,"")</f>
        <v/>
      </c>
      <c r="AH72" s="68">
        <f>IFERROR(AH33*AH$4,"")</f>
        <v/>
      </c>
      <c r="AI72" s="68">
        <f>IFERROR(AI33*AI$4,"")</f>
        <v/>
      </c>
      <c r="AJ72" s="68">
        <f>IFERROR(AJ33*AJ$4,"")</f>
        <v/>
      </c>
      <c r="AK72" s="68">
        <f>IFERROR(AK33*AK$4,"")</f>
        <v/>
      </c>
      <c r="AL72" s="68">
        <f>IFERROR(AL33*AL$4,"")</f>
        <v/>
      </c>
      <c r="AM72" s="68">
        <f>IFERROR(AM33*AM$4,"")</f>
        <v/>
      </c>
      <c r="AN72" s="68">
        <f>IFERROR(AN33*AN$4,"")</f>
        <v/>
      </c>
      <c r="AO72" s="68">
        <f>IFERROR(AO33*AO$4,"")</f>
        <v/>
      </c>
      <c r="AP72" s="68">
        <f>IFERROR(AP33*AP$4,"")</f>
        <v/>
      </c>
      <c r="AQ72" s="68">
        <f>IFERROR(AQ33*AQ$4,"")</f>
        <v/>
      </c>
      <c r="AR72" s="68">
        <f>IFERROR(AR33*AR$4,"")</f>
        <v/>
      </c>
      <c r="AS72" s="68">
        <f>IFERROR(AS33*AS$4,"")</f>
        <v/>
      </c>
      <c r="AT72" s="68">
        <f>IFERROR(AT33*AT$4,"")</f>
        <v/>
      </c>
      <c r="AU72" s="68">
        <f>IFERROR(AU33*AU$4,"")</f>
        <v/>
      </c>
      <c r="AV72" s="68">
        <f>IFERROR(AV33*AV$4,"")</f>
        <v/>
      </c>
      <c r="AW72" s="68">
        <f>IFERROR(AW33*AW$4,"")</f>
        <v/>
      </c>
      <c r="AX72" s="68">
        <f>IFERROR(AX33*AX$4,"")</f>
        <v/>
      </c>
      <c r="AY72" s="68">
        <f>IFERROR(AY33*AY$4,"")</f>
        <v/>
      </c>
      <c r="AZ72" s="68">
        <f>IFERROR(AZ33*AZ$4,"")</f>
        <v/>
      </c>
    </row>
    <row r="73" ht="14.5" customHeight="1" s="179">
      <c r="B73" s="65">
        <f>B34</f>
        <v/>
      </c>
      <c r="C73" s="68">
        <f>IFERROR(C34*C$4,"")</f>
        <v/>
      </c>
      <c r="D73" s="68">
        <f>IFERROR(D34*D$4,"")</f>
        <v/>
      </c>
      <c r="E73" s="68">
        <f>IFERROR(E34*E$4,"")</f>
        <v/>
      </c>
      <c r="F73" s="68">
        <f>IFERROR(F34*F$4,"")</f>
        <v/>
      </c>
      <c r="G73" s="68">
        <f>IFERROR(G34*G$4,"")</f>
        <v/>
      </c>
      <c r="H73" s="68">
        <f>IFERROR(H34*H$4,"")</f>
        <v/>
      </c>
      <c r="I73" s="68">
        <f>IFERROR(I34*I$4,"")</f>
        <v/>
      </c>
      <c r="J73" s="68">
        <f>IFERROR(J34*J$4,"")</f>
        <v/>
      </c>
      <c r="K73" s="68">
        <f>IFERROR(K34*K$4,"")</f>
        <v/>
      </c>
      <c r="L73" s="68">
        <f>IFERROR(L34*L$4,"")</f>
        <v/>
      </c>
      <c r="M73" s="68">
        <f>IFERROR(M34*M$4,"")</f>
        <v/>
      </c>
      <c r="N73" s="68">
        <f>IFERROR(N34*N$4,"")</f>
        <v/>
      </c>
      <c r="O73" s="68">
        <f>IFERROR(O34*O$4,"")</f>
        <v/>
      </c>
      <c r="P73" s="68">
        <f>IFERROR(P34*P$4,"")</f>
        <v/>
      </c>
      <c r="Q73" s="68">
        <f>IFERROR(Q34*Q$4,"")</f>
        <v/>
      </c>
      <c r="R73" s="68">
        <f>IFERROR(R34*R$4,"")</f>
        <v/>
      </c>
      <c r="S73" s="68">
        <f>IFERROR(S34*S$4,"")</f>
        <v/>
      </c>
      <c r="T73" s="68">
        <f>IFERROR(T34*T$4,"")</f>
        <v/>
      </c>
      <c r="U73" s="68">
        <f>IFERROR(U34*U$4,"")</f>
        <v/>
      </c>
      <c r="V73" s="68">
        <f>IFERROR(V34*V$4,"")</f>
        <v/>
      </c>
      <c r="W73" s="68">
        <f>IFERROR(W34*W$4,"")</f>
        <v/>
      </c>
      <c r="X73" s="68">
        <f>IFERROR(X34*X$4,"")</f>
        <v/>
      </c>
      <c r="Y73" s="68">
        <f>IFERROR(Y34*Y$4,"")</f>
        <v/>
      </c>
      <c r="Z73" s="68">
        <f>IFERROR(Z34*Z$4,"")</f>
        <v/>
      </c>
      <c r="AA73" s="68">
        <f>IFERROR(AA34*AA$4,"")</f>
        <v/>
      </c>
      <c r="AB73" s="68">
        <f>IFERROR(AB34*AB$4,"")</f>
        <v/>
      </c>
      <c r="AC73" s="68">
        <f>IFERROR(AC34*AC$4,"")</f>
        <v/>
      </c>
      <c r="AD73" s="68">
        <f>IFERROR(AD34*AD$4,"")</f>
        <v/>
      </c>
      <c r="AE73" s="68">
        <f>IFERROR(AE34*AE$4,"")</f>
        <v/>
      </c>
      <c r="AF73" s="68">
        <f>IFERROR(AF34*AF$4,"")</f>
        <v/>
      </c>
      <c r="AG73" s="68">
        <f>IFERROR(AG34*AG$4,"")</f>
        <v/>
      </c>
      <c r="AH73" s="68">
        <f>IFERROR(AH34*AH$4,"")</f>
        <v/>
      </c>
      <c r="AI73" s="68">
        <f>IFERROR(AI34*AI$4,"")</f>
        <v/>
      </c>
      <c r="AJ73" s="68">
        <f>IFERROR(AJ34*AJ$4,"")</f>
        <v/>
      </c>
      <c r="AK73" s="68">
        <f>IFERROR(AK34*AK$4,"")</f>
        <v/>
      </c>
      <c r="AL73" s="68">
        <f>IFERROR(AL34*AL$4,"")</f>
        <v/>
      </c>
      <c r="AM73" s="68">
        <f>IFERROR(AM34*AM$4,"")</f>
        <v/>
      </c>
      <c r="AN73" s="68">
        <f>IFERROR(AN34*AN$4,"")</f>
        <v/>
      </c>
      <c r="AO73" s="68">
        <f>IFERROR(AO34*AO$4,"")</f>
        <v/>
      </c>
      <c r="AP73" s="68">
        <f>IFERROR(AP34*AP$4,"")</f>
        <v/>
      </c>
      <c r="AQ73" s="68">
        <f>IFERROR(AQ34*AQ$4,"")</f>
        <v/>
      </c>
      <c r="AR73" s="68">
        <f>IFERROR(AR34*AR$4,"")</f>
        <v/>
      </c>
      <c r="AS73" s="68">
        <f>IFERROR(AS34*AS$4,"")</f>
        <v/>
      </c>
      <c r="AT73" s="68">
        <f>IFERROR(AT34*AT$4,"")</f>
        <v/>
      </c>
      <c r="AU73" s="68">
        <f>IFERROR(AU34*AU$4,"")</f>
        <v/>
      </c>
      <c r="AV73" s="68">
        <f>IFERROR(AV34*AV$4,"")</f>
        <v/>
      </c>
      <c r="AW73" s="68">
        <f>IFERROR(AW34*AW$4,"")</f>
        <v/>
      </c>
      <c r="AX73" s="68">
        <f>IFERROR(AX34*AX$4,"")</f>
        <v/>
      </c>
      <c r="AY73" s="68">
        <f>IFERROR(AY34*AY$4,"")</f>
        <v/>
      </c>
      <c r="AZ73" s="68">
        <f>IFERROR(AZ34*AZ$4,"")</f>
        <v/>
      </c>
    </row>
    <row r="74" ht="14.5" customHeight="1" s="179">
      <c r="B74" s="65">
        <f>B35</f>
        <v/>
      </c>
      <c r="C74" s="68">
        <f>IFERROR(C35*C$4,"")</f>
        <v/>
      </c>
      <c r="D74" s="68">
        <f>IFERROR(D35*D$4,"")</f>
        <v/>
      </c>
      <c r="E74" s="68">
        <f>IFERROR(E35*E$4,"")</f>
        <v/>
      </c>
      <c r="F74" s="68">
        <f>IFERROR(F35*F$4,"")</f>
        <v/>
      </c>
      <c r="G74" s="68">
        <f>IFERROR(G35*G$4,"")</f>
        <v/>
      </c>
      <c r="H74" s="68">
        <f>IFERROR(H35*H$4,"")</f>
        <v/>
      </c>
      <c r="I74" s="68">
        <f>IFERROR(I35*I$4,"")</f>
        <v/>
      </c>
      <c r="J74" s="68">
        <f>IFERROR(J35*J$4,"")</f>
        <v/>
      </c>
      <c r="K74" s="68">
        <f>IFERROR(K35*K$4,"")</f>
        <v/>
      </c>
      <c r="L74" s="68">
        <f>IFERROR(L35*L$4,"")</f>
        <v/>
      </c>
      <c r="M74" s="68">
        <f>IFERROR(M35*M$4,"")</f>
        <v/>
      </c>
      <c r="N74" s="68">
        <f>IFERROR(N35*N$4,"")</f>
        <v/>
      </c>
      <c r="O74" s="68">
        <f>IFERROR(O35*O$4,"")</f>
        <v/>
      </c>
      <c r="P74" s="68">
        <f>IFERROR(P35*P$4,"")</f>
        <v/>
      </c>
      <c r="Q74" s="68">
        <f>IFERROR(Q35*Q$4,"")</f>
        <v/>
      </c>
      <c r="R74" s="68">
        <f>IFERROR(R35*R$4,"")</f>
        <v/>
      </c>
      <c r="S74" s="68">
        <f>IFERROR(S35*S$4,"")</f>
        <v/>
      </c>
      <c r="T74" s="68">
        <f>IFERROR(T35*T$4,"")</f>
        <v/>
      </c>
      <c r="U74" s="68">
        <f>IFERROR(U35*U$4,"")</f>
        <v/>
      </c>
      <c r="V74" s="68">
        <f>IFERROR(V35*V$4,"")</f>
        <v/>
      </c>
      <c r="W74" s="68">
        <f>IFERROR(W35*W$4,"")</f>
        <v/>
      </c>
      <c r="X74" s="68">
        <f>IFERROR(X35*X$4,"")</f>
        <v/>
      </c>
      <c r="Y74" s="68">
        <f>IFERROR(Y35*Y$4,"")</f>
        <v/>
      </c>
      <c r="Z74" s="68">
        <f>IFERROR(Z35*Z$4,"")</f>
        <v/>
      </c>
      <c r="AA74" s="68">
        <f>IFERROR(AA35*AA$4,"")</f>
        <v/>
      </c>
      <c r="AB74" s="68">
        <f>IFERROR(AB35*AB$4,"")</f>
        <v/>
      </c>
      <c r="AC74" s="68">
        <f>IFERROR(AC35*AC$4,"")</f>
        <v/>
      </c>
      <c r="AD74" s="68">
        <f>IFERROR(AD35*AD$4,"")</f>
        <v/>
      </c>
      <c r="AE74" s="68">
        <f>IFERROR(AE35*AE$4,"")</f>
        <v/>
      </c>
      <c r="AF74" s="68">
        <f>IFERROR(AF35*AF$4,"")</f>
        <v/>
      </c>
      <c r="AG74" s="68">
        <f>IFERROR(AG35*AG$4,"")</f>
        <v/>
      </c>
      <c r="AH74" s="68">
        <f>IFERROR(AH35*AH$4,"")</f>
        <v/>
      </c>
      <c r="AI74" s="68">
        <f>IFERROR(AI35*AI$4,"")</f>
        <v/>
      </c>
      <c r="AJ74" s="68">
        <f>IFERROR(AJ35*AJ$4,"")</f>
        <v/>
      </c>
      <c r="AK74" s="68">
        <f>IFERROR(AK35*AK$4,"")</f>
        <v/>
      </c>
      <c r="AL74" s="68">
        <f>IFERROR(AL35*AL$4,"")</f>
        <v/>
      </c>
      <c r="AM74" s="68">
        <f>IFERROR(AM35*AM$4,"")</f>
        <v/>
      </c>
      <c r="AN74" s="68">
        <f>IFERROR(AN35*AN$4,"")</f>
        <v/>
      </c>
      <c r="AO74" s="68">
        <f>IFERROR(AO35*AO$4,"")</f>
        <v/>
      </c>
      <c r="AP74" s="68">
        <f>IFERROR(AP35*AP$4,"")</f>
        <v/>
      </c>
      <c r="AQ74" s="68">
        <f>IFERROR(AQ35*AQ$4,"")</f>
        <v/>
      </c>
      <c r="AR74" s="68">
        <f>IFERROR(AR35*AR$4,"")</f>
        <v/>
      </c>
      <c r="AS74" s="68">
        <f>IFERROR(AS35*AS$4,"")</f>
        <v/>
      </c>
      <c r="AT74" s="68">
        <f>IFERROR(AT35*AT$4,"")</f>
        <v/>
      </c>
      <c r="AU74" s="68">
        <f>IFERROR(AU35*AU$4,"")</f>
        <v/>
      </c>
      <c r="AV74" s="68">
        <f>IFERROR(AV35*AV$4,"")</f>
        <v/>
      </c>
      <c r="AW74" s="68">
        <f>IFERROR(AW35*AW$4,"")</f>
        <v/>
      </c>
      <c r="AX74" s="68">
        <f>IFERROR(AX35*AX$4,"")</f>
        <v/>
      </c>
      <c r="AY74" s="68">
        <f>IFERROR(AY35*AY$4,"")</f>
        <v/>
      </c>
      <c r="AZ74" s="68">
        <f>IFERROR(AZ35*AZ$4,"")</f>
        <v/>
      </c>
    </row>
    <row r="75" ht="14.5" customHeight="1" s="179">
      <c r="B75" s="65">
        <f>B36</f>
        <v/>
      </c>
      <c r="C75" s="68">
        <f>IFERROR(C36*C$4,"")</f>
        <v/>
      </c>
      <c r="D75" s="68">
        <f>IFERROR(D36*D$4,"")</f>
        <v/>
      </c>
      <c r="E75" s="68">
        <f>IFERROR(E36*E$4,"")</f>
        <v/>
      </c>
      <c r="F75" s="68">
        <f>IFERROR(F36*F$4,"")</f>
        <v/>
      </c>
      <c r="G75" s="68">
        <f>IFERROR(G36*G$4,"")</f>
        <v/>
      </c>
      <c r="H75" s="68">
        <f>IFERROR(H36*H$4,"")</f>
        <v/>
      </c>
      <c r="I75" s="68">
        <f>IFERROR(I36*I$4,"")</f>
        <v/>
      </c>
      <c r="J75" s="68">
        <f>IFERROR(J36*J$4,"")</f>
        <v/>
      </c>
      <c r="K75" s="68">
        <f>IFERROR(K36*K$4,"")</f>
        <v/>
      </c>
      <c r="L75" s="68">
        <f>IFERROR(L36*L$4,"")</f>
        <v/>
      </c>
      <c r="M75" s="68">
        <f>IFERROR(M36*M$4,"")</f>
        <v/>
      </c>
      <c r="N75" s="68">
        <f>IFERROR(N36*N$4,"")</f>
        <v/>
      </c>
      <c r="O75" s="68">
        <f>IFERROR(O36*O$4,"")</f>
        <v/>
      </c>
      <c r="P75" s="68">
        <f>IFERROR(P36*P$4,"")</f>
        <v/>
      </c>
      <c r="Q75" s="68">
        <f>IFERROR(Q36*Q$4,"")</f>
        <v/>
      </c>
      <c r="R75" s="68">
        <f>IFERROR(R36*R$4,"")</f>
        <v/>
      </c>
      <c r="S75" s="68">
        <f>IFERROR(S36*S$4,"")</f>
        <v/>
      </c>
      <c r="T75" s="68">
        <f>IFERROR(T36*T$4,"")</f>
        <v/>
      </c>
      <c r="U75" s="68">
        <f>IFERROR(U36*U$4,"")</f>
        <v/>
      </c>
      <c r="V75" s="68">
        <f>IFERROR(V36*V$4,"")</f>
        <v/>
      </c>
      <c r="W75" s="68">
        <f>IFERROR(W36*W$4,"")</f>
        <v/>
      </c>
      <c r="X75" s="68">
        <f>IFERROR(X36*X$4,"")</f>
        <v/>
      </c>
      <c r="Y75" s="68">
        <f>IFERROR(Y36*Y$4,"")</f>
        <v/>
      </c>
      <c r="Z75" s="68">
        <f>IFERROR(Z36*Z$4,"")</f>
        <v/>
      </c>
      <c r="AA75" s="68">
        <f>IFERROR(AA36*AA$4,"")</f>
        <v/>
      </c>
      <c r="AB75" s="68">
        <f>IFERROR(AB36*AB$4,"")</f>
        <v/>
      </c>
      <c r="AC75" s="68">
        <f>IFERROR(AC36*AC$4,"")</f>
        <v/>
      </c>
      <c r="AD75" s="68">
        <f>IFERROR(AD36*AD$4,"")</f>
        <v/>
      </c>
      <c r="AE75" s="68">
        <f>IFERROR(AE36*AE$4,"")</f>
        <v/>
      </c>
      <c r="AF75" s="68">
        <f>IFERROR(AF36*AF$4,"")</f>
        <v/>
      </c>
      <c r="AG75" s="68">
        <f>IFERROR(AG36*AG$4,"")</f>
        <v/>
      </c>
      <c r="AH75" s="68">
        <f>IFERROR(AH36*AH$4,"")</f>
        <v/>
      </c>
      <c r="AI75" s="68">
        <f>IFERROR(AI36*AI$4,"")</f>
        <v/>
      </c>
      <c r="AJ75" s="68">
        <f>IFERROR(AJ36*AJ$4,"")</f>
        <v/>
      </c>
      <c r="AK75" s="68">
        <f>IFERROR(AK36*AK$4,"")</f>
        <v/>
      </c>
      <c r="AL75" s="68">
        <f>IFERROR(AL36*AL$4,"")</f>
        <v/>
      </c>
      <c r="AM75" s="68">
        <f>IFERROR(AM36*AM$4,"")</f>
        <v/>
      </c>
      <c r="AN75" s="68">
        <f>IFERROR(AN36*AN$4,"")</f>
        <v/>
      </c>
      <c r="AO75" s="68">
        <f>IFERROR(AO36*AO$4,"")</f>
        <v/>
      </c>
      <c r="AP75" s="68">
        <f>IFERROR(AP36*AP$4,"")</f>
        <v/>
      </c>
      <c r="AQ75" s="68">
        <f>IFERROR(AQ36*AQ$4,"")</f>
        <v/>
      </c>
      <c r="AR75" s="68">
        <f>IFERROR(AR36*AR$4,"")</f>
        <v/>
      </c>
      <c r="AS75" s="68">
        <f>IFERROR(AS36*AS$4,"")</f>
        <v/>
      </c>
      <c r="AT75" s="68">
        <f>IFERROR(AT36*AT$4,"")</f>
        <v/>
      </c>
      <c r="AU75" s="68">
        <f>IFERROR(AU36*AU$4,"")</f>
        <v/>
      </c>
      <c r="AV75" s="68">
        <f>IFERROR(AV36*AV$4,"")</f>
        <v/>
      </c>
      <c r="AW75" s="68">
        <f>IFERROR(AW36*AW$4,"")</f>
        <v/>
      </c>
      <c r="AX75" s="68">
        <f>IFERROR(AX36*AX$4,"")</f>
        <v/>
      </c>
      <c r="AY75" s="68">
        <f>IFERROR(AY36*AY$4,"")</f>
        <v/>
      </c>
      <c r="AZ75" s="68">
        <f>IFERROR(AZ36*AZ$4,"")</f>
        <v/>
      </c>
    </row>
    <row r="76" ht="14.5" customHeight="1" s="179">
      <c r="B76" s="65">
        <f>B37</f>
        <v/>
      </c>
      <c r="C76" s="68">
        <f>IFERROR(C37*C$4,"")</f>
        <v/>
      </c>
      <c r="D76" s="68">
        <f>IFERROR(D37*D$4,"")</f>
        <v/>
      </c>
      <c r="E76" s="68">
        <f>IFERROR(E37*E$4,"")</f>
        <v/>
      </c>
      <c r="F76" s="68">
        <f>IFERROR(F37*F$4,"")</f>
        <v/>
      </c>
      <c r="G76" s="68">
        <f>IFERROR(G37*G$4,"")</f>
        <v/>
      </c>
      <c r="H76" s="68">
        <f>IFERROR(H37*H$4,"")</f>
        <v/>
      </c>
      <c r="I76" s="68">
        <f>IFERROR(I37*I$4,"")</f>
        <v/>
      </c>
      <c r="J76" s="68">
        <f>IFERROR(J37*J$4,"")</f>
        <v/>
      </c>
      <c r="K76" s="68">
        <f>IFERROR(K37*K$4,"")</f>
        <v/>
      </c>
      <c r="L76" s="68">
        <f>IFERROR(L37*L$4,"")</f>
        <v/>
      </c>
      <c r="M76" s="68">
        <f>IFERROR(M37*M$4,"")</f>
        <v/>
      </c>
      <c r="N76" s="68">
        <f>IFERROR(N37*N$4,"")</f>
        <v/>
      </c>
      <c r="O76" s="68">
        <f>IFERROR(O37*O$4,"")</f>
        <v/>
      </c>
      <c r="P76" s="68">
        <f>IFERROR(P37*P$4,"")</f>
        <v/>
      </c>
      <c r="Q76" s="68">
        <f>IFERROR(Q37*Q$4,"")</f>
        <v/>
      </c>
      <c r="R76" s="68">
        <f>IFERROR(R37*R$4,"")</f>
        <v/>
      </c>
      <c r="S76" s="68">
        <f>IFERROR(S37*S$4,"")</f>
        <v/>
      </c>
      <c r="T76" s="68">
        <f>IFERROR(T37*T$4,"")</f>
        <v/>
      </c>
      <c r="U76" s="68">
        <f>IFERROR(U37*U$4,"")</f>
        <v/>
      </c>
      <c r="V76" s="68">
        <f>IFERROR(V37*V$4,"")</f>
        <v/>
      </c>
      <c r="W76" s="68">
        <f>IFERROR(W37*W$4,"")</f>
        <v/>
      </c>
      <c r="X76" s="68">
        <f>IFERROR(X37*X$4,"")</f>
        <v/>
      </c>
      <c r="Y76" s="68">
        <f>IFERROR(Y37*Y$4,"")</f>
        <v/>
      </c>
      <c r="Z76" s="68">
        <f>IFERROR(Z37*Z$4,"")</f>
        <v/>
      </c>
      <c r="AA76" s="68">
        <f>IFERROR(AA37*AA$4,"")</f>
        <v/>
      </c>
      <c r="AB76" s="68">
        <f>IFERROR(AB37*AB$4,"")</f>
        <v/>
      </c>
      <c r="AC76" s="68">
        <f>IFERROR(AC37*AC$4,"")</f>
        <v/>
      </c>
      <c r="AD76" s="68">
        <f>IFERROR(AD37*AD$4,"")</f>
        <v/>
      </c>
      <c r="AE76" s="68">
        <f>IFERROR(AE37*AE$4,"")</f>
        <v/>
      </c>
      <c r="AF76" s="68">
        <f>IFERROR(AF37*AF$4,"")</f>
        <v/>
      </c>
      <c r="AG76" s="68">
        <f>IFERROR(AG37*AG$4,"")</f>
        <v/>
      </c>
      <c r="AH76" s="68">
        <f>IFERROR(AH37*AH$4,"")</f>
        <v/>
      </c>
      <c r="AI76" s="68">
        <f>IFERROR(AI37*AI$4,"")</f>
        <v/>
      </c>
      <c r="AJ76" s="68">
        <f>IFERROR(AJ37*AJ$4,"")</f>
        <v/>
      </c>
      <c r="AK76" s="68">
        <f>IFERROR(AK37*AK$4,"")</f>
        <v/>
      </c>
      <c r="AL76" s="68">
        <f>IFERROR(AL37*AL$4,"")</f>
        <v/>
      </c>
      <c r="AM76" s="68">
        <f>IFERROR(AM37*AM$4,"")</f>
        <v/>
      </c>
      <c r="AN76" s="68">
        <f>IFERROR(AN37*AN$4,"")</f>
        <v/>
      </c>
      <c r="AO76" s="68">
        <f>IFERROR(AO37*AO$4,"")</f>
        <v/>
      </c>
      <c r="AP76" s="68">
        <f>IFERROR(AP37*AP$4,"")</f>
        <v/>
      </c>
      <c r="AQ76" s="68">
        <f>IFERROR(AQ37*AQ$4,"")</f>
        <v/>
      </c>
      <c r="AR76" s="68">
        <f>IFERROR(AR37*AR$4,"")</f>
        <v/>
      </c>
      <c r="AS76" s="68">
        <f>IFERROR(AS37*AS$4,"")</f>
        <v/>
      </c>
      <c r="AT76" s="68">
        <f>IFERROR(AT37*AT$4,"")</f>
        <v/>
      </c>
      <c r="AU76" s="68">
        <f>IFERROR(AU37*AU$4,"")</f>
        <v/>
      </c>
      <c r="AV76" s="68">
        <f>IFERROR(AV37*AV$4,"")</f>
        <v/>
      </c>
      <c r="AW76" s="68">
        <f>IFERROR(AW37*AW$4,"")</f>
        <v/>
      </c>
      <c r="AX76" s="68">
        <f>IFERROR(AX37*AX$4,"")</f>
        <v/>
      </c>
      <c r="AY76" s="68">
        <f>IFERROR(AY37*AY$4,"")</f>
        <v/>
      </c>
      <c r="AZ76" s="68">
        <f>IFERROR(AZ37*AZ$4,"")</f>
        <v/>
      </c>
    </row>
    <row r="77" ht="14.5" customHeight="1" s="179">
      <c r="B77" s="65">
        <f>B38</f>
        <v/>
      </c>
      <c r="C77" s="68">
        <f>IFERROR(C38*C$4,"")</f>
        <v/>
      </c>
      <c r="D77" s="68">
        <f>IFERROR(D38*D$4,"")</f>
        <v/>
      </c>
      <c r="E77" s="68">
        <f>IFERROR(E38*E$4,"")</f>
        <v/>
      </c>
      <c r="F77" s="68">
        <f>IFERROR(F38*F$4,"")</f>
        <v/>
      </c>
      <c r="G77" s="68">
        <f>IFERROR(G38*G$4,"")</f>
        <v/>
      </c>
      <c r="H77" s="68">
        <f>IFERROR(H38*H$4,"")</f>
        <v/>
      </c>
      <c r="I77" s="68">
        <f>IFERROR(I38*I$4,"")</f>
        <v/>
      </c>
      <c r="J77" s="68">
        <f>IFERROR(J38*J$4,"")</f>
        <v/>
      </c>
      <c r="K77" s="68">
        <f>IFERROR(K38*K$4,"")</f>
        <v/>
      </c>
      <c r="L77" s="68">
        <f>IFERROR(L38*L$4,"")</f>
        <v/>
      </c>
      <c r="M77" s="68">
        <f>IFERROR(M38*M$4,"")</f>
        <v/>
      </c>
      <c r="N77" s="68">
        <f>IFERROR(N38*N$4,"")</f>
        <v/>
      </c>
      <c r="O77" s="68">
        <f>IFERROR(O38*O$4,"")</f>
        <v/>
      </c>
      <c r="P77" s="68">
        <f>IFERROR(P38*P$4,"")</f>
        <v/>
      </c>
      <c r="Q77" s="68">
        <f>IFERROR(Q38*Q$4,"")</f>
        <v/>
      </c>
      <c r="R77" s="68">
        <f>IFERROR(R38*R$4,"")</f>
        <v/>
      </c>
      <c r="S77" s="68">
        <f>IFERROR(S38*S$4,"")</f>
        <v/>
      </c>
      <c r="T77" s="68">
        <f>IFERROR(T38*T$4,"")</f>
        <v/>
      </c>
      <c r="U77" s="68">
        <f>IFERROR(U38*U$4,"")</f>
        <v/>
      </c>
      <c r="V77" s="68">
        <f>IFERROR(V38*V$4,"")</f>
        <v/>
      </c>
      <c r="W77" s="68">
        <f>IFERROR(W38*W$4,"")</f>
        <v/>
      </c>
      <c r="X77" s="68">
        <f>IFERROR(X38*X$4,"")</f>
        <v/>
      </c>
      <c r="Y77" s="68">
        <f>IFERROR(Y38*Y$4,"")</f>
        <v/>
      </c>
      <c r="Z77" s="68">
        <f>IFERROR(Z38*Z$4,"")</f>
        <v/>
      </c>
      <c r="AA77" s="68">
        <f>IFERROR(AA38*AA$4,"")</f>
        <v/>
      </c>
      <c r="AB77" s="68">
        <f>IFERROR(AB38*AB$4,"")</f>
        <v/>
      </c>
      <c r="AC77" s="68">
        <f>IFERROR(AC38*AC$4,"")</f>
        <v/>
      </c>
      <c r="AD77" s="68">
        <f>IFERROR(AD38*AD$4,"")</f>
        <v/>
      </c>
      <c r="AE77" s="68">
        <f>IFERROR(AE38*AE$4,"")</f>
        <v/>
      </c>
      <c r="AF77" s="68">
        <f>IFERROR(AF38*AF$4,"")</f>
        <v/>
      </c>
      <c r="AG77" s="68">
        <f>IFERROR(AG38*AG$4,"")</f>
        <v/>
      </c>
      <c r="AH77" s="68">
        <f>IFERROR(AH38*AH$4,"")</f>
        <v/>
      </c>
      <c r="AI77" s="68">
        <f>IFERROR(AI38*AI$4,"")</f>
        <v/>
      </c>
      <c r="AJ77" s="68">
        <f>IFERROR(AJ38*AJ$4,"")</f>
        <v/>
      </c>
      <c r="AK77" s="68">
        <f>IFERROR(AK38*AK$4,"")</f>
        <v/>
      </c>
      <c r="AL77" s="68">
        <f>IFERROR(AL38*AL$4,"")</f>
        <v/>
      </c>
      <c r="AM77" s="68">
        <f>IFERROR(AM38*AM$4,"")</f>
        <v/>
      </c>
      <c r="AN77" s="68">
        <f>IFERROR(AN38*AN$4,"")</f>
        <v/>
      </c>
      <c r="AO77" s="68">
        <f>IFERROR(AO38*AO$4,"")</f>
        <v/>
      </c>
      <c r="AP77" s="68">
        <f>IFERROR(AP38*AP$4,"")</f>
        <v/>
      </c>
      <c r="AQ77" s="68">
        <f>IFERROR(AQ38*AQ$4,"")</f>
        <v/>
      </c>
      <c r="AR77" s="68">
        <f>IFERROR(AR38*AR$4,"")</f>
        <v/>
      </c>
      <c r="AS77" s="68">
        <f>IFERROR(AS38*AS$4,"")</f>
        <v/>
      </c>
      <c r="AT77" s="68">
        <f>IFERROR(AT38*AT$4,"")</f>
        <v/>
      </c>
      <c r="AU77" s="68">
        <f>IFERROR(AU38*AU$4,"")</f>
        <v/>
      </c>
      <c r="AV77" s="68">
        <f>IFERROR(AV38*AV$4,"")</f>
        <v/>
      </c>
      <c r="AW77" s="68">
        <f>IFERROR(AW38*AW$4,"")</f>
        <v/>
      </c>
      <c r="AX77" s="68">
        <f>IFERROR(AX38*AX$4,"")</f>
        <v/>
      </c>
      <c r="AY77" s="68">
        <f>IFERROR(AY38*AY$4,"")</f>
        <v/>
      </c>
      <c r="AZ77" s="68">
        <f>IFERROR(AZ38*AZ$4,"")</f>
        <v/>
      </c>
    </row>
    <row r="78" ht="14.5" customHeight="1" s="179">
      <c r="B78" s="65">
        <f>B39</f>
        <v/>
      </c>
      <c r="C78" s="68">
        <f>IFERROR(C39*C$4,"")</f>
        <v/>
      </c>
      <c r="D78" s="68">
        <f>IFERROR(D39*D$4,"")</f>
        <v/>
      </c>
      <c r="E78" s="68">
        <f>IFERROR(E39*E$4,"")</f>
        <v/>
      </c>
      <c r="F78" s="68">
        <f>IFERROR(F39*F$4,"")</f>
        <v/>
      </c>
      <c r="G78" s="68">
        <f>IFERROR(G39*G$4,"")</f>
        <v/>
      </c>
      <c r="H78" s="68">
        <f>IFERROR(H39*H$4,"")</f>
        <v/>
      </c>
      <c r="I78" s="68">
        <f>IFERROR(I39*I$4,"")</f>
        <v/>
      </c>
      <c r="J78" s="68">
        <f>IFERROR(J39*J$4,"")</f>
        <v/>
      </c>
      <c r="K78" s="68">
        <f>IFERROR(K39*K$4,"")</f>
        <v/>
      </c>
      <c r="L78" s="68">
        <f>IFERROR(L39*L$4,"")</f>
        <v/>
      </c>
      <c r="M78" s="68">
        <f>IFERROR(M39*M$4,"")</f>
        <v/>
      </c>
      <c r="N78" s="68">
        <f>IFERROR(N39*N$4,"")</f>
        <v/>
      </c>
      <c r="O78" s="68">
        <f>IFERROR(O39*O$4,"")</f>
        <v/>
      </c>
      <c r="P78" s="68">
        <f>IFERROR(P39*P$4,"")</f>
        <v/>
      </c>
      <c r="Q78" s="68">
        <f>IFERROR(Q39*Q$4,"")</f>
        <v/>
      </c>
      <c r="R78" s="68">
        <f>IFERROR(R39*R$4,"")</f>
        <v/>
      </c>
      <c r="S78" s="68">
        <f>IFERROR(S39*S$4,"")</f>
        <v/>
      </c>
      <c r="T78" s="68">
        <f>IFERROR(T39*T$4,"")</f>
        <v/>
      </c>
      <c r="U78" s="68">
        <f>IFERROR(U39*U$4,"")</f>
        <v/>
      </c>
      <c r="V78" s="68">
        <f>IFERROR(V39*V$4,"")</f>
        <v/>
      </c>
      <c r="W78" s="68">
        <f>IFERROR(W39*W$4,"")</f>
        <v/>
      </c>
      <c r="X78" s="68">
        <f>IFERROR(X39*X$4,"")</f>
        <v/>
      </c>
      <c r="Y78" s="68">
        <f>IFERROR(Y39*Y$4,"")</f>
        <v/>
      </c>
      <c r="Z78" s="68">
        <f>IFERROR(Z39*Z$4,"")</f>
        <v/>
      </c>
      <c r="AA78" s="68">
        <f>IFERROR(AA39*AA$4,"")</f>
        <v/>
      </c>
      <c r="AB78" s="68">
        <f>IFERROR(AB39*AB$4,"")</f>
        <v/>
      </c>
      <c r="AC78" s="68">
        <f>IFERROR(AC39*AC$4,"")</f>
        <v/>
      </c>
      <c r="AD78" s="68">
        <f>IFERROR(AD39*AD$4,"")</f>
        <v/>
      </c>
      <c r="AE78" s="68">
        <f>IFERROR(AE39*AE$4,"")</f>
        <v/>
      </c>
      <c r="AF78" s="68">
        <f>IFERROR(AF39*AF$4,"")</f>
        <v/>
      </c>
      <c r="AG78" s="68">
        <f>IFERROR(AG39*AG$4,"")</f>
        <v/>
      </c>
      <c r="AH78" s="68">
        <f>IFERROR(AH39*AH$4,"")</f>
        <v/>
      </c>
      <c r="AI78" s="68">
        <f>IFERROR(AI39*AI$4,"")</f>
        <v/>
      </c>
      <c r="AJ78" s="68">
        <f>IFERROR(AJ39*AJ$4,"")</f>
        <v/>
      </c>
      <c r="AK78" s="68">
        <f>IFERROR(AK39*AK$4,"")</f>
        <v/>
      </c>
      <c r="AL78" s="68">
        <f>IFERROR(AL39*AL$4,"")</f>
        <v/>
      </c>
      <c r="AM78" s="68">
        <f>IFERROR(AM39*AM$4,"")</f>
        <v/>
      </c>
      <c r="AN78" s="68">
        <f>IFERROR(AN39*AN$4,"")</f>
        <v/>
      </c>
      <c r="AO78" s="68">
        <f>IFERROR(AO39*AO$4,"")</f>
        <v/>
      </c>
      <c r="AP78" s="68">
        <f>IFERROR(AP39*AP$4,"")</f>
        <v/>
      </c>
      <c r="AQ78" s="68">
        <f>IFERROR(AQ39*AQ$4,"")</f>
        <v/>
      </c>
      <c r="AR78" s="68">
        <f>IFERROR(AR39*AR$4,"")</f>
        <v/>
      </c>
      <c r="AS78" s="68">
        <f>IFERROR(AS39*AS$4,"")</f>
        <v/>
      </c>
      <c r="AT78" s="68">
        <f>IFERROR(AT39*AT$4,"")</f>
        <v/>
      </c>
      <c r="AU78" s="68">
        <f>IFERROR(AU39*AU$4,"")</f>
        <v/>
      </c>
      <c r="AV78" s="68">
        <f>IFERROR(AV39*AV$4,"")</f>
        <v/>
      </c>
      <c r="AW78" s="68">
        <f>IFERROR(AW39*AW$4,"")</f>
        <v/>
      </c>
      <c r="AX78" s="68">
        <f>IFERROR(AX39*AX$4,"")</f>
        <v/>
      </c>
      <c r="AY78" s="68">
        <f>IFERROR(AY39*AY$4,"")</f>
        <v/>
      </c>
      <c r="AZ78" s="68">
        <f>IFERROR(AZ39*AZ$4,"")</f>
        <v/>
      </c>
    </row>
    <row r="79" ht="14.5" customHeight="1" s="179">
      <c r="B79" s="65">
        <f>B40</f>
        <v/>
      </c>
      <c r="C79" s="68">
        <f>IFERROR(C40*C$4,"")</f>
        <v/>
      </c>
      <c r="D79" s="68">
        <f>IFERROR(D40*D$4,"")</f>
        <v/>
      </c>
      <c r="E79" s="68">
        <f>IFERROR(E40*E$4,"")</f>
        <v/>
      </c>
      <c r="F79" s="68">
        <f>IFERROR(F40*F$4,"")</f>
        <v/>
      </c>
      <c r="G79" s="68">
        <f>IFERROR(G40*G$4,"")</f>
        <v/>
      </c>
      <c r="H79" s="68">
        <f>IFERROR(H40*H$4,"")</f>
        <v/>
      </c>
      <c r="I79" s="68">
        <f>IFERROR(I40*I$4,"")</f>
        <v/>
      </c>
      <c r="J79" s="68">
        <f>IFERROR(J40*J$4,"")</f>
        <v/>
      </c>
      <c r="K79" s="68">
        <f>IFERROR(K40*K$4,"")</f>
        <v/>
      </c>
      <c r="L79" s="68">
        <f>IFERROR(L40*L$4,"")</f>
        <v/>
      </c>
      <c r="M79" s="68">
        <f>IFERROR(M40*M$4,"")</f>
        <v/>
      </c>
      <c r="N79" s="68">
        <f>IFERROR(N40*N$4,"")</f>
        <v/>
      </c>
      <c r="O79" s="68">
        <f>IFERROR(O40*O$4,"")</f>
        <v/>
      </c>
      <c r="P79" s="68">
        <f>IFERROR(P40*P$4,"")</f>
        <v/>
      </c>
      <c r="Q79" s="68">
        <f>IFERROR(Q40*Q$4,"")</f>
        <v/>
      </c>
      <c r="R79" s="68">
        <f>IFERROR(R40*R$4,"")</f>
        <v/>
      </c>
      <c r="S79" s="68">
        <f>IFERROR(S40*S$4,"")</f>
        <v/>
      </c>
      <c r="T79" s="68">
        <f>IFERROR(T40*T$4,"")</f>
        <v/>
      </c>
      <c r="U79" s="68">
        <f>IFERROR(U40*U$4,"")</f>
        <v/>
      </c>
      <c r="V79" s="68">
        <f>IFERROR(V40*V$4,"")</f>
        <v/>
      </c>
      <c r="W79" s="68">
        <f>IFERROR(W40*W$4,"")</f>
        <v/>
      </c>
      <c r="X79" s="68">
        <f>IFERROR(X40*X$4,"")</f>
        <v/>
      </c>
      <c r="Y79" s="68">
        <f>IFERROR(Y40*Y$4,"")</f>
        <v/>
      </c>
      <c r="Z79" s="68">
        <f>IFERROR(Z40*Z$4,"")</f>
        <v/>
      </c>
      <c r="AA79" s="68">
        <f>IFERROR(AA40*AA$4,"")</f>
        <v/>
      </c>
      <c r="AB79" s="68">
        <f>IFERROR(AB40*AB$4,"")</f>
        <v/>
      </c>
      <c r="AC79" s="68">
        <f>IFERROR(AC40*AC$4,"")</f>
        <v/>
      </c>
      <c r="AD79" s="68">
        <f>IFERROR(AD40*AD$4,"")</f>
        <v/>
      </c>
      <c r="AE79" s="68">
        <f>IFERROR(AE40*AE$4,"")</f>
        <v/>
      </c>
      <c r="AF79" s="68">
        <f>IFERROR(AF40*AF$4,"")</f>
        <v/>
      </c>
      <c r="AG79" s="68">
        <f>IFERROR(AG40*AG$4,"")</f>
        <v/>
      </c>
      <c r="AH79" s="68">
        <f>IFERROR(AH40*AH$4,"")</f>
        <v/>
      </c>
      <c r="AI79" s="68">
        <f>IFERROR(AI40*AI$4,"")</f>
        <v/>
      </c>
      <c r="AJ79" s="68">
        <f>IFERROR(AJ40*AJ$4,"")</f>
        <v/>
      </c>
      <c r="AK79" s="68">
        <f>IFERROR(AK40*AK$4,"")</f>
        <v/>
      </c>
      <c r="AL79" s="68">
        <f>IFERROR(AL40*AL$4,"")</f>
        <v/>
      </c>
      <c r="AM79" s="68">
        <f>IFERROR(AM40*AM$4,"")</f>
        <v/>
      </c>
      <c r="AN79" s="68">
        <f>IFERROR(AN40*AN$4,"")</f>
        <v/>
      </c>
      <c r="AO79" s="68">
        <f>IFERROR(AO40*AO$4,"")</f>
        <v/>
      </c>
      <c r="AP79" s="68">
        <f>IFERROR(AP40*AP$4,"")</f>
        <v/>
      </c>
      <c r="AQ79" s="68">
        <f>IFERROR(AQ40*AQ$4,"")</f>
        <v/>
      </c>
      <c r="AR79" s="68">
        <f>IFERROR(AR40*AR$4,"")</f>
        <v/>
      </c>
      <c r="AS79" s="68">
        <f>IFERROR(AS40*AS$4,"")</f>
        <v/>
      </c>
      <c r="AT79" s="68">
        <f>IFERROR(AT40*AT$4,"")</f>
        <v/>
      </c>
      <c r="AU79" s="68">
        <f>IFERROR(AU40*AU$4,"")</f>
        <v/>
      </c>
      <c r="AV79" s="68">
        <f>IFERROR(AV40*AV$4,"")</f>
        <v/>
      </c>
      <c r="AW79" s="68">
        <f>IFERROR(AW40*AW$4,"")</f>
        <v/>
      </c>
      <c r="AX79" s="68">
        <f>IFERROR(AX40*AX$4,"")</f>
        <v/>
      </c>
      <c r="AY79" s="68">
        <f>IFERROR(AY40*AY$4,"")</f>
        <v/>
      </c>
      <c r="AZ79" s="68">
        <f>IFERROR(AZ40*AZ$4,"")</f>
        <v/>
      </c>
    </row>
    <row r="80" ht="14.5" customHeight="1" s="179">
      <c r="B80" s="65">
        <f>B41</f>
        <v/>
      </c>
      <c r="C80" s="68">
        <f>IFERROR(C41*C$4,"")</f>
        <v/>
      </c>
      <c r="D80" s="68">
        <f>IFERROR(D41*D$4,"")</f>
        <v/>
      </c>
      <c r="E80" s="68">
        <f>IFERROR(E41*E$4,"")</f>
        <v/>
      </c>
      <c r="F80" s="68">
        <f>IFERROR(F41*F$4,"")</f>
        <v/>
      </c>
      <c r="G80" s="68">
        <f>IFERROR(G41*G$4,"")</f>
        <v/>
      </c>
      <c r="H80" s="68">
        <f>IFERROR(H41*H$4,"")</f>
        <v/>
      </c>
      <c r="I80" s="68">
        <f>IFERROR(I41*I$4,"")</f>
        <v/>
      </c>
      <c r="J80" s="68">
        <f>IFERROR(J41*J$4,"")</f>
        <v/>
      </c>
      <c r="K80" s="68">
        <f>IFERROR(K41*K$4,"")</f>
        <v/>
      </c>
      <c r="L80" s="68">
        <f>IFERROR(L41*L$4,"")</f>
        <v/>
      </c>
      <c r="M80" s="68">
        <f>IFERROR(M41*M$4,"")</f>
        <v/>
      </c>
      <c r="N80" s="68">
        <f>IFERROR(N41*N$4,"")</f>
        <v/>
      </c>
      <c r="O80" s="68">
        <f>IFERROR(O41*O$4,"")</f>
        <v/>
      </c>
      <c r="P80" s="68">
        <f>IFERROR(P41*P$4,"")</f>
        <v/>
      </c>
      <c r="Q80" s="68">
        <f>IFERROR(Q41*Q$4,"")</f>
        <v/>
      </c>
      <c r="R80" s="68">
        <f>IFERROR(R41*R$4,"")</f>
        <v/>
      </c>
      <c r="S80" s="68">
        <f>IFERROR(S41*S$4,"")</f>
        <v/>
      </c>
      <c r="T80" s="68">
        <f>IFERROR(T41*T$4,"")</f>
        <v/>
      </c>
      <c r="U80" s="68">
        <f>IFERROR(U41*U$4,"")</f>
        <v/>
      </c>
      <c r="V80" s="68">
        <f>IFERROR(V41*V$4,"")</f>
        <v/>
      </c>
      <c r="W80" s="68">
        <f>IFERROR(W41*W$4,"")</f>
        <v/>
      </c>
      <c r="X80" s="68">
        <f>IFERROR(X41*X$4,"")</f>
        <v/>
      </c>
      <c r="Y80" s="68">
        <f>IFERROR(Y41*Y$4,"")</f>
        <v/>
      </c>
      <c r="Z80" s="68">
        <f>IFERROR(Z41*Z$4,"")</f>
        <v/>
      </c>
      <c r="AA80" s="68">
        <f>IFERROR(AA41*AA$4,"")</f>
        <v/>
      </c>
      <c r="AB80" s="68">
        <f>IFERROR(AB41*AB$4,"")</f>
        <v/>
      </c>
      <c r="AC80" s="68">
        <f>IFERROR(AC41*AC$4,"")</f>
        <v/>
      </c>
      <c r="AD80" s="68">
        <f>IFERROR(AD41*AD$4,"")</f>
        <v/>
      </c>
      <c r="AE80" s="68">
        <f>IFERROR(AE41*AE$4,"")</f>
        <v/>
      </c>
      <c r="AF80" s="68">
        <f>IFERROR(AF41*AF$4,"")</f>
        <v/>
      </c>
      <c r="AG80" s="68">
        <f>IFERROR(AG41*AG$4,"")</f>
        <v/>
      </c>
      <c r="AH80" s="68">
        <f>IFERROR(AH41*AH$4,"")</f>
        <v/>
      </c>
      <c r="AI80" s="68">
        <f>IFERROR(AI41*AI$4,"")</f>
        <v/>
      </c>
      <c r="AJ80" s="68">
        <f>IFERROR(AJ41*AJ$4,"")</f>
        <v/>
      </c>
      <c r="AK80" s="68">
        <f>IFERROR(AK41*AK$4,"")</f>
        <v/>
      </c>
      <c r="AL80" s="68">
        <f>IFERROR(AL41*AL$4,"")</f>
        <v/>
      </c>
      <c r="AM80" s="68">
        <f>IFERROR(AM41*AM$4,"")</f>
        <v/>
      </c>
      <c r="AN80" s="68">
        <f>IFERROR(AN41*AN$4,"")</f>
        <v/>
      </c>
      <c r="AO80" s="68">
        <f>IFERROR(AO41*AO$4,"")</f>
        <v/>
      </c>
      <c r="AP80" s="68">
        <f>IFERROR(AP41*AP$4,"")</f>
        <v/>
      </c>
      <c r="AQ80" s="68">
        <f>IFERROR(AQ41*AQ$4,"")</f>
        <v/>
      </c>
      <c r="AR80" s="68">
        <f>IFERROR(AR41*AR$4,"")</f>
        <v/>
      </c>
      <c r="AS80" s="68">
        <f>IFERROR(AS41*AS$4,"")</f>
        <v/>
      </c>
      <c r="AT80" s="68">
        <f>IFERROR(AT41*AT$4,"")</f>
        <v/>
      </c>
      <c r="AU80" s="68">
        <f>IFERROR(AU41*AU$4,"")</f>
        <v/>
      </c>
      <c r="AV80" s="68">
        <f>IFERROR(AV41*AV$4,"")</f>
        <v/>
      </c>
      <c r="AW80" s="68">
        <f>IFERROR(AW41*AW$4,"")</f>
        <v/>
      </c>
      <c r="AX80" s="68">
        <f>IFERROR(AX41*AX$4,"")</f>
        <v/>
      </c>
      <c r="AY80" s="68">
        <f>IFERROR(AY41*AY$4,"")</f>
        <v/>
      </c>
      <c r="AZ80" s="68">
        <f>IFERROR(AZ41*AZ$4,"")</f>
        <v/>
      </c>
    </row>
    <row r="81" ht="14.5" customHeight="1" s="179">
      <c r="B81" s="65">
        <f>B42</f>
        <v/>
      </c>
      <c r="C81" s="68">
        <f>IFERROR(C42*C$4,"")</f>
        <v/>
      </c>
      <c r="D81" s="68">
        <f>IFERROR(D42*D$4,"")</f>
        <v/>
      </c>
      <c r="E81" s="68">
        <f>IFERROR(E42*E$4,"")</f>
        <v/>
      </c>
      <c r="F81" s="68">
        <f>IFERROR(F42*F$4,"")</f>
        <v/>
      </c>
      <c r="G81" s="68">
        <f>IFERROR(G42*G$4,"")</f>
        <v/>
      </c>
      <c r="H81" s="68">
        <f>IFERROR(H42*H$4,"")</f>
        <v/>
      </c>
      <c r="I81" s="68">
        <f>IFERROR(I42*I$4,"")</f>
        <v/>
      </c>
      <c r="J81" s="68">
        <f>IFERROR(J42*J$4,"")</f>
        <v/>
      </c>
      <c r="K81" s="68">
        <f>IFERROR(K42*K$4,"")</f>
        <v/>
      </c>
      <c r="L81" s="68">
        <f>IFERROR(L42*L$4,"")</f>
        <v/>
      </c>
      <c r="M81" s="68">
        <f>IFERROR(M42*M$4,"")</f>
        <v/>
      </c>
      <c r="N81" s="68">
        <f>IFERROR(N42*N$4,"")</f>
        <v/>
      </c>
      <c r="O81" s="68">
        <f>IFERROR(O42*O$4,"")</f>
        <v/>
      </c>
      <c r="P81" s="68">
        <f>IFERROR(P42*P$4,"")</f>
        <v/>
      </c>
      <c r="Q81" s="68">
        <f>IFERROR(Q42*Q$4,"")</f>
        <v/>
      </c>
      <c r="R81" s="68">
        <f>IFERROR(R42*R$4,"")</f>
        <v/>
      </c>
      <c r="S81" s="68">
        <f>IFERROR(S42*S$4,"")</f>
        <v/>
      </c>
      <c r="T81" s="68">
        <f>IFERROR(T42*T$4,"")</f>
        <v/>
      </c>
      <c r="U81" s="68">
        <f>IFERROR(U42*U$4,"")</f>
        <v/>
      </c>
      <c r="V81" s="68">
        <f>IFERROR(V42*V$4,"")</f>
        <v/>
      </c>
      <c r="W81" s="68">
        <f>IFERROR(W42*W$4,"")</f>
        <v/>
      </c>
      <c r="X81" s="68">
        <f>IFERROR(X42*X$4,"")</f>
        <v/>
      </c>
      <c r="Y81" s="68">
        <f>IFERROR(Y42*Y$4,"")</f>
        <v/>
      </c>
      <c r="Z81" s="68">
        <f>IFERROR(Z42*Z$4,"")</f>
        <v/>
      </c>
      <c r="AA81" s="68">
        <f>IFERROR(AA42*AA$4,"")</f>
        <v/>
      </c>
      <c r="AB81" s="68">
        <f>IFERROR(AB42*AB$4,"")</f>
        <v/>
      </c>
      <c r="AC81" s="68">
        <f>IFERROR(AC42*AC$4,"")</f>
        <v/>
      </c>
      <c r="AD81" s="68">
        <f>IFERROR(AD42*AD$4,"")</f>
        <v/>
      </c>
      <c r="AE81" s="68">
        <f>IFERROR(AE42*AE$4,"")</f>
        <v/>
      </c>
      <c r="AF81" s="68">
        <f>IFERROR(AF42*AF$4,"")</f>
        <v/>
      </c>
      <c r="AG81" s="68">
        <f>IFERROR(AG42*AG$4,"")</f>
        <v/>
      </c>
      <c r="AH81" s="68">
        <f>IFERROR(AH42*AH$4,"")</f>
        <v/>
      </c>
      <c r="AI81" s="68">
        <f>IFERROR(AI42*AI$4,"")</f>
        <v/>
      </c>
      <c r="AJ81" s="68">
        <f>IFERROR(AJ42*AJ$4,"")</f>
        <v/>
      </c>
      <c r="AK81" s="68">
        <f>IFERROR(AK42*AK$4,"")</f>
        <v/>
      </c>
      <c r="AL81" s="68">
        <f>IFERROR(AL42*AL$4,"")</f>
        <v/>
      </c>
      <c r="AM81" s="68">
        <f>IFERROR(AM42*AM$4,"")</f>
        <v/>
      </c>
      <c r="AN81" s="68">
        <f>IFERROR(AN42*AN$4,"")</f>
        <v/>
      </c>
      <c r="AO81" s="68">
        <f>IFERROR(AO42*AO$4,"")</f>
        <v/>
      </c>
      <c r="AP81" s="68">
        <f>IFERROR(AP42*AP$4,"")</f>
        <v/>
      </c>
      <c r="AQ81" s="68">
        <f>IFERROR(AQ42*AQ$4,"")</f>
        <v/>
      </c>
      <c r="AR81" s="68">
        <f>IFERROR(AR42*AR$4,"")</f>
        <v/>
      </c>
      <c r="AS81" s="68">
        <f>IFERROR(AS42*AS$4,"")</f>
        <v/>
      </c>
      <c r="AT81" s="68">
        <f>IFERROR(AT42*AT$4,"")</f>
        <v/>
      </c>
      <c r="AU81" s="68">
        <f>IFERROR(AU42*AU$4,"")</f>
        <v/>
      </c>
      <c r="AV81" s="68">
        <f>IFERROR(AV42*AV$4,"")</f>
        <v/>
      </c>
      <c r="AW81" s="68">
        <f>IFERROR(AW42*AW$4,"")</f>
        <v/>
      </c>
      <c r="AX81" s="68">
        <f>IFERROR(AX42*AX$4,"")</f>
        <v/>
      </c>
      <c r="AY81" s="68">
        <f>IFERROR(AY42*AY$4,"")</f>
        <v/>
      </c>
      <c r="AZ81" s="68">
        <f>IFERROR(AZ42*AZ$4,"")</f>
        <v/>
      </c>
    </row>
    <row r="82" ht="14.5" customHeight="1" s="179">
      <c r="B82" s="65">
        <f>B43</f>
        <v/>
      </c>
      <c r="C82" s="68">
        <f>IFERROR(C43*C$4,"")</f>
        <v/>
      </c>
      <c r="D82" s="68">
        <f>IFERROR(D43*D$4,"")</f>
        <v/>
      </c>
      <c r="E82" s="68">
        <f>IFERROR(E43*E$4,"")</f>
        <v/>
      </c>
      <c r="F82" s="68">
        <f>IFERROR(F43*F$4,"")</f>
        <v/>
      </c>
      <c r="G82" s="68">
        <f>IFERROR(G43*G$4,"")</f>
        <v/>
      </c>
      <c r="H82" s="68">
        <f>IFERROR(H43*H$4,"")</f>
        <v/>
      </c>
      <c r="I82" s="68">
        <f>IFERROR(I43*I$4,"")</f>
        <v/>
      </c>
      <c r="J82" s="68">
        <f>IFERROR(J43*J$4,"")</f>
        <v/>
      </c>
      <c r="K82" s="68">
        <f>IFERROR(K43*K$4,"")</f>
        <v/>
      </c>
      <c r="L82" s="68">
        <f>IFERROR(L43*L$4,"")</f>
        <v/>
      </c>
      <c r="M82" s="68">
        <f>IFERROR(M43*M$4,"")</f>
        <v/>
      </c>
      <c r="N82" s="68">
        <f>IFERROR(N43*N$4,"")</f>
        <v/>
      </c>
      <c r="O82" s="68">
        <f>IFERROR(O43*O$4,"")</f>
        <v/>
      </c>
      <c r="P82" s="68">
        <f>IFERROR(P43*P$4,"")</f>
        <v/>
      </c>
      <c r="Q82" s="68">
        <f>IFERROR(Q43*Q$4,"")</f>
        <v/>
      </c>
      <c r="R82" s="68">
        <f>IFERROR(R43*R$4,"")</f>
        <v/>
      </c>
      <c r="S82" s="68">
        <f>IFERROR(S43*S$4,"")</f>
        <v/>
      </c>
      <c r="T82" s="68">
        <f>IFERROR(T43*T$4,"")</f>
        <v/>
      </c>
      <c r="U82" s="68">
        <f>IFERROR(U43*U$4,"")</f>
        <v/>
      </c>
      <c r="V82" s="68">
        <f>IFERROR(V43*V$4,"")</f>
        <v/>
      </c>
      <c r="W82" s="68">
        <f>IFERROR(W43*W$4,"")</f>
        <v/>
      </c>
      <c r="X82" s="68">
        <f>IFERROR(X43*X$4,"")</f>
        <v/>
      </c>
      <c r="Y82" s="68">
        <f>IFERROR(Y43*Y$4,"")</f>
        <v/>
      </c>
      <c r="Z82" s="68">
        <f>IFERROR(Z43*Z$4,"")</f>
        <v/>
      </c>
      <c r="AA82" s="68">
        <f>IFERROR(AA43*AA$4,"")</f>
        <v/>
      </c>
      <c r="AB82" s="68">
        <f>IFERROR(AB43*AB$4,"")</f>
        <v/>
      </c>
      <c r="AC82" s="68">
        <f>IFERROR(AC43*AC$4,"")</f>
        <v/>
      </c>
      <c r="AD82" s="68">
        <f>IFERROR(AD43*AD$4,"")</f>
        <v/>
      </c>
      <c r="AE82" s="68">
        <f>IFERROR(AE43*AE$4,"")</f>
        <v/>
      </c>
      <c r="AF82" s="68">
        <f>IFERROR(AF43*AF$4,"")</f>
        <v/>
      </c>
      <c r="AG82" s="68">
        <f>IFERROR(AG43*AG$4,"")</f>
        <v/>
      </c>
      <c r="AH82" s="68">
        <f>IFERROR(AH43*AH$4,"")</f>
        <v/>
      </c>
      <c r="AI82" s="68">
        <f>IFERROR(AI43*AI$4,"")</f>
        <v/>
      </c>
      <c r="AJ82" s="68">
        <f>IFERROR(AJ43*AJ$4,"")</f>
        <v/>
      </c>
      <c r="AK82" s="68">
        <f>IFERROR(AK43*AK$4,"")</f>
        <v/>
      </c>
      <c r="AL82" s="68">
        <f>IFERROR(AL43*AL$4,"")</f>
        <v/>
      </c>
      <c r="AM82" s="68">
        <f>IFERROR(AM43*AM$4,"")</f>
        <v/>
      </c>
      <c r="AN82" s="68">
        <f>IFERROR(AN43*AN$4,"")</f>
        <v/>
      </c>
      <c r="AO82" s="68">
        <f>IFERROR(AO43*AO$4,"")</f>
        <v/>
      </c>
      <c r="AP82" s="68">
        <f>IFERROR(AP43*AP$4,"")</f>
        <v/>
      </c>
      <c r="AQ82" s="68">
        <f>IFERROR(AQ43*AQ$4,"")</f>
        <v/>
      </c>
      <c r="AR82" s="68">
        <f>IFERROR(AR43*AR$4,"")</f>
        <v/>
      </c>
      <c r="AS82" s="68">
        <f>IFERROR(AS43*AS$4,"")</f>
        <v/>
      </c>
      <c r="AT82" s="68">
        <f>IFERROR(AT43*AT$4,"")</f>
        <v/>
      </c>
      <c r="AU82" s="68">
        <f>IFERROR(AU43*AU$4,"")</f>
        <v/>
      </c>
      <c r="AV82" s="68">
        <f>IFERROR(AV43*AV$4,"")</f>
        <v/>
      </c>
      <c r="AW82" s="68">
        <f>IFERROR(AW43*AW$4,"")</f>
        <v/>
      </c>
      <c r="AX82" s="68">
        <f>IFERROR(AX43*AX$4,"")</f>
        <v/>
      </c>
      <c r="AY82" s="68">
        <f>IFERROR(AY43*AY$4,"")</f>
        <v/>
      </c>
      <c r="AZ82" s="68">
        <f>IFERROR(AZ43*AZ$4,"")</f>
        <v/>
      </c>
    </row>
    <row r="83" ht="14.5" customHeight="1" s="179">
      <c r="B83" s="65">
        <f>B44</f>
        <v/>
      </c>
      <c r="C83" s="68">
        <f>IFERROR(C44*C$4,"")</f>
        <v/>
      </c>
      <c r="D83" s="68">
        <f>IFERROR(D44*D$4,"")</f>
        <v/>
      </c>
      <c r="E83" s="68">
        <f>IFERROR(E44*E$4,"")</f>
        <v/>
      </c>
      <c r="F83" s="68">
        <f>IFERROR(F44*F$4,"")</f>
        <v/>
      </c>
      <c r="G83" s="68">
        <f>IFERROR(G44*G$4,"")</f>
        <v/>
      </c>
      <c r="H83" s="68">
        <f>IFERROR(H44*H$4,"")</f>
        <v/>
      </c>
      <c r="I83" s="68">
        <f>IFERROR(I44*I$4,"")</f>
        <v/>
      </c>
      <c r="J83" s="68">
        <f>IFERROR(J44*J$4,"")</f>
        <v/>
      </c>
      <c r="K83" s="68">
        <f>IFERROR(K44*K$4,"")</f>
        <v/>
      </c>
      <c r="L83" s="68">
        <f>IFERROR(L44*L$4,"")</f>
        <v/>
      </c>
      <c r="M83" s="68">
        <f>IFERROR(M44*M$4,"")</f>
        <v/>
      </c>
      <c r="N83" s="68">
        <f>IFERROR(N44*N$4,"")</f>
        <v/>
      </c>
      <c r="O83" s="68">
        <f>IFERROR(O44*O$4,"")</f>
        <v/>
      </c>
      <c r="P83" s="68">
        <f>IFERROR(P44*P$4,"")</f>
        <v/>
      </c>
      <c r="Q83" s="68">
        <f>IFERROR(Q44*Q$4,"")</f>
        <v/>
      </c>
      <c r="R83" s="68">
        <f>IFERROR(R44*R$4,"")</f>
        <v/>
      </c>
      <c r="S83" s="68">
        <f>IFERROR(S44*S$4,"")</f>
        <v/>
      </c>
      <c r="T83" s="68">
        <f>IFERROR(T44*T$4,"")</f>
        <v/>
      </c>
      <c r="U83" s="68">
        <f>IFERROR(U44*U$4,"")</f>
        <v/>
      </c>
      <c r="V83" s="68">
        <f>IFERROR(V44*V$4,"")</f>
        <v/>
      </c>
      <c r="W83" s="68">
        <f>IFERROR(W44*W$4,"")</f>
        <v/>
      </c>
      <c r="X83" s="68">
        <f>IFERROR(X44*X$4,"")</f>
        <v/>
      </c>
      <c r="Y83" s="68">
        <f>IFERROR(Y44*Y$4,"")</f>
        <v/>
      </c>
      <c r="Z83" s="68">
        <f>IFERROR(Z44*Z$4,"")</f>
        <v/>
      </c>
      <c r="AA83" s="68">
        <f>IFERROR(AA44*AA$4,"")</f>
        <v/>
      </c>
      <c r="AB83" s="68">
        <f>IFERROR(AB44*AB$4,"")</f>
        <v/>
      </c>
      <c r="AC83" s="68">
        <f>IFERROR(AC44*AC$4,"")</f>
        <v/>
      </c>
      <c r="AD83" s="68">
        <f>IFERROR(AD44*AD$4,"")</f>
        <v/>
      </c>
      <c r="AE83" s="68">
        <f>IFERROR(AE44*AE$4,"")</f>
        <v/>
      </c>
      <c r="AF83" s="68">
        <f>IFERROR(AF44*AF$4,"")</f>
        <v/>
      </c>
      <c r="AG83" s="68">
        <f>IFERROR(AG44*AG$4,"")</f>
        <v/>
      </c>
      <c r="AH83" s="68">
        <f>IFERROR(AH44*AH$4,"")</f>
        <v/>
      </c>
      <c r="AI83" s="68">
        <f>IFERROR(AI44*AI$4,"")</f>
        <v/>
      </c>
      <c r="AJ83" s="68">
        <f>IFERROR(AJ44*AJ$4,"")</f>
        <v/>
      </c>
      <c r="AK83" s="68">
        <f>IFERROR(AK44*AK$4,"")</f>
        <v/>
      </c>
      <c r="AL83" s="68">
        <f>IFERROR(AL44*AL$4,"")</f>
        <v/>
      </c>
      <c r="AM83" s="68">
        <f>IFERROR(AM44*AM$4,"")</f>
        <v/>
      </c>
      <c r="AN83" s="68">
        <f>IFERROR(AN44*AN$4,"")</f>
        <v/>
      </c>
      <c r="AO83" s="68">
        <f>IFERROR(AO44*AO$4,"")</f>
        <v/>
      </c>
      <c r="AP83" s="68">
        <f>IFERROR(AP44*AP$4,"")</f>
        <v/>
      </c>
      <c r="AQ83" s="68">
        <f>IFERROR(AQ44*AQ$4,"")</f>
        <v/>
      </c>
      <c r="AR83" s="68">
        <f>IFERROR(AR44*AR$4,"")</f>
        <v/>
      </c>
      <c r="AS83" s="68">
        <f>IFERROR(AS44*AS$4,"")</f>
        <v/>
      </c>
      <c r="AT83" s="68">
        <f>IFERROR(AT44*AT$4,"")</f>
        <v/>
      </c>
      <c r="AU83" s="68">
        <f>IFERROR(AU44*AU$4,"")</f>
        <v/>
      </c>
      <c r="AV83" s="68">
        <f>IFERROR(AV44*AV$4,"")</f>
        <v/>
      </c>
      <c r="AW83" s="68">
        <f>IFERROR(AW44*AW$4,"")</f>
        <v/>
      </c>
      <c r="AX83" s="68">
        <f>IFERROR(AX44*AX$4,"")</f>
        <v/>
      </c>
      <c r="AY83" s="68">
        <f>IFERROR(AY44*AY$4,"")</f>
        <v/>
      </c>
      <c r="AZ83" s="68">
        <f>IFERROR(AZ44*AZ$4,"")</f>
        <v/>
      </c>
    </row>
    <row r="86" ht="16.5" customHeight="1" s="179">
      <c r="B86" s="63" t="inlineStr">
        <is>
          <t xml:space="preserve">Reach of Media Channel </t>
        </is>
      </c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  <c r="AL86" s="52" t="n"/>
      <c r="AM86" s="52" t="n"/>
      <c r="AN86" s="52" t="n"/>
      <c r="AO86" s="52" t="n"/>
      <c r="AP86" s="52" t="n"/>
      <c r="AQ86" s="52" t="n"/>
      <c r="AR86" s="52" t="n"/>
      <c r="AS86" s="52" t="n"/>
      <c r="AT86" s="52" t="n"/>
      <c r="AU86" s="52" t="n"/>
      <c r="AV86" s="52" t="n"/>
      <c r="AW86" s="52" t="n"/>
      <c r="AX86" s="52" t="n"/>
      <c r="AY86" s="52" t="n"/>
      <c r="AZ86" s="52" t="n"/>
    </row>
    <row r="87" ht="33.75" customHeight="1" s="179">
      <c r="B87" s="64" t="n"/>
      <c r="C87" s="55">
        <f>C2</f>
        <v/>
      </c>
      <c r="D87" s="55">
        <f>D2</f>
        <v/>
      </c>
      <c r="E87" s="55">
        <f>E2</f>
        <v/>
      </c>
      <c r="F87" s="55">
        <f>F2</f>
        <v/>
      </c>
      <c r="G87" s="55">
        <f>G2</f>
        <v/>
      </c>
      <c r="H87" s="55">
        <f>H2</f>
        <v/>
      </c>
      <c r="I87" s="55">
        <f>I2</f>
        <v/>
      </c>
      <c r="J87" s="55">
        <f>J2</f>
        <v/>
      </c>
      <c r="K87" s="55">
        <f>K2</f>
        <v/>
      </c>
      <c r="L87" s="55">
        <f>L2</f>
        <v/>
      </c>
      <c r="M87" s="55">
        <f>M2</f>
        <v/>
      </c>
      <c r="N87" s="55">
        <f>N2</f>
        <v/>
      </c>
      <c r="O87" s="55">
        <f>O2</f>
        <v/>
      </c>
      <c r="P87" s="55">
        <f>P2</f>
        <v/>
      </c>
      <c r="Q87" s="55">
        <f>Q2</f>
        <v/>
      </c>
      <c r="R87" s="55">
        <f>R2</f>
        <v/>
      </c>
      <c r="S87" s="55">
        <f>S2</f>
        <v/>
      </c>
      <c r="T87" s="55">
        <f>T2</f>
        <v/>
      </c>
      <c r="U87" s="55">
        <f>U2</f>
        <v/>
      </c>
      <c r="V87" s="55">
        <f>V2</f>
        <v/>
      </c>
      <c r="W87" s="55">
        <f>W2</f>
        <v/>
      </c>
      <c r="X87" s="55">
        <f>X2</f>
        <v/>
      </c>
      <c r="Y87" s="55">
        <f>Y2</f>
        <v/>
      </c>
      <c r="Z87" s="55">
        <f>Z2</f>
        <v/>
      </c>
      <c r="AA87" s="55">
        <f>AA2</f>
        <v/>
      </c>
      <c r="AB87" s="55">
        <f>AB2</f>
        <v/>
      </c>
      <c r="AC87" s="55">
        <f>AC2</f>
        <v/>
      </c>
      <c r="AD87" s="55">
        <f>AD2</f>
        <v/>
      </c>
      <c r="AE87" s="55">
        <f>AE2</f>
        <v/>
      </c>
      <c r="AF87" s="55">
        <f>AF2</f>
        <v/>
      </c>
      <c r="AG87" s="55">
        <f>AG2</f>
        <v/>
      </c>
      <c r="AH87" s="55">
        <f>AH2</f>
        <v/>
      </c>
      <c r="AI87" s="55">
        <f>AI2</f>
        <v/>
      </c>
      <c r="AJ87" s="55">
        <f>AJ2</f>
        <v/>
      </c>
      <c r="AK87" s="55">
        <f>AK2</f>
        <v/>
      </c>
      <c r="AL87" s="55">
        <f>AL2</f>
        <v/>
      </c>
      <c r="AM87" s="55">
        <f>AM2</f>
        <v/>
      </c>
      <c r="AN87" s="55">
        <f>AN2</f>
        <v/>
      </c>
      <c r="AO87" s="55">
        <f>AO2</f>
        <v/>
      </c>
      <c r="AP87" s="55">
        <f>AP2</f>
        <v/>
      </c>
      <c r="AQ87" s="55">
        <f>AQ2</f>
        <v/>
      </c>
      <c r="AR87" s="55">
        <f>AR2</f>
        <v/>
      </c>
      <c r="AS87" s="55">
        <f>AS2</f>
        <v/>
      </c>
      <c r="AT87" s="55">
        <f>AT2</f>
        <v/>
      </c>
      <c r="AU87" s="55">
        <f>AU2</f>
        <v/>
      </c>
      <c r="AV87" s="55">
        <f>AV2</f>
        <v/>
      </c>
      <c r="AW87" s="55">
        <f>AW2</f>
        <v/>
      </c>
      <c r="AX87" s="55">
        <f>AX2</f>
        <v/>
      </c>
      <c r="AY87" s="55">
        <f>AY2</f>
        <v/>
      </c>
      <c r="AZ87" s="55">
        <f>AZ2</f>
        <v/>
      </c>
    </row>
    <row r="88" ht="16.5" customHeight="1" s="179">
      <c r="B88" s="65">
        <f>B10</f>
        <v/>
      </c>
      <c r="C88" s="68">
        <f>'2E.ROE Scan'!BC58</f>
        <v/>
      </c>
      <c r="D88" s="68">
        <f>IF(D$87=0,"",$C88)</f>
        <v/>
      </c>
      <c r="E88" s="68">
        <f>IF(E$87=0,"",$C88)</f>
        <v/>
      </c>
      <c r="F88" s="68">
        <f>IF(F$87=0,"",$C88)</f>
        <v/>
      </c>
      <c r="G88" s="68">
        <f>IF(G$87=0,"",$C88)</f>
        <v/>
      </c>
      <c r="H88" s="68">
        <f>IF(H$87=0,"",$C88)</f>
        <v/>
      </c>
      <c r="I88" s="68">
        <f>IF(I$87=0,"",$C88)</f>
        <v/>
      </c>
      <c r="J88" s="68">
        <f>IF(J$87=0,"",$C88)</f>
        <v/>
      </c>
      <c r="K88" s="68">
        <f>IF(K$87=0,"",$C88)</f>
        <v/>
      </c>
      <c r="L88" s="68">
        <f>IF(L$87=0,"",$C88)</f>
        <v/>
      </c>
      <c r="M88" s="68">
        <f>IF(M$87=0,"",$C88)</f>
        <v/>
      </c>
      <c r="N88" s="68">
        <f>IF(N$87=0,"",$C88)</f>
        <v/>
      </c>
      <c r="O88" s="68">
        <f>IF(O$87=0,"",$C88)</f>
        <v/>
      </c>
      <c r="P88" s="68">
        <f>IF(P$87=0,"",$C88)</f>
        <v/>
      </c>
      <c r="Q88" s="68">
        <f>IF(Q$87=0,"",$C88)</f>
        <v/>
      </c>
      <c r="R88" s="68">
        <f>IF(R$87=0,"",$C88)</f>
        <v/>
      </c>
      <c r="S88" s="68">
        <f>IF(S$87=0,"",$C88)</f>
        <v/>
      </c>
      <c r="T88" s="68">
        <f>IF(T$87=0,"",$C88)</f>
        <v/>
      </c>
      <c r="U88" s="68">
        <f>IF(U$87=0,"",$C88)</f>
        <v/>
      </c>
      <c r="V88" s="68">
        <f>IF(V$87=0,"",$C88)</f>
        <v/>
      </c>
      <c r="W88" s="68">
        <f>IF(W$87=0,"",$C88)</f>
        <v/>
      </c>
      <c r="X88" s="68">
        <f>IF(X$87=0,"",$C88)</f>
        <v/>
      </c>
      <c r="Y88" s="68">
        <f>IF(Y$87=0,"",$C88)</f>
        <v/>
      </c>
      <c r="Z88" s="68">
        <f>IF(Z$87=0,"",$C88)</f>
        <v/>
      </c>
      <c r="AA88" s="68">
        <f>IF(AA$87=0,"",$C88)</f>
        <v/>
      </c>
      <c r="AB88" s="68">
        <f>IF(AB$87=0,"",$C88)</f>
        <v/>
      </c>
      <c r="AC88" s="68">
        <f>IF(AC$87=0,"",$C88)</f>
        <v/>
      </c>
      <c r="AD88" s="68">
        <f>IF(AD$87=0,"",$C88)</f>
        <v/>
      </c>
      <c r="AE88" s="68">
        <f>IF(AE$87=0,"",$C88)</f>
        <v/>
      </c>
      <c r="AF88" s="68">
        <f>IF(AF$87=0,"",$C88)</f>
        <v/>
      </c>
      <c r="AG88" s="68">
        <f>IF(AG$87=0,"",$C88)</f>
        <v/>
      </c>
      <c r="AH88" s="68">
        <f>IF(AH$87=0,"",$C88)</f>
        <v/>
      </c>
      <c r="AI88" s="68">
        <f>IF(AI$87=0,"",$C88)</f>
        <v/>
      </c>
      <c r="AJ88" s="68">
        <f>IF(AJ$87=0,"",$C88)</f>
        <v/>
      </c>
      <c r="AK88" s="68">
        <f>IF(AK$87=0,"",$C88)</f>
        <v/>
      </c>
      <c r="AL88" s="68">
        <f>IF(AL$87=0,"",$C88)</f>
        <v/>
      </c>
      <c r="AM88" s="68">
        <f>IF(AM$87=0,"",$C88)</f>
        <v/>
      </c>
      <c r="AN88" s="68">
        <f>IF(AN$87=0,"",$C88)</f>
        <v/>
      </c>
      <c r="AO88" s="68">
        <f>IF(AO$87=0,"",$C88)</f>
        <v/>
      </c>
      <c r="AP88" s="68">
        <f>IF(AP$87=0,"",$C88)</f>
        <v/>
      </c>
      <c r="AQ88" s="68">
        <f>IF(AQ$87=0,"",$C88)</f>
        <v/>
      </c>
      <c r="AR88" s="68">
        <f>IF(AR$87=0,"",$C88)</f>
        <v/>
      </c>
      <c r="AS88" s="68">
        <f>IF(AS$87=0,"",$C88)</f>
        <v/>
      </c>
      <c r="AT88" s="68">
        <f>IF(AT$87=0,"",$C88)</f>
        <v/>
      </c>
      <c r="AU88" s="68">
        <f>IF(AU$87=0,"",$C88)</f>
        <v/>
      </c>
      <c r="AV88" s="68">
        <f>IF(AV$87=0,"",$C88)</f>
        <v/>
      </c>
      <c r="AW88" s="68">
        <f>IF(AW$87=0,"",$C88)</f>
        <v/>
      </c>
      <c r="AX88" s="68">
        <f>IF(AX$87=0,"",$C88)</f>
        <v/>
      </c>
      <c r="AY88" s="68">
        <f>IF(AY$87=0,"",$C88)</f>
        <v/>
      </c>
      <c r="AZ88" s="68">
        <f>IF(AZ$87=0,"",$C88)</f>
        <v/>
      </c>
    </row>
    <row r="89" ht="16.5" customHeight="1" s="179">
      <c r="B89" s="65">
        <f>B11</f>
        <v/>
      </c>
      <c r="C89" s="68">
        <f>'2E.ROE Scan'!BC59</f>
        <v/>
      </c>
      <c r="D89" s="68">
        <f>IF(D$87=0,"",$C89)</f>
        <v/>
      </c>
      <c r="E89" s="68">
        <f>IF(E$87=0,"",$C89)</f>
        <v/>
      </c>
      <c r="F89" s="68">
        <f>IF(F$87=0,"",$C89)</f>
        <v/>
      </c>
      <c r="G89" s="68">
        <f>IF(G$87=0,"",$C89)</f>
        <v/>
      </c>
      <c r="H89" s="68">
        <f>IF(H$87=0,"",$C89)</f>
        <v/>
      </c>
      <c r="I89" s="68">
        <f>IF(I$87=0,"",$C89)</f>
        <v/>
      </c>
      <c r="J89" s="68">
        <f>IF(J$87=0,"",$C89)</f>
        <v/>
      </c>
      <c r="K89" s="68">
        <f>IF(K$87=0,"",$C89)</f>
        <v/>
      </c>
      <c r="L89" s="68">
        <f>IF(L$87=0,"",$C89)</f>
        <v/>
      </c>
      <c r="M89" s="68">
        <f>IF(M$87=0,"",$C89)</f>
        <v/>
      </c>
      <c r="N89" s="68">
        <f>IF(N$87=0,"",$C89)</f>
        <v/>
      </c>
      <c r="O89" s="68">
        <f>IF(O$87=0,"",$C89)</f>
        <v/>
      </c>
      <c r="P89" s="68">
        <f>IF(P$87=0,"",$C89)</f>
        <v/>
      </c>
      <c r="Q89" s="68">
        <f>IF(Q$87=0,"",$C89)</f>
        <v/>
      </c>
      <c r="R89" s="68">
        <f>IF(R$87=0,"",$C89)</f>
        <v/>
      </c>
      <c r="S89" s="68">
        <f>IF(S$87=0,"",$C89)</f>
        <v/>
      </c>
      <c r="T89" s="68">
        <f>IF(T$87=0,"",$C89)</f>
        <v/>
      </c>
      <c r="U89" s="68">
        <f>IF(U$87=0,"",$C89)</f>
        <v/>
      </c>
      <c r="V89" s="68">
        <f>IF(V$87=0,"",$C89)</f>
        <v/>
      </c>
      <c r="W89" s="68">
        <f>IF(W$87=0,"",$C89)</f>
        <v/>
      </c>
      <c r="X89" s="68">
        <f>IF(X$87=0,"",$C89)</f>
        <v/>
      </c>
      <c r="Y89" s="68">
        <f>IF(Y$87=0,"",$C89)</f>
        <v/>
      </c>
      <c r="Z89" s="68">
        <f>IF(Z$87=0,"",$C89)</f>
        <v/>
      </c>
      <c r="AA89" s="68">
        <f>IF(AA$87=0,"",$C89)</f>
        <v/>
      </c>
      <c r="AB89" s="68">
        <f>IF(AB$87=0,"",$C89)</f>
        <v/>
      </c>
      <c r="AC89" s="68">
        <f>IF(AC$87=0,"",$C89)</f>
        <v/>
      </c>
      <c r="AD89" s="68">
        <f>IF(AD$87=0,"",$C89)</f>
        <v/>
      </c>
      <c r="AE89" s="68">
        <f>IF(AE$87=0,"",$C89)</f>
        <v/>
      </c>
      <c r="AF89" s="68">
        <f>IF(AF$87=0,"",$C89)</f>
        <v/>
      </c>
      <c r="AG89" s="68">
        <f>IF(AG$87=0,"",$C89)</f>
        <v/>
      </c>
      <c r="AH89" s="68">
        <f>IF(AH$87=0,"",$C89)</f>
        <v/>
      </c>
      <c r="AI89" s="68">
        <f>IF(AI$87=0,"",$C89)</f>
        <v/>
      </c>
      <c r="AJ89" s="68">
        <f>IF(AJ$87=0,"",$C89)</f>
        <v/>
      </c>
      <c r="AK89" s="68">
        <f>IF(AK$87=0,"",$C89)</f>
        <v/>
      </c>
      <c r="AL89" s="68">
        <f>IF(AL$87=0,"",$C89)</f>
        <v/>
      </c>
      <c r="AM89" s="68">
        <f>IF(AM$87=0,"",$C89)</f>
        <v/>
      </c>
      <c r="AN89" s="68">
        <f>IF(AN$87=0,"",$C89)</f>
        <v/>
      </c>
      <c r="AO89" s="68">
        <f>IF(AO$87=0,"",$C89)</f>
        <v/>
      </c>
      <c r="AP89" s="68">
        <f>IF(AP$87=0,"",$C89)</f>
        <v/>
      </c>
      <c r="AQ89" s="68">
        <f>IF(AQ$87=0,"",$C89)</f>
        <v/>
      </c>
      <c r="AR89" s="68">
        <f>IF(AR$87=0,"",$C89)</f>
        <v/>
      </c>
      <c r="AS89" s="68">
        <f>IF(AS$87=0,"",$C89)</f>
        <v/>
      </c>
      <c r="AT89" s="68">
        <f>IF(AT$87=0,"",$C89)</f>
        <v/>
      </c>
      <c r="AU89" s="68">
        <f>IF(AU$87=0,"",$C89)</f>
        <v/>
      </c>
      <c r="AV89" s="68">
        <f>IF(AV$87=0,"",$C89)</f>
        <v/>
      </c>
      <c r="AW89" s="68">
        <f>IF(AW$87=0,"",$C89)</f>
        <v/>
      </c>
      <c r="AX89" s="68">
        <f>IF(AX$87=0,"",$C89)</f>
        <v/>
      </c>
      <c r="AY89" s="68">
        <f>IF(AY$87=0,"",$C89)</f>
        <v/>
      </c>
      <c r="AZ89" s="68">
        <f>IF(AZ$87=0,"",$C89)</f>
        <v/>
      </c>
    </row>
    <row r="90" ht="16.5" customHeight="1" s="179">
      <c r="B90" s="65">
        <f>B12</f>
        <v/>
      </c>
      <c r="C90" s="68">
        <f>'2E.ROE Scan'!BC60</f>
        <v/>
      </c>
      <c r="D90" s="68">
        <f>IF(D$87=0,"",$C90)</f>
        <v/>
      </c>
      <c r="E90" s="68">
        <f>IF(E$87=0,"",$C90)</f>
        <v/>
      </c>
      <c r="F90" s="68">
        <f>IF(F$87=0,"",$C90)</f>
        <v/>
      </c>
      <c r="G90" s="68">
        <f>IF(G$87=0,"",$C90)</f>
        <v/>
      </c>
      <c r="H90" s="68">
        <f>IF(H$87=0,"",$C90)</f>
        <v/>
      </c>
      <c r="I90" s="68">
        <f>IF(I$87=0,"",$C90)</f>
        <v/>
      </c>
      <c r="J90" s="68">
        <f>IF(J$87=0,"",$C90)</f>
        <v/>
      </c>
      <c r="K90" s="68">
        <f>IF(K$87=0,"",$C90)</f>
        <v/>
      </c>
      <c r="L90" s="68">
        <f>IF(L$87=0,"",$C90)</f>
        <v/>
      </c>
      <c r="M90" s="68">
        <f>IF(M$87=0,"",$C90)</f>
        <v/>
      </c>
      <c r="N90" s="68">
        <f>IF(N$87=0,"",$C90)</f>
        <v/>
      </c>
      <c r="O90" s="68">
        <f>IF(O$87=0,"",$C90)</f>
        <v/>
      </c>
      <c r="P90" s="68">
        <f>IF(P$87=0,"",$C90)</f>
        <v/>
      </c>
      <c r="Q90" s="68">
        <f>IF(Q$87=0,"",$C90)</f>
        <v/>
      </c>
      <c r="R90" s="68">
        <f>IF(R$87=0,"",$C90)</f>
        <v/>
      </c>
      <c r="S90" s="68">
        <f>IF(S$87=0,"",$C90)</f>
        <v/>
      </c>
      <c r="T90" s="68">
        <f>IF(T$87=0,"",$C90)</f>
        <v/>
      </c>
      <c r="U90" s="68">
        <f>IF(U$87=0,"",$C90)</f>
        <v/>
      </c>
      <c r="V90" s="68">
        <f>IF(V$87=0,"",$C90)</f>
        <v/>
      </c>
      <c r="W90" s="68">
        <f>IF(W$87=0,"",$C90)</f>
        <v/>
      </c>
      <c r="X90" s="68">
        <f>IF(X$87=0,"",$C90)</f>
        <v/>
      </c>
      <c r="Y90" s="68">
        <f>IF(Y$87=0,"",$C90)</f>
        <v/>
      </c>
      <c r="Z90" s="68">
        <f>IF(Z$87=0,"",$C90)</f>
        <v/>
      </c>
      <c r="AA90" s="68">
        <f>IF(AA$87=0,"",$C90)</f>
        <v/>
      </c>
      <c r="AB90" s="68">
        <f>IF(AB$87=0,"",$C90)</f>
        <v/>
      </c>
      <c r="AC90" s="68">
        <f>IF(AC$87=0,"",$C90)</f>
        <v/>
      </c>
      <c r="AD90" s="68">
        <f>IF(AD$87=0,"",$C90)</f>
        <v/>
      </c>
      <c r="AE90" s="68">
        <f>IF(AE$87=0,"",$C90)</f>
        <v/>
      </c>
      <c r="AF90" s="68">
        <f>IF(AF$87=0,"",$C90)</f>
        <v/>
      </c>
      <c r="AG90" s="68">
        <f>IF(AG$87=0,"",$C90)</f>
        <v/>
      </c>
      <c r="AH90" s="68">
        <f>IF(AH$87=0,"",$C90)</f>
        <v/>
      </c>
      <c r="AI90" s="68">
        <f>IF(AI$87=0,"",$C90)</f>
        <v/>
      </c>
      <c r="AJ90" s="68">
        <f>IF(AJ$87=0,"",$C90)</f>
        <v/>
      </c>
      <c r="AK90" s="68">
        <f>IF(AK$87=0,"",$C90)</f>
        <v/>
      </c>
      <c r="AL90" s="68">
        <f>IF(AL$87=0,"",$C90)</f>
        <v/>
      </c>
      <c r="AM90" s="68">
        <f>IF(AM$87=0,"",$C90)</f>
        <v/>
      </c>
      <c r="AN90" s="68">
        <f>IF(AN$87=0,"",$C90)</f>
        <v/>
      </c>
      <c r="AO90" s="68">
        <f>IF(AO$87=0,"",$C90)</f>
        <v/>
      </c>
      <c r="AP90" s="68">
        <f>IF(AP$87=0,"",$C90)</f>
        <v/>
      </c>
      <c r="AQ90" s="68">
        <f>IF(AQ$87=0,"",$C90)</f>
        <v/>
      </c>
      <c r="AR90" s="68">
        <f>IF(AR$87=0,"",$C90)</f>
        <v/>
      </c>
      <c r="AS90" s="68">
        <f>IF(AS$87=0,"",$C90)</f>
        <v/>
      </c>
      <c r="AT90" s="68">
        <f>IF(AT$87=0,"",$C90)</f>
        <v/>
      </c>
      <c r="AU90" s="68">
        <f>IF(AU$87=0,"",$C90)</f>
        <v/>
      </c>
      <c r="AV90" s="68">
        <f>IF(AV$87=0,"",$C90)</f>
        <v/>
      </c>
      <c r="AW90" s="68">
        <f>IF(AW$87=0,"",$C90)</f>
        <v/>
      </c>
      <c r="AX90" s="68">
        <f>IF(AX$87=0,"",$C90)</f>
        <v/>
      </c>
      <c r="AY90" s="68">
        <f>IF(AY$87=0,"",$C90)</f>
        <v/>
      </c>
      <c r="AZ90" s="68">
        <f>IF(AZ$87=0,"",$C90)</f>
        <v/>
      </c>
    </row>
    <row r="91" ht="16.5" customHeight="1" s="179">
      <c r="B91" s="65">
        <f>B13</f>
        <v/>
      </c>
      <c r="C91" s="68">
        <f>'2E.ROE Scan'!BC61</f>
        <v/>
      </c>
      <c r="D91" s="68">
        <f>IF(D$87=0,"",$C91)</f>
        <v/>
      </c>
      <c r="E91" s="68">
        <f>IF(E$87=0,"",$C91)</f>
        <v/>
      </c>
      <c r="F91" s="68">
        <f>IF(F$87=0,"",$C91)</f>
        <v/>
      </c>
      <c r="G91" s="68">
        <f>IF(G$87=0,"",$C91)</f>
        <v/>
      </c>
      <c r="H91" s="68">
        <f>IF(H$87=0,"",$C91)</f>
        <v/>
      </c>
      <c r="I91" s="68">
        <f>IF(I$87=0,"",$C91)</f>
        <v/>
      </c>
      <c r="J91" s="68">
        <f>IF(J$87=0,"",$C91)</f>
        <v/>
      </c>
      <c r="K91" s="68">
        <f>IF(K$87=0,"",$C91)</f>
        <v/>
      </c>
      <c r="L91" s="68">
        <f>IF(L$87=0,"",$C91)</f>
        <v/>
      </c>
      <c r="M91" s="68">
        <f>IF(M$87=0,"",$C91)</f>
        <v/>
      </c>
      <c r="N91" s="68">
        <f>IF(N$87=0,"",$C91)</f>
        <v/>
      </c>
      <c r="O91" s="68">
        <f>IF(O$87=0,"",$C91)</f>
        <v/>
      </c>
      <c r="P91" s="68">
        <f>IF(P$87=0,"",$C91)</f>
        <v/>
      </c>
      <c r="Q91" s="68">
        <f>IF(Q$87=0,"",$C91)</f>
        <v/>
      </c>
      <c r="R91" s="68">
        <f>IF(R$87=0,"",$C91)</f>
        <v/>
      </c>
      <c r="S91" s="68">
        <f>IF(S$87=0,"",$C91)</f>
        <v/>
      </c>
      <c r="T91" s="68">
        <f>IF(T$87=0,"",$C91)</f>
        <v/>
      </c>
      <c r="U91" s="68">
        <f>IF(U$87=0,"",$C91)</f>
        <v/>
      </c>
      <c r="V91" s="68">
        <f>IF(V$87=0,"",$C91)</f>
        <v/>
      </c>
      <c r="W91" s="68">
        <f>IF(W$87=0,"",$C91)</f>
        <v/>
      </c>
      <c r="X91" s="68">
        <f>IF(X$87=0,"",$C91)</f>
        <v/>
      </c>
      <c r="Y91" s="68">
        <f>IF(Y$87=0,"",$C91)</f>
        <v/>
      </c>
      <c r="Z91" s="68">
        <f>IF(Z$87=0,"",$C91)</f>
        <v/>
      </c>
      <c r="AA91" s="68">
        <f>IF(AA$87=0,"",$C91)</f>
        <v/>
      </c>
      <c r="AB91" s="68">
        <f>IF(AB$87=0,"",$C91)</f>
        <v/>
      </c>
      <c r="AC91" s="68">
        <f>IF(AC$87=0,"",$C91)</f>
        <v/>
      </c>
      <c r="AD91" s="68">
        <f>IF(AD$87=0,"",$C91)</f>
        <v/>
      </c>
      <c r="AE91" s="68">
        <f>IF(AE$87=0,"",$C91)</f>
        <v/>
      </c>
      <c r="AF91" s="68">
        <f>IF(AF$87=0,"",$C91)</f>
        <v/>
      </c>
      <c r="AG91" s="68">
        <f>IF(AG$87=0,"",$C91)</f>
        <v/>
      </c>
      <c r="AH91" s="68">
        <f>IF(AH$87=0,"",$C91)</f>
        <v/>
      </c>
      <c r="AI91" s="68">
        <f>IF(AI$87=0,"",$C91)</f>
        <v/>
      </c>
      <c r="AJ91" s="68">
        <f>IF(AJ$87=0,"",$C91)</f>
        <v/>
      </c>
      <c r="AK91" s="68">
        <f>IF(AK$87=0,"",$C91)</f>
        <v/>
      </c>
      <c r="AL91" s="68">
        <f>IF(AL$87=0,"",$C91)</f>
        <v/>
      </c>
      <c r="AM91" s="68">
        <f>IF(AM$87=0,"",$C91)</f>
        <v/>
      </c>
      <c r="AN91" s="68">
        <f>IF(AN$87=0,"",$C91)</f>
        <v/>
      </c>
      <c r="AO91" s="68">
        <f>IF(AO$87=0,"",$C91)</f>
        <v/>
      </c>
      <c r="AP91" s="68">
        <f>IF(AP$87=0,"",$C91)</f>
        <v/>
      </c>
      <c r="AQ91" s="68">
        <f>IF(AQ$87=0,"",$C91)</f>
        <v/>
      </c>
      <c r="AR91" s="68">
        <f>IF(AR$87=0,"",$C91)</f>
        <v/>
      </c>
      <c r="AS91" s="68">
        <f>IF(AS$87=0,"",$C91)</f>
        <v/>
      </c>
      <c r="AT91" s="68">
        <f>IF(AT$87=0,"",$C91)</f>
        <v/>
      </c>
      <c r="AU91" s="68">
        <f>IF(AU$87=0,"",$C91)</f>
        <v/>
      </c>
      <c r="AV91" s="68">
        <f>IF(AV$87=0,"",$C91)</f>
        <v/>
      </c>
      <c r="AW91" s="68">
        <f>IF(AW$87=0,"",$C91)</f>
        <v/>
      </c>
      <c r="AX91" s="68">
        <f>IF(AX$87=0,"",$C91)</f>
        <v/>
      </c>
      <c r="AY91" s="68">
        <f>IF(AY$87=0,"",$C91)</f>
        <v/>
      </c>
      <c r="AZ91" s="68">
        <f>IF(AZ$87=0,"",$C91)</f>
        <v/>
      </c>
    </row>
    <row r="92" ht="16.5" customHeight="1" s="179">
      <c r="B92" s="65">
        <f>B14</f>
        <v/>
      </c>
      <c r="C92" s="68">
        <f>'2E.ROE Scan'!BC62</f>
        <v/>
      </c>
      <c r="D92" s="68">
        <f>IF(D$87=0,"",$C92)</f>
        <v/>
      </c>
      <c r="E92" s="68">
        <f>IF(E$87=0,"",$C92)</f>
        <v/>
      </c>
      <c r="F92" s="68">
        <f>IF(F$87=0,"",$C92)</f>
        <v/>
      </c>
      <c r="G92" s="68">
        <f>IF(G$87=0,"",$C92)</f>
        <v/>
      </c>
      <c r="H92" s="68">
        <f>IF(H$87=0,"",$C92)</f>
        <v/>
      </c>
      <c r="I92" s="68">
        <f>IF(I$87=0,"",$C92)</f>
        <v/>
      </c>
      <c r="J92" s="68">
        <f>IF(J$87=0,"",$C92)</f>
        <v/>
      </c>
      <c r="K92" s="68">
        <f>IF(K$87=0,"",$C92)</f>
        <v/>
      </c>
      <c r="L92" s="68">
        <f>IF(L$87=0,"",$C92)</f>
        <v/>
      </c>
      <c r="M92" s="68">
        <f>IF(M$87=0,"",$C92)</f>
        <v/>
      </c>
      <c r="N92" s="68">
        <f>IF(N$87=0,"",$C92)</f>
        <v/>
      </c>
      <c r="O92" s="68">
        <f>IF(O$87=0,"",$C92)</f>
        <v/>
      </c>
      <c r="P92" s="68">
        <f>IF(P$87=0,"",$C92)</f>
        <v/>
      </c>
      <c r="Q92" s="68">
        <f>IF(Q$87=0,"",$C92)</f>
        <v/>
      </c>
      <c r="R92" s="68">
        <f>IF(R$87=0,"",$C92)</f>
        <v/>
      </c>
      <c r="S92" s="68">
        <f>IF(S$87=0,"",$C92)</f>
        <v/>
      </c>
      <c r="T92" s="68">
        <f>IF(T$87=0,"",$C92)</f>
        <v/>
      </c>
      <c r="U92" s="68">
        <f>IF(U$87=0,"",$C92)</f>
        <v/>
      </c>
      <c r="V92" s="68">
        <f>IF(V$87=0,"",$C92)</f>
        <v/>
      </c>
      <c r="W92" s="68">
        <f>IF(W$87=0,"",$C92)</f>
        <v/>
      </c>
      <c r="X92" s="68">
        <f>IF(X$87=0,"",$C92)</f>
        <v/>
      </c>
      <c r="Y92" s="68">
        <f>IF(Y$87=0,"",$C92)</f>
        <v/>
      </c>
      <c r="Z92" s="68">
        <f>IF(Z$87=0,"",$C92)</f>
        <v/>
      </c>
      <c r="AA92" s="68">
        <f>IF(AA$87=0,"",$C92)</f>
        <v/>
      </c>
      <c r="AB92" s="68">
        <f>IF(AB$87=0,"",$C92)</f>
        <v/>
      </c>
      <c r="AC92" s="68">
        <f>IF(AC$87=0,"",$C92)</f>
        <v/>
      </c>
      <c r="AD92" s="68">
        <f>IF(AD$87=0,"",$C92)</f>
        <v/>
      </c>
      <c r="AE92" s="68">
        <f>IF(AE$87=0,"",$C92)</f>
        <v/>
      </c>
      <c r="AF92" s="68">
        <f>IF(AF$87=0,"",$C92)</f>
        <v/>
      </c>
      <c r="AG92" s="68">
        <f>IF(AG$87=0,"",$C92)</f>
        <v/>
      </c>
      <c r="AH92" s="68">
        <f>IF(AH$87=0,"",$C92)</f>
        <v/>
      </c>
      <c r="AI92" s="68">
        <f>IF(AI$87=0,"",$C92)</f>
        <v/>
      </c>
      <c r="AJ92" s="68">
        <f>IF(AJ$87=0,"",$C92)</f>
        <v/>
      </c>
      <c r="AK92" s="68">
        <f>IF(AK$87=0,"",$C92)</f>
        <v/>
      </c>
      <c r="AL92" s="68">
        <f>IF(AL$87=0,"",$C92)</f>
        <v/>
      </c>
      <c r="AM92" s="68">
        <f>IF(AM$87=0,"",$C92)</f>
        <v/>
      </c>
      <c r="AN92" s="68">
        <f>IF(AN$87=0,"",$C92)</f>
        <v/>
      </c>
      <c r="AO92" s="68">
        <f>IF(AO$87=0,"",$C92)</f>
        <v/>
      </c>
      <c r="AP92" s="68">
        <f>IF(AP$87=0,"",$C92)</f>
        <v/>
      </c>
      <c r="AQ92" s="68">
        <f>IF(AQ$87=0,"",$C92)</f>
        <v/>
      </c>
      <c r="AR92" s="68">
        <f>IF(AR$87=0,"",$C92)</f>
        <v/>
      </c>
      <c r="AS92" s="68">
        <f>IF(AS$87=0,"",$C92)</f>
        <v/>
      </c>
      <c r="AT92" s="68">
        <f>IF(AT$87=0,"",$C92)</f>
        <v/>
      </c>
      <c r="AU92" s="68">
        <f>IF(AU$87=0,"",$C92)</f>
        <v/>
      </c>
      <c r="AV92" s="68">
        <f>IF(AV$87=0,"",$C92)</f>
        <v/>
      </c>
      <c r="AW92" s="68">
        <f>IF(AW$87=0,"",$C92)</f>
        <v/>
      </c>
      <c r="AX92" s="68">
        <f>IF(AX$87=0,"",$C92)</f>
        <v/>
      </c>
      <c r="AY92" s="68">
        <f>IF(AY$87=0,"",$C92)</f>
        <v/>
      </c>
      <c r="AZ92" s="68">
        <f>IF(AZ$87=0,"",$C92)</f>
        <v/>
      </c>
    </row>
    <row r="93" ht="16.5" customHeight="1" s="179">
      <c r="B93" s="65">
        <f>B15</f>
        <v/>
      </c>
      <c r="C93" s="68">
        <f>'2E.ROE Scan'!BC63</f>
        <v/>
      </c>
      <c r="D93" s="68">
        <f>IF(D$87=0,"",$C93)</f>
        <v/>
      </c>
      <c r="E93" s="68">
        <f>IF(E$87=0,"",$C93)</f>
        <v/>
      </c>
      <c r="F93" s="68">
        <f>IF(F$87=0,"",$C93)</f>
        <v/>
      </c>
      <c r="G93" s="68">
        <f>IF(G$87=0,"",$C93)</f>
        <v/>
      </c>
      <c r="H93" s="68">
        <f>IF(H$87=0,"",$C93)</f>
        <v/>
      </c>
      <c r="I93" s="68">
        <f>IF(I$87=0,"",$C93)</f>
        <v/>
      </c>
      <c r="J93" s="68">
        <f>IF(J$87=0,"",$C93)</f>
        <v/>
      </c>
      <c r="K93" s="68">
        <f>IF(K$87=0,"",$C93)</f>
        <v/>
      </c>
      <c r="L93" s="68">
        <f>IF(L$87=0,"",$C93)</f>
        <v/>
      </c>
      <c r="M93" s="68">
        <f>IF(M$87=0,"",$C93)</f>
        <v/>
      </c>
      <c r="N93" s="68">
        <f>IF(N$87=0,"",$C93)</f>
        <v/>
      </c>
      <c r="O93" s="68">
        <f>IF(O$87=0,"",$C93)</f>
        <v/>
      </c>
      <c r="P93" s="68">
        <f>IF(P$87=0,"",$C93)</f>
        <v/>
      </c>
      <c r="Q93" s="68">
        <f>IF(Q$87=0,"",$C93)</f>
        <v/>
      </c>
      <c r="R93" s="68">
        <f>IF(R$87=0,"",$C93)</f>
        <v/>
      </c>
      <c r="S93" s="68">
        <f>IF(S$87=0,"",$C93)</f>
        <v/>
      </c>
      <c r="T93" s="68">
        <f>IF(T$87=0,"",$C93)</f>
        <v/>
      </c>
      <c r="U93" s="68">
        <f>IF(U$87=0,"",$C93)</f>
        <v/>
      </c>
      <c r="V93" s="68">
        <f>IF(V$87=0,"",$C93)</f>
        <v/>
      </c>
      <c r="W93" s="68">
        <f>IF(W$87=0,"",$C93)</f>
        <v/>
      </c>
      <c r="X93" s="68">
        <f>IF(X$87=0,"",$C93)</f>
        <v/>
      </c>
      <c r="Y93" s="68">
        <f>IF(Y$87=0,"",$C93)</f>
        <v/>
      </c>
      <c r="Z93" s="68">
        <f>IF(Z$87=0,"",$C93)</f>
        <v/>
      </c>
      <c r="AA93" s="68">
        <f>IF(AA$87=0,"",$C93)</f>
        <v/>
      </c>
      <c r="AB93" s="68">
        <f>IF(AB$87=0,"",$C93)</f>
        <v/>
      </c>
      <c r="AC93" s="68">
        <f>IF(AC$87=0,"",$C93)</f>
        <v/>
      </c>
      <c r="AD93" s="68">
        <f>IF(AD$87=0,"",$C93)</f>
        <v/>
      </c>
      <c r="AE93" s="68">
        <f>IF(AE$87=0,"",$C93)</f>
        <v/>
      </c>
      <c r="AF93" s="68">
        <f>IF(AF$87=0,"",$C93)</f>
        <v/>
      </c>
      <c r="AG93" s="68">
        <f>IF(AG$87=0,"",$C93)</f>
        <v/>
      </c>
      <c r="AH93" s="68">
        <f>IF(AH$87=0,"",$C93)</f>
        <v/>
      </c>
      <c r="AI93" s="68">
        <f>IF(AI$87=0,"",$C93)</f>
        <v/>
      </c>
      <c r="AJ93" s="68">
        <f>IF(AJ$87=0,"",$C93)</f>
        <v/>
      </c>
      <c r="AK93" s="68">
        <f>IF(AK$87=0,"",$C93)</f>
        <v/>
      </c>
      <c r="AL93" s="68">
        <f>IF(AL$87=0,"",$C93)</f>
        <v/>
      </c>
      <c r="AM93" s="68">
        <f>IF(AM$87=0,"",$C93)</f>
        <v/>
      </c>
      <c r="AN93" s="68">
        <f>IF(AN$87=0,"",$C93)</f>
        <v/>
      </c>
      <c r="AO93" s="68">
        <f>IF(AO$87=0,"",$C93)</f>
        <v/>
      </c>
      <c r="AP93" s="68">
        <f>IF(AP$87=0,"",$C93)</f>
        <v/>
      </c>
      <c r="AQ93" s="68">
        <f>IF(AQ$87=0,"",$C93)</f>
        <v/>
      </c>
      <c r="AR93" s="68">
        <f>IF(AR$87=0,"",$C93)</f>
        <v/>
      </c>
      <c r="AS93" s="68">
        <f>IF(AS$87=0,"",$C93)</f>
        <v/>
      </c>
      <c r="AT93" s="68">
        <f>IF(AT$87=0,"",$C93)</f>
        <v/>
      </c>
      <c r="AU93" s="68">
        <f>IF(AU$87=0,"",$C93)</f>
        <v/>
      </c>
      <c r="AV93" s="68">
        <f>IF(AV$87=0,"",$C93)</f>
        <v/>
      </c>
      <c r="AW93" s="68">
        <f>IF(AW$87=0,"",$C93)</f>
        <v/>
      </c>
      <c r="AX93" s="68">
        <f>IF(AX$87=0,"",$C93)</f>
        <v/>
      </c>
      <c r="AY93" s="68">
        <f>IF(AY$87=0,"",$C93)</f>
        <v/>
      </c>
      <c r="AZ93" s="68">
        <f>IF(AZ$87=0,"",$C93)</f>
        <v/>
      </c>
    </row>
    <row r="94" ht="16.5" customHeight="1" s="179">
      <c r="B94" s="65">
        <f>B16</f>
        <v/>
      </c>
      <c r="C94" s="68">
        <f>'2E.ROE Scan'!BC64</f>
        <v/>
      </c>
      <c r="D94" s="68">
        <f>IF(D$87=0,"",$C94)</f>
        <v/>
      </c>
      <c r="E94" s="68">
        <f>IF(E$87=0,"",$C94)</f>
        <v/>
      </c>
      <c r="F94" s="68">
        <f>IF(F$87=0,"",$C94)</f>
        <v/>
      </c>
      <c r="G94" s="68">
        <f>IF(G$87=0,"",$C94)</f>
        <v/>
      </c>
      <c r="H94" s="68">
        <f>IF(H$87=0,"",$C94)</f>
        <v/>
      </c>
      <c r="I94" s="68">
        <f>IF(I$87=0,"",$C94)</f>
        <v/>
      </c>
      <c r="J94" s="68">
        <f>IF(J$87=0,"",$C94)</f>
        <v/>
      </c>
      <c r="K94" s="68">
        <f>IF(K$87=0,"",$C94)</f>
        <v/>
      </c>
      <c r="L94" s="68">
        <f>IF(L$87=0,"",$C94)</f>
        <v/>
      </c>
      <c r="M94" s="68">
        <f>IF(M$87=0,"",$C94)</f>
        <v/>
      </c>
      <c r="N94" s="68">
        <f>IF(N$87=0,"",$C94)</f>
        <v/>
      </c>
      <c r="O94" s="68">
        <f>IF(O$87=0,"",$C94)</f>
        <v/>
      </c>
      <c r="P94" s="68">
        <f>IF(P$87=0,"",$C94)</f>
        <v/>
      </c>
      <c r="Q94" s="68">
        <f>IF(Q$87=0,"",$C94)</f>
        <v/>
      </c>
      <c r="R94" s="68">
        <f>IF(R$87=0,"",$C94)</f>
        <v/>
      </c>
      <c r="S94" s="68">
        <f>IF(S$87=0,"",$C94)</f>
        <v/>
      </c>
      <c r="T94" s="68">
        <f>IF(T$87=0,"",$C94)</f>
        <v/>
      </c>
      <c r="U94" s="68">
        <f>IF(U$87=0,"",$C94)</f>
        <v/>
      </c>
      <c r="V94" s="68">
        <f>IF(V$87=0,"",$C94)</f>
        <v/>
      </c>
      <c r="W94" s="68">
        <f>IF(W$87=0,"",$C94)</f>
        <v/>
      </c>
      <c r="X94" s="68">
        <f>IF(X$87=0,"",$C94)</f>
        <v/>
      </c>
      <c r="Y94" s="68">
        <f>IF(Y$87=0,"",$C94)</f>
        <v/>
      </c>
      <c r="Z94" s="68">
        <f>IF(Z$87=0,"",$C94)</f>
        <v/>
      </c>
      <c r="AA94" s="68">
        <f>IF(AA$87=0,"",$C94)</f>
        <v/>
      </c>
      <c r="AB94" s="68">
        <f>IF(AB$87=0,"",$C94)</f>
        <v/>
      </c>
      <c r="AC94" s="68">
        <f>IF(AC$87=0,"",$C94)</f>
        <v/>
      </c>
      <c r="AD94" s="68">
        <f>IF(AD$87=0,"",$C94)</f>
        <v/>
      </c>
      <c r="AE94" s="68">
        <f>IF(AE$87=0,"",$C94)</f>
        <v/>
      </c>
      <c r="AF94" s="68">
        <f>IF(AF$87=0,"",$C94)</f>
        <v/>
      </c>
      <c r="AG94" s="68">
        <f>IF(AG$87=0,"",$C94)</f>
        <v/>
      </c>
      <c r="AH94" s="68">
        <f>IF(AH$87=0,"",$C94)</f>
        <v/>
      </c>
      <c r="AI94" s="68">
        <f>IF(AI$87=0,"",$C94)</f>
        <v/>
      </c>
      <c r="AJ94" s="68">
        <f>IF(AJ$87=0,"",$C94)</f>
        <v/>
      </c>
      <c r="AK94" s="68">
        <f>IF(AK$87=0,"",$C94)</f>
        <v/>
      </c>
      <c r="AL94" s="68">
        <f>IF(AL$87=0,"",$C94)</f>
        <v/>
      </c>
      <c r="AM94" s="68">
        <f>IF(AM$87=0,"",$C94)</f>
        <v/>
      </c>
      <c r="AN94" s="68">
        <f>IF(AN$87=0,"",$C94)</f>
        <v/>
      </c>
      <c r="AO94" s="68">
        <f>IF(AO$87=0,"",$C94)</f>
        <v/>
      </c>
      <c r="AP94" s="68">
        <f>IF(AP$87=0,"",$C94)</f>
        <v/>
      </c>
      <c r="AQ94" s="68">
        <f>IF(AQ$87=0,"",$C94)</f>
        <v/>
      </c>
      <c r="AR94" s="68">
        <f>IF(AR$87=0,"",$C94)</f>
        <v/>
      </c>
      <c r="AS94" s="68">
        <f>IF(AS$87=0,"",$C94)</f>
        <v/>
      </c>
      <c r="AT94" s="68">
        <f>IF(AT$87=0,"",$C94)</f>
        <v/>
      </c>
      <c r="AU94" s="68">
        <f>IF(AU$87=0,"",$C94)</f>
        <v/>
      </c>
      <c r="AV94" s="68">
        <f>IF(AV$87=0,"",$C94)</f>
        <v/>
      </c>
      <c r="AW94" s="68">
        <f>IF(AW$87=0,"",$C94)</f>
        <v/>
      </c>
      <c r="AX94" s="68">
        <f>IF(AX$87=0,"",$C94)</f>
        <v/>
      </c>
      <c r="AY94" s="68">
        <f>IF(AY$87=0,"",$C94)</f>
        <v/>
      </c>
      <c r="AZ94" s="68">
        <f>IF(AZ$87=0,"",$C94)</f>
        <v/>
      </c>
    </row>
    <row r="95" ht="16.5" customHeight="1" s="179">
      <c r="B95" s="65">
        <f>B17</f>
        <v/>
      </c>
      <c r="C95" s="68">
        <f>'2E.ROE Scan'!BC65</f>
        <v/>
      </c>
      <c r="D95" s="68">
        <f>IF(D$87=0,"",$C95)</f>
        <v/>
      </c>
      <c r="E95" s="68">
        <f>IF(E$87=0,"",$C95)</f>
        <v/>
      </c>
      <c r="F95" s="68">
        <f>IF(F$87=0,"",$C95)</f>
        <v/>
      </c>
      <c r="G95" s="68">
        <f>IF(G$87=0,"",$C95)</f>
        <v/>
      </c>
      <c r="H95" s="68">
        <f>IF(H$87=0,"",$C95)</f>
        <v/>
      </c>
      <c r="I95" s="68">
        <f>IF(I$87=0,"",$C95)</f>
        <v/>
      </c>
      <c r="J95" s="68">
        <f>IF(J$87=0,"",$C95)</f>
        <v/>
      </c>
      <c r="K95" s="68">
        <f>IF(K$87=0,"",$C95)</f>
        <v/>
      </c>
      <c r="L95" s="68">
        <f>IF(L$87=0,"",$C95)</f>
        <v/>
      </c>
      <c r="M95" s="68">
        <f>IF(M$87=0,"",$C95)</f>
        <v/>
      </c>
      <c r="N95" s="68">
        <f>IF(N$87=0,"",$C95)</f>
        <v/>
      </c>
      <c r="O95" s="68">
        <f>IF(O$87=0,"",$C95)</f>
        <v/>
      </c>
      <c r="P95" s="68">
        <f>IF(P$87=0,"",$C95)</f>
        <v/>
      </c>
      <c r="Q95" s="68">
        <f>IF(Q$87=0,"",$C95)</f>
        <v/>
      </c>
      <c r="R95" s="68">
        <f>IF(R$87=0,"",$C95)</f>
        <v/>
      </c>
      <c r="S95" s="68">
        <f>IF(S$87=0,"",$C95)</f>
        <v/>
      </c>
      <c r="T95" s="68">
        <f>IF(T$87=0,"",$C95)</f>
        <v/>
      </c>
      <c r="U95" s="68">
        <f>IF(U$87=0,"",$C95)</f>
        <v/>
      </c>
      <c r="V95" s="68">
        <f>IF(V$87=0,"",$C95)</f>
        <v/>
      </c>
      <c r="W95" s="68">
        <f>IF(W$87=0,"",$C95)</f>
        <v/>
      </c>
      <c r="X95" s="68">
        <f>IF(X$87=0,"",$C95)</f>
        <v/>
      </c>
      <c r="Y95" s="68">
        <f>IF(Y$87=0,"",$C95)</f>
        <v/>
      </c>
      <c r="Z95" s="68">
        <f>IF(Z$87=0,"",$C95)</f>
        <v/>
      </c>
      <c r="AA95" s="68">
        <f>IF(AA$87=0,"",$C95)</f>
        <v/>
      </c>
      <c r="AB95" s="68">
        <f>IF(AB$87=0,"",$C95)</f>
        <v/>
      </c>
      <c r="AC95" s="68">
        <f>IF(AC$87=0,"",$C95)</f>
        <v/>
      </c>
      <c r="AD95" s="68">
        <f>IF(AD$87=0,"",$C95)</f>
        <v/>
      </c>
      <c r="AE95" s="68">
        <f>IF(AE$87=0,"",$C95)</f>
        <v/>
      </c>
      <c r="AF95" s="68">
        <f>IF(AF$87=0,"",$C95)</f>
        <v/>
      </c>
      <c r="AG95" s="68">
        <f>IF(AG$87=0,"",$C95)</f>
        <v/>
      </c>
      <c r="AH95" s="68">
        <f>IF(AH$87=0,"",$C95)</f>
        <v/>
      </c>
      <c r="AI95" s="68">
        <f>IF(AI$87=0,"",$C95)</f>
        <v/>
      </c>
      <c r="AJ95" s="68">
        <f>IF(AJ$87=0,"",$C95)</f>
        <v/>
      </c>
      <c r="AK95" s="68">
        <f>IF(AK$87=0,"",$C95)</f>
        <v/>
      </c>
      <c r="AL95" s="68">
        <f>IF(AL$87=0,"",$C95)</f>
        <v/>
      </c>
      <c r="AM95" s="68">
        <f>IF(AM$87=0,"",$C95)</f>
        <v/>
      </c>
      <c r="AN95" s="68">
        <f>IF(AN$87=0,"",$C95)</f>
        <v/>
      </c>
      <c r="AO95" s="68">
        <f>IF(AO$87=0,"",$C95)</f>
        <v/>
      </c>
      <c r="AP95" s="68">
        <f>IF(AP$87=0,"",$C95)</f>
        <v/>
      </c>
      <c r="AQ95" s="68">
        <f>IF(AQ$87=0,"",$C95)</f>
        <v/>
      </c>
      <c r="AR95" s="68">
        <f>IF(AR$87=0,"",$C95)</f>
        <v/>
      </c>
      <c r="AS95" s="68">
        <f>IF(AS$87=0,"",$C95)</f>
        <v/>
      </c>
      <c r="AT95" s="68">
        <f>IF(AT$87=0,"",$C95)</f>
        <v/>
      </c>
      <c r="AU95" s="68">
        <f>IF(AU$87=0,"",$C95)</f>
        <v/>
      </c>
      <c r="AV95" s="68">
        <f>IF(AV$87=0,"",$C95)</f>
        <v/>
      </c>
      <c r="AW95" s="68">
        <f>IF(AW$87=0,"",$C95)</f>
        <v/>
      </c>
      <c r="AX95" s="68">
        <f>IF(AX$87=0,"",$C95)</f>
        <v/>
      </c>
      <c r="AY95" s="68">
        <f>IF(AY$87=0,"",$C95)</f>
        <v/>
      </c>
      <c r="AZ95" s="68">
        <f>IF(AZ$87=0,"",$C95)</f>
        <v/>
      </c>
    </row>
    <row r="96" ht="16.5" customHeight="1" s="179">
      <c r="B96" s="65">
        <f>B18</f>
        <v/>
      </c>
      <c r="C96" s="68">
        <f>'2E.ROE Scan'!BC66</f>
        <v/>
      </c>
      <c r="D96" s="68">
        <f>IF(D$87=0,"",$C96)</f>
        <v/>
      </c>
      <c r="E96" s="68">
        <f>IF(E$87=0,"",$C96)</f>
        <v/>
      </c>
      <c r="F96" s="68">
        <f>IF(F$87=0,"",$C96)</f>
        <v/>
      </c>
      <c r="G96" s="68">
        <f>IF(G$87=0,"",$C96)</f>
        <v/>
      </c>
      <c r="H96" s="68">
        <f>IF(H$87=0,"",$C96)</f>
        <v/>
      </c>
      <c r="I96" s="68">
        <f>IF(I$87=0,"",$C96)</f>
        <v/>
      </c>
      <c r="J96" s="68">
        <f>IF(J$87=0,"",$C96)</f>
        <v/>
      </c>
      <c r="K96" s="68">
        <f>IF(K$87=0,"",$C96)</f>
        <v/>
      </c>
      <c r="L96" s="68">
        <f>IF(L$87=0,"",$C96)</f>
        <v/>
      </c>
      <c r="M96" s="68">
        <f>IF(M$87=0,"",$C96)</f>
        <v/>
      </c>
      <c r="N96" s="68">
        <f>IF(N$87=0,"",$C96)</f>
        <v/>
      </c>
      <c r="O96" s="68">
        <f>IF(O$87=0,"",$C96)</f>
        <v/>
      </c>
      <c r="P96" s="68">
        <f>IF(P$87=0,"",$C96)</f>
        <v/>
      </c>
      <c r="Q96" s="68">
        <f>IF(Q$87=0,"",$C96)</f>
        <v/>
      </c>
      <c r="R96" s="68">
        <f>IF(R$87=0,"",$C96)</f>
        <v/>
      </c>
      <c r="S96" s="68">
        <f>IF(S$87=0,"",$C96)</f>
        <v/>
      </c>
      <c r="T96" s="68">
        <f>IF(T$87=0,"",$C96)</f>
        <v/>
      </c>
      <c r="U96" s="68">
        <f>IF(U$87=0,"",$C96)</f>
        <v/>
      </c>
      <c r="V96" s="68">
        <f>IF(V$87=0,"",$C96)</f>
        <v/>
      </c>
      <c r="W96" s="68">
        <f>IF(W$87=0,"",$C96)</f>
        <v/>
      </c>
      <c r="X96" s="68">
        <f>IF(X$87=0,"",$C96)</f>
        <v/>
      </c>
      <c r="Y96" s="68">
        <f>IF(Y$87=0,"",$C96)</f>
        <v/>
      </c>
      <c r="Z96" s="68">
        <f>IF(Z$87=0,"",$C96)</f>
        <v/>
      </c>
      <c r="AA96" s="68">
        <f>IF(AA$87=0,"",$C96)</f>
        <v/>
      </c>
      <c r="AB96" s="68">
        <f>IF(AB$87=0,"",$C96)</f>
        <v/>
      </c>
      <c r="AC96" s="68">
        <f>IF(AC$87=0,"",$C96)</f>
        <v/>
      </c>
      <c r="AD96" s="68">
        <f>IF(AD$87=0,"",$C96)</f>
        <v/>
      </c>
      <c r="AE96" s="68">
        <f>IF(AE$87=0,"",$C96)</f>
        <v/>
      </c>
      <c r="AF96" s="68">
        <f>IF(AF$87=0,"",$C96)</f>
        <v/>
      </c>
      <c r="AG96" s="68">
        <f>IF(AG$87=0,"",$C96)</f>
        <v/>
      </c>
      <c r="AH96" s="68">
        <f>IF(AH$87=0,"",$C96)</f>
        <v/>
      </c>
      <c r="AI96" s="68">
        <f>IF(AI$87=0,"",$C96)</f>
        <v/>
      </c>
      <c r="AJ96" s="68">
        <f>IF(AJ$87=0,"",$C96)</f>
        <v/>
      </c>
      <c r="AK96" s="68">
        <f>IF(AK$87=0,"",$C96)</f>
        <v/>
      </c>
      <c r="AL96" s="68">
        <f>IF(AL$87=0,"",$C96)</f>
        <v/>
      </c>
      <c r="AM96" s="68">
        <f>IF(AM$87=0,"",$C96)</f>
        <v/>
      </c>
      <c r="AN96" s="68">
        <f>IF(AN$87=0,"",$C96)</f>
        <v/>
      </c>
      <c r="AO96" s="68">
        <f>IF(AO$87=0,"",$C96)</f>
        <v/>
      </c>
      <c r="AP96" s="68">
        <f>IF(AP$87=0,"",$C96)</f>
        <v/>
      </c>
      <c r="AQ96" s="68">
        <f>IF(AQ$87=0,"",$C96)</f>
        <v/>
      </c>
      <c r="AR96" s="68">
        <f>IF(AR$87=0,"",$C96)</f>
        <v/>
      </c>
      <c r="AS96" s="68">
        <f>IF(AS$87=0,"",$C96)</f>
        <v/>
      </c>
      <c r="AT96" s="68">
        <f>IF(AT$87=0,"",$C96)</f>
        <v/>
      </c>
      <c r="AU96" s="68">
        <f>IF(AU$87=0,"",$C96)</f>
        <v/>
      </c>
      <c r="AV96" s="68">
        <f>IF(AV$87=0,"",$C96)</f>
        <v/>
      </c>
      <c r="AW96" s="68">
        <f>IF(AW$87=0,"",$C96)</f>
        <v/>
      </c>
      <c r="AX96" s="68">
        <f>IF(AX$87=0,"",$C96)</f>
        <v/>
      </c>
      <c r="AY96" s="68">
        <f>IF(AY$87=0,"",$C96)</f>
        <v/>
      </c>
      <c r="AZ96" s="68">
        <f>IF(AZ$87=0,"",$C96)</f>
        <v/>
      </c>
    </row>
    <row r="97" ht="16.5" customHeight="1" s="179">
      <c r="B97" s="65">
        <f>B19</f>
        <v/>
      </c>
      <c r="C97" s="68">
        <f>'2E.ROE Scan'!BC67</f>
        <v/>
      </c>
      <c r="D97" s="68">
        <f>IF(D$87=0,"",$C97)</f>
        <v/>
      </c>
      <c r="E97" s="68">
        <f>IF(E$87=0,"",$C97)</f>
        <v/>
      </c>
      <c r="F97" s="68">
        <f>IF(F$87=0,"",$C97)</f>
        <v/>
      </c>
      <c r="G97" s="68">
        <f>IF(G$87=0,"",$C97)</f>
        <v/>
      </c>
      <c r="H97" s="68">
        <f>IF(H$87=0,"",$C97)</f>
        <v/>
      </c>
      <c r="I97" s="68">
        <f>IF(I$87=0,"",$C97)</f>
        <v/>
      </c>
      <c r="J97" s="68">
        <f>IF(J$87=0,"",$C97)</f>
        <v/>
      </c>
      <c r="K97" s="68">
        <f>IF(K$87=0,"",$C97)</f>
        <v/>
      </c>
      <c r="L97" s="68">
        <f>IF(L$87=0,"",$C97)</f>
        <v/>
      </c>
      <c r="M97" s="68">
        <f>IF(M$87=0,"",$C97)</f>
        <v/>
      </c>
      <c r="N97" s="68">
        <f>IF(N$87=0,"",$C97)</f>
        <v/>
      </c>
      <c r="O97" s="68">
        <f>IF(O$87=0,"",$C97)</f>
        <v/>
      </c>
      <c r="P97" s="68">
        <f>IF(P$87=0,"",$C97)</f>
        <v/>
      </c>
      <c r="Q97" s="68">
        <f>IF(Q$87=0,"",$C97)</f>
        <v/>
      </c>
      <c r="R97" s="68">
        <f>IF(R$87=0,"",$C97)</f>
        <v/>
      </c>
      <c r="S97" s="68">
        <f>IF(S$87=0,"",$C97)</f>
        <v/>
      </c>
      <c r="T97" s="68">
        <f>IF(T$87=0,"",$C97)</f>
        <v/>
      </c>
      <c r="U97" s="68">
        <f>IF(U$87=0,"",$C97)</f>
        <v/>
      </c>
      <c r="V97" s="68">
        <f>IF(V$87=0,"",$C97)</f>
        <v/>
      </c>
      <c r="W97" s="68">
        <f>IF(W$87=0,"",$C97)</f>
        <v/>
      </c>
      <c r="X97" s="68">
        <f>IF(X$87=0,"",$C97)</f>
        <v/>
      </c>
      <c r="Y97" s="68">
        <f>IF(Y$87=0,"",$C97)</f>
        <v/>
      </c>
      <c r="Z97" s="68">
        <f>IF(Z$87=0,"",$C97)</f>
        <v/>
      </c>
      <c r="AA97" s="68">
        <f>IF(AA$87=0,"",$C97)</f>
        <v/>
      </c>
      <c r="AB97" s="68">
        <f>IF(AB$87=0,"",$C97)</f>
        <v/>
      </c>
      <c r="AC97" s="68">
        <f>IF(AC$87=0,"",$C97)</f>
        <v/>
      </c>
      <c r="AD97" s="68">
        <f>IF(AD$87=0,"",$C97)</f>
        <v/>
      </c>
      <c r="AE97" s="68">
        <f>IF(AE$87=0,"",$C97)</f>
        <v/>
      </c>
      <c r="AF97" s="68">
        <f>IF(AF$87=0,"",$C97)</f>
        <v/>
      </c>
      <c r="AG97" s="68">
        <f>IF(AG$87=0,"",$C97)</f>
        <v/>
      </c>
      <c r="AH97" s="68">
        <f>IF(AH$87=0,"",$C97)</f>
        <v/>
      </c>
      <c r="AI97" s="68">
        <f>IF(AI$87=0,"",$C97)</f>
        <v/>
      </c>
      <c r="AJ97" s="68">
        <f>IF(AJ$87=0,"",$C97)</f>
        <v/>
      </c>
      <c r="AK97" s="68">
        <f>IF(AK$87=0,"",$C97)</f>
        <v/>
      </c>
      <c r="AL97" s="68">
        <f>IF(AL$87=0,"",$C97)</f>
        <v/>
      </c>
      <c r="AM97" s="68">
        <f>IF(AM$87=0,"",$C97)</f>
        <v/>
      </c>
      <c r="AN97" s="68">
        <f>IF(AN$87=0,"",$C97)</f>
        <v/>
      </c>
      <c r="AO97" s="68">
        <f>IF(AO$87=0,"",$C97)</f>
        <v/>
      </c>
      <c r="AP97" s="68">
        <f>IF(AP$87=0,"",$C97)</f>
        <v/>
      </c>
      <c r="AQ97" s="68">
        <f>IF(AQ$87=0,"",$C97)</f>
        <v/>
      </c>
      <c r="AR97" s="68">
        <f>IF(AR$87=0,"",$C97)</f>
        <v/>
      </c>
      <c r="AS97" s="68">
        <f>IF(AS$87=0,"",$C97)</f>
        <v/>
      </c>
      <c r="AT97" s="68">
        <f>IF(AT$87=0,"",$C97)</f>
        <v/>
      </c>
      <c r="AU97" s="68">
        <f>IF(AU$87=0,"",$C97)</f>
        <v/>
      </c>
      <c r="AV97" s="68">
        <f>IF(AV$87=0,"",$C97)</f>
        <v/>
      </c>
      <c r="AW97" s="68">
        <f>IF(AW$87=0,"",$C97)</f>
        <v/>
      </c>
      <c r="AX97" s="68">
        <f>IF(AX$87=0,"",$C97)</f>
        <v/>
      </c>
      <c r="AY97" s="68">
        <f>IF(AY$87=0,"",$C97)</f>
        <v/>
      </c>
      <c r="AZ97" s="68">
        <f>IF(AZ$87=0,"",$C97)</f>
        <v/>
      </c>
    </row>
    <row r="98" ht="16.5" customHeight="1" s="179">
      <c r="B98" s="65">
        <f>B20</f>
        <v/>
      </c>
      <c r="C98" s="68">
        <f>'2E.ROE Scan'!BC68</f>
        <v/>
      </c>
      <c r="D98" s="68">
        <f>IF(D$87=0,"",$C98)</f>
        <v/>
      </c>
      <c r="E98" s="68">
        <f>IF(E$87=0,"",$C98)</f>
        <v/>
      </c>
      <c r="F98" s="68">
        <f>IF(F$87=0,"",$C98)</f>
        <v/>
      </c>
      <c r="G98" s="68">
        <f>IF(G$87=0,"",$C98)</f>
        <v/>
      </c>
      <c r="H98" s="68">
        <f>IF(H$87=0,"",$C98)</f>
        <v/>
      </c>
      <c r="I98" s="68">
        <f>IF(I$87=0,"",$C98)</f>
        <v/>
      </c>
      <c r="J98" s="68">
        <f>IF(J$87=0,"",$C98)</f>
        <v/>
      </c>
      <c r="K98" s="68">
        <f>IF(K$87=0,"",$C98)</f>
        <v/>
      </c>
      <c r="L98" s="68">
        <f>IF(L$87=0,"",$C98)</f>
        <v/>
      </c>
      <c r="M98" s="68">
        <f>IF(M$87=0,"",$C98)</f>
        <v/>
      </c>
      <c r="N98" s="68">
        <f>IF(N$87=0,"",$C98)</f>
        <v/>
      </c>
      <c r="O98" s="68">
        <f>IF(O$87=0,"",$C98)</f>
        <v/>
      </c>
      <c r="P98" s="68">
        <f>IF(P$87=0,"",$C98)</f>
        <v/>
      </c>
      <c r="Q98" s="68">
        <f>IF(Q$87=0,"",$C98)</f>
        <v/>
      </c>
      <c r="R98" s="68">
        <f>IF(R$87=0,"",$C98)</f>
        <v/>
      </c>
      <c r="S98" s="68">
        <f>IF(S$87=0,"",$C98)</f>
        <v/>
      </c>
      <c r="T98" s="68">
        <f>IF(T$87=0,"",$C98)</f>
        <v/>
      </c>
      <c r="U98" s="68">
        <f>IF(U$87=0,"",$C98)</f>
        <v/>
      </c>
      <c r="V98" s="68">
        <f>IF(V$87=0,"",$C98)</f>
        <v/>
      </c>
      <c r="W98" s="68">
        <f>IF(W$87=0,"",$C98)</f>
        <v/>
      </c>
      <c r="X98" s="68">
        <f>IF(X$87=0,"",$C98)</f>
        <v/>
      </c>
      <c r="Y98" s="68">
        <f>IF(Y$87=0,"",$C98)</f>
        <v/>
      </c>
      <c r="Z98" s="68">
        <f>IF(Z$87=0,"",$C98)</f>
        <v/>
      </c>
      <c r="AA98" s="68">
        <f>IF(AA$87=0,"",$C98)</f>
        <v/>
      </c>
      <c r="AB98" s="68">
        <f>IF(AB$87=0,"",$C98)</f>
        <v/>
      </c>
      <c r="AC98" s="68">
        <f>IF(AC$87=0,"",$C98)</f>
        <v/>
      </c>
      <c r="AD98" s="68">
        <f>IF(AD$87=0,"",$C98)</f>
        <v/>
      </c>
      <c r="AE98" s="68">
        <f>IF(AE$87=0,"",$C98)</f>
        <v/>
      </c>
      <c r="AF98" s="68">
        <f>IF(AF$87=0,"",$C98)</f>
        <v/>
      </c>
      <c r="AG98" s="68">
        <f>IF(AG$87=0,"",$C98)</f>
        <v/>
      </c>
      <c r="AH98" s="68">
        <f>IF(AH$87=0,"",$C98)</f>
        <v/>
      </c>
      <c r="AI98" s="68">
        <f>IF(AI$87=0,"",$C98)</f>
        <v/>
      </c>
      <c r="AJ98" s="68">
        <f>IF(AJ$87=0,"",$C98)</f>
        <v/>
      </c>
      <c r="AK98" s="68">
        <f>IF(AK$87=0,"",$C98)</f>
        <v/>
      </c>
      <c r="AL98" s="68">
        <f>IF(AL$87=0,"",$C98)</f>
        <v/>
      </c>
      <c r="AM98" s="68">
        <f>IF(AM$87=0,"",$C98)</f>
        <v/>
      </c>
      <c r="AN98" s="68">
        <f>IF(AN$87=0,"",$C98)</f>
        <v/>
      </c>
      <c r="AO98" s="68">
        <f>IF(AO$87=0,"",$C98)</f>
        <v/>
      </c>
      <c r="AP98" s="68">
        <f>IF(AP$87=0,"",$C98)</f>
        <v/>
      </c>
      <c r="AQ98" s="68">
        <f>IF(AQ$87=0,"",$C98)</f>
        <v/>
      </c>
      <c r="AR98" s="68">
        <f>IF(AR$87=0,"",$C98)</f>
        <v/>
      </c>
      <c r="AS98" s="68">
        <f>IF(AS$87=0,"",$C98)</f>
        <v/>
      </c>
      <c r="AT98" s="68">
        <f>IF(AT$87=0,"",$C98)</f>
        <v/>
      </c>
      <c r="AU98" s="68">
        <f>IF(AU$87=0,"",$C98)</f>
        <v/>
      </c>
      <c r="AV98" s="68">
        <f>IF(AV$87=0,"",$C98)</f>
        <v/>
      </c>
      <c r="AW98" s="68">
        <f>IF(AW$87=0,"",$C98)</f>
        <v/>
      </c>
      <c r="AX98" s="68">
        <f>IF(AX$87=0,"",$C98)</f>
        <v/>
      </c>
      <c r="AY98" s="68">
        <f>IF(AY$87=0,"",$C98)</f>
        <v/>
      </c>
      <c r="AZ98" s="68">
        <f>IF(AZ$87=0,"",$C98)</f>
        <v/>
      </c>
    </row>
    <row r="99" ht="16.5" customHeight="1" s="179">
      <c r="B99" s="65">
        <f>B21</f>
        <v/>
      </c>
      <c r="C99" s="68">
        <f>'2E.ROE Scan'!BC69</f>
        <v/>
      </c>
      <c r="D99" s="68">
        <f>IF(D$87=0,"",$C99)</f>
        <v/>
      </c>
      <c r="E99" s="68">
        <f>IF(E$87=0,"",$C99)</f>
        <v/>
      </c>
      <c r="F99" s="68">
        <f>IF(F$87=0,"",$C99)</f>
        <v/>
      </c>
      <c r="G99" s="68">
        <f>IF(G$87=0,"",$C99)</f>
        <v/>
      </c>
      <c r="H99" s="68">
        <f>IF(H$87=0,"",$C99)</f>
        <v/>
      </c>
      <c r="I99" s="68">
        <f>IF(I$87=0,"",$C99)</f>
        <v/>
      </c>
      <c r="J99" s="68">
        <f>IF(J$87=0,"",$C99)</f>
        <v/>
      </c>
      <c r="K99" s="68">
        <f>IF(K$87=0,"",$C99)</f>
        <v/>
      </c>
      <c r="L99" s="68">
        <f>IF(L$87=0,"",$C99)</f>
        <v/>
      </c>
      <c r="M99" s="68">
        <f>IF(M$87=0,"",$C99)</f>
        <v/>
      </c>
      <c r="N99" s="68">
        <f>IF(N$87=0,"",$C99)</f>
        <v/>
      </c>
      <c r="O99" s="68">
        <f>IF(O$87=0,"",$C99)</f>
        <v/>
      </c>
      <c r="P99" s="68">
        <f>IF(P$87=0,"",$C99)</f>
        <v/>
      </c>
      <c r="Q99" s="68">
        <f>IF(Q$87=0,"",$C99)</f>
        <v/>
      </c>
      <c r="R99" s="68">
        <f>IF(R$87=0,"",$C99)</f>
        <v/>
      </c>
      <c r="S99" s="68">
        <f>IF(S$87=0,"",$C99)</f>
        <v/>
      </c>
      <c r="T99" s="68">
        <f>IF(T$87=0,"",$C99)</f>
        <v/>
      </c>
      <c r="U99" s="68">
        <f>IF(U$87=0,"",$C99)</f>
        <v/>
      </c>
      <c r="V99" s="68">
        <f>IF(V$87=0,"",$C99)</f>
        <v/>
      </c>
      <c r="W99" s="68">
        <f>IF(W$87=0,"",$C99)</f>
        <v/>
      </c>
      <c r="X99" s="68">
        <f>IF(X$87=0,"",$C99)</f>
        <v/>
      </c>
      <c r="Y99" s="68">
        <f>IF(Y$87=0,"",$C99)</f>
        <v/>
      </c>
      <c r="Z99" s="68">
        <f>IF(Z$87=0,"",$C99)</f>
        <v/>
      </c>
      <c r="AA99" s="68">
        <f>IF(AA$87=0,"",$C99)</f>
        <v/>
      </c>
      <c r="AB99" s="68">
        <f>IF(AB$87=0,"",$C99)</f>
        <v/>
      </c>
      <c r="AC99" s="68">
        <f>IF(AC$87=0,"",$C99)</f>
        <v/>
      </c>
      <c r="AD99" s="68">
        <f>IF(AD$87=0,"",$C99)</f>
        <v/>
      </c>
      <c r="AE99" s="68">
        <f>IF(AE$87=0,"",$C99)</f>
        <v/>
      </c>
      <c r="AF99" s="68">
        <f>IF(AF$87=0,"",$C99)</f>
        <v/>
      </c>
      <c r="AG99" s="68">
        <f>IF(AG$87=0,"",$C99)</f>
        <v/>
      </c>
      <c r="AH99" s="68">
        <f>IF(AH$87=0,"",$C99)</f>
        <v/>
      </c>
      <c r="AI99" s="68">
        <f>IF(AI$87=0,"",$C99)</f>
        <v/>
      </c>
      <c r="AJ99" s="68">
        <f>IF(AJ$87=0,"",$C99)</f>
        <v/>
      </c>
      <c r="AK99" s="68">
        <f>IF(AK$87=0,"",$C99)</f>
        <v/>
      </c>
      <c r="AL99" s="68">
        <f>IF(AL$87=0,"",$C99)</f>
        <v/>
      </c>
      <c r="AM99" s="68">
        <f>IF(AM$87=0,"",$C99)</f>
        <v/>
      </c>
      <c r="AN99" s="68">
        <f>IF(AN$87=0,"",$C99)</f>
        <v/>
      </c>
      <c r="AO99" s="68">
        <f>IF(AO$87=0,"",$C99)</f>
        <v/>
      </c>
      <c r="AP99" s="68">
        <f>IF(AP$87=0,"",$C99)</f>
        <v/>
      </c>
      <c r="AQ99" s="68">
        <f>IF(AQ$87=0,"",$C99)</f>
        <v/>
      </c>
      <c r="AR99" s="68">
        <f>IF(AR$87=0,"",$C99)</f>
        <v/>
      </c>
      <c r="AS99" s="68">
        <f>IF(AS$87=0,"",$C99)</f>
        <v/>
      </c>
      <c r="AT99" s="68">
        <f>IF(AT$87=0,"",$C99)</f>
        <v/>
      </c>
      <c r="AU99" s="68">
        <f>IF(AU$87=0,"",$C99)</f>
        <v/>
      </c>
      <c r="AV99" s="68">
        <f>IF(AV$87=0,"",$C99)</f>
        <v/>
      </c>
      <c r="AW99" s="68">
        <f>IF(AW$87=0,"",$C99)</f>
        <v/>
      </c>
      <c r="AX99" s="68">
        <f>IF(AX$87=0,"",$C99)</f>
        <v/>
      </c>
      <c r="AY99" s="68">
        <f>IF(AY$87=0,"",$C99)</f>
        <v/>
      </c>
      <c r="AZ99" s="68">
        <f>IF(AZ$87=0,"",$C99)</f>
        <v/>
      </c>
    </row>
    <row r="100" ht="16.5" customHeight="1" s="179">
      <c r="B100" s="65">
        <f>B22</f>
        <v/>
      </c>
      <c r="C100" s="68">
        <f>'2E.ROE Scan'!BC70</f>
        <v/>
      </c>
      <c r="D100" s="68">
        <f>IF(D$87=0,"",$C100)</f>
        <v/>
      </c>
      <c r="E100" s="68">
        <f>IF(E$87=0,"",$C100)</f>
        <v/>
      </c>
      <c r="F100" s="68">
        <f>IF(F$87=0,"",$C100)</f>
        <v/>
      </c>
      <c r="G100" s="68">
        <f>IF(G$87=0,"",$C100)</f>
        <v/>
      </c>
      <c r="H100" s="68">
        <f>IF(H$87=0,"",$C100)</f>
        <v/>
      </c>
      <c r="I100" s="68">
        <f>IF(I$87=0,"",$C100)</f>
        <v/>
      </c>
      <c r="J100" s="68">
        <f>IF(J$87=0,"",$C100)</f>
        <v/>
      </c>
      <c r="K100" s="68">
        <f>IF(K$87=0,"",$C100)</f>
        <v/>
      </c>
      <c r="L100" s="68">
        <f>IF(L$87=0,"",$C100)</f>
        <v/>
      </c>
      <c r="M100" s="68">
        <f>IF(M$87=0,"",$C100)</f>
        <v/>
      </c>
      <c r="N100" s="68">
        <f>IF(N$87=0,"",$C100)</f>
        <v/>
      </c>
      <c r="O100" s="68">
        <f>IF(O$87=0,"",$C100)</f>
        <v/>
      </c>
      <c r="P100" s="68">
        <f>IF(P$87=0,"",$C100)</f>
        <v/>
      </c>
      <c r="Q100" s="68">
        <f>IF(Q$87=0,"",$C100)</f>
        <v/>
      </c>
      <c r="R100" s="68">
        <f>IF(R$87=0,"",$C100)</f>
        <v/>
      </c>
      <c r="S100" s="68">
        <f>IF(S$87=0,"",$C100)</f>
        <v/>
      </c>
      <c r="T100" s="68">
        <f>IF(T$87=0,"",$C100)</f>
        <v/>
      </c>
      <c r="U100" s="68">
        <f>IF(U$87=0,"",$C100)</f>
        <v/>
      </c>
      <c r="V100" s="68">
        <f>IF(V$87=0,"",$C100)</f>
        <v/>
      </c>
      <c r="W100" s="68">
        <f>IF(W$87=0,"",$C100)</f>
        <v/>
      </c>
      <c r="X100" s="68">
        <f>IF(X$87=0,"",$C100)</f>
        <v/>
      </c>
      <c r="Y100" s="68">
        <f>IF(Y$87=0,"",$C100)</f>
        <v/>
      </c>
      <c r="Z100" s="68">
        <f>IF(Z$87=0,"",$C100)</f>
        <v/>
      </c>
      <c r="AA100" s="68">
        <f>IF(AA$87=0,"",$C100)</f>
        <v/>
      </c>
      <c r="AB100" s="68">
        <f>IF(AB$87=0,"",$C100)</f>
        <v/>
      </c>
      <c r="AC100" s="68">
        <f>IF(AC$87=0,"",$C100)</f>
        <v/>
      </c>
      <c r="AD100" s="68">
        <f>IF(AD$87=0,"",$C100)</f>
        <v/>
      </c>
      <c r="AE100" s="68">
        <f>IF(AE$87=0,"",$C100)</f>
        <v/>
      </c>
      <c r="AF100" s="68">
        <f>IF(AF$87=0,"",$C100)</f>
        <v/>
      </c>
      <c r="AG100" s="68">
        <f>IF(AG$87=0,"",$C100)</f>
        <v/>
      </c>
      <c r="AH100" s="68">
        <f>IF(AH$87=0,"",$C100)</f>
        <v/>
      </c>
      <c r="AI100" s="68">
        <f>IF(AI$87=0,"",$C100)</f>
        <v/>
      </c>
      <c r="AJ100" s="68">
        <f>IF(AJ$87=0,"",$C100)</f>
        <v/>
      </c>
      <c r="AK100" s="68">
        <f>IF(AK$87=0,"",$C100)</f>
        <v/>
      </c>
      <c r="AL100" s="68">
        <f>IF(AL$87=0,"",$C100)</f>
        <v/>
      </c>
      <c r="AM100" s="68">
        <f>IF(AM$87=0,"",$C100)</f>
        <v/>
      </c>
      <c r="AN100" s="68">
        <f>IF(AN$87=0,"",$C100)</f>
        <v/>
      </c>
      <c r="AO100" s="68">
        <f>IF(AO$87=0,"",$C100)</f>
        <v/>
      </c>
      <c r="AP100" s="68">
        <f>IF(AP$87=0,"",$C100)</f>
        <v/>
      </c>
      <c r="AQ100" s="68">
        <f>IF(AQ$87=0,"",$C100)</f>
        <v/>
      </c>
      <c r="AR100" s="68">
        <f>IF(AR$87=0,"",$C100)</f>
        <v/>
      </c>
      <c r="AS100" s="68">
        <f>IF(AS$87=0,"",$C100)</f>
        <v/>
      </c>
      <c r="AT100" s="68">
        <f>IF(AT$87=0,"",$C100)</f>
        <v/>
      </c>
      <c r="AU100" s="68">
        <f>IF(AU$87=0,"",$C100)</f>
        <v/>
      </c>
      <c r="AV100" s="68">
        <f>IF(AV$87=0,"",$C100)</f>
        <v/>
      </c>
      <c r="AW100" s="68">
        <f>IF(AW$87=0,"",$C100)</f>
        <v/>
      </c>
      <c r="AX100" s="68">
        <f>IF(AX$87=0,"",$C100)</f>
        <v/>
      </c>
      <c r="AY100" s="68">
        <f>IF(AY$87=0,"",$C100)</f>
        <v/>
      </c>
      <c r="AZ100" s="68">
        <f>IF(AZ$87=0,"",$C100)</f>
        <v/>
      </c>
    </row>
    <row r="101" ht="16.5" customHeight="1" s="179">
      <c r="B101" s="65">
        <f>B23</f>
        <v/>
      </c>
      <c r="C101" s="68">
        <f>'2E.ROE Scan'!BC71</f>
        <v/>
      </c>
      <c r="D101" s="68">
        <f>IF(D$87=0,"",$C101)</f>
        <v/>
      </c>
      <c r="E101" s="68">
        <f>IF(E$87=0,"",$C101)</f>
        <v/>
      </c>
      <c r="F101" s="68">
        <f>IF(F$87=0,"",$C101)</f>
        <v/>
      </c>
      <c r="G101" s="68">
        <f>IF(G$87=0,"",$C101)</f>
        <v/>
      </c>
      <c r="H101" s="68">
        <f>IF(H$87=0,"",$C101)</f>
        <v/>
      </c>
      <c r="I101" s="68">
        <f>IF(I$87=0,"",$C101)</f>
        <v/>
      </c>
      <c r="J101" s="68">
        <f>IF(J$87=0,"",$C101)</f>
        <v/>
      </c>
      <c r="K101" s="68">
        <f>IF(K$87=0,"",$C101)</f>
        <v/>
      </c>
      <c r="L101" s="68">
        <f>IF(L$87=0,"",$C101)</f>
        <v/>
      </c>
      <c r="M101" s="68">
        <f>IF(M$87=0,"",$C101)</f>
        <v/>
      </c>
      <c r="N101" s="68">
        <f>IF(N$87=0,"",$C101)</f>
        <v/>
      </c>
      <c r="O101" s="68">
        <f>IF(O$87=0,"",$C101)</f>
        <v/>
      </c>
      <c r="P101" s="68">
        <f>IF(P$87=0,"",$C101)</f>
        <v/>
      </c>
      <c r="Q101" s="68">
        <f>IF(Q$87=0,"",$C101)</f>
        <v/>
      </c>
      <c r="R101" s="68">
        <f>IF(R$87=0,"",$C101)</f>
        <v/>
      </c>
      <c r="S101" s="68">
        <f>IF(S$87=0,"",$C101)</f>
        <v/>
      </c>
      <c r="T101" s="68">
        <f>IF(T$87=0,"",$C101)</f>
        <v/>
      </c>
      <c r="U101" s="68">
        <f>IF(U$87=0,"",$C101)</f>
        <v/>
      </c>
      <c r="V101" s="68">
        <f>IF(V$87=0,"",$C101)</f>
        <v/>
      </c>
      <c r="W101" s="68">
        <f>IF(W$87=0,"",$C101)</f>
        <v/>
      </c>
      <c r="X101" s="68">
        <f>IF(X$87=0,"",$C101)</f>
        <v/>
      </c>
      <c r="Y101" s="68">
        <f>IF(Y$87=0,"",$C101)</f>
        <v/>
      </c>
      <c r="Z101" s="68">
        <f>IF(Z$87=0,"",$C101)</f>
        <v/>
      </c>
      <c r="AA101" s="68">
        <f>IF(AA$87=0,"",$C101)</f>
        <v/>
      </c>
      <c r="AB101" s="68">
        <f>IF(AB$87=0,"",$C101)</f>
        <v/>
      </c>
      <c r="AC101" s="68">
        <f>IF(AC$87=0,"",$C101)</f>
        <v/>
      </c>
      <c r="AD101" s="68">
        <f>IF(AD$87=0,"",$C101)</f>
        <v/>
      </c>
      <c r="AE101" s="68">
        <f>IF(AE$87=0,"",$C101)</f>
        <v/>
      </c>
      <c r="AF101" s="68">
        <f>IF(AF$87=0,"",$C101)</f>
        <v/>
      </c>
      <c r="AG101" s="68">
        <f>IF(AG$87=0,"",$C101)</f>
        <v/>
      </c>
      <c r="AH101" s="68">
        <f>IF(AH$87=0,"",$C101)</f>
        <v/>
      </c>
      <c r="AI101" s="68">
        <f>IF(AI$87=0,"",$C101)</f>
        <v/>
      </c>
      <c r="AJ101" s="68">
        <f>IF(AJ$87=0,"",$C101)</f>
        <v/>
      </c>
      <c r="AK101" s="68">
        <f>IF(AK$87=0,"",$C101)</f>
        <v/>
      </c>
      <c r="AL101" s="68">
        <f>IF(AL$87=0,"",$C101)</f>
        <v/>
      </c>
      <c r="AM101" s="68">
        <f>IF(AM$87=0,"",$C101)</f>
        <v/>
      </c>
      <c r="AN101" s="68">
        <f>IF(AN$87=0,"",$C101)</f>
        <v/>
      </c>
      <c r="AO101" s="68">
        <f>IF(AO$87=0,"",$C101)</f>
        <v/>
      </c>
      <c r="AP101" s="68">
        <f>IF(AP$87=0,"",$C101)</f>
        <v/>
      </c>
      <c r="AQ101" s="68">
        <f>IF(AQ$87=0,"",$C101)</f>
        <v/>
      </c>
      <c r="AR101" s="68">
        <f>IF(AR$87=0,"",$C101)</f>
        <v/>
      </c>
      <c r="AS101" s="68">
        <f>IF(AS$87=0,"",$C101)</f>
        <v/>
      </c>
      <c r="AT101" s="68">
        <f>IF(AT$87=0,"",$C101)</f>
        <v/>
      </c>
      <c r="AU101" s="68">
        <f>IF(AU$87=0,"",$C101)</f>
        <v/>
      </c>
      <c r="AV101" s="68">
        <f>IF(AV$87=0,"",$C101)</f>
        <v/>
      </c>
      <c r="AW101" s="68">
        <f>IF(AW$87=0,"",$C101)</f>
        <v/>
      </c>
      <c r="AX101" s="68">
        <f>IF(AX$87=0,"",$C101)</f>
        <v/>
      </c>
      <c r="AY101" s="68">
        <f>IF(AY$87=0,"",$C101)</f>
        <v/>
      </c>
      <c r="AZ101" s="68">
        <f>IF(AZ$87=0,"",$C101)</f>
        <v/>
      </c>
    </row>
    <row r="102" ht="16.5" customHeight="1" s="179">
      <c r="B102" s="65">
        <f>B24</f>
        <v/>
      </c>
      <c r="C102" s="68">
        <f>'2E.ROE Scan'!BC72</f>
        <v/>
      </c>
      <c r="D102" s="68">
        <f>IF(D$87=0,"",$C102)</f>
        <v/>
      </c>
      <c r="E102" s="68">
        <f>IF(E$87=0,"",$C102)</f>
        <v/>
      </c>
      <c r="F102" s="68">
        <f>IF(F$87=0,"",$C102)</f>
        <v/>
      </c>
      <c r="G102" s="68">
        <f>IF(G$87=0,"",$C102)</f>
        <v/>
      </c>
      <c r="H102" s="68">
        <f>IF(H$87=0,"",$C102)</f>
        <v/>
      </c>
      <c r="I102" s="68">
        <f>IF(I$87=0,"",$C102)</f>
        <v/>
      </c>
      <c r="J102" s="68">
        <f>IF(J$87=0,"",$C102)</f>
        <v/>
      </c>
      <c r="K102" s="68">
        <f>IF(K$87=0,"",$C102)</f>
        <v/>
      </c>
      <c r="L102" s="68">
        <f>IF(L$87=0,"",$C102)</f>
        <v/>
      </c>
      <c r="M102" s="68">
        <f>IF(M$87=0,"",$C102)</f>
        <v/>
      </c>
      <c r="N102" s="68">
        <f>IF(N$87=0,"",$C102)</f>
        <v/>
      </c>
      <c r="O102" s="68">
        <f>IF(O$87=0,"",$C102)</f>
        <v/>
      </c>
      <c r="P102" s="68">
        <f>IF(P$87=0,"",$C102)</f>
        <v/>
      </c>
      <c r="Q102" s="68">
        <f>IF(Q$87=0,"",$C102)</f>
        <v/>
      </c>
      <c r="R102" s="68">
        <f>IF(R$87=0,"",$C102)</f>
        <v/>
      </c>
      <c r="S102" s="68">
        <f>IF(S$87=0,"",$C102)</f>
        <v/>
      </c>
      <c r="T102" s="68">
        <f>IF(T$87=0,"",$C102)</f>
        <v/>
      </c>
      <c r="U102" s="68">
        <f>IF(U$87=0,"",$C102)</f>
        <v/>
      </c>
      <c r="V102" s="68">
        <f>IF(V$87=0,"",$C102)</f>
        <v/>
      </c>
      <c r="W102" s="68">
        <f>IF(W$87=0,"",$C102)</f>
        <v/>
      </c>
      <c r="X102" s="68">
        <f>IF(X$87=0,"",$C102)</f>
        <v/>
      </c>
      <c r="Y102" s="68">
        <f>IF(Y$87=0,"",$C102)</f>
        <v/>
      </c>
      <c r="Z102" s="68">
        <f>IF(Z$87=0,"",$C102)</f>
        <v/>
      </c>
      <c r="AA102" s="68">
        <f>IF(AA$87=0,"",$C102)</f>
        <v/>
      </c>
      <c r="AB102" s="68">
        <f>IF(AB$87=0,"",$C102)</f>
        <v/>
      </c>
      <c r="AC102" s="68">
        <f>IF(AC$87=0,"",$C102)</f>
        <v/>
      </c>
      <c r="AD102" s="68">
        <f>IF(AD$87=0,"",$C102)</f>
        <v/>
      </c>
      <c r="AE102" s="68">
        <f>IF(AE$87=0,"",$C102)</f>
        <v/>
      </c>
      <c r="AF102" s="68">
        <f>IF(AF$87=0,"",$C102)</f>
        <v/>
      </c>
      <c r="AG102" s="68">
        <f>IF(AG$87=0,"",$C102)</f>
        <v/>
      </c>
      <c r="AH102" s="68">
        <f>IF(AH$87=0,"",$C102)</f>
        <v/>
      </c>
      <c r="AI102" s="68">
        <f>IF(AI$87=0,"",$C102)</f>
        <v/>
      </c>
      <c r="AJ102" s="68">
        <f>IF(AJ$87=0,"",$C102)</f>
        <v/>
      </c>
      <c r="AK102" s="68">
        <f>IF(AK$87=0,"",$C102)</f>
        <v/>
      </c>
      <c r="AL102" s="68">
        <f>IF(AL$87=0,"",$C102)</f>
        <v/>
      </c>
      <c r="AM102" s="68">
        <f>IF(AM$87=0,"",$C102)</f>
        <v/>
      </c>
      <c r="AN102" s="68">
        <f>IF(AN$87=0,"",$C102)</f>
        <v/>
      </c>
      <c r="AO102" s="68">
        <f>IF(AO$87=0,"",$C102)</f>
        <v/>
      </c>
      <c r="AP102" s="68">
        <f>IF(AP$87=0,"",$C102)</f>
        <v/>
      </c>
      <c r="AQ102" s="68">
        <f>IF(AQ$87=0,"",$C102)</f>
        <v/>
      </c>
      <c r="AR102" s="68">
        <f>IF(AR$87=0,"",$C102)</f>
        <v/>
      </c>
      <c r="AS102" s="68">
        <f>IF(AS$87=0,"",$C102)</f>
        <v/>
      </c>
      <c r="AT102" s="68">
        <f>IF(AT$87=0,"",$C102)</f>
        <v/>
      </c>
      <c r="AU102" s="68">
        <f>IF(AU$87=0,"",$C102)</f>
        <v/>
      </c>
      <c r="AV102" s="68">
        <f>IF(AV$87=0,"",$C102)</f>
        <v/>
      </c>
      <c r="AW102" s="68">
        <f>IF(AW$87=0,"",$C102)</f>
        <v/>
      </c>
      <c r="AX102" s="68">
        <f>IF(AX$87=0,"",$C102)</f>
        <v/>
      </c>
      <c r="AY102" s="68">
        <f>IF(AY$87=0,"",$C102)</f>
        <v/>
      </c>
      <c r="AZ102" s="68">
        <f>IF(AZ$87=0,"",$C102)</f>
        <v/>
      </c>
    </row>
    <row r="103" ht="16.5" customHeight="1" s="179">
      <c r="B103" s="65">
        <f>B25</f>
        <v/>
      </c>
      <c r="C103" s="68">
        <f>'2E.ROE Scan'!BC73</f>
        <v/>
      </c>
      <c r="D103" s="68">
        <f>IF(D$87=0,"",$C103)</f>
        <v/>
      </c>
      <c r="E103" s="68">
        <f>IF(E$87=0,"",$C103)</f>
        <v/>
      </c>
      <c r="F103" s="68">
        <f>IF(F$87=0,"",$C103)</f>
        <v/>
      </c>
      <c r="G103" s="68">
        <f>IF(G$87=0,"",$C103)</f>
        <v/>
      </c>
      <c r="H103" s="68">
        <f>IF(H$87=0,"",$C103)</f>
        <v/>
      </c>
      <c r="I103" s="68">
        <f>IF(I$87=0,"",$C103)</f>
        <v/>
      </c>
      <c r="J103" s="68">
        <f>IF(J$87=0,"",$C103)</f>
        <v/>
      </c>
      <c r="K103" s="68">
        <f>IF(K$87=0,"",$C103)</f>
        <v/>
      </c>
      <c r="L103" s="68">
        <f>IF(L$87=0,"",$C103)</f>
        <v/>
      </c>
      <c r="M103" s="68">
        <f>IF(M$87=0,"",$C103)</f>
        <v/>
      </c>
      <c r="N103" s="68">
        <f>IF(N$87=0,"",$C103)</f>
        <v/>
      </c>
      <c r="O103" s="68">
        <f>IF(O$87=0,"",$C103)</f>
        <v/>
      </c>
      <c r="P103" s="68">
        <f>IF(P$87=0,"",$C103)</f>
        <v/>
      </c>
      <c r="Q103" s="68">
        <f>IF(Q$87=0,"",$C103)</f>
        <v/>
      </c>
      <c r="R103" s="68">
        <f>IF(R$87=0,"",$C103)</f>
        <v/>
      </c>
      <c r="S103" s="68">
        <f>IF(S$87=0,"",$C103)</f>
        <v/>
      </c>
      <c r="T103" s="68">
        <f>IF(T$87=0,"",$C103)</f>
        <v/>
      </c>
      <c r="U103" s="68">
        <f>IF(U$87=0,"",$C103)</f>
        <v/>
      </c>
      <c r="V103" s="68">
        <f>IF(V$87=0,"",$C103)</f>
        <v/>
      </c>
      <c r="W103" s="68">
        <f>IF(W$87=0,"",$C103)</f>
        <v/>
      </c>
      <c r="X103" s="68">
        <f>IF(X$87=0,"",$C103)</f>
        <v/>
      </c>
      <c r="Y103" s="68">
        <f>IF(Y$87=0,"",$C103)</f>
        <v/>
      </c>
      <c r="Z103" s="68">
        <f>IF(Z$87=0,"",$C103)</f>
        <v/>
      </c>
      <c r="AA103" s="68">
        <f>IF(AA$87=0,"",$C103)</f>
        <v/>
      </c>
      <c r="AB103" s="68">
        <f>IF(AB$87=0,"",$C103)</f>
        <v/>
      </c>
      <c r="AC103" s="68">
        <f>IF(AC$87=0,"",$C103)</f>
        <v/>
      </c>
      <c r="AD103" s="68">
        <f>IF(AD$87=0,"",$C103)</f>
        <v/>
      </c>
      <c r="AE103" s="68">
        <f>IF(AE$87=0,"",$C103)</f>
        <v/>
      </c>
      <c r="AF103" s="68">
        <f>IF(AF$87=0,"",$C103)</f>
        <v/>
      </c>
      <c r="AG103" s="68">
        <f>IF(AG$87=0,"",$C103)</f>
        <v/>
      </c>
      <c r="AH103" s="68">
        <f>IF(AH$87=0,"",$C103)</f>
        <v/>
      </c>
      <c r="AI103" s="68">
        <f>IF(AI$87=0,"",$C103)</f>
        <v/>
      </c>
      <c r="AJ103" s="68">
        <f>IF(AJ$87=0,"",$C103)</f>
        <v/>
      </c>
      <c r="AK103" s="68">
        <f>IF(AK$87=0,"",$C103)</f>
        <v/>
      </c>
      <c r="AL103" s="68">
        <f>IF(AL$87=0,"",$C103)</f>
        <v/>
      </c>
      <c r="AM103" s="68">
        <f>IF(AM$87=0,"",$C103)</f>
        <v/>
      </c>
      <c r="AN103" s="68">
        <f>IF(AN$87=0,"",$C103)</f>
        <v/>
      </c>
      <c r="AO103" s="68">
        <f>IF(AO$87=0,"",$C103)</f>
        <v/>
      </c>
      <c r="AP103" s="68">
        <f>IF(AP$87=0,"",$C103)</f>
        <v/>
      </c>
      <c r="AQ103" s="68">
        <f>IF(AQ$87=0,"",$C103)</f>
        <v/>
      </c>
      <c r="AR103" s="68">
        <f>IF(AR$87=0,"",$C103)</f>
        <v/>
      </c>
      <c r="AS103" s="68">
        <f>IF(AS$87=0,"",$C103)</f>
        <v/>
      </c>
      <c r="AT103" s="68">
        <f>IF(AT$87=0,"",$C103)</f>
        <v/>
      </c>
      <c r="AU103" s="68">
        <f>IF(AU$87=0,"",$C103)</f>
        <v/>
      </c>
      <c r="AV103" s="68">
        <f>IF(AV$87=0,"",$C103)</f>
        <v/>
      </c>
      <c r="AW103" s="68">
        <f>IF(AW$87=0,"",$C103)</f>
        <v/>
      </c>
      <c r="AX103" s="68">
        <f>IF(AX$87=0,"",$C103)</f>
        <v/>
      </c>
      <c r="AY103" s="68">
        <f>IF(AY$87=0,"",$C103)</f>
        <v/>
      </c>
      <c r="AZ103" s="68">
        <f>IF(AZ$87=0,"",$C103)</f>
        <v/>
      </c>
    </row>
    <row r="104" ht="16.5" customHeight="1" s="179">
      <c r="B104" s="65">
        <f>B26</f>
        <v/>
      </c>
      <c r="C104" s="68">
        <f>'2E.ROE Scan'!BC74</f>
        <v/>
      </c>
      <c r="D104" s="68">
        <f>IF(D$87=0,"",$C104)</f>
        <v/>
      </c>
      <c r="E104" s="68">
        <f>IF(E$87=0,"",$C104)</f>
        <v/>
      </c>
      <c r="F104" s="68">
        <f>IF(F$87=0,"",$C104)</f>
        <v/>
      </c>
      <c r="G104" s="68">
        <f>IF(G$87=0,"",$C104)</f>
        <v/>
      </c>
      <c r="H104" s="68">
        <f>IF(H$87=0,"",$C104)</f>
        <v/>
      </c>
      <c r="I104" s="68">
        <f>IF(I$87=0,"",$C104)</f>
        <v/>
      </c>
      <c r="J104" s="68">
        <f>IF(J$87=0,"",$C104)</f>
        <v/>
      </c>
      <c r="K104" s="68">
        <f>IF(K$87=0,"",$C104)</f>
        <v/>
      </c>
      <c r="L104" s="68">
        <f>IF(L$87=0,"",$C104)</f>
        <v/>
      </c>
      <c r="M104" s="68">
        <f>IF(M$87=0,"",$C104)</f>
        <v/>
      </c>
      <c r="N104" s="68">
        <f>IF(N$87=0,"",$C104)</f>
        <v/>
      </c>
      <c r="O104" s="68">
        <f>IF(O$87=0,"",$C104)</f>
        <v/>
      </c>
      <c r="P104" s="68">
        <f>IF(P$87=0,"",$C104)</f>
        <v/>
      </c>
      <c r="Q104" s="68">
        <f>IF(Q$87=0,"",$C104)</f>
        <v/>
      </c>
      <c r="R104" s="68">
        <f>IF(R$87=0,"",$C104)</f>
        <v/>
      </c>
      <c r="S104" s="68">
        <f>IF(S$87=0,"",$C104)</f>
        <v/>
      </c>
      <c r="T104" s="68">
        <f>IF(T$87=0,"",$C104)</f>
        <v/>
      </c>
      <c r="U104" s="68">
        <f>IF(U$87=0,"",$C104)</f>
        <v/>
      </c>
      <c r="V104" s="68">
        <f>IF(V$87=0,"",$C104)</f>
        <v/>
      </c>
      <c r="W104" s="68">
        <f>IF(W$87=0,"",$C104)</f>
        <v/>
      </c>
      <c r="X104" s="68">
        <f>IF(X$87=0,"",$C104)</f>
        <v/>
      </c>
      <c r="Y104" s="68">
        <f>IF(Y$87=0,"",$C104)</f>
        <v/>
      </c>
      <c r="Z104" s="68">
        <f>IF(Z$87=0,"",$C104)</f>
        <v/>
      </c>
      <c r="AA104" s="68">
        <f>IF(AA$87=0,"",$C104)</f>
        <v/>
      </c>
      <c r="AB104" s="68">
        <f>IF(AB$87=0,"",$C104)</f>
        <v/>
      </c>
      <c r="AC104" s="68">
        <f>IF(AC$87=0,"",$C104)</f>
        <v/>
      </c>
      <c r="AD104" s="68">
        <f>IF(AD$87=0,"",$C104)</f>
        <v/>
      </c>
      <c r="AE104" s="68">
        <f>IF(AE$87=0,"",$C104)</f>
        <v/>
      </c>
      <c r="AF104" s="68">
        <f>IF(AF$87=0,"",$C104)</f>
        <v/>
      </c>
      <c r="AG104" s="68">
        <f>IF(AG$87=0,"",$C104)</f>
        <v/>
      </c>
      <c r="AH104" s="68">
        <f>IF(AH$87=0,"",$C104)</f>
        <v/>
      </c>
      <c r="AI104" s="68">
        <f>IF(AI$87=0,"",$C104)</f>
        <v/>
      </c>
      <c r="AJ104" s="68">
        <f>IF(AJ$87=0,"",$C104)</f>
        <v/>
      </c>
      <c r="AK104" s="68">
        <f>IF(AK$87=0,"",$C104)</f>
        <v/>
      </c>
      <c r="AL104" s="68">
        <f>IF(AL$87=0,"",$C104)</f>
        <v/>
      </c>
      <c r="AM104" s="68">
        <f>IF(AM$87=0,"",$C104)</f>
        <v/>
      </c>
      <c r="AN104" s="68">
        <f>IF(AN$87=0,"",$C104)</f>
        <v/>
      </c>
      <c r="AO104" s="68">
        <f>IF(AO$87=0,"",$C104)</f>
        <v/>
      </c>
      <c r="AP104" s="68">
        <f>IF(AP$87=0,"",$C104)</f>
        <v/>
      </c>
      <c r="AQ104" s="68">
        <f>IF(AQ$87=0,"",$C104)</f>
        <v/>
      </c>
      <c r="AR104" s="68">
        <f>IF(AR$87=0,"",$C104)</f>
        <v/>
      </c>
      <c r="AS104" s="68">
        <f>IF(AS$87=0,"",$C104)</f>
        <v/>
      </c>
      <c r="AT104" s="68">
        <f>IF(AT$87=0,"",$C104)</f>
        <v/>
      </c>
      <c r="AU104" s="68">
        <f>IF(AU$87=0,"",$C104)</f>
        <v/>
      </c>
      <c r="AV104" s="68">
        <f>IF(AV$87=0,"",$C104)</f>
        <v/>
      </c>
      <c r="AW104" s="68">
        <f>IF(AW$87=0,"",$C104)</f>
        <v/>
      </c>
      <c r="AX104" s="68">
        <f>IF(AX$87=0,"",$C104)</f>
        <v/>
      </c>
      <c r="AY104" s="68">
        <f>IF(AY$87=0,"",$C104)</f>
        <v/>
      </c>
      <c r="AZ104" s="68">
        <f>IF(AZ$87=0,"",$C104)</f>
        <v/>
      </c>
    </row>
    <row r="105" ht="16.5" customHeight="1" s="179">
      <c r="B105" s="65">
        <f>B27</f>
        <v/>
      </c>
      <c r="C105" s="68">
        <f>'2E.ROE Scan'!BC75</f>
        <v/>
      </c>
      <c r="D105" s="68">
        <f>IF(D$87=0,"",$C105)</f>
        <v/>
      </c>
      <c r="E105" s="68">
        <f>IF(E$87=0,"",$C105)</f>
        <v/>
      </c>
      <c r="F105" s="68">
        <f>IF(F$87=0,"",$C105)</f>
        <v/>
      </c>
      <c r="G105" s="68">
        <f>IF(G$87=0,"",$C105)</f>
        <v/>
      </c>
      <c r="H105" s="68">
        <f>IF(H$87=0,"",$C105)</f>
        <v/>
      </c>
      <c r="I105" s="68">
        <f>IF(I$87=0,"",$C105)</f>
        <v/>
      </c>
      <c r="J105" s="68">
        <f>IF(J$87=0,"",$C105)</f>
        <v/>
      </c>
      <c r="K105" s="68">
        <f>IF(K$87=0,"",$C105)</f>
        <v/>
      </c>
      <c r="L105" s="68">
        <f>IF(L$87=0,"",$C105)</f>
        <v/>
      </c>
      <c r="M105" s="68">
        <f>IF(M$87=0,"",$C105)</f>
        <v/>
      </c>
      <c r="N105" s="68">
        <f>IF(N$87=0,"",$C105)</f>
        <v/>
      </c>
      <c r="O105" s="68">
        <f>IF(O$87=0,"",$C105)</f>
        <v/>
      </c>
      <c r="P105" s="68">
        <f>IF(P$87=0,"",$C105)</f>
        <v/>
      </c>
      <c r="Q105" s="68">
        <f>IF(Q$87=0,"",$C105)</f>
        <v/>
      </c>
      <c r="R105" s="68">
        <f>IF(R$87=0,"",$C105)</f>
        <v/>
      </c>
      <c r="S105" s="68">
        <f>IF(S$87=0,"",$C105)</f>
        <v/>
      </c>
      <c r="T105" s="68">
        <f>IF(T$87=0,"",$C105)</f>
        <v/>
      </c>
      <c r="U105" s="68">
        <f>IF(U$87=0,"",$C105)</f>
        <v/>
      </c>
      <c r="V105" s="68">
        <f>IF(V$87=0,"",$C105)</f>
        <v/>
      </c>
      <c r="W105" s="68">
        <f>IF(W$87=0,"",$C105)</f>
        <v/>
      </c>
      <c r="X105" s="68">
        <f>IF(X$87=0,"",$C105)</f>
        <v/>
      </c>
      <c r="Y105" s="68">
        <f>IF(Y$87=0,"",$C105)</f>
        <v/>
      </c>
      <c r="Z105" s="68">
        <f>IF(Z$87=0,"",$C105)</f>
        <v/>
      </c>
      <c r="AA105" s="68">
        <f>IF(AA$87=0,"",$C105)</f>
        <v/>
      </c>
      <c r="AB105" s="68">
        <f>IF(AB$87=0,"",$C105)</f>
        <v/>
      </c>
      <c r="AC105" s="68">
        <f>IF(AC$87=0,"",$C105)</f>
        <v/>
      </c>
      <c r="AD105" s="68">
        <f>IF(AD$87=0,"",$C105)</f>
        <v/>
      </c>
      <c r="AE105" s="68">
        <f>IF(AE$87=0,"",$C105)</f>
        <v/>
      </c>
      <c r="AF105" s="68">
        <f>IF(AF$87=0,"",$C105)</f>
        <v/>
      </c>
      <c r="AG105" s="68">
        <f>IF(AG$87=0,"",$C105)</f>
        <v/>
      </c>
      <c r="AH105" s="68">
        <f>IF(AH$87=0,"",$C105)</f>
        <v/>
      </c>
      <c r="AI105" s="68">
        <f>IF(AI$87=0,"",$C105)</f>
        <v/>
      </c>
      <c r="AJ105" s="68">
        <f>IF(AJ$87=0,"",$C105)</f>
        <v/>
      </c>
      <c r="AK105" s="68">
        <f>IF(AK$87=0,"",$C105)</f>
        <v/>
      </c>
      <c r="AL105" s="68">
        <f>IF(AL$87=0,"",$C105)</f>
        <v/>
      </c>
      <c r="AM105" s="68">
        <f>IF(AM$87=0,"",$C105)</f>
        <v/>
      </c>
      <c r="AN105" s="68">
        <f>IF(AN$87=0,"",$C105)</f>
        <v/>
      </c>
      <c r="AO105" s="68">
        <f>IF(AO$87=0,"",$C105)</f>
        <v/>
      </c>
      <c r="AP105" s="68">
        <f>IF(AP$87=0,"",$C105)</f>
        <v/>
      </c>
      <c r="AQ105" s="68">
        <f>IF(AQ$87=0,"",$C105)</f>
        <v/>
      </c>
      <c r="AR105" s="68">
        <f>IF(AR$87=0,"",$C105)</f>
        <v/>
      </c>
      <c r="AS105" s="68">
        <f>IF(AS$87=0,"",$C105)</f>
        <v/>
      </c>
      <c r="AT105" s="68">
        <f>IF(AT$87=0,"",$C105)</f>
        <v/>
      </c>
      <c r="AU105" s="68">
        <f>IF(AU$87=0,"",$C105)</f>
        <v/>
      </c>
      <c r="AV105" s="68">
        <f>IF(AV$87=0,"",$C105)</f>
        <v/>
      </c>
      <c r="AW105" s="68">
        <f>IF(AW$87=0,"",$C105)</f>
        <v/>
      </c>
      <c r="AX105" s="68">
        <f>IF(AX$87=0,"",$C105)</f>
        <v/>
      </c>
      <c r="AY105" s="68">
        <f>IF(AY$87=0,"",$C105)</f>
        <v/>
      </c>
      <c r="AZ105" s="68">
        <f>IF(AZ$87=0,"",$C105)</f>
        <v/>
      </c>
    </row>
    <row r="106" ht="16.5" customHeight="1" s="179">
      <c r="B106" s="65">
        <f>B28</f>
        <v/>
      </c>
      <c r="C106" s="68">
        <f>'2E.ROE Scan'!BC76</f>
        <v/>
      </c>
      <c r="D106" s="68">
        <f>IF(D$87=0,"",$C106)</f>
        <v/>
      </c>
      <c r="E106" s="68">
        <f>IF(E$87=0,"",$C106)</f>
        <v/>
      </c>
      <c r="F106" s="68">
        <f>IF(F$87=0,"",$C106)</f>
        <v/>
      </c>
      <c r="G106" s="68">
        <f>IF(G$87=0,"",$C106)</f>
        <v/>
      </c>
      <c r="H106" s="68">
        <f>IF(H$87=0,"",$C106)</f>
        <v/>
      </c>
      <c r="I106" s="68">
        <f>IF(I$87=0,"",$C106)</f>
        <v/>
      </c>
      <c r="J106" s="68">
        <f>IF(J$87=0,"",$C106)</f>
        <v/>
      </c>
      <c r="K106" s="68">
        <f>IF(K$87=0,"",$C106)</f>
        <v/>
      </c>
      <c r="L106" s="68">
        <f>IF(L$87=0,"",$C106)</f>
        <v/>
      </c>
      <c r="M106" s="68">
        <f>IF(M$87=0,"",$C106)</f>
        <v/>
      </c>
      <c r="N106" s="68">
        <f>IF(N$87=0,"",$C106)</f>
        <v/>
      </c>
      <c r="O106" s="68">
        <f>IF(O$87=0,"",$C106)</f>
        <v/>
      </c>
      <c r="P106" s="68">
        <f>IF(P$87=0,"",$C106)</f>
        <v/>
      </c>
      <c r="Q106" s="68">
        <f>IF(Q$87=0,"",$C106)</f>
        <v/>
      </c>
      <c r="R106" s="68">
        <f>IF(R$87=0,"",$C106)</f>
        <v/>
      </c>
      <c r="S106" s="68">
        <f>IF(S$87=0,"",$C106)</f>
        <v/>
      </c>
      <c r="T106" s="68">
        <f>IF(T$87=0,"",$C106)</f>
        <v/>
      </c>
      <c r="U106" s="68">
        <f>IF(U$87=0,"",$C106)</f>
        <v/>
      </c>
      <c r="V106" s="68">
        <f>IF(V$87=0,"",$C106)</f>
        <v/>
      </c>
      <c r="W106" s="68">
        <f>IF(W$87=0,"",$C106)</f>
        <v/>
      </c>
      <c r="X106" s="68">
        <f>IF(X$87=0,"",$C106)</f>
        <v/>
      </c>
      <c r="Y106" s="68">
        <f>IF(Y$87=0,"",$C106)</f>
        <v/>
      </c>
      <c r="Z106" s="68">
        <f>IF(Z$87=0,"",$C106)</f>
        <v/>
      </c>
      <c r="AA106" s="68">
        <f>IF(AA$87=0,"",$C106)</f>
        <v/>
      </c>
      <c r="AB106" s="68">
        <f>IF(AB$87=0,"",$C106)</f>
        <v/>
      </c>
      <c r="AC106" s="68">
        <f>IF(AC$87=0,"",$C106)</f>
        <v/>
      </c>
      <c r="AD106" s="68">
        <f>IF(AD$87=0,"",$C106)</f>
        <v/>
      </c>
      <c r="AE106" s="68">
        <f>IF(AE$87=0,"",$C106)</f>
        <v/>
      </c>
      <c r="AF106" s="68">
        <f>IF(AF$87=0,"",$C106)</f>
        <v/>
      </c>
      <c r="AG106" s="68">
        <f>IF(AG$87=0,"",$C106)</f>
        <v/>
      </c>
      <c r="AH106" s="68">
        <f>IF(AH$87=0,"",$C106)</f>
        <v/>
      </c>
      <c r="AI106" s="68">
        <f>IF(AI$87=0,"",$C106)</f>
        <v/>
      </c>
      <c r="AJ106" s="68">
        <f>IF(AJ$87=0,"",$C106)</f>
        <v/>
      </c>
      <c r="AK106" s="68">
        <f>IF(AK$87=0,"",$C106)</f>
        <v/>
      </c>
      <c r="AL106" s="68">
        <f>IF(AL$87=0,"",$C106)</f>
        <v/>
      </c>
      <c r="AM106" s="68">
        <f>IF(AM$87=0,"",$C106)</f>
        <v/>
      </c>
      <c r="AN106" s="68">
        <f>IF(AN$87=0,"",$C106)</f>
        <v/>
      </c>
      <c r="AO106" s="68">
        <f>IF(AO$87=0,"",$C106)</f>
        <v/>
      </c>
      <c r="AP106" s="68">
        <f>IF(AP$87=0,"",$C106)</f>
        <v/>
      </c>
      <c r="AQ106" s="68">
        <f>IF(AQ$87=0,"",$C106)</f>
        <v/>
      </c>
      <c r="AR106" s="68">
        <f>IF(AR$87=0,"",$C106)</f>
        <v/>
      </c>
      <c r="AS106" s="68">
        <f>IF(AS$87=0,"",$C106)</f>
        <v/>
      </c>
      <c r="AT106" s="68">
        <f>IF(AT$87=0,"",$C106)</f>
        <v/>
      </c>
      <c r="AU106" s="68">
        <f>IF(AU$87=0,"",$C106)</f>
        <v/>
      </c>
      <c r="AV106" s="68">
        <f>IF(AV$87=0,"",$C106)</f>
        <v/>
      </c>
      <c r="AW106" s="68">
        <f>IF(AW$87=0,"",$C106)</f>
        <v/>
      </c>
      <c r="AX106" s="68">
        <f>IF(AX$87=0,"",$C106)</f>
        <v/>
      </c>
      <c r="AY106" s="68">
        <f>IF(AY$87=0,"",$C106)</f>
        <v/>
      </c>
      <c r="AZ106" s="68">
        <f>IF(AZ$87=0,"",$C106)</f>
        <v/>
      </c>
    </row>
    <row r="107" ht="16.5" customHeight="1" s="179">
      <c r="B107" s="65">
        <f>B29</f>
        <v/>
      </c>
      <c r="C107" s="68">
        <f>'2E.ROE Scan'!BC77</f>
        <v/>
      </c>
      <c r="D107" s="68">
        <f>IF(D$87=0,"",$C107)</f>
        <v/>
      </c>
      <c r="E107" s="68">
        <f>IF(E$87=0,"",$C107)</f>
        <v/>
      </c>
      <c r="F107" s="68">
        <f>IF(F$87=0,"",$C107)</f>
        <v/>
      </c>
      <c r="G107" s="68">
        <f>IF(G$87=0,"",$C107)</f>
        <v/>
      </c>
      <c r="H107" s="68">
        <f>IF(H$87=0,"",$C107)</f>
        <v/>
      </c>
      <c r="I107" s="68">
        <f>IF(I$87=0,"",$C107)</f>
        <v/>
      </c>
      <c r="J107" s="68">
        <f>IF(J$87=0,"",$C107)</f>
        <v/>
      </c>
      <c r="K107" s="68">
        <f>IF(K$87=0,"",$C107)</f>
        <v/>
      </c>
      <c r="L107" s="68">
        <f>IF(L$87=0,"",$C107)</f>
        <v/>
      </c>
      <c r="M107" s="68">
        <f>IF(M$87=0,"",$C107)</f>
        <v/>
      </c>
      <c r="N107" s="68">
        <f>IF(N$87=0,"",$C107)</f>
        <v/>
      </c>
      <c r="O107" s="68">
        <f>IF(O$87=0,"",$C107)</f>
        <v/>
      </c>
      <c r="P107" s="68">
        <f>IF(P$87=0,"",$C107)</f>
        <v/>
      </c>
      <c r="Q107" s="68">
        <f>IF(Q$87=0,"",$C107)</f>
        <v/>
      </c>
      <c r="R107" s="68">
        <f>IF(R$87=0,"",$C107)</f>
        <v/>
      </c>
      <c r="S107" s="68">
        <f>IF(S$87=0,"",$C107)</f>
        <v/>
      </c>
      <c r="T107" s="68">
        <f>IF(T$87=0,"",$C107)</f>
        <v/>
      </c>
      <c r="U107" s="68">
        <f>IF(U$87=0,"",$C107)</f>
        <v/>
      </c>
      <c r="V107" s="68">
        <f>IF(V$87=0,"",$C107)</f>
        <v/>
      </c>
      <c r="W107" s="68">
        <f>IF(W$87=0,"",$C107)</f>
        <v/>
      </c>
      <c r="X107" s="68">
        <f>IF(X$87=0,"",$C107)</f>
        <v/>
      </c>
      <c r="Y107" s="68">
        <f>IF(Y$87=0,"",$C107)</f>
        <v/>
      </c>
      <c r="Z107" s="68">
        <f>IF(Z$87=0,"",$C107)</f>
        <v/>
      </c>
      <c r="AA107" s="68">
        <f>IF(AA$87=0,"",$C107)</f>
        <v/>
      </c>
      <c r="AB107" s="68">
        <f>IF(AB$87=0,"",$C107)</f>
        <v/>
      </c>
      <c r="AC107" s="68">
        <f>IF(AC$87=0,"",$C107)</f>
        <v/>
      </c>
      <c r="AD107" s="68">
        <f>IF(AD$87=0,"",$C107)</f>
        <v/>
      </c>
      <c r="AE107" s="68">
        <f>IF(AE$87=0,"",$C107)</f>
        <v/>
      </c>
      <c r="AF107" s="68">
        <f>IF(AF$87=0,"",$C107)</f>
        <v/>
      </c>
      <c r="AG107" s="68">
        <f>IF(AG$87=0,"",$C107)</f>
        <v/>
      </c>
      <c r="AH107" s="68">
        <f>IF(AH$87=0,"",$C107)</f>
        <v/>
      </c>
      <c r="AI107" s="68">
        <f>IF(AI$87=0,"",$C107)</f>
        <v/>
      </c>
      <c r="AJ107" s="68">
        <f>IF(AJ$87=0,"",$C107)</f>
        <v/>
      </c>
      <c r="AK107" s="68">
        <f>IF(AK$87=0,"",$C107)</f>
        <v/>
      </c>
      <c r="AL107" s="68">
        <f>IF(AL$87=0,"",$C107)</f>
        <v/>
      </c>
      <c r="AM107" s="68">
        <f>IF(AM$87=0,"",$C107)</f>
        <v/>
      </c>
      <c r="AN107" s="68">
        <f>IF(AN$87=0,"",$C107)</f>
        <v/>
      </c>
      <c r="AO107" s="68">
        <f>IF(AO$87=0,"",$C107)</f>
        <v/>
      </c>
      <c r="AP107" s="68">
        <f>IF(AP$87=0,"",$C107)</f>
        <v/>
      </c>
      <c r="AQ107" s="68">
        <f>IF(AQ$87=0,"",$C107)</f>
        <v/>
      </c>
      <c r="AR107" s="68">
        <f>IF(AR$87=0,"",$C107)</f>
        <v/>
      </c>
      <c r="AS107" s="68">
        <f>IF(AS$87=0,"",$C107)</f>
        <v/>
      </c>
      <c r="AT107" s="68">
        <f>IF(AT$87=0,"",$C107)</f>
        <v/>
      </c>
      <c r="AU107" s="68">
        <f>IF(AU$87=0,"",$C107)</f>
        <v/>
      </c>
      <c r="AV107" s="68">
        <f>IF(AV$87=0,"",$C107)</f>
        <v/>
      </c>
      <c r="AW107" s="68">
        <f>IF(AW$87=0,"",$C107)</f>
        <v/>
      </c>
      <c r="AX107" s="68">
        <f>IF(AX$87=0,"",$C107)</f>
        <v/>
      </c>
      <c r="AY107" s="68">
        <f>IF(AY$87=0,"",$C107)</f>
        <v/>
      </c>
      <c r="AZ107" s="68">
        <f>IF(AZ$87=0,"",$C107)</f>
        <v/>
      </c>
    </row>
    <row r="108" ht="16.5" customHeight="1" s="179">
      <c r="B108" s="65">
        <f>B30</f>
        <v/>
      </c>
      <c r="C108" s="68">
        <f>'2E.ROE Scan'!BC78</f>
        <v/>
      </c>
      <c r="D108" s="68">
        <f>IF(D$87=0,"",$C108)</f>
        <v/>
      </c>
      <c r="E108" s="68">
        <f>IF(E$87=0,"",$C108)</f>
        <v/>
      </c>
      <c r="F108" s="68">
        <f>IF(F$87=0,"",$C108)</f>
        <v/>
      </c>
      <c r="G108" s="68">
        <f>IF(G$87=0,"",$C108)</f>
        <v/>
      </c>
      <c r="H108" s="68">
        <f>IF(H$87=0,"",$C108)</f>
        <v/>
      </c>
      <c r="I108" s="68">
        <f>IF(I$87=0,"",$C108)</f>
        <v/>
      </c>
      <c r="J108" s="68">
        <f>IF(J$87=0,"",$C108)</f>
        <v/>
      </c>
      <c r="K108" s="68">
        <f>IF(K$87=0,"",$C108)</f>
        <v/>
      </c>
      <c r="L108" s="68">
        <f>IF(L$87=0,"",$C108)</f>
        <v/>
      </c>
      <c r="M108" s="68">
        <f>IF(M$87=0,"",$C108)</f>
        <v/>
      </c>
      <c r="N108" s="68">
        <f>IF(N$87=0,"",$C108)</f>
        <v/>
      </c>
      <c r="O108" s="68">
        <f>IF(O$87=0,"",$C108)</f>
        <v/>
      </c>
      <c r="P108" s="68">
        <f>IF(P$87=0,"",$C108)</f>
        <v/>
      </c>
      <c r="Q108" s="68">
        <f>IF(Q$87=0,"",$C108)</f>
        <v/>
      </c>
      <c r="R108" s="68">
        <f>IF(R$87=0,"",$C108)</f>
        <v/>
      </c>
      <c r="S108" s="68">
        <f>IF(S$87=0,"",$C108)</f>
        <v/>
      </c>
      <c r="T108" s="68">
        <f>IF(T$87=0,"",$C108)</f>
        <v/>
      </c>
      <c r="U108" s="68">
        <f>IF(U$87=0,"",$C108)</f>
        <v/>
      </c>
      <c r="V108" s="68">
        <f>IF(V$87=0,"",$C108)</f>
        <v/>
      </c>
      <c r="W108" s="68">
        <f>IF(W$87=0,"",$C108)</f>
        <v/>
      </c>
      <c r="X108" s="68">
        <f>IF(X$87=0,"",$C108)</f>
        <v/>
      </c>
      <c r="Y108" s="68">
        <f>IF(Y$87=0,"",$C108)</f>
        <v/>
      </c>
      <c r="Z108" s="68">
        <f>IF(Z$87=0,"",$C108)</f>
        <v/>
      </c>
      <c r="AA108" s="68">
        <f>IF(AA$87=0,"",$C108)</f>
        <v/>
      </c>
      <c r="AB108" s="68">
        <f>IF(AB$87=0,"",$C108)</f>
        <v/>
      </c>
      <c r="AC108" s="68">
        <f>IF(AC$87=0,"",$C108)</f>
        <v/>
      </c>
      <c r="AD108" s="68">
        <f>IF(AD$87=0,"",$C108)</f>
        <v/>
      </c>
      <c r="AE108" s="68">
        <f>IF(AE$87=0,"",$C108)</f>
        <v/>
      </c>
      <c r="AF108" s="68">
        <f>IF(AF$87=0,"",$C108)</f>
        <v/>
      </c>
      <c r="AG108" s="68">
        <f>IF(AG$87=0,"",$C108)</f>
        <v/>
      </c>
      <c r="AH108" s="68">
        <f>IF(AH$87=0,"",$C108)</f>
        <v/>
      </c>
      <c r="AI108" s="68">
        <f>IF(AI$87=0,"",$C108)</f>
        <v/>
      </c>
      <c r="AJ108" s="68">
        <f>IF(AJ$87=0,"",$C108)</f>
        <v/>
      </c>
      <c r="AK108" s="68">
        <f>IF(AK$87=0,"",$C108)</f>
        <v/>
      </c>
      <c r="AL108" s="68">
        <f>IF(AL$87=0,"",$C108)</f>
        <v/>
      </c>
      <c r="AM108" s="68">
        <f>IF(AM$87=0,"",$C108)</f>
        <v/>
      </c>
      <c r="AN108" s="68">
        <f>IF(AN$87=0,"",$C108)</f>
        <v/>
      </c>
      <c r="AO108" s="68">
        <f>IF(AO$87=0,"",$C108)</f>
        <v/>
      </c>
      <c r="AP108" s="68">
        <f>IF(AP$87=0,"",$C108)</f>
        <v/>
      </c>
      <c r="AQ108" s="68">
        <f>IF(AQ$87=0,"",$C108)</f>
        <v/>
      </c>
      <c r="AR108" s="68">
        <f>IF(AR$87=0,"",$C108)</f>
        <v/>
      </c>
      <c r="AS108" s="68">
        <f>IF(AS$87=0,"",$C108)</f>
        <v/>
      </c>
      <c r="AT108" s="68">
        <f>IF(AT$87=0,"",$C108)</f>
        <v/>
      </c>
      <c r="AU108" s="68">
        <f>IF(AU$87=0,"",$C108)</f>
        <v/>
      </c>
      <c r="AV108" s="68">
        <f>IF(AV$87=0,"",$C108)</f>
        <v/>
      </c>
      <c r="AW108" s="68">
        <f>IF(AW$87=0,"",$C108)</f>
        <v/>
      </c>
      <c r="AX108" s="68">
        <f>IF(AX$87=0,"",$C108)</f>
        <v/>
      </c>
      <c r="AY108" s="68">
        <f>IF(AY$87=0,"",$C108)</f>
        <v/>
      </c>
      <c r="AZ108" s="68">
        <f>IF(AZ$87=0,"",$C108)</f>
        <v/>
      </c>
    </row>
    <row r="109" ht="16.5" customHeight="1" s="179">
      <c r="B109" s="65">
        <f>B31</f>
        <v/>
      </c>
      <c r="C109" s="68">
        <f>'2E.ROE Scan'!BC79</f>
        <v/>
      </c>
      <c r="D109" s="68">
        <f>IF(D$87=0,"",$C109)</f>
        <v/>
      </c>
      <c r="E109" s="68">
        <f>IF(E$87=0,"",$C109)</f>
        <v/>
      </c>
      <c r="F109" s="68">
        <f>IF(F$87=0,"",$C109)</f>
        <v/>
      </c>
      <c r="G109" s="68">
        <f>IF(G$87=0,"",$C109)</f>
        <v/>
      </c>
      <c r="H109" s="68">
        <f>IF(H$87=0,"",$C109)</f>
        <v/>
      </c>
      <c r="I109" s="68">
        <f>IF(I$87=0,"",$C109)</f>
        <v/>
      </c>
      <c r="J109" s="68">
        <f>IF(J$87=0,"",$C109)</f>
        <v/>
      </c>
      <c r="K109" s="68">
        <f>IF(K$87=0,"",$C109)</f>
        <v/>
      </c>
      <c r="L109" s="68">
        <f>IF(L$87=0,"",$C109)</f>
        <v/>
      </c>
      <c r="M109" s="68">
        <f>IF(M$87=0,"",$C109)</f>
        <v/>
      </c>
      <c r="N109" s="68">
        <f>IF(N$87=0,"",$C109)</f>
        <v/>
      </c>
      <c r="O109" s="68">
        <f>IF(O$87=0,"",$C109)</f>
        <v/>
      </c>
      <c r="P109" s="68">
        <f>IF(P$87=0,"",$C109)</f>
        <v/>
      </c>
      <c r="Q109" s="68">
        <f>IF(Q$87=0,"",$C109)</f>
        <v/>
      </c>
      <c r="R109" s="68">
        <f>IF(R$87=0,"",$C109)</f>
        <v/>
      </c>
      <c r="S109" s="68">
        <f>IF(S$87=0,"",$C109)</f>
        <v/>
      </c>
      <c r="T109" s="68">
        <f>IF(T$87=0,"",$C109)</f>
        <v/>
      </c>
      <c r="U109" s="68">
        <f>IF(U$87=0,"",$C109)</f>
        <v/>
      </c>
      <c r="V109" s="68">
        <f>IF(V$87=0,"",$C109)</f>
        <v/>
      </c>
      <c r="W109" s="68">
        <f>IF(W$87=0,"",$C109)</f>
        <v/>
      </c>
      <c r="X109" s="68">
        <f>IF(X$87=0,"",$C109)</f>
        <v/>
      </c>
      <c r="Y109" s="68">
        <f>IF(Y$87=0,"",$C109)</f>
        <v/>
      </c>
      <c r="Z109" s="68">
        <f>IF(Z$87=0,"",$C109)</f>
        <v/>
      </c>
      <c r="AA109" s="68">
        <f>IF(AA$87=0,"",$C109)</f>
        <v/>
      </c>
      <c r="AB109" s="68">
        <f>IF(AB$87=0,"",$C109)</f>
        <v/>
      </c>
      <c r="AC109" s="68">
        <f>IF(AC$87=0,"",$C109)</f>
        <v/>
      </c>
      <c r="AD109" s="68">
        <f>IF(AD$87=0,"",$C109)</f>
        <v/>
      </c>
      <c r="AE109" s="68">
        <f>IF(AE$87=0,"",$C109)</f>
        <v/>
      </c>
      <c r="AF109" s="68">
        <f>IF(AF$87=0,"",$C109)</f>
        <v/>
      </c>
      <c r="AG109" s="68">
        <f>IF(AG$87=0,"",$C109)</f>
        <v/>
      </c>
      <c r="AH109" s="68">
        <f>IF(AH$87=0,"",$C109)</f>
        <v/>
      </c>
      <c r="AI109" s="68">
        <f>IF(AI$87=0,"",$C109)</f>
        <v/>
      </c>
      <c r="AJ109" s="68">
        <f>IF(AJ$87=0,"",$C109)</f>
        <v/>
      </c>
      <c r="AK109" s="68">
        <f>IF(AK$87=0,"",$C109)</f>
        <v/>
      </c>
      <c r="AL109" s="68">
        <f>IF(AL$87=0,"",$C109)</f>
        <v/>
      </c>
      <c r="AM109" s="68">
        <f>IF(AM$87=0,"",$C109)</f>
        <v/>
      </c>
      <c r="AN109" s="68">
        <f>IF(AN$87=0,"",$C109)</f>
        <v/>
      </c>
      <c r="AO109" s="68">
        <f>IF(AO$87=0,"",$C109)</f>
        <v/>
      </c>
      <c r="AP109" s="68">
        <f>IF(AP$87=0,"",$C109)</f>
        <v/>
      </c>
      <c r="AQ109" s="68">
        <f>IF(AQ$87=0,"",$C109)</f>
        <v/>
      </c>
      <c r="AR109" s="68">
        <f>IF(AR$87=0,"",$C109)</f>
        <v/>
      </c>
      <c r="AS109" s="68">
        <f>IF(AS$87=0,"",$C109)</f>
        <v/>
      </c>
      <c r="AT109" s="68">
        <f>IF(AT$87=0,"",$C109)</f>
        <v/>
      </c>
      <c r="AU109" s="68">
        <f>IF(AU$87=0,"",$C109)</f>
        <v/>
      </c>
      <c r="AV109" s="68">
        <f>IF(AV$87=0,"",$C109)</f>
        <v/>
      </c>
      <c r="AW109" s="68">
        <f>IF(AW$87=0,"",$C109)</f>
        <v/>
      </c>
      <c r="AX109" s="68">
        <f>IF(AX$87=0,"",$C109)</f>
        <v/>
      </c>
      <c r="AY109" s="68">
        <f>IF(AY$87=0,"",$C109)</f>
        <v/>
      </c>
      <c r="AZ109" s="68">
        <f>IF(AZ$87=0,"",$C109)</f>
        <v/>
      </c>
    </row>
    <row r="110" ht="16.5" customHeight="1" s="179">
      <c r="B110" s="65">
        <f>B32</f>
        <v/>
      </c>
      <c r="C110" s="68">
        <f>'2E.ROE Scan'!BC80</f>
        <v/>
      </c>
      <c r="D110" s="68">
        <f>IF(D$87=0,"",$C110)</f>
        <v/>
      </c>
      <c r="E110" s="68">
        <f>IF(E$87=0,"",$C110)</f>
        <v/>
      </c>
      <c r="F110" s="68">
        <f>IF(F$87=0,"",$C110)</f>
        <v/>
      </c>
      <c r="G110" s="68">
        <f>IF(G$87=0,"",$C110)</f>
        <v/>
      </c>
      <c r="H110" s="68">
        <f>IF(H$87=0,"",$C110)</f>
        <v/>
      </c>
      <c r="I110" s="68">
        <f>IF(I$87=0,"",$C110)</f>
        <v/>
      </c>
      <c r="J110" s="68">
        <f>IF(J$87=0,"",$C110)</f>
        <v/>
      </c>
      <c r="K110" s="68">
        <f>IF(K$87=0,"",$C110)</f>
        <v/>
      </c>
      <c r="L110" s="68">
        <f>IF(L$87=0,"",$C110)</f>
        <v/>
      </c>
      <c r="M110" s="68">
        <f>IF(M$87=0,"",$C110)</f>
        <v/>
      </c>
      <c r="N110" s="68">
        <f>IF(N$87=0,"",$C110)</f>
        <v/>
      </c>
      <c r="O110" s="68">
        <f>IF(O$87=0,"",$C110)</f>
        <v/>
      </c>
      <c r="P110" s="68">
        <f>IF(P$87=0,"",$C110)</f>
        <v/>
      </c>
      <c r="Q110" s="68">
        <f>IF(Q$87=0,"",$C110)</f>
        <v/>
      </c>
      <c r="R110" s="68">
        <f>IF(R$87=0,"",$C110)</f>
        <v/>
      </c>
      <c r="S110" s="68">
        <f>IF(S$87=0,"",$C110)</f>
        <v/>
      </c>
      <c r="T110" s="68">
        <f>IF(T$87=0,"",$C110)</f>
        <v/>
      </c>
      <c r="U110" s="68">
        <f>IF(U$87=0,"",$C110)</f>
        <v/>
      </c>
      <c r="V110" s="68">
        <f>IF(V$87=0,"",$C110)</f>
        <v/>
      </c>
      <c r="W110" s="68">
        <f>IF(W$87=0,"",$C110)</f>
        <v/>
      </c>
      <c r="X110" s="68">
        <f>IF(X$87=0,"",$C110)</f>
        <v/>
      </c>
      <c r="Y110" s="68">
        <f>IF(Y$87=0,"",$C110)</f>
        <v/>
      </c>
      <c r="Z110" s="68">
        <f>IF(Z$87=0,"",$C110)</f>
        <v/>
      </c>
      <c r="AA110" s="68">
        <f>IF(AA$87=0,"",$C110)</f>
        <v/>
      </c>
      <c r="AB110" s="68">
        <f>IF(AB$87=0,"",$C110)</f>
        <v/>
      </c>
      <c r="AC110" s="68">
        <f>IF(AC$87=0,"",$C110)</f>
        <v/>
      </c>
      <c r="AD110" s="68">
        <f>IF(AD$87=0,"",$C110)</f>
        <v/>
      </c>
      <c r="AE110" s="68">
        <f>IF(AE$87=0,"",$C110)</f>
        <v/>
      </c>
      <c r="AF110" s="68">
        <f>IF(AF$87=0,"",$C110)</f>
        <v/>
      </c>
      <c r="AG110" s="68">
        <f>IF(AG$87=0,"",$C110)</f>
        <v/>
      </c>
      <c r="AH110" s="68">
        <f>IF(AH$87=0,"",$C110)</f>
        <v/>
      </c>
      <c r="AI110" s="68">
        <f>IF(AI$87=0,"",$C110)</f>
        <v/>
      </c>
      <c r="AJ110" s="68">
        <f>IF(AJ$87=0,"",$C110)</f>
        <v/>
      </c>
      <c r="AK110" s="68">
        <f>IF(AK$87=0,"",$C110)</f>
        <v/>
      </c>
      <c r="AL110" s="68">
        <f>IF(AL$87=0,"",$C110)</f>
        <v/>
      </c>
      <c r="AM110" s="68">
        <f>IF(AM$87=0,"",$C110)</f>
        <v/>
      </c>
      <c r="AN110" s="68">
        <f>IF(AN$87=0,"",$C110)</f>
        <v/>
      </c>
      <c r="AO110" s="68">
        <f>IF(AO$87=0,"",$C110)</f>
        <v/>
      </c>
      <c r="AP110" s="68">
        <f>IF(AP$87=0,"",$C110)</f>
        <v/>
      </c>
      <c r="AQ110" s="68">
        <f>IF(AQ$87=0,"",$C110)</f>
        <v/>
      </c>
      <c r="AR110" s="68">
        <f>IF(AR$87=0,"",$C110)</f>
        <v/>
      </c>
      <c r="AS110" s="68">
        <f>IF(AS$87=0,"",$C110)</f>
        <v/>
      </c>
      <c r="AT110" s="68">
        <f>IF(AT$87=0,"",$C110)</f>
        <v/>
      </c>
      <c r="AU110" s="68">
        <f>IF(AU$87=0,"",$C110)</f>
        <v/>
      </c>
      <c r="AV110" s="68">
        <f>IF(AV$87=0,"",$C110)</f>
        <v/>
      </c>
      <c r="AW110" s="68">
        <f>IF(AW$87=0,"",$C110)</f>
        <v/>
      </c>
      <c r="AX110" s="68">
        <f>IF(AX$87=0,"",$C110)</f>
        <v/>
      </c>
      <c r="AY110" s="68">
        <f>IF(AY$87=0,"",$C110)</f>
        <v/>
      </c>
      <c r="AZ110" s="68">
        <f>IF(AZ$87=0,"",$C110)</f>
        <v/>
      </c>
    </row>
    <row r="111" ht="16.5" customHeight="1" s="179">
      <c r="B111" s="65">
        <f>B33</f>
        <v/>
      </c>
      <c r="C111" s="68">
        <f>'2E.ROE Scan'!BC81</f>
        <v/>
      </c>
      <c r="D111" s="68">
        <f>IF(D$87=0,"",$C111)</f>
        <v/>
      </c>
      <c r="E111" s="68">
        <f>IF(E$87=0,"",$C111)</f>
        <v/>
      </c>
      <c r="F111" s="68">
        <f>IF(F$87=0,"",$C111)</f>
        <v/>
      </c>
      <c r="G111" s="68">
        <f>IF(G$87=0,"",$C111)</f>
        <v/>
      </c>
      <c r="H111" s="68">
        <f>IF(H$87=0,"",$C111)</f>
        <v/>
      </c>
      <c r="I111" s="68">
        <f>IF(I$87=0,"",$C111)</f>
        <v/>
      </c>
      <c r="J111" s="68">
        <f>IF(J$87=0,"",$C111)</f>
        <v/>
      </c>
      <c r="K111" s="68">
        <f>IF(K$87=0,"",$C111)</f>
        <v/>
      </c>
      <c r="L111" s="68">
        <f>IF(L$87=0,"",$C111)</f>
        <v/>
      </c>
      <c r="M111" s="68">
        <f>IF(M$87=0,"",$C111)</f>
        <v/>
      </c>
      <c r="N111" s="68">
        <f>IF(N$87=0,"",$C111)</f>
        <v/>
      </c>
      <c r="O111" s="68">
        <f>IF(O$87=0,"",$C111)</f>
        <v/>
      </c>
      <c r="P111" s="68">
        <f>IF(P$87=0,"",$C111)</f>
        <v/>
      </c>
      <c r="Q111" s="68">
        <f>IF(Q$87=0,"",$C111)</f>
        <v/>
      </c>
      <c r="R111" s="68">
        <f>IF(R$87=0,"",$C111)</f>
        <v/>
      </c>
      <c r="S111" s="68">
        <f>IF(S$87=0,"",$C111)</f>
        <v/>
      </c>
      <c r="T111" s="68">
        <f>IF(T$87=0,"",$C111)</f>
        <v/>
      </c>
      <c r="U111" s="68">
        <f>IF(U$87=0,"",$C111)</f>
        <v/>
      </c>
      <c r="V111" s="68">
        <f>IF(V$87=0,"",$C111)</f>
        <v/>
      </c>
      <c r="W111" s="68">
        <f>IF(W$87=0,"",$C111)</f>
        <v/>
      </c>
      <c r="X111" s="68">
        <f>IF(X$87=0,"",$C111)</f>
        <v/>
      </c>
      <c r="Y111" s="68">
        <f>IF(Y$87=0,"",$C111)</f>
        <v/>
      </c>
      <c r="Z111" s="68">
        <f>IF(Z$87=0,"",$C111)</f>
        <v/>
      </c>
      <c r="AA111" s="68">
        <f>IF(AA$87=0,"",$C111)</f>
        <v/>
      </c>
      <c r="AB111" s="68">
        <f>IF(AB$87=0,"",$C111)</f>
        <v/>
      </c>
      <c r="AC111" s="68">
        <f>IF(AC$87=0,"",$C111)</f>
        <v/>
      </c>
      <c r="AD111" s="68">
        <f>IF(AD$87=0,"",$C111)</f>
        <v/>
      </c>
      <c r="AE111" s="68">
        <f>IF(AE$87=0,"",$C111)</f>
        <v/>
      </c>
      <c r="AF111" s="68">
        <f>IF(AF$87=0,"",$C111)</f>
        <v/>
      </c>
      <c r="AG111" s="68">
        <f>IF(AG$87=0,"",$C111)</f>
        <v/>
      </c>
      <c r="AH111" s="68">
        <f>IF(AH$87=0,"",$C111)</f>
        <v/>
      </c>
      <c r="AI111" s="68">
        <f>IF(AI$87=0,"",$C111)</f>
        <v/>
      </c>
      <c r="AJ111" s="68">
        <f>IF(AJ$87=0,"",$C111)</f>
        <v/>
      </c>
      <c r="AK111" s="68">
        <f>IF(AK$87=0,"",$C111)</f>
        <v/>
      </c>
      <c r="AL111" s="68">
        <f>IF(AL$87=0,"",$C111)</f>
        <v/>
      </c>
      <c r="AM111" s="68">
        <f>IF(AM$87=0,"",$C111)</f>
        <v/>
      </c>
      <c r="AN111" s="68">
        <f>IF(AN$87=0,"",$C111)</f>
        <v/>
      </c>
      <c r="AO111" s="68">
        <f>IF(AO$87=0,"",$C111)</f>
        <v/>
      </c>
      <c r="AP111" s="68">
        <f>IF(AP$87=0,"",$C111)</f>
        <v/>
      </c>
      <c r="AQ111" s="68">
        <f>IF(AQ$87=0,"",$C111)</f>
        <v/>
      </c>
      <c r="AR111" s="68">
        <f>IF(AR$87=0,"",$C111)</f>
        <v/>
      </c>
      <c r="AS111" s="68">
        <f>IF(AS$87=0,"",$C111)</f>
        <v/>
      </c>
      <c r="AT111" s="68">
        <f>IF(AT$87=0,"",$C111)</f>
        <v/>
      </c>
      <c r="AU111" s="68">
        <f>IF(AU$87=0,"",$C111)</f>
        <v/>
      </c>
      <c r="AV111" s="68">
        <f>IF(AV$87=0,"",$C111)</f>
        <v/>
      </c>
      <c r="AW111" s="68">
        <f>IF(AW$87=0,"",$C111)</f>
        <v/>
      </c>
      <c r="AX111" s="68">
        <f>IF(AX$87=0,"",$C111)</f>
        <v/>
      </c>
      <c r="AY111" s="68">
        <f>IF(AY$87=0,"",$C111)</f>
        <v/>
      </c>
      <c r="AZ111" s="68">
        <f>IF(AZ$87=0,"",$C111)</f>
        <v/>
      </c>
    </row>
    <row r="112" ht="16.5" customHeight="1" s="179">
      <c r="B112" s="65">
        <f>B34</f>
        <v/>
      </c>
      <c r="C112" s="68">
        <f>'2E.ROE Scan'!BC82</f>
        <v/>
      </c>
      <c r="D112" s="68">
        <f>IF(D$87=0,"",$C112)</f>
        <v/>
      </c>
      <c r="E112" s="68">
        <f>IF(E$87=0,"",$C112)</f>
        <v/>
      </c>
      <c r="F112" s="68">
        <f>IF(F$87=0,"",$C112)</f>
        <v/>
      </c>
      <c r="G112" s="68">
        <f>IF(G$87=0,"",$C112)</f>
        <v/>
      </c>
      <c r="H112" s="68">
        <f>IF(H$87=0,"",$C112)</f>
        <v/>
      </c>
      <c r="I112" s="68">
        <f>IF(I$87=0,"",$C112)</f>
        <v/>
      </c>
      <c r="J112" s="68">
        <f>IF(J$87=0,"",$C112)</f>
        <v/>
      </c>
      <c r="K112" s="68">
        <f>IF(K$87=0,"",$C112)</f>
        <v/>
      </c>
      <c r="L112" s="68">
        <f>IF(L$87=0,"",$C112)</f>
        <v/>
      </c>
      <c r="M112" s="68">
        <f>IF(M$87=0,"",$C112)</f>
        <v/>
      </c>
      <c r="N112" s="68">
        <f>IF(N$87=0,"",$C112)</f>
        <v/>
      </c>
      <c r="O112" s="68">
        <f>IF(O$87=0,"",$C112)</f>
        <v/>
      </c>
      <c r="P112" s="68">
        <f>IF(P$87=0,"",$C112)</f>
        <v/>
      </c>
      <c r="Q112" s="68">
        <f>IF(Q$87=0,"",$C112)</f>
        <v/>
      </c>
      <c r="R112" s="68">
        <f>IF(R$87=0,"",$C112)</f>
        <v/>
      </c>
      <c r="S112" s="68">
        <f>IF(S$87=0,"",$C112)</f>
        <v/>
      </c>
      <c r="T112" s="68">
        <f>IF(T$87=0,"",$C112)</f>
        <v/>
      </c>
      <c r="U112" s="68">
        <f>IF(U$87=0,"",$C112)</f>
        <v/>
      </c>
      <c r="V112" s="68">
        <f>IF(V$87=0,"",$C112)</f>
        <v/>
      </c>
      <c r="W112" s="68">
        <f>IF(W$87=0,"",$C112)</f>
        <v/>
      </c>
      <c r="X112" s="68">
        <f>IF(X$87=0,"",$C112)</f>
        <v/>
      </c>
      <c r="Y112" s="68">
        <f>IF(Y$87=0,"",$C112)</f>
        <v/>
      </c>
      <c r="Z112" s="68">
        <f>IF(Z$87=0,"",$C112)</f>
        <v/>
      </c>
      <c r="AA112" s="68">
        <f>IF(AA$87=0,"",$C112)</f>
        <v/>
      </c>
      <c r="AB112" s="68">
        <f>IF(AB$87=0,"",$C112)</f>
        <v/>
      </c>
      <c r="AC112" s="68">
        <f>IF(AC$87=0,"",$C112)</f>
        <v/>
      </c>
      <c r="AD112" s="68">
        <f>IF(AD$87=0,"",$C112)</f>
        <v/>
      </c>
      <c r="AE112" s="68">
        <f>IF(AE$87=0,"",$C112)</f>
        <v/>
      </c>
      <c r="AF112" s="68">
        <f>IF(AF$87=0,"",$C112)</f>
        <v/>
      </c>
      <c r="AG112" s="68">
        <f>IF(AG$87=0,"",$C112)</f>
        <v/>
      </c>
      <c r="AH112" s="68">
        <f>IF(AH$87=0,"",$C112)</f>
        <v/>
      </c>
      <c r="AI112" s="68">
        <f>IF(AI$87=0,"",$C112)</f>
        <v/>
      </c>
      <c r="AJ112" s="68">
        <f>IF(AJ$87=0,"",$C112)</f>
        <v/>
      </c>
      <c r="AK112" s="68">
        <f>IF(AK$87=0,"",$C112)</f>
        <v/>
      </c>
      <c r="AL112" s="68">
        <f>IF(AL$87=0,"",$C112)</f>
        <v/>
      </c>
      <c r="AM112" s="68">
        <f>IF(AM$87=0,"",$C112)</f>
        <v/>
      </c>
      <c r="AN112" s="68">
        <f>IF(AN$87=0,"",$C112)</f>
        <v/>
      </c>
      <c r="AO112" s="68">
        <f>IF(AO$87=0,"",$C112)</f>
        <v/>
      </c>
      <c r="AP112" s="68">
        <f>IF(AP$87=0,"",$C112)</f>
        <v/>
      </c>
      <c r="AQ112" s="68">
        <f>IF(AQ$87=0,"",$C112)</f>
        <v/>
      </c>
      <c r="AR112" s="68">
        <f>IF(AR$87=0,"",$C112)</f>
        <v/>
      </c>
      <c r="AS112" s="68">
        <f>IF(AS$87=0,"",$C112)</f>
        <v/>
      </c>
      <c r="AT112" s="68">
        <f>IF(AT$87=0,"",$C112)</f>
        <v/>
      </c>
      <c r="AU112" s="68">
        <f>IF(AU$87=0,"",$C112)</f>
        <v/>
      </c>
      <c r="AV112" s="68">
        <f>IF(AV$87=0,"",$C112)</f>
        <v/>
      </c>
      <c r="AW112" s="68">
        <f>IF(AW$87=0,"",$C112)</f>
        <v/>
      </c>
      <c r="AX112" s="68">
        <f>IF(AX$87=0,"",$C112)</f>
        <v/>
      </c>
      <c r="AY112" s="68">
        <f>IF(AY$87=0,"",$C112)</f>
        <v/>
      </c>
      <c r="AZ112" s="68">
        <f>IF(AZ$87=0,"",$C112)</f>
        <v/>
      </c>
    </row>
    <row r="113" ht="16.5" customHeight="1" s="179">
      <c r="B113" s="65">
        <f>B35</f>
        <v/>
      </c>
      <c r="C113" s="68">
        <f>'2E.ROE Scan'!BC83</f>
        <v/>
      </c>
      <c r="D113" s="68">
        <f>IF(D$87=0,"",$C113)</f>
        <v/>
      </c>
      <c r="E113" s="68">
        <f>IF(E$87=0,"",$C113)</f>
        <v/>
      </c>
      <c r="F113" s="68">
        <f>IF(F$87=0,"",$C113)</f>
        <v/>
      </c>
      <c r="G113" s="68">
        <f>IF(G$87=0,"",$C113)</f>
        <v/>
      </c>
      <c r="H113" s="68">
        <f>IF(H$87=0,"",$C113)</f>
        <v/>
      </c>
      <c r="I113" s="68">
        <f>IF(I$87=0,"",$C113)</f>
        <v/>
      </c>
      <c r="J113" s="68">
        <f>IF(J$87=0,"",$C113)</f>
        <v/>
      </c>
      <c r="K113" s="68">
        <f>IF(K$87=0,"",$C113)</f>
        <v/>
      </c>
      <c r="L113" s="68">
        <f>IF(L$87=0,"",$C113)</f>
        <v/>
      </c>
      <c r="M113" s="68">
        <f>IF(M$87=0,"",$C113)</f>
        <v/>
      </c>
      <c r="N113" s="68">
        <f>IF(N$87=0,"",$C113)</f>
        <v/>
      </c>
      <c r="O113" s="68">
        <f>IF(O$87=0,"",$C113)</f>
        <v/>
      </c>
      <c r="P113" s="68">
        <f>IF(P$87=0,"",$C113)</f>
        <v/>
      </c>
      <c r="Q113" s="68">
        <f>IF(Q$87=0,"",$C113)</f>
        <v/>
      </c>
      <c r="R113" s="68">
        <f>IF(R$87=0,"",$C113)</f>
        <v/>
      </c>
      <c r="S113" s="68">
        <f>IF(S$87=0,"",$C113)</f>
        <v/>
      </c>
      <c r="T113" s="68">
        <f>IF(T$87=0,"",$C113)</f>
        <v/>
      </c>
      <c r="U113" s="68">
        <f>IF(U$87=0,"",$C113)</f>
        <v/>
      </c>
      <c r="V113" s="68">
        <f>IF(V$87=0,"",$C113)</f>
        <v/>
      </c>
      <c r="W113" s="68">
        <f>IF(W$87=0,"",$C113)</f>
        <v/>
      </c>
      <c r="X113" s="68">
        <f>IF(X$87=0,"",$C113)</f>
        <v/>
      </c>
      <c r="Y113" s="68">
        <f>IF(Y$87=0,"",$C113)</f>
        <v/>
      </c>
      <c r="Z113" s="68">
        <f>IF(Z$87=0,"",$C113)</f>
        <v/>
      </c>
      <c r="AA113" s="68">
        <f>IF(AA$87=0,"",$C113)</f>
        <v/>
      </c>
      <c r="AB113" s="68">
        <f>IF(AB$87=0,"",$C113)</f>
        <v/>
      </c>
      <c r="AC113" s="68">
        <f>IF(AC$87=0,"",$C113)</f>
        <v/>
      </c>
      <c r="AD113" s="68">
        <f>IF(AD$87=0,"",$C113)</f>
        <v/>
      </c>
      <c r="AE113" s="68">
        <f>IF(AE$87=0,"",$C113)</f>
        <v/>
      </c>
      <c r="AF113" s="68">
        <f>IF(AF$87=0,"",$C113)</f>
        <v/>
      </c>
      <c r="AG113" s="68">
        <f>IF(AG$87=0,"",$C113)</f>
        <v/>
      </c>
      <c r="AH113" s="68">
        <f>IF(AH$87=0,"",$C113)</f>
        <v/>
      </c>
      <c r="AI113" s="68">
        <f>IF(AI$87=0,"",$C113)</f>
        <v/>
      </c>
      <c r="AJ113" s="68">
        <f>IF(AJ$87=0,"",$C113)</f>
        <v/>
      </c>
      <c r="AK113" s="68">
        <f>IF(AK$87=0,"",$C113)</f>
        <v/>
      </c>
      <c r="AL113" s="68">
        <f>IF(AL$87=0,"",$C113)</f>
        <v/>
      </c>
      <c r="AM113" s="68">
        <f>IF(AM$87=0,"",$C113)</f>
        <v/>
      </c>
      <c r="AN113" s="68">
        <f>IF(AN$87=0,"",$C113)</f>
        <v/>
      </c>
      <c r="AO113" s="68">
        <f>IF(AO$87=0,"",$C113)</f>
        <v/>
      </c>
      <c r="AP113" s="68">
        <f>IF(AP$87=0,"",$C113)</f>
        <v/>
      </c>
      <c r="AQ113" s="68">
        <f>IF(AQ$87=0,"",$C113)</f>
        <v/>
      </c>
      <c r="AR113" s="68">
        <f>IF(AR$87=0,"",$C113)</f>
        <v/>
      </c>
      <c r="AS113" s="68">
        <f>IF(AS$87=0,"",$C113)</f>
        <v/>
      </c>
      <c r="AT113" s="68">
        <f>IF(AT$87=0,"",$C113)</f>
        <v/>
      </c>
      <c r="AU113" s="68">
        <f>IF(AU$87=0,"",$C113)</f>
        <v/>
      </c>
      <c r="AV113" s="68">
        <f>IF(AV$87=0,"",$C113)</f>
        <v/>
      </c>
      <c r="AW113" s="68">
        <f>IF(AW$87=0,"",$C113)</f>
        <v/>
      </c>
      <c r="AX113" s="68">
        <f>IF(AX$87=0,"",$C113)</f>
        <v/>
      </c>
      <c r="AY113" s="68">
        <f>IF(AY$87=0,"",$C113)</f>
        <v/>
      </c>
      <c r="AZ113" s="68">
        <f>IF(AZ$87=0,"",$C113)</f>
        <v/>
      </c>
    </row>
    <row r="114" ht="16.5" customHeight="1" s="179">
      <c r="B114" s="65">
        <f>B36</f>
        <v/>
      </c>
      <c r="C114" s="68">
        <f>'2E.ROE Scan'!BC84</f>
        <v/>
      </c>
      <c r="D114" s="68">
        <f>IF(D$87=0,"",$C114)</f>
        <v/>
      </c>
      <c r="E114" s="68">
        <f>IF(E$87=0,"",$C114)</f>
        <v/>
      </c>
      <c r="F114" s="68">
        <f>IF(F$87=0,"",$C114)</f>
        <v/>
      </c>
      <c r="G114" s="68">
        <f>IF(G$87=0,"",$C114)</f>
        <v/>
      </c>
      <c r="H114" s="68">
        <f>IF(H$87=0,"",$C114)</f>
        <v/>
      </c>
      <c r="I114" s="68">
        <f>IF(I$87=0,"",$C114)</f>
        <v/>
      </c>
      <c r="J114" s="68">
        <f>IF(J$87=0,"",$C114)</f>
        <v/>
      </c>
      <c r="K114" s="68">
        <f>IF(K$87=0,"",$C114)</f>
        <v/>
      </c>
      <c r="L114" s="68">
        <f>IF(L$87=0,"",$C114)</f>
        <v/>
      </c>
      <c r="M114" s="68">
        <f>IF(M$87=0,"",$C114)</f>
        <v/>
      </c>
      <c r="N114" s="68">
        <f>IF(N$87=0,"",$C114)</f>
        <v/>
      </c>
      <c r="O114" s="68">
        <f>IF(O$87=0,"",$C114)</f>
        <v/>
      </c>
      <c r="P114" s="68">
        <f>IF(P$87=0,"",$C114)</f>
        <v/>
      </c>
      <c r="Q114" s="68">
        <f>IF(Q$87=0,"",$C114)</f>
        <v/>
      </c>
      <c r="R114" s="68">
        <f>IF(R$87=0,"",$C114)</f>
        <v/>
      </c>
      <c r="S114" s="68">
        <f>IF(S$87=0,"",$C114)</f>
        <v/>
      </c>
      <c r="T114" s="68">
        <f>IF(T$87=0,"",$C114)</f>
        <v/>
      </c>
      <c r="U114" s="68">
        <f>IF(U$87=0,"",$C114)</f>
        <v/>
      </c>
      <c r="V114" s="68">
        <f>IF(V$87=0,"",$C114)</f>
        <v/>
      </c>
      <c r="W114" s="68">
        <f>IF(W$87=0,"",$C114)</f>
        <v/>
      </c>
      <c r="X114" s="68">
        <f>IF(X$87=0,"",$C114)</f>
        <v/>
      </c>
      <c r="Y114" s="68">
        <f>IF(Y$87=0,"",$C114)</f>
        <v/>
      </c>
      <c r="Z114" s="68">
        <f>IF(Z$87=0,"",$C114)</f>
        <v/>
      </c>
      <c r="AA114" s="68">
        <f>IF(AA$87=0,"",$C114)</f>
        <v/>
      </c>
      <c r="AB114" s="68">
        <f>IF(AB$87=0,"",$C114)</f>
        <v/>
      </c>
      <c r="AC114" s="68">
        <f>IF(AC$87=0,"",$C114)</f>
        <v/>
      </c>
      <c r="AD114" s="68">
        <f>IF(AD$87=0,"",$C114)</f>
        <v/>
      </c>
      <c r="AE114" s="68">
        <f>IF(AE$87=0,"",$C114)</f>
        <v/>
      </c>
      <c r="AF114" s="68">
        <f>IF(AF$87=0,"",$C114)</f>
        <v/>
      </c>
      <c r="AG114" s="68">
        <f>IF(AG$87=0,"",$C114)</f>
        <v/>
      </c>
      <c r="AH114" s="68">
        <f>IF(AH$87=0,"",$C114)</f>
        <v/>
      </c>
      <c r="AI114" s="68">
        <f>IF(AI$87=0,"",$C114)</f>
        <v/>
      </c>
      <c r="AJ114" s="68">
        <f>IF(AJ$87=0,"",$C114)</f>
        <v/>
      </c>
      <c r="AK114" s="68">
        <f>IF(AK$87=0,"",$C114)</f>
        <v/>
      </c>
      <c r="AL114" s="68">
        <f>IF(AL$87=0,"",$C114)</f>
        <v/>
      </c>
      <c r="AM114" s="68">
        <f>IF(AM$87=0,"",$C114)</f>
        <v/>
      </c>
      <c r="AN114" s="68">
        <f>IF(AN$87=0,"",$C114)</f>
        <v/>
      </c>
      <c r="AO114" s="68">
        <f>IF(AO$87=0,"",$C114)</f>
        <v/>
      </c>
      <c r="AP114" s="68">
        <f>IF(AP$87=0,"",$C114)</f>
        <v/>
      </c>
      <c r="AQ114" s="68">
        <f>IF(AQ$87=0,"",$C114)</f>
        <v/>
      </c>
      <c r="AR114" s="68">
        <f>IF(AR$87=0,"",$C114)</f>
        <v/>
      </c>
      <c r="AS114" s="68">
        <f>IF(AS$87=0,"",$C114)</f>
        <v/>
      </c>
      <c r="AT114" s="68">
        <f>IF(AT$87=0,"",$C114)</f>
        <v/>
      </c>
      <c r="AU114" s="68">
        <f>IF(AU$87=0,"",$C114)</f>
        <v/>
      </c>
      <c r="AV114" s="68">
        <f>IF(AV$87=0,"",$C114)</f>
        <v/>
      </c>
      <c r="AW114" s="68">
        <f>IF(AW$87=0,"",$C114)</f>
        <v/>
      </c>
      <c r="AX114" s="68">
        <f>IF(AX$87=0,"",$C114)</f>
        <v/>
      </c>
      <c r="AY114" s="68">
        <f>IF(AY$87=0,"",$C114)</f>
        <v/>
      </c>
      <c r="AZ114" s="68">
        <f>IF(AZ$87=0,"",$C114)</f>
        <v/>
      </c>
    </row>
    <row r="115" ht="16.5" customHeight="1" s="179">
      <c r="B115" s="65">
        <f>B37</f>
        <v/>
      </c>
      <c r="C115" s="68">
        <f>'2E.ROE Scan'!BC85</f>
        <v/>
      </c>
      <c r="D115" s="68">
        <f>IF(D$87=0,"",$C115)</f>
        <v/>
      </c>
      <c r="E115" s="68">
        <f>IF(E$87=0,"",$C115)</f>
        <v/>
      </c>
      <c r="F115" s="68">
        <f>IF(F$87=0,"",$C115)</f>
        <v/>
      </c>
      <c r="G115" s="68">
        <f>IF(G$87=0,"",$C115)</f>
        <v/>
      </c>
      <c r="H115" s="68">
        <f>IF(H$87=0,"",$C115)</f>
        <v/>
      </c>
      <c r="I115" s="68">
        <f>IF(I$87=0,"",$C115)</f>
        <v/>
      </c>
      <c r="J115" s="68">
        <f>IF(J$87=0,"",$C115)</f>
        <v/>
      </c>
      <c r="K115" s="68">
        <f>IF(K$87=0,"",$C115)</f>
        <v/>
      </c>
      <c r="L115" s="68">
        <f>IF(L$87=0,"",$C115)</f>
        <v/>
      </c>
      <c r="M115" s="68">
        <f>IF(M$87=0,"",$C115)</f>
        <v/>
      </c>
      <c r="N115" s="68">
        <f>IF(N$87=0,"",$C115)</f>
        <v/>
      </c>
      <c r="O115" s="68">
        <f>IF(O$87=0,"",$C115)</f>
        <v/>
      </c>
      <c r="P115" s="68">
        <f>IF(P$87=0,"",$C115)</f>
        <v/>
      </c>
      <c r="Q115" s="68">
        <f>IF(Q$87=0,"",$C115)</f>
        <v/>
      </c>
      <c r="R115" s="68">
        <f>IF(R$87=0,"",$C115)</f>
        <v/>
      </c>
      <c r="S115" s="68">
        <f>IF(S$87=0,"",$C115)</f>
        <v/>
      </c>
      <c r="T115" s="68">
        <f>IF(T$87=0,"",$C115)</f>
        <v/>
      </c>
      <c r="U115" s="68">
        <f>IF(U$87=0,"",$C115)</f>
        <v/>
      </c>
      <c r="V115" s="68">
        <f>IF(V$87=0,"",$C115)</f>
        <v/>
      </c>
      <c r="W115" s="68">
        <f>IF(W$87=0,"",$C115)</f>
        <v/>
      </c>
      <c r="X115" s="68">
        <f>IF(X$87=0,"",$C115)</f>
        <v/>
      </c>
      <c r="Y115" s="68">
        <f>IF(Y$87=0,"",$C115)</f>
        <v/>
      </c>
      <c r="Z115" s="68">
        <f>IF(Z$87=0,"",$C115)</f>
        <v/>
      </c>
      <c r="AA115" s="68">
        <f>IF(AA$87=0,"",$C115)</f>
        <v/>
      </c>
      <c r="AB115" s="68">
        <f>IF(AB$87=0,"",$C115)</f>
        <v/>
      </c>
      <c r="AC115" s="68">
        <f>IF(AC$87=0,"",$C115)</f>
        <v/>
      </c>
      <c r="AD115" s="68">
        <f>IF(AD$87=0,"",$C115)</f>
        <v/>
      </c>
      <c r="AE115" s="68">
        <f>IF(AE$87=0,"",$C115)</f>
        <v/>
      </c>
      <c r="AF115" s="68">
        <f>IF(AF$87=0,"",$C115)</f>
        <v/>
      </c>
      <c r="AG115" s="68">
        <f>IF(AG$87=0,"",$C115)</f>
        <v/>
      </c>
      <c r="AH115" s="68">
        <f>IF(AH$87=0,"",$C115)</f>
        <v/>
      </c>
      <c r="AI115" s="68">
        <f>IF(AI$87=0,"",$C115)</f>
        <v/>
      </c>
      <c r="AJ115" s="68">
        <f>IF(AJ$87=0,"",$C115)</f>
        <v/>
      </c>
      <c r="AK115" s="68">
        <f>IF(AK$87=0,"",$C115)</f>
        <v/>
      </c>
      <c r="AL115" s="68">
        <f>IF(AL$87=0,"",$C115)</f>
        <v/>
      </c>
      <c r="AM115" s="68">
        <f>IF(AM$87=0,"",$C115)</f>
        <v/>
      </c>
      <c r="AN115" s="68">
        <f>IF(AN$87=0,"",$C115)</f>
        <v/>
      </c>
      <c r="AO115" s="68">
        <f>IF(AO$87=0,"",$C115)</f>
        <v/>
      </c>
      <c r="AP115" s="68">
        <f>IF(AP$87=0,"",$C115)</f>
        <v/>
      </c>
      <c r="AQ115" s="68">
        <f>IF(AQ$87=0,"",$C115)</f>
        <v/>
      </c>
      <c r="AR115" s="68">
        <f>IF(AR$87=0,"",$C115)</f>
        <v/>
      </c>
      <c r="AS115" s="68">
        <f>IF(AS$87=0,"",$C115)</f>
        <v/>
      </c>
      <c r="AT115" s="68">
        <f>IF(AT$87=0,"",$C115)</f>
        <v/>
      </c>
      <c r="AU115" s="68">
        <f>IF(AU$87=0,"",$C115)</f>
        <v/>
      </c>
      <c r="AV115" s="68">
        <f>IF(AV$87=0,"",$C115)</f>
        <v/>
      </c>
      <c r="AW115" s="68">
        <f>IF(AW$87=0,"",$C115)</f>
        <v/>
      </c>
      <c r="AX115" s="68">
        <f>IF(AX$87=0,"",$C115)</f>
        <v/>
      </c>
      <c r="AY115" s="68">
        <f>IF(AY$87=0,"",$C115)</f>
        <v/>
      </c>
      <c r="AZ115" s="68">
        <f>IF(AZ$87=0,"",$C115)</f>
        <v/>
      </c>
    </row>
    <row r="116" ht="16.5" customHeight="1" s="179">
      <c r="B116" s="65">
        <f>B38</f>
        <v/>
      </c>
      <c r="C116" s="68">
        <f>'2E.ROE Scan'!BC86</f>
        <v/>
      </c>
      <c r="D116" s="68">
        <f>IF(D$87=0,"",$C116)</f>
        <v/>
      </c>
      <c r="E116" s="68">
        <f>IF(E$87=0,"",$C116)</f>
        <v/>
      </c>
      <c r="F116" s="68">
        <f>IF(F$87=0,"",$C116)</f>
        <v/>
      </c>
      <c r="G116" s="68">
        <f>IF(G$87=0,"",$C116)</f>
        <v/>
      </c>
      <c r="H116" s="68">
        <f>IF(H$87=0,"",$C116)</f>
        <v/>
      </c>
      <c r="I116" s="68">
        <f>IF(I$87=0,"",$C116)</f>
        <v/>
      </c>
      <c r="J116" s="68">
        <f>IF(J$87=0,"",$C116)</f>
        <v/>
      </c>
      <c r="K116" s="68">
        <f>IF(K$87=0,"",$C116)</f>
        <v/>
      </c>
      <c r="L116" s="68">
        <f>IF(L$87=0,"",$C116)</f>
        <v/>
      </c>
      <c r="M116" s="68">
        <f>IF(M$87=0,"",$C116)</f>
        <v/>
      </c>
      <c r="N116" s="68">
        <f>IF(N$87=0,"",$C116)</f>
        <v/>
      </c>
      <c r="O116" s="68">
        <f>IF(O$87=0,"",$C116)</f>
        <v/>
      </c>
      <c r="P116" s="68">
        <f>IF(P$87=0,"",$C116)</f>
        <v/>
      </c>
      <c r="Q116" s="68">
        <f>IF(Q$87=0,"",$C116)</f>
        <v/>
      </c>
      <c r="R116" s="68">
        <f>IF(R$87=0,"",$C116)</f>
        <v/>
      </c>
      <c r="S116" s="68">
        <f>IF(S$87=0,"",$C116)</f>
        <v/>
      </c>
      <c r="T116" s="68">
        <f>IF(T$87=0,"",$C116)</f>
        <v/>
      </c>
      <c r="U116" s="68">
        <f>IF(U$87=0,"",$C116)</f>
        <v/>
      </c>
      <c r="V116" s="68">
        <f>IF(V$87=0,"",$C116)</f>
        <v/>
      </c>
      <c r="W116" s="68">
        <f>IF(W$87=0,"",$C116)</f>
        <v/>
      </c>
      <c r="X116" s="68">
        <f>IF(X$87=0,"",$C116)</f>
        <v/>
      </c>
      <c r="Y116" s="68">
        <f>IF(Y$87=0,"",$C116)</f>
        <v/>
      </c>
      <c r="Z116" s="68">
        <f>IF(Z$87=0,"",$C116)</f>
        <v/>
      </c>
      <c r="AA116" s="68">
        <f>IF(AA$87=0,"",$C116)</f>
        <v/>
      </c>
      <c r="AB116" s="68">
        <f>IF(AB$87=0,"",$C116)</f>
        <v/>
      </c>
      <c r="AC116" s="68">
        <f>IF(AC$87=0,"",$C116)</f>
        <v/>
      </c>
      <c r="AD116" s="68">
        <f>IF(AD$87=0,"",$C116)</f>
        <v/>
      </c>
      <c r="AE116" s="68">
        <f>IF(AE$87=0,"",$C116)</f>
        <v/>
      </c>
      <c r="AF116" s="68">
        <f>IF(AF$87=0,"",$C116)</f>
        <v/>
      </c>
      <c r="AG116" s="68">
        <f>IF(AG$87=0,"",$C116)</f>
        <v/>
      </c>
      <c r="AH116" s="68">
        <f>IF(AH$87=0,"",$C116)</f>
        <v/>
      </c>
      <c r="AI116" s="68">
        <f>IF(AI$87=0,"",$C116)</f>
        <v/>
      </c>
      <c r="AJ116" s="68">
        <f>IF(AJ$87=0,"",$C116)</f>
        <v/>
      </c>
      <c r="AK116" s="68">
        <f>IF(AK$87=0,"",$C116)</f>
        <v/>
      </c>
      <c r="AL116" s="68">
        <f>IF(AL$87=0,"",$C116)</f>
        <v/>
      </c>
      <c r="AM116" s="68">
        <f>IF(AM$87=0,"",$C116)</f>
        <v/>
      </c>
      <c r="AN116" s="68">
        <f>IF(AN$87=0,"",$C116)</f>
        <v/>
      </c>
      <c r="AO116" s="68">
        <f>IF(AO$87=0,"",$C116)</f>
        <v/>
      </c>
      <c r="AP116" s="68">
        <f>IF(AP$87=0,"",$C116)</f>
        <v/>
      </c>
      <c r="AQ116" s="68">
        <f>IF(AQ$87=0,"",$C116)</f>
        <v/>
      </c>
      <c r="AR116" s="68">
        <f>IF(AR$87=0,"",$C116)</f>
        <v/>
      </c>
      <c r="AS116" s="68">
        <f>IF(AS$87=0,"",$C116)</f>
        <v/>
      </c>
      <c r="AT116" s="68">
        <f>IF(AT$87=0,"",$C116)</f>
        <v/>
      </c>
      <c r="AU116" s="68">
        <f>IF(AU$87=0,"",$C116)</f>
        <v/>
      </c>
      <c r="AV116" s="68">
        <f>IF(AV$87=0,"",$C116)</f>
        <v/>
      </c>
      <c r="AW116" s="68">
        <f>IF(AW$87=0,"",$C116)</f>
        <v/>
      </c>
      <c r="AX116" s="68">
        <f>IF(AX$87=0,"",$C116)</f>
        <v/>
      </c>
      <c r="AY116" s="68">
        <f>IF(AY$87=0,"",$C116)</f>
        <v/>
      </c>
      <c r="AZ116" s="68">
        <f>IF(AZ$87=0,"",$C116)</f>
        <v/>
      </c>
    </row>
    <row r="117" ht="16.5" customHeight="1" s="179">
      <c r="B117" s="65">
        <f>B39</f>
        <v/>
      </c>
      <c r="C117" s="68">
        <f>'2E.ROE Scan'!BC87</f>
        <v/>
      </c>
      <c r="D117" s="68">
        <f>IF(D$87=0,"",$C117)</f>
        <v/>
      </c>
      <c r="E117" s="68">
        <f>IF(E$87=0,"",$C117)</f>
        <v/>
      </c>
      <c r="F117" s="68">
        <f>IF(F$87=0,"",$C117)</f>
        <v/>
      </c>
      <c r="G117" s="68">
        <f>IF(G$87=0,"",$C117)</f>
        <v/>
      </c>
      <c r="H117" s="68">
        <f>IF(H$87=0,"",$C117)</f>
        <v/>
      </c>
      <c r="I117" s="68">
        <f>IF(I$87=0,"",$C117)</f>
        <v/>
      </c>
      <c r="J117" s="68">
        <f>IF(J$87=0,"",$C117)</f>
        <v/>
      </c>
      <c r="K117" s="68">
        <f>IF(K$87=0,"",$C117)</f>
        <v/>
      </c>
      <c r="L117" s="68">
        <f>IF(L$87=0,"",$C117)</f>
        <v/>
      </c>
      <c r="M117" s="68">
        <f>IF(M$87=0,"",$C117)</f>
        <v/>
      </c>
      <c r="N117" s="68">
        <f>IF(N$87=0,"",$C117)</f>
        <v/>
      </c>
      <c r="O117" s="68">
        <f>IF(O$87=0,"",$C117)</f>
        <v/>
      </c>
      <c r="P117" s="68">
        <f>IF(P$87=0,"",$C117)</f>
        <v/>
      </c>
      <c r="Q117" s="68">
        <f>IF(Q$87=0,"",$C117)</f>
        <v/>
      </c>
      <c r="R117" s="68">
        <f>IF(R$87=0,"",$C117)</f>
        <v/>
      </c>
      <c r="S117" s="68">
        <f>IF(S$87=0,"",$C117)</f>
        <v/>
      </c>
      <c r="T117" s="68">
        <f>IF(T$87=0,"",$C117)</f>
        <v/>
      </c>
      <c r="U117" s="68">
        <f>IF(U$87=0,"",$C117)</f>
        <v/>
      </c>
      <c r="V117" s="68">
        <f>IF(V$87=0,"",$C117)</f>
        <v/>
      </c>
      <c r="W117" s="68">
        <f>IF(W$87=0,"",$C117)</f>
        <v/>
      </c>
      <c r="X117" s="68">
        <f>IF(X$87=0,"",$C117)</f>
        <v/>
      </c>
      <c r="Y117" s="68">
        <f>IF(Y$87=0,"",$C117)</f>
        <v/>
      </c>
      <c r="Z117" s="68">
        <f>IF(Z$87=0,"",$C117)</f>
        <v/>
      </c>
      <c r="AA117" s="68">
        <f>IF(AA$87=0,"",$C117)</f>
        <v/>
      </c>
      <c r="AB117" s="68">
        <f>IF(AB$87=0,"",$C117)</f>
        <v/>
      </c>
      <c r="AC117" s="68">
        <f>IF(AC$87=0,"",$C117)</f>
        <v/>
      </c>
      <c r="AD117" s="68">
        <f>IF(AD$87=0,"",$C117)</f>
        <v/>
      </c>
      <c r="AE117" s="68">
        <f>IF(AE$87=0,"",$C117)</f>
        <v/>
      </c>
      <c r="AF117" s="68">
        <f>IF(AF$87=0,"",$C117)</f>
        <v/>
      </c>
      <c r="AG117" s="68">
        <f>IF(AG$87=0,"",$C117)</f>
        <v/>
      </c>
      <c r="AH117" s="68">
        <f>IF(AH$87=0,"",$C117)</f>
        <v/>
      </c>
      <c r="AI117" s="68">
        <f>IF(AI$87=0,"",$C117)</f>
        <v/>
      </c>
      <c r="AJ117" s="68">
        <f>IF(AJ$87=0,"",$C117)</f>
        <v/>
      </c>
      <c r="AK117" s="68">
        <f>IF(AK$87=0,"",$C117)</f>
        <v/>
      </c>
      <c r="AL117" s="68">
        <f>IF(AL$87=0,"",$C117)</f>
        <v/>
      </c>
      <c r="AM117" s="68">
        <f>IF(AM$87=0,"",$C117)</f>
        <v/>
      </c>
      <c r="AN117" s="68">
        <f>IF(AN$87=0,"",$C117)</f>
        <v/>
      </c>
      <c r="AO117" s="68">
        <f>IF(AO$87=0,"",$C117)</f>
        <v/>
      </c>
      <c r="AP117" s="68">
        <f>IF(AP$87=0,"",$C117)</f>
        <v/>
      </c>
      <c r="AQ117" s="68">
        <f>IF(AQ$87=0,"",$C117)</f>
        <v/>
      </c>
      <c r="AR117" s="68">
        <f>IF(AR$87=0,"",$C117)</f>
        <v/>
      </c>
      <c r="AS117" s="68">
        <f>IF(AS$87=0,"",$C117)</f>
        <v/>
      </c>
      <c r="AT117" s="68">
        <f>IF(AT$87=0,"",$C117)</f>
        <v/>
      </c>
      <c r="AU117" s="68">
        <f>IF(AU$87=0,"",$C117)</f>
        <v/>
      </c>
      <c r="AV117" s="68">
        <f>IF(AV$87=0,"",$C117)</f>
        <v/>
      </c>
      <c r="AW117" s="68">
        <f>IF(AW$87=0,"",$C117)</f>
        <v/>
      </c>
      <c r="AX117" s="68">
        <f>IF(AX$87=0,"",$C117)</f>
        <v/>
      </c>
      <c r="AY117" s="68">
        <f>IF(AY$87=0,"",$C117)</f>
        <v/>
      </c>
      <c r="AZ117" s="68">
        <f>IF(AZ$87=0,"",$C117)</f>
        <v/>
      </c>
    </row>
    <row r="118" ht="16.5" customHeight="1" s="179">
      <c r="B118" s="65">
        <f>B40</f>
        <v/>
      </c>
      <c r="C118" s="68">
        <f>'2E.ROE Scan'!BC88</f>
        <v/>
      </c>
      <c r="D118" s="68">
        <f>IF(D$87=0,"",$C118)</f>
        <v/>
      </c>
      <c r="E118" s="68">
        <f>IF(E$87=0,"",$C118)</f>
        <v/>
      </c>
      <c r="F118" s="68">
        <f>IF(F$87=0,"",$C118)</f>
        <v/>
      </c>
      <c r="G118" s="68">
        <f>IF(G$87=0,"",$C118)</f>
        <v/>
      </c>
      <c r="H118" s="68">
        <f>IF(H$87=0,"",$C118)</f>
        <v/>
      </c>
      <c r="I118" s="68">
        <f>IF(I$87=0,"",$C118)</f>
        <v/>
      </c>
      <c r="J118" s="68">
        <f>IF(J$87=0,"",$C118)</f>
        <v/>
      </c>
      <c r="K118" s="68">
        <f>IF(K$87=0,"",$C118)</f>
        <v/>
      </c>
      <c r="L118" s="68">
        <f>IF(L$87=0,"",$C118)</f>
        <v/>
      </c>
      <c r="M118" s="68">
        <f>IF(M$87=0,"",$C118)</f>
        <v/>
      </c>
      <c r="N118" s="68">
        <f>IF(N$87=0,"",$C118)</f>
        <v/>
      </c>
      <c r="O118" s="68">
        <f>IF(O$87=0,"",$C118)</f>
        <v/>
      </c>
      <c r="P118" s="68">
        <f>IF(P$87=0,"",$C118)</f>
        <v/>
      </c>
      <c r="Q118" s="68">
        <f>IF(Q$87=0,"",$C118)</f>
        <v/>
      </c>
      <c r="R118" s="68">
        <f>IF(R$87=0,"",$C118)</f>
        <v/>
      </c>
      <c r="S118" s="68">
        <f>IF(S$87=0,"",$C118)</f>
        <v/>
      </c>
      <c r="T118" s="68">
        <f>IF(T$87=0,"",$C118)</f>
        <v/>
      </c>
      <c r="U118" s="68">
        <f>IF(U$87=0,"",$C118)</f>
        <v/>
      </c>
      <c r="V118" s="68">
        <f>IF(V$87=0,"",$C118)</f>
        <v/>
      </c>
      <c r="W118" s="68">
        <f>IF(W$87=0,"",$C118)</f>
        <v/>
      </c>
      <c r="X118" s="68">
        <f>IF(X$87=0,"",$C118)</f>
        <v/>
      </c>
      <c r="Y118" s="68">
        <f>IF(Y$87=0,"",$C118)</f>
        <v/>
      </c>
      <c r="Z118" s="68">
        <f>IF(Z$87=0,"",$C118)</f>
        <v/>
      </c>
      <c r="AA118" s="68">
        <f>IF(AA$87=0,"",$C118)</f>
        <v/>
      </c>
      <c r="AB118" s="68">
        <f>IF(AB$87=0,"",$C118)</f>
        <v/>
      </c>
      <c r="AC118" s="68">
        <f>IF(AC$87=0,"",$C118)</f>
        <v/>
      </c>
      <c r="AD118" s="68">
        <f>IF(AD$87=0,"",$C118)</f>
        <v/>
      </c>
      <c r="AE118" s="68">
        <f>IF(AE$87=0,"",$C118)</f>
        <v/>
      </c>
      <c r="AF118" s="68">
        <f>IF(AF$87=0,"",$C118)</f>
        <v/>
      </c>
      <c r="AG118" s="68">
        <f>IF(AG$87=0,"",$C118)</f>
        <v/>
      </c>
      <c r="AH118" s="68">
        <f>IF(AH$87=0,"",$C118)</f>
        <v/>
      </c>
      <c r="AI118" s="68">
        <f>IF(AI$87=0,"",$C118)</f>
        <v/>
      </c>
      <c r="AJ118" s="68">
        <f>IF(AJ$87=0,"",$C118)</f>
        <v/>
      </c>
      <c r="AK118" s="68">
        <f>IF(AK$87=0,"",$C118)</f>
        <v/>
      </c>
      <c r="AL118" s="68">
        <f>IF(AL$87=0,"",$C118)</f>
        <v/>
      </c>
      <c r="AM118" s="68">
        <f>IF(AM$87=0,"",$C118)</f>
        <v/>
      </c>
      <c r="AN118" s="68">
        <f>IF(AN$87=0,"",$C118)</f>
        <v/>
      </c>
      <c r="AO118" s="68">
        <f>IF(AO$87=0,"",$C118)</f>
        <v/>
      </c>
      <c r="AP118" s="68">
        <f>IF(AP$87=0,"",$C118)</f>
        <v/>
      </c>
      <c r="AQ118" s="68">
        <f>IF(AQ$87=0,"",$C118)</f>
        <v/>
      </c>
      <c r="AR118" s="68">
        <f>IF(AR$87=0,"",$C118)</f>
        <v/>
      </c>
      <c r="AS118" s="68">
        <f>IF(AS$87=0,"",$C118)</f>
        <v/>
      </c>
      <c r="AT118" s="68">
        <f>IF(AT$87=0,"",$C118)</f>
        <v/>
      </c>
      <c r="AU118" s="68">
        <f>IF(AU$87=0,"",$C118)</f>
        <v/>
      </c>
      <c r="AV118" s="68">
        <f>IF(AV$87=0,"",$C118)</f>
        <v/>
      </c>
      <c r="AW118" s="68">
        <f>IF(AW$87=0,"",$C118)</f>
        <v/>
      </c>
      <c r="AX118" s="68">
        <f>IF(AX$87=0,"",$C118)</f>
        <v/>
      </c>
      <c r="AY118" s="68">
        <f>IF(AY$87=0,"",$C118)</f>
        <v/>
      </c>
      <c r="AZ118" s="68">
        <f>IF(AZ$87=0,"",$C118)</f>
        <v/>
      </c>
    </row>
    <row r="119" ht="16.5" customHeight="1" s="179">
      <c r="B119" s="65">
        <f>B41</f>
        <v/>
      </c>
      <c r="C119" s="68">
        <f>'2E.ROE Scan'!BC89</f>
        <v/>
      </c>
      <c r="D119" s="68">
        <f>IF(D$87=0,"",$C119)</f>
        <v/>
      </c>
      <c r="E119" s="68">
        <f>IF(E$87=0,"",$C119)</f>
        <v/>
      </c>
      <c r="F119" s="68">
        <f>IF(F$87=0,"",$C119)</f>
        <v/>
      </c>
      <c r="G119" s="68">
        <f>IF(G$87=0,"",$C119)</f>
        <v/>
      </c>
      <c r="H119" s="68">
        <f>IF(H$87=0,"",$C119)</f>
        <v/>
      </c>
      <c r="I119" s="68">
        <f>IF(I$87=0,"",$C119)</f>
        <v/>
      </c>
      <c r="J119" s="68">
        <f>IF(J$87=0,"",$C119)</f>
        <v/>
      </c>
      <c r="K119" s="68">
        <f>IF(K$87=0,"",$C119)</f>
        <v/>
      </c>
      <c r="L119" s="68">
        <f>IF(L$87=0,"",$C119)</f>
        <v/>
      </c>
      <c r="M119" s="68">
        <f>IF(M$87=0,"",$C119)</f>
        <v/>
      </c>
      <c r="N119" s="68">
        <f>IF(N$87=0,"",$C119)</f>
        <v/>
      </c>
      <c r="O119" s="68">
        <f>IF(O$87=0,"",$C119)</f>
        <v/>
      </c>
      <c r="P119" s="68">
        <f>IF(P$87=0,"",$C119)</f>
        <v/>
      </c>
      <c r="Q119" s="68">
        <f>IF(Q$87=0,"",$C119)</f>
        <v/>
      </c>
      <c r="R119" s="68">
        <f>IF(R$87=0,"",$C119)</f>
        <v/>
      </c>
      <c r="S119" s="68">
        <f>IF(S$87=0,"",$C119)</f>
        <v/>
      </c>
      <c r="T119" s="68">
        <f>IF(T$87=0,"",$C119)</f>
        <v/>
      </c>
      <c r="U119" s="68">
        <f>IF(U$87=0,"",$C119)</f>
        <v/>
      </c>
      <c r="V119" s="68">
        <f>IF(V$87=0,"",$C119)</f>
        <v/>
      </c>
      <c r="W119" s="68">
        <f>IF(W$87=0,"",$C119)</f>
        <v/>
      </c>
      <c r="X119" s="68">
        <f>IF(X$87=0,"",$C119)</f>
        <v/>
      </c>
      <c r="Y119" s="68">
        <f>IF(Y$87=0,"",$C119)</f>
        <v/>
      </c>
      <c r="Z119" s="68">
        <f>IF(Z$87=0,"",$C119)</f>
        <v/>
      </c>
      <c r="AA119" s="68">
        <f>IF(AA$87=0,"",$C119)</f>
        <v/>
      </c>
      <c r="AB119" s="68">
        <f>IF(AB$87=0,"",$C119)</f>
        <v/>
      </c>
      <c r="AC119" s="68">
        <f>IF(AC$87=0,"",$C119)</f>
        <v/>
      </c>
      <c r="AD119" s="68">
        <f>IF(AD$87=0,"",$C119)</f>
        <v/>
      </c>
      <c r="AE119" s="68">
        <f>IF(AE$87=0,"",$C119)</f>
        <v/>
      </c>
      <c r="AF119" s="68">
        <f>IF(AF$87=0,"",$C119)</f>
        <v/>
      </c>
      <c r="AG119" s="68">
        <f>IF(AG$87=0,"",$C119)</f>
        <v/>
      </c>
      <c r="AH119" s="68">
        <f>IF(AH$87=0,"",$C119)</f>
        <v/>
      </c>
      <c r="AI119" s="68">
        <f>IF(AI$87=0,"",$C119)</f>
        <v/>
      </c>
      <c r="AJ119" s="68">
        <f>IF(AJ$87=0,"",$C119)</f>
        <v/>
      </c>
      <c r="AK119" s="68">
        <f>IF(AK$87=0,"",$C119)</f>
        <v/>
      </c>
      <c r="AL119" s="68">
        <f>IF(AL$87=0,"",$C119)</f>
        <v/>
      </c>
      <c r="AM119" s="68">
        <f>IF(AM$87=0,"",$C119)</f>
        <v/>
      </c>
      <c r="AN119" s="68">
        <f>IF(AN$87=0,"",$C119)</f>
        <v/>
      </c>
      <c r="AO119" s="68">
        <f>IF(AO$87=0,"",$C119)</f>
        <v/>
      </c>
      <c r="AP119" s="68">
        <f>IF(AP$87=0,"",$C119)</f>
        <v/>
      </c>
      <c r="AQ119" s="68">
        <f>IF(AQ$87=0,"",$C119)</f>
        <v/>
      </c>
      <c r="AR119" s="68">
        <f>IF(AR$87=0,"",$C119)</f>
        <v/>
      </c>
      <c r="AS119" s="68">
        <f>IF(AS$87=0,"",$C119)</f>
        <v/>
      </c>
      <c r="AT119" s="68">
        <f>IF(AT$87=0,"",$C119)</f>
        <v/>
      </c>
      <c r="AU119" s="68">
        <f>IF(AU$87=0,"",$C119)</f>
        <v/>
      </c>
      <c r="AV119" s="68">
        <f>IF(AV$87=0,"",$C119)</f>
        <v/>
      </c>
      <c r="AW119" s="68">
        <f>IF(AW$87=0,"",$C119)</f>
        <v/>
      </c>
      <c r="AX119" s="68">
        <f>IF(AX$87=0,"",$C119)</f>
        <v/>
      </c>
      <c r="AY119" s="68">
        <f>IF(AY$87=0,"",$C119)</f>
        <v/>
      </c>
      <c r="AZ119" s="68">
        <f>IF(AZ$87=0,"",$C119)</f>
        <v/>
      </c>
    </row>
    <row r="120" ht="16.5" customHeight="1" s="179">
      <c r="B120" s="65">
        <f>B42</f>
        <v/>
      </c>
      <c r="C120" s="68">
        <f>'2E.ROE Scan'!BC90</f>
        <v/>
      </c>
      <c r="D120" s="68">
        <f>IF(D$87=0,"",$C120)</f>
        <v/>
      </c>
      <c r="E120" s="68">
        <f>IF(E$87=0,"",$C120)</f>
        <v/>
      </c>
      <c r="F120" s="68">
        <f>IF(F$87=0,"",$C120)</f>
        <v/>
      </c>
      <c r="G120" s="68">
        <f>IF(G$87=0,"",$C120)</f>
        <v/>
      </c>
      <c r="H120" s="68">
        <f>IF(H$87=0,"",$C120)</f>
        <v/>
      </c>
      <c r="I120" s="68">
        <f>IF(I$87=0,"",$C120)</f>
        <v/>
      </c>
      <c r="J120" s="68">
        <f>IF(J$87=0,"",$C120)</f>
        <v/>
      </c>
      <c r="K120" s="68">
        <f>IF(K$87=0,"",$C120)</f>
        <v/>
      </c>
      <c r="L120" s="68">
        <f>IF(L$87=0,"",$C120)</f>
        <v/>
      </c>
      <c r="M120" s="68">
        <f>IF(M$87=0,"",$C120)</f>
        <v/>
      </c>
      <c r="N120" s="68">
        <f>IF(N$87=0,"",$C120)</f>
        <v/>
      </c>
      <c r="O120" s="68">
        <f>IF(O$87=0,"",$C120)</f>
        <v/>
      </c>
      <c r="P120" s="68">
        <f>IF(P$87=0,"",$C120)</f>
        <v/>
      </c>
      <c r="Q120" s="68">
        <f>IF(Q$87=0,"",$C120)</f>
        <v/>
      </c>
      <c r="R120" s="68">
        <f>IF(R$87=0,"",$C120)</f>
        <v/>
      </c>
      <c r="S120" s="68">
        <f>IF(S$87=0,"",$C120)</f>
        <v/>
      </c>
      <c r="T120" s="68">
        <f>IF(T$87=0,"",$C120)</f>
        <v/>
      </c>
      <c r="U120" s="68">
        <f>IF(U$87=0,"",$C120)</f>
        <v/>
      </c>
      <c r="V120" s="68">
        <f>IF(V$87=0,"",$C120)</f>
        <v/>
      </c>
      <c r="W120" s="68">
        <f>IF(W$87=0,"",$C120)</f>
        <v/>
      </c>
      <c r="X120" s="68">
        <f>IF(X$87=0,"",$C120)</f>
        <v/>
      </c>
      <c r="Y120" s="68">
        <f>IF(Y$87=0,"",$C120)</f>
        <v/>
      </c>
      <c r="Z120" s="68">
        <f>IF(Z$87=0,"",$C120)</f>
        <v/>
      </c>
      <c r="AA120" s="68">
        <f>IF(AA$87=0,"",$C120)</f>
        <v/>
      </c>
      <c r="AB120" s="68">
        <f>IF(AB$87=0,"",$C120)</f>
        <v/>
      </c>
      <c r="AC120" s="68">
        <f>IF(AC$87=0,"",$C120)</f>
        <v/>
      </c>
      <c r="AD120" s="68">
        <f>IF(AD$87=0,"",$C120)</f>
        <v/>
      </c>
      <c r="AE120" s="68">
        <f>IF(AE$87=0,"",$C120)</f>
        <v/>
      </c>
      <c r="AF120" s="68">
        <f>IF(AF$87=0,"",$C120)</f>
        <v/>
      </c>
      <c r="AG120" s="68">
        <f>IF(AG$87=0,"",$C120)</f>
        <v/>
      </c>
      <c r="AH120" s="68">
        <f>IF(AH$87=0,"",$C120)</f>
        <v/>
      </c>
      <c r="AI120" s="68">
        <f>IF(AI$87=0,"",$C120)</f>
        <v/>
      </c>
      <c r="AJ120" s="68">
        <f>IF(AJ$87=0,"",$C120)</f>
        <v/>
      </c>
      <c r="AK120" s="68">
        <f>IF(AK$87=0,"",$C120)</f>
        <v/>
      </c>
      <c r="AL120" s="68">
        <f>IF(AL$87=0,"",$C120)</f>
        <v/>
      </c>
      <c r="AM120" s="68">
        <f>IF(AM$87=0,"",$C120)</f>
        <v/>
      </c>
      <c r="AN120" s="68">
        <f>IF(AN$87=0,"",$C120)</f>
        <v/>
      </c>
      <c r="AO120" s="68">
        <f>IF(AO$87=0,"",$C120)</f>
        <v/>
      </c>
      <c r="AP120" s="68">
        <f>IF(AP$87=0,"",$C120)</f>
        <v/>
      </c>
      <c r="AQ120" s="68">
        <f>IF(AQ$87=0,"",$C120)</f>
        <v/>
      </c>
      <c r="AR120" s="68">
        <f>IF(AR$87=0,"",$C120)</f>
        <v/>
      </c>
      <c r="AS120" s="68">
        <f>IF(AS$87=0,"",$C120)</f>
        <v/>
      </c>
      <c r="AT120" s="68">
        <f>IF(AT$87=0,"",$C120)</f>
        <v/>
      </c>
      <c r="AU120" s="68">
        <f>IF(AU$87=0,"",$C120)</f>
        <v/>
      </c>
      <c r="AV120" s="68">
        <f>IF(AV$87=0,"",$C120)</f>
        <v/>
      </c>
      <c r="AW120" s="68">
        <f>IF(AW$87=0,"",$C120)</f>
        <v/>
      </c>
      <c r="AX120" s="68">
        <f>IF(AX$87=0,"",$C120)</f>
        <v/>
      </c>
      <c r="AY120" s="68">
        <f>IF(AY$87=0,"",$C120)</f>
        <v/>
      </c>
      <c r="AZ120" s="68">
        <f>IF(AZ$87=0,"",$C120)</f>
        <v/>
      </c>
    </row>
    <row r="121" ht="16.5" customHeight="1" s="179">
      <c r="B121" s="65">
        <f>B43</f>
        <v/>
      </c>
      <c r="C121" s="68">
        <f>'2E.ROE Scan'!BC91</f>
        <v/>
      </c>
      <c r="D121" s="68">
        <f>IF(D$87=0,"",$C121)</f>
        <v/>
      </c>
      <c r="E121" s="68">
        <f>IF(E$87=0,"",$C121)</f>
        <v/>
      </c>
      <c r="F121" s="68">
        <f>IF(F$87=0,"",$C121)</f>
        <v/>
      </c>
      <c r="G121" s="68">
        <f>IF(G$87=0,"",$C121)</f>
        <v/>
      </c>
      <c r="H121" s="68">
        <f>IF(H$87=0,"",$C121)</f>
        <v/>
      </c>
      <c r="I121" s="68">
        <f>IF(I$87=0,"",$C121)</f>
        <v/>
      </c>
      <c r="J121" s="68">
        <f>IF(J$87=0,"",$C121)</f>
        <v/>
      </c>
      <c r="K121" s="68">
        <f>IF(K$87=0,"",$C121)</f>
        <v/>
      </c>
      <c r="L121" s="68">
        <f>IF(L$87=0,"",$C121)</f>
        <v/>
      </c>
      <c r="M121" s="68">
        <f>IF(M$87=0,"",$C121)</f>
        <v/>
      </c>
      <c r="N121" s="68">
        <f>IF(N$87=0,"",$C121)</f>
        <v/>
      </c>
      <c r="O121" s="68">
        <f>IF(O$87=0,"",$C121)</f>
        <v/>
      </c>
      <c r="P121" s="68">
        <f>IF(P$87=0,"",$C121)</f>
        <v/>
      </c>
      <c r="Q121" s="68">
        <f>IF(Q$87=0,"",$C121)</f>
        <v/>
      </c>
      <c r="R121" s="68">
        <f>IF(R$87=0,"",$C121)</f>
        <v/>
      </c>
      <c r="S121" s="68">
        <f>IF(S$87=0,"",$C121)</f>
        <v/>
      </c>
      <c r="T121" s="68">
        <f>IF(T$87=0,"",$C121)</f>
        <v/>
      </c>
      <c r="U121" s="68">
        <f>IF(U$87=0,"",$C121)</f>
        <v/>
      </c>
      <c r="V121" s="68">
        <f>IF(V$87=0,"",$C121)</f>
        <v/>
      </c>
      <c r="W121" s="68">
        <f>IF(W$87=0,"",$C121)</f>
        <v/>
      </c>
      <c r="X121" s="68">
        <f>IF(X$87=0,"",$C121)</f>
        <v/>
      </c>
      <c r="Y121" s="68">
        <f>IF(Y$87=0,"",$C121)</f>
        <v/>
      </c>
      <c r="Z121" s="68">
        <f>IF(Z$87=0,"",$C121)</f>
        <v/>
      </c>
      <c r="AA121" s="68">
        <f>IF(AA$87=0,"",$C121)</f>
        <v/>
      </c>
      <c r="AB121" s="68">
        <f>IF(AB$87=0,"",$C121)</f>
        <v/>
      </c>
      <c r="AC121" s="68">
        <f>IF(AC$87=0,"",$C121)</f>
        <v/>
      </c>
      <c r="AD121" s="68">
        <f>IF(AD$87=0,"",$C121)</f>
        <v/>
      </c>
      <c r="AE121" s="68">
        <f>IF(AE$87=0,"",$C121)</f>
        <v/>
      </c>
      <c r="AF121" s="68">
        <f>IF(AF$87=0,"",$C121)</f>
        <v/>
      </c>
      <c r="AG121" s="68">
        <f>IF(AG$87=0,"",$C121)</f>
        <v/>
      </c>
      <c r="AH121" s="68">
        <f>IF(AH$87=0,"",$C121)</f>
        <v/>
      </c>
      <c r="AI121" s="68">
        <f>IF(AI$87=0,"",$C121)</f>
        <v/>
      </c>
      <c r="AJ121" s="68">
        <f>IF(AJ$87=0,"",$C121)</f>
        <v/>
      </c>
      <c r="AK121" s="68">
        <f>IF(AK$87=0,"",$C121)</f>
        <v/>
      </c>
      <c r="AL121" s="68">
        <f>IF(AL$87=0,"",$C121)</f>
        <v/>
      </c>
      <c r="AM121" s="68">
        <f>IF(AM$87=0,"",$C121)</f>
        <v/>
      </c>
      <c r="AN121" s="68">
        <f>IF(AN$87=0,"",$C121)</f>
        <v/>
      </c>
      <c r="AO121" s="68">
        <f>IF(AO$87=0,"",$C121)</f>
        <v/>
      </c>
      <c r="AP121" s="68">
        <f>IF(AP$87=0,"",$C121)</f>
        <v/>
      </c>
      <c r="AQ121" s="68">
        <f>IF(AQ$87=0,"",$C121)</f>
        <v/>
      </c>
      <c r="AR121" s="68">
        <f>IF(AR$87=0,"",$C121)</f>
        <v/>
      </c>
      <c r="AS121" s="68">
        <f>IF(AS$87=0,"",$C121)</f>
        <v/>
      </c>
      <c r="AT121" s="68">
        <f>IF(AT$87=0,"",$C121)</f>
        <v/>
      </c>
      <c r="AU121" s="68">
        <f>IF(AU$87=0,"",$C121)</f>
        <v/>
      </c>
      <c r="AV121" s="68">
        <f>IF(AV$87=0,"",$C121)</f>
        <v/>
      </c>
      <c r="AW121" s="68">
        <f>IF(AW$87=0,"",$C121)</f>
        <v/>
      </c>
      <c r="AX121" s="68">
        <f>IF(AX$87=0,"",$C121)</f>
        <v/>
      </c>
      <c r="AY121" s="68">
        <f>IF(AY$87=0,"",$C121)</f>
        <v/>
      </c>
      <c r="AZ121" s="68">
        <f>IF(AZ$87=0,"",$C121)</f>
        <v/>
      </c>
    </row>
    <row r="122" ht="16.5" customHeight="1" s="179">
      <c r="B122" s="65">
        <f>B44</f>
        <v/>
      </c>
      <c r="C122" s="68">
        <f>'2E.ROE Scan'!BC92</f>
        <v/>
      </c>
      <c r="D122" s="68">
        <f>IF(D$87=0,"",$C122)</f>
        <v/>
      </c>
      <c r="E122" s="68">
        <f>IF(E$87=0,"",$C122)</f>
        <v/>
      </c>
      <c r="F122" s="68">
        <f>IF(F$87=0,"",$C122)</f>
        <v/>
      </c>
      <c r="G122" s="68">
        <f>IF(G$87=0,"",$C122)</f>
        <v/>
      </c>
      <c r="H122" s="68">
        <f>IF(H$87=0,"",$C122)</f>
        <v/>
      </c>
      <c r="I122" s="68">
        <f>IF(I$87=0,"",$C122)</f>
        <v/>
      </c>
      <c r="J122" s="68">
        <f>IF(J$87=0,"",$C122)</f>
        <v/>
      </c>
      <c r="K122" s="68">
        <f>IF(K$87=0,"",$C122)</f>
        <v/>
      </c>
      <c r="L122" s="68">
        <f>IF(L$87=0,"",$C122)</f>
        <v/>
      </c>
      <c r="M122" s="68">
        <f>IF(M$87=0,"",$C122)</f>
        <v/>
      </c>
      <c r="N122" s="68">
        <f>IF(N$87=0,"",$C122)</f>
        <v/>
      </c>
      <c r="O122" s="68">
        <f>IF(O$87=0,"",$C122)</f>
        <v/>
      </c>
      <c r="P122" s="68">
        <f>IF(P$87=0,"",$C122)</f>
        <v/>
      </c>
      <c r="Q122" s="68">
        <f>IF(Q$87=0,"",$C122)</f>
        <v/>
      </c>
      <c r="R122" s="68">
        <f>IF(R$87=0,"",$C122)</f>
        <v/>
      </c>
      <c r="S122" s="68">
        <f>IF(S$87=0,"",$C122)</f>
        <v/>
      </c>
      <c r="T122" s="68">
        <f>IF(T$87=0,"",$C122)</f>
        <v/>
      </c>
      <c r="U122" s="68">
        <f>IF(U$87=0,"",$C122)</f>
        <v/>
      </c>
      <c r="V122" s="68">
        <f>IF(V$87=0,"",$C122)</f>
        <v/>
      </c>
      <c r="W122" s="68">
        <f>IF(W$87=0,"",$C122)</f>
        <v/>
      </c>
      <c r="X122" s="68">
        <f>IF(X$87=0,"",$C122)</f>
        <v/>
      </c>
      <c r="Y122" s="68">
        <f>IF(Y$87=0,"",$C122)</f>
        <v/>
      </c>
      <c r="Z122" s="68">
        <f>IF(Z$87=0,"",$C122)</f>
        <v/>
      </c>
      <c r="AA122" s="68">
        <f>IF(AA$87=0,"",$C122)</f>
        <v/>
      </c>
      <c r="AB122" s="68">
        <f>IF(AB$87=0,"",$C122)</f>
        <v/>
      </c>
      <c r="AC122" s="68">
        <f>IF(AC$87=0,"",$C122)</f>
        <v/>
      </c>
      <c r="AD122" s="68">
        <f>IF(AD$87=0,"",$C122)</f>
        <v/>
      </c>
      <c r="AE122" s="68">
        <f>IF(AE$87=0,"",$C122)</f>
        <v/>
      </c>
      <c r="AF122" s="68">
        <f>IF(AF$87=0,"",$C122)</f>
        <v/>
      </c>
      <c r="AG122" s="68">
        <f>IF(AG$87=0,"",$C122)</f>
        <v/>
      </c>
      <c r="AH122" s="68">
        <f>IF(AH$87=0,"",$C122)</f>
        <v/>
      </c>
      <c r="AI122" s="68">
        <f>IF(AI$87=0,"",$C122)</f>
        <v/>
      </c>
      <c r="AJ122" s="68">
        <f>IF(AJ$87=0,"",$C122)</f>
        <v/>
      </c>
      <c r="AK122" s="68">
        <f>IF(AK$87=0,"",$C122)</f>
        <v/>
      </c>
      <c r="AL122" s="68">
        <f>IF(AL$87=0,"",$C122)</f>
        <v/>
      </c>
      <c r="AM122" s="68">
        <f>IF(AM$87=0,"",$C122)</f>
        <v/>
      </c>
      <c r="AN122" s="68">
        <f>IF(AN$87=0,"",$C122)</f>
        <v/>
      </c>
      <c r="AO122" s="68">
        <f>IF(AO$87=0,"",$C122)</f>
        <v/>
      </c>
      <c r="AP122" s="68">
        <f>IF(AP$87=0,"",$C122)</f>
        <v/>
      </c>
      <c r="AQ122" s="68">
        <f>IF(AQ$87=0,"",$C122)</f>
        <v/>
      </c>
      <c r="AR122" s="68">
        <f>IF(AR$87=0,"",$C122)</f>
        <v/>
      </c>
      <c r="AS122" s="68">
        <f>IF(AS$87=0,"",$C122)</f>
        <v/>
      </c>
      <c r="AT122" s="68">
        <f>IF(AT$87=0,"",$C122)</f>
        <v/>
      </c>
      <c r="AU122" s="68">
        <f>IF(AU$87=0,"",$C122)</f>
        <v/>
      </c>
      <c r="AV122" s="68">
        <f>IF(AV$87=0,"",$C122)</f>
        <v/>
      </c>
      <c r="AW122" s="68">
        <f>IF(AW$87=0,"",$C122)</f>
        <v/>
      </c>
      <c r="AX122" s="68">
        <f>IF(AX$87=0,"",$C122)</f>
        <v/>
      </c>
      <c r="AY122" s="68">
        <f>IF(AY$87=0,"",$C122)</f>
        <v/>
      </c>
      <c r="AZ122" s="68">
        <f>IF(AZ$87=0,"",$C122)</f>
        <v/>
      </c>
    </row>
    <row r="125" ht="16.5" customHeight="1" s="179">
      <c r="B125" s="63" t="inlineStr">
        <is>
          <t>Quality Index</t>
        </is>
      </c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</row>
    <row r="126" ht="33.75" customHeight="1" s="179">
      <c r="B126" s="64" t="n"/>
      <c r="C126" s="55">
        <f>C2</f>
        <v/>
      </c>
      <c r="D126" s="55">
        <f>D2</f>
        <v/>
      </c>
      <c r="E126" s="55">
        <f>E2</f>
        <v/>
      </c>
      <c r="F126" s="55">
        <f>F2</f>
        <v/>
      </c>
      <c r="G126" s="55">
        <f>G2</f>
        <v/>
      </c>
      <c r="H126" s="55">
        <f>H2</f>
        <v/>
      </c>
      <c r="I126" s="55">
        <f>I2</f>
        <v/>
      </c>
      <c r="J126" s="55">
        <f>J2</f>
        <v/>
      </c>
      <c r="K126" s="55">
        <f>K2</f>
        <v/>
      </c>
      <c r="L126" s="55">
        <f>L2</f>
        <v/>
      </c>
      <c r="M126" s="55">
        <f>M2</f>
        <v/>
      </c>
      <c r="N126" s="55">
        <f>N2</f>
        <v/>
      </c>
      <c r="O126" s="55">
        <f>O2</f>
        <v/>
      </c>
      <c r="P126" s="55">
        <f>P2</f>
        <v/>
      </c>
      <c r="Q126" s="55">
        <f>Q2</f>
        <v/>
      </c>
      <c r="R126" s="55">
        <f>R2</f>
        <v/>
      </c>
      <c r="S126" s="55">
        <f>S2</f>
        <v/>
      </c>
      <c r="T126" s="55">
        <f>T2</f>
        <v/>
      </c>
      <c r="U126" s="55">
        <f>U2</f>
        <v/>
      </c>
      <c r="V126" s="55">
        <f>V2</f>
        <v/>
      </c>
      <c r="W126" s="55">
        <f>W2</f>
        <v/>
      </c>
      <c r="X126" s="55">
        <f>X2</f>
        <v/>
      </c>
      <c r="Y126" s="55">
        <f>Y2</f>
        <v/>
      </c>
      <c r="Z126" s="55">
        <f>Z2</f>
        <v/>
      </c>
      <c r="AA126" s="55">
        <f>AA2</f>
        <v/>
      </c>
      <c r="AB126" s="55">
        <f>AB2</f>
        <v/>
      </c>
      <c r="AC126" s="55">
        <f>AC2</f>
        <v/>
      </c>
      <c r="AD126" s="55">
        <f>AD2</f>
        <v/>
      </c>
      <c r="AE126" s="55">
        <f>AE2</f>
        <v/>
      </c>
      <c r="AF126" s="55">
        <f>AF2</f>
        <v/>
      </c>
      <c r="AG126" s="55">
        <f>AG2</f>
        <v/>
      </c>
      <c r="AH126" s="55">
        <f>AH2</f>
        <v/>
      </c>
      <c r="AI126" s="55">
        <f>AI2</f>
        <v/>
      </c>
      <c r="AJ126" s="55">
        <f>AJ2</f>
        <v/>
      </c>
      <c r="AK126" s="55">
        <f>AK2</f>
        <v/>
      </c>
      <c r="AL126" s="55">
        <f>AL2</f>
        <v/>
      </c>
      <c r="AM126" s="55">
        <f>AM2</f>
        <v/>
      </c>
      <c r="AN126" s="55">
        <f>AN2</f>
        <v/>
      </c>
      <c r="AO126" s="55">
        <f>AO2</f>
        <v/>
      </c>
      <c r="AP126" s="55">
        <f>AP2</f>
        <v/>
      </c>
      <c r="AQ126" s="55">
        <f>AQ2</f>
        <v/>
      </c>
      <c r="AR126" s="55">
        <f>AR2</f>
        <v/>
      </c>
      <c r="AS126" s="55">
        <f>AS2</f>
        <v/>
      </c>
      <c r="AT126" s="55">
        <f>AT2</f>
        <v/>
      </c>
      <c r="AU126" s="55">
        <f>AU2</f>
        <v/>
      </c>
      <c r="AV126" s="55">
        <f>AV2</f>
        <v/>
      </c>
      <c r="AW126" s="55">
        <f>AW2</f>
        <v/>
      </c>
      <c r="AX126" s="55">
        <f>AX2</f>
        <v/>
      </c>
      <c r="AY126" s="55">
        <f>AY2</f>
        <v/>
      </c>
      <c r="AZ126" s="55">
        <f>AZ2</f>
        <v/>
      </c>
    </row>
    <row r="127" ht="16.5" customHeight="1" s="179">
      <c r="B127" s="65">
        <f>B88</f>
        <v/>
      </c>
      <c r="C127" s="246">
        <f>'2E.ROE Scan'!E214</f>
        <v/>
      </c>
      <c r="D127" s="246">
        <f>'2E.ROE Scan'!F214</f>
        <v/>
      </c>
      <c r="E127" s="246">
        <f>'2E.ROE Scan'!G214</f>
        <v/>
      </c>
      <c r="F127" s="246">
        <f>'2E.ROE Scan'!H214</f>
        <v/>
      </c>
      <c r="G127" s="246">
        <f>'2E.ROE Scan'!I214</f>
        <v/>
      </c>
      <c r="H127" s="246">
        <f>'2E.ROE Scan'!J214</f>
        <v/>
      </c>
      <c r="I127" s="246">
        <f>'2E.ROE Scan'!K214</f>
        <v/>
      </c>
      <c r="J127" s="246">
        <f>'2E.ROE Scan'!L214</f>
        <v/>
      </c>
      <c r="K127" s="246">
        <f>'2E.ROE Scan'!M214</f>
        <v/>
      </c>
      <c r="L127" s="246">
        <f>'2E.ROE Scan'!N214</f>
        <v/>
      </c>
      <c r="M127" s="246">
        <f>'2E.ROE Scan'!O214</f>
        <v/>
      </c>
      <c r="N127" s="246">
        <f>'2E.ROE Scan'!P214</f>
        <v/>
      </c>
      <c r="O127" s="246">
        <f>'2E.ROE Scan'!Q214</f>
        <v/>
      </c>
      <c r="P127" s="246">
        <f>'2E.ROE Scan'!R214</f>
        <v/>
      </c>
      <c r="Q127" s="246">
        <f>'2E.ROE Scan'!S214</f>
        <v/>
      </c>
      <c r="R127" s="246">
        <f>'2E.ROE Scan'!T214</f>
        <v/>
      </c>
      <c r="S127" s="246">
        <f>'2E.ROE Scan'!U214</f>
        <v/>
      </c>
      <c r="T127" s="246">
        <f>'2E.ROE Scan'!V214</f>
        <v/>
      </c>
      <c r="U127" s="246">
        <f>'2E.ROE Scan'!W214</f>
        <v/>
      </c>
      <c r="V127" s="246">
        <f>'2E.ROE Scan'!X214</f>
        <v/>
      </c>
      <c r="W127" s="246">
        <f>'2E.ROE Scan'!Y214</f>
        <v/>
      </c>
      <c r="X127" s="246">
        <f>'2E.ROE Scan'!Z214</f>
        <v/>
      </c>
      <c r="Y127" s="246">
        <f>'2E.ROE Scan'!AA214</f>
        <v/>
      </c>
      <c r="Z127" s="246">
        <f>'2E.ROE Scan'!AB214</f>
        <v/>
      </c>
      <c r="AA127" s="246">
        <f>'2E.ROE Scan'!AC214</f>
        <v/>
      </c>
      <c r="AB127" s="246">
        <f>'2E.ROE Scan'!AD214</f>
        <v/>
      </c>
      <c r="AC127" s="246">
        <f>'2E.ROE Scan'!AE214</f>
        <v/>
      </c>
      <c r="AD127" s="246">
        <f>'2E.ROE Scan'!AF214</f>
        <v/>
      </c>
      <c r="AE127" s="246">
        <f>'2E.ROE Scan'!AG214</f>
        <v/>
      </c>
      <c r="AF127" s="246">
        <f>'2E.ROE Scan'!AH214</f>
        <v/>
      </c>
      <c r="AG127" s="246">
        <f>'2E.ROE Scan'!AI214</f>
        <v/>
      </c>
      <c r="AH127" s="246">
        <f>'2E.ROE Scan'!AJ214</f>
        <v/>
      </c>
      <c r="AI127" s="246">
        <f>'2E.ROE Scan'!AK214</f>
        <v/>
      </c>
      <c r="AJ127" s="246">
        <f>'2E.ROE Scan'!AL214</f>
        <v/>
      </c>
      <c r="AK127" s="246">
        <f>'2E.ROE Scan'!AM214</f>
        <v/>
      </c>
      <c r="AL127" s="246">
        <f>'2E.ROE Scan'!AN214</f>
        <v/>
      </c>
      <c r="AM127" s="246">
        <f>'2E.ROE Scan'!AO214</f>
        <v/>
      </c>
      <c r="AN127" s="246">
        <f>'2E.ROE Scan'!AP214</f>
        <v/>
      </c>
      <c r="AO127" s="246">
        <f>'2E.ROE Scan'!AQ214</f>
        <v/>
      </c>
      <c r="AP127" s="246">
        <f>'2E.ROE Scan'!AR214</f>
        <v/>
      </c>
      <c r="AQ127" s="246">
        <f>'2E.ROE Scan'!AS214</f>
        <v/>
      </c>
      <c r="AR127" s="246">
        <f>'2E.ROE Scan'!AT214</f>
        <v/>
      </c>
      <c r="AS127" s="246">
        <f>'2E.ROE Scan'!AU214</f>
        <v/>
      </c>
      <c r="AT127" s="246">
        <f>'2E.ROE Scan'!AV214</f>
        <v/>
      </c>
      <c r="AU127" s="246">
        <f>'2E.ROE Scan'!AW214</f>
        <v/>
      </c>
      <c r="AV127" s="246">
        <f>'2E.ROE Scan'!AX214</f>
        <v/>
      </c>
      <c r="AW127" s="246">
        <f>'2E.ROE Scan'!AY214</f>
        <v/>
      </c>
      <c r="AX127" s="246">
        <f>'2E.ROE Scan'!AZ214</f>
        <v/>
      </c>
      <c r="AY127" s="246">
        <f>'2E.ROE Scan'!BA214</f>
        <v/>
      </c>
      <c r="AZ127" s="246">
        <f>'2E.ROE Scan'!BB214</f>
        <v/>
      </c>
    </row>
    <row r="128" ht="16.5" customHeight="1" s="179">
      <c r="B128" s="65">
        <f>B89</f>
        <v/>
      </c>
      <c r="C128" s="246">
        <f>'2E.ROE Scan'!E215</f>
        <v/>
      </c>
      <c r="D128" s="246">
        <f>'2E.ROE Scan'!F215</f>
        <v/>
      </c>
      <c r="E128" s="246">
        <f>'2E.ROE Scan'!G215</f>
        <v/>
      </c>
      <c r="F128" s="246">
        <f>'2E.ROE Scan'!H215</f>
        <v/>
      </c>
      <c r="G128" s="246">
        <f>'2E.ROE Scan'!I215</f>
        <v/>
      </c>
      <c r="H128" s="246">
        <f>'2E.ROE Scan'!J215</f>
        <v/>
      </c>
      <c r="I128" s="246">
        <f>'2E.ROE Scan'!K215</f>
        <v/>
      </c>
      <c r="J128" s="246">
        <f>'2E.ROE Scan'!L215</f>
        <v/>
      </c>
      <c r="K128" s="246">
        <f>'2E.ROE Scan'!M215</f>
        <v/>
      </c>
      <c r="L128" s="246">
        <f>'2E.ROE Scan'!N215</f>
        <v/>
      </c>
      <c r="M128" s="246">
        <f>'2E.ROE Scan'!O215</f>
        <v/>
      </c>
      <c r="N128" s="246">
        <f>'2E.ROE Scan'!P215</f>
        <v/>
      </c>
      <c r="O128" s="246">
        <f>'2E.ROE Scan'!Q215</f>
        <v/>
      </c>
      <c r="P128" s="246">
        <f>'2E.ROE Scan'!R215</f>
        <v/>
      </c>
      <c r="Q128" s="246">
        <f>'2E.ROE Scan'!S215</f>
        <v/>
      </c>
      <c r="R128" s="246">
        <f>'2E.ROE Scan'!T215</f>
        <v/>
      </c>
      <c r="S128" s="246">
        <f>'2E.ROE Scan'!U215</f>
        <v/>
      </c>
      <c r="T128" s="246">
        <f>'2E.ROE Scan'!V215</f>
        <v/>
      </c>
      <c r="U128" s="246">
        <f>'2E.ROE Scan'!W215</f>
        <v/>
      </c>
      <c r="V128" s="246">
        <f>'2E.ROE Scan'!X215</f>
        <v/>
      </c>
      <c r="W128" s="246">
        <f>'2E.ROE Scan'!Y215</f>
        <v/>
      </c>
      <c r="X128" s="246">
        <f>'2E.ROE Scan'!Z215</f>
        <v/>
      </c>
      <c r="Y128" s="246">
        <f>'2E.ROE Scan'!AA215</f>
        <v/>
      </c>
      <c r="Z128" s="246">
        <f>'2E.ROE Scan'!AB215</f>
        <v/>
      </c>
      <c r="AA128" s="246">
        <f>'2E.ROE Scan'!AC215</f>
        <v/>
      </c>
      <c r="AB128" s="246">
        <f>'2E.ROE Scan'!AD215</f>
        <v/>
      </c>
      <c r="AC128" s="246">
        <f>'2E.ROE Scan'!AE215</f>
        <v/>
      </c>
      <c r="AD128" s="246">
        <f>'2E.ROE Scan'!AF215</f>
        <v/>
      </c>
      <c r="AE128" s="246">
        <f>'2E.ROE Scan'!AG215</f>
        <v/>
      </c>
      <c r="AF128" s="246">
        <f>'2E.ROE Scan'!AH215</f>
        <v/>
      </c>
      <c r="AG128" s="246">
        <f>'2E.ROE Scan'!AI215</f>
        <v/>
      </c>
      <c r="AH128" s="246">
        <f>'2E.ROE Scan'!AJ215</f>
        <v/>
      </c>
      <c r="AI128" s="246">
        <f>'2E.ROE Scan'!AK215</f>
        <v/>
      </c>
      <c r="AJ128" s="246">
        <f>'2E.ROE Scan'!AL215</f>
        <v/>
      </c>
      <c r="AK128" s="246">
        <f>'2E.ROE Scan'!AM215</f>
        <v/>
      </c>
      <c r="AL128" s="246">
        <f>'2E.ROE Scan'!AN215</f>
        <v/>
      </c>
      <c r="AM128" s="246">
        <f>'2E.ROE Scan'!AO215</f>
        <v/>
      </c>
      <c r="AN128" s="246">
        <f>'2E.ROE Scan'!AP215</f>
        <v/>
      </c>
      <c r="AO128" s="246">
        <f>'2E.ROE Scan'!AQ215</f>
        <v/>
      </c>
      <c r="AP128" s="246">
        <f>'2E.ROE Scan'!AR215</f>
        <v/>
      </c>
      <c r="AQ128" s="246">
        <f>'2E.ROE Scan'!AS215</f>
        <v/>
      </c>
      <c r="AR128" s="246">
        <f>'2E.ROE Scan'!AT215</f>
        <v/>
      </c>
      <c r="AS128" s="246">
        <f>'2E.ROE Scan'!AU215</f>
        <v/>
      </c>
      <c r="AT128" s="246">
        <f>'2E.ROE Scan'!AV215</f>
        <v/>
      </c>
      <c r="AU128" s="246">
        <f>'2E.ROE Scan'!AW215</f>
        <v/>
      </c>
      <c r="AV128" s="246">
        <f>'2E.ROE Scan'!AX215</f>
        <v/>
      </c>
      <c r="AW128" s="246">
        <f>'2E.ROE Scan'!AY215</f>
        <v/>
      </c>
      <c r="AX128" s="246">
        <f>'2E.ROE Scan'!AZ215</f>
        <v/>
      </c>
      <c r="AY128" s="246">
        <f>'2E.ROE Scan'!BA215</f>
        <v/>
      </c>
      <c r="AZ128" s="246">
        <f>'2E.ROE Scan'!BB215</f>
        <v/>
      </c>
    </row>
    <row r="129" ht="16.5" customHeight="1" s="179">
      <c r="B129" s="65">
        <f>B90</f>
        <v/>
      </c>
      <c r="C129" s="246">
        <f>'2E.ROE Scan'!E216</f>
        <v/>
      </c>
      <c r="D129" s="246">
        <f>'2E.ROE Scan'!F216</f>
        <v/>
      </c>
      <c r="E129" s="246">
        <f>'2E.ROE Scan'!G216</f>
        <v/>
      </c>
      <c r="F129" s="246">
        <f>'2E.ROE Scan'!H216</f>
        <v/>
      </c>
      <c r="G129" s="246">
        <f>'2E.ROE Scan'!I216</f>
        <v/>
      </c>
      <c r="H129" s="246">
        <f>'2E.ROE Scan'!J216</f>
        <v/>
      </c>
      <c r="I129" s="246">
        <f>'2E.ROE Scan'!K216</f>
        <v/>
      </c>
      <c r="J129" s="246">
        <f>'2E.ROE Scan'!L216</f>
        <v/>
      </c>
      <c r="K129" s="246">
        <f>'2E.ROE Scan'!M216</f>
        <v/>
      </c>
      <c r="L129" s="246">
        <f>'2E.ROE Scan'!N216</f>
        <v/>
      </c>
      <c r="M129" s="246">
        <f>'2E.ROE Scan'!O216</f>
        <v/>
      </c>
      <c r="N129" s="246">
        <f>'2E.ROE Scan'!P216</f>
        <v/>
      </c>
      <c r="O129" s="246">
        <f>'2E.ROE Scan'!Q216</f>
        <v/>
      </c>
      <c r="P129" s="246">
        <f>'2E.ROE Scan'!R216</f>
        <v/>
      </c>
      <c r="Q129" s="246">
        <f>'2E.ROE Scan'!S216</f>
        <v/>
      </c>
      <c r="R129" s="246">
        <f>'2E.ROE Scan'!T216</f>
        <v/>
      </c>
      <c r="S129" s="246">
        <f>'2E.ROE Scan'!U216</f>
        <v/>
      </c>
      <c r="T129" s="246">
        <f>'2E.ROE Scan'!V216</f>
        <v/>
      </c>
      <c r="U129" s="246">
        <f>'2E.ROE Scan'!W216</f>
        <v/>
      </c>
      <c r="V129" s="246">
        <f>'2E.ROE Scan'!X216</f>
        <v/>
      </c>
      <c r="W129" s="246">
        <f>'2E.ROE Scan'!Y216</f>
        <v/>
      </c>
      <c r="X129" s="246">
        <f>'2E.ROE Scan'!Z216</f>
        <v/>
      </c>
      <c r="Y129" s="246">
        <f>'2E.ROE Scan'!AA216</f>
        <v/>
      </c>
      <c r="Z129" s="246">
        <f>'2E.ROE Scan'!AB216</f>
        <v/>
      </c>
      <c r="AA129" s="246">
        <f>'2E.ROE Scan'!AC216</f>
        <v/>
      </c>
      <c r="AB129" s="246">
        <f>'2E.ROE Scan'!AD216</f>
        <v/>
      </c>
      <c r="AC129" s="246">
        <f>'2E.ROE Scan'!AE216</f>
        <v/>
      </c>
      <c r="AD129" s="246">
        <f>'2E.ROE Scan'!AF216</f>
        <v/>
      </c>
      <c r="AE129" s="246">
        <f>'2E.ROE Scan'!AG216</f>
        <v/>
      </c>
      <c r="AF129" s="246">
        <f>'2E.ROE Scan'!AH216</f>
        <v/>
      </c>
      <c r="AG129" s="246">
        <f>'2E.ROE Scan'!AI216</f>
        <v/>
      </c>
      <c r="AH129" s="246">
        <f>'2E.ROE Scan'!AJ216</f>
        <v/>
      </c>
      <c r="AI129" s="246">
        <f>'2E.ROE Scan'!AK216</f>
        <v/>
      </c>
      <c r="AJ129" s="246">
        <f>'2E.ROE Scan'!AL216</f>
        <v/>
      </c>
      <c r="AK129" s="246">
        <f>'2E.ROE Scan'!AM216</f>
        <v/>
      </c>
      <c r="AL129" s="246">
        <f>'2E.ROE Scan'!AN216</f>
        <v/>
      </c>
      <c r="AM129" s="246">
        <f>'2E.ROE Scan'!AO216</f>
        <v/>
      </c>
      <c r="AN129" s="246">
        <f>'2E.ROE Scan'!AP216</f>
        <v/>
      </c>
      <c r="AO129" s="246">
        <f>'2E.ROE Scan'!AQ216</f>
        <v/>
      </c>
      <c r="AP129" s="246">
        <f>'2E.ROE Scan'!AR216</f>
        <v/>
      </c>
      <c r="AQ129" s="246">
        <f>'2E.ROE Scan'!AS216</f>
        <v/>
      </c>
      <c r="AR129" s="246">
        <f>'2E.ROE Scan'!AT216</f>
        <v/>
      </c>
      <c r="AS129" s="246">
        <f>'2E.ROE Scan'!AU216</f>
        <v/>
      </c>
      <c r="AT129" s="246">
        <f>'2E.ROE Scan'!AV216</f>
        <v/>
      </c>
      <c r="AU129" s="246">
        <f>'2E.ROE Scan'!AW216</f>
        <v/>
      </c>
      <c r="AV129" s="246">
        <f>'2E.ROE Scan'!AX216</f>
        <v/>
      </c>
      <c r="AW129" s="246">
        <f>'2E.ROE Scan'!AY216</f>
        <v/>
      </c>
      <c r="AX129" s="246">
        <f>'2E.ROE Scan'!AZ216</f>
        <v/>
      </c>
      <c r="AY129" s="246">
        <f>'2E.ROE Scan'!BA216</f>
        <v/>
      </c>
      <c r="AZ129" s="246">
        <f>'2E.ROE Scan'!BB216</f>
        <v/>
      </c>
    </row>
    <row r="130" ht="16.5" customHeight="1" s="179">
      <c r="B130" s="65">
        <f>B91</f>
        <v/>
      </c>
      <c r="C130" s="246">
        <f>'2E.ROE Scan'!E217</f>
        <v/>
      </c>
      <c r="D130" s="246">
        <f>'2E.ROE Scan'!F217</f>
        <v/>
      </c>
      <c r="E130" s="246">
        <f>'2E.ROE Scan'!G217</f>
        <v/>
      </c>
      <c r="F130" s="246">
        <f>'2E.ROE Scan'!H217</f>
        <v/>
      </c>
      <c r="G130" s="246">
        <f>'2E.ROE Scan'!I217</f>
        <v/>
      </c>
      <c r="H130" s="246">
        <f>'2E.ROE Scan'!J217</f>
        <v/>
      </c>
      <c r="I130" s="246">
        <f>'2E.ROE Scan'!K217</f>
        <v/>
      </c>
      <c r="J130" s="246">
        <f>'2E.ROE Scan'!L217</f>
        <v/>
      </c>
      <c r="K130" s="246">
        <f>'2E.ROE Scan'!M217</f>
        <v/>
      </c>
      <c r="L130" s="246">
        <f>'2E.ROE Scan'!N217</f>
        <v/>
      </c>
      <c r="M130" s="246">
        <f>'2E.ROE Scan'!O217</f>
        <v/>
      </c>
      <c r="N130" s="246">
        <f>'2E.ROE Scan'!P217</f>
        <v/>
      </c>
      <c r="O130" s="246">
        <f>'2E.ROE Scan'!Q217</f>
        <v/>
      </c>
      <c r="P130" s="246">
        <f>'2E.ROE Scan'!R217</f>
        <v/>
      </c>
      <c r="Q130" s="246">
        <f>'2E.ROE Scan'!S217</f>
        <v/>
      </c>
      <c r="R130" s="246">
        <f>'2E.ROE Scan'!T217</f>
        <v/>
      </c>
      <c r="S130" s="246">
        <f>'2E.ROE Scan'!U217</f>
        <v/>
      </c>
      <c r="T130" s="246">
        <f>'2E.ROE Scan'!V217</f>
        <v/>
      </c>
      <c r="U130" s="246">
        <f>'2E.ROE Scan'!W217</f>
        <v/>
      </c>
      <c r="V130" s="246">
        <f>'2E.ROE Scan'!X217</f>
        <v/>
      </c>
      <c r="W130" s="246">
        <f>'2E.ROE Scan'!Y217</f>
        <v/>
      </c>
      <c r="X130" s="246">
        <f>'2E.ROE Scan'!Z217</f>
        <v/>
      </c>
      <c r="Y130" s="246">
        <f>'2E.ROE Scan'!AA217</f>
        <v/>
      </c>
      <c r="Z130" s="246">
        <f>'2E.ROE Scan'!AB217</f>
        <v/>
      </c>
      <c r="AA130" s="246">
        <f>'2E.ROE Scan'!AC217</f>
        <v/>
      </c>
      <c r="AB130" s="246">
        <f>'2E.ROE Scan'!AD217</f>
        <v/>
      </c>
      <c r="AC130" s="246">
        <f>'2E.ROE Scan'!AE217</f>
        <v/>
      </c>
      <c r="AD130" s="246">
        <f>'2E.ROE Scan'!AF217</f>
        <v/>
      </c>
      <c r="AE130" s="246">
        <f>'2E.ROE Scan'!AG217</f>
        <v/>
      </c>
      <c r="AF130" s="246">
        <f>'2E.ROE Scan'!AH217</f>
        <v/>
      </c>
      <c r="AG130" s="246">
        <f>'2E.ROE Scan'!AI217</f>
        <v/>
      </c>
      <c r="AH130" s="246">
        <f>'2E.ROE Scan'!AJ217</f>
        <v/>
      </c>
      <c r="AI130" s="246">
        <f>'2E.ROE Scan'!AK217</f>
        <v/>
      </c>
      <c r="AJ130" s="246">
        <f>'2E.ROE Scan'!AL217</f>
        <v/>
      </c>
      <c r="AK130" s="246">
        <f>'2E.ROE Scan'!AM217</f>
        <v/>
      </c>
      <c r="AL130" s="246">
        <f>'2E.ROE Scan'!AN217</f>
        <v/>
      </c>
      <c r="AM130" s="246">
        <f>'2E.ROE Scan'!AO217</f>
        <v/>
      </c>
      <c r="AN130" s="246">
        <f>'2E.ROE Scan'!AP217</f>
        <v/>
      </c>
      <c r="AO130" s="246">
        <f>'2E.ROE Scan'!AQ217</f>
        <v/>
      </c>
      <c r="AP130" s="246">
        <f>'2E.ROE Scan'!AR217</f>
        <v/>
      </c>
      <c r="AQ130" s="246">
        <f>'2E.ROE Scan'!AS217</f>
        <v/>
      </c>
      <c r="AR130" s="246">
        <f>'2E.ROE Scan'!AT217</f>
        <v/>
      </c>
      <c r="AS130" s="246">
        <f>'2E.ROE Scan'!AU217</f>
        <v/>
      </c>
      <c r="AT130" s="246">
        <f>'2E.ROE Scan'!AV217</f>
        <v/>
      </c>
      <c r="AU130" s="246">
        <f>'2E.ROE Scan'!AW217</f>
        <v/>
      </c>
      <c r="AV130" s="246">
        <f>'2E.ROE Scan'!AX217</f>
        <v/>
      </c>
      <c r="AW130" s="246">
        <f>'2E.ROE Scan'!AY217</f>
        <v/>
      </c>
      <c r="AX130" s="246">
        <f>'2E.ROE Scan'!AZ217</f>
        <v/>
      </c>
      <c r="AY130" s="246">
        <f>'2E.ROE Scan'!BA217</f>
        <v/>
      </c>
      <c r="AZ130" s="246">
        <f>'2E.ROE Scan'!BB217</f>
        <v/>
      </c>
    </row>
    <row r="131" ht="16.5" customHeight="1" s="179">
      <c r="B131" s="65">
        <f>B92</f>
        <v/>
      </c>
      <c r="C131" s="246">
        <f>'2E.ROE Scan'!E218</f>
        <v/>
      </c>
      <c r="D131" s="246">
        <f>'2E.ROE Scan'!F218</f>
        <v/>
      </c>
      <c r="E131" s="246">
        <f>'2E.ROE Scan'!G218</f>
        <v/>
      </c>
      <c r="F131" s="246">
        <f>'2E.ROE Scan'!H218</f>
        <v/>
      </c>
      <c r="G131" s="246">
        <f>'2E.ROE Scan'!I218</f>
        <v/>
      </c>
      <c r="H131" s="246">
        <f>'2E.ROE Scan'!J218</f>
        <v/>
      </c>
      <c r="I131" s="246">
        <f>'2E.ROE Scan'!K218</f>
        <v/>
      </c>
      <c r="J131" s="246">
        <f>'2E.ROE Scan'!L218</f>
        <v/>
      </c>
      <c r="K131" s="246">
        <f>'2E.ROE Scan'!M218</f>
        <v/>
      </c>
      <c r="L131" s="246">
        <f>'2E.ROE Scan'!N218</f>
        <v/>
      </c>
      <c r="M131" s="246">
        <f>'2E.ROE Scan'!O218</f>
        <v/>
      </c>
      <c r="N131" s="246">
        <f>'2E.ROE Scan'!P218</f>
        <v/>
      </c>
      <c r="O131" s="246">
        <f>'2E.ROE Scan'!Q218</f>
        <v/>
      </c>
      <c r="P131" s="246">
        <f>'2E.ROE Scan'!R218</f>
        <v/>
      </c>
      <c r="Q131" s="246">
        <f>'2E.ROE Scan'!S218</f>
        <v/>
      </c>
      <c r="R131" s="246">
        <f>'2E.ROE Scan'!T218</f>
        <v/>
      </c>
      <c r="S131" s="246">
        <f>'2E.ROE Scan'!U218</f>
        <v/>
      </c>
      <c r="T131" s="246">
        <f>'2E.ROE Scan'!V218</f>
        <v/>
      </c>
      <c r="U131" s="246">
        <f>'2E.ROE Scan'!W218</f>
        <v/>
      </c>
      <c r="V131" s="246">
        <f>'2E.ROE Scan'!X218</f>
        <v/>
      </c>
      <c r="W131" s="246">
        <f>'2E.ROE Scan'!Y218</f>
        <v/>
      </c>
      <c r="X131" s="246">
        <f>'2E.ROE Scan'!Z218</f>
        <v/>
      </c>
      <c r="Y131" s="246">
        <f>'2E.ROE Scan'!AA218</f>
        <v/>
      </c>
      <c r="Z131" s="246">
        <f>'2E.ROE Scan'!AB218</f>
        <v/>
      </c>
      <c r="AA131" s="246">
        <f>'2E.ROE Scan'!AC218</f>
        <v/>
      </c>
      <c r="AB131" s="246">
        <f>'2E.ROE Scan'!AD218</f>
        <v/>
      </c>
      <c r="AC131" s="246">
        <f>'2E.ROE Scan'!AE218</f>
        <v/>
      </c>
      <c r="AD131" s="246">
        <f>'2E.ROE Scan'!AF218</f>
        <v/>
      </c>
      <c r="AE131" s="246">
        <f>'2E.ROE Scan'!AG218</f>
        <v/>
      </c>
      <c r="AF131" s="246">
        <f>'2E.ROE Scan'!AH218</f>
        <v/>
      </c>
      <c r="AG131" s="246">
        <f>'2E.ROE Scan'!AI218</f>
        <v/>
      </c>
      <c r="AH131" s="246">
        <f>'2E.ROE Scan'!AJ218</f>
        <v/>
      </c>
      <c r="AI131" s="246">
        <f>'2E.ROE Scan'!AK218</f>
        <v/>
      </c>
      <c r="AJ131" s="246">
        <f>'2E.ROE Scan'!AL218</f>
        <v/>
      </c>
      <c r="AK131" s="246">
        <f>'2E.ROE Scan'!AM218</f>
        <v/>
      </c>
      <c r="AL131" s="246">
        <f>'2E.ROE Scan'!AN218</f>
        <v/>
      </c>
      <c r="AM131" s="246">
        <f>'2E.ROE Scan'!AO218</f>
        <v/>
      </c>
      <c r="AN131" s="246">
        <f>'2E.ROE Scan'!AP218</f>
        <v/>
      </c>
      <c r="AO131" s="246">
        <f>'2E.ROE Scan'!AQ218</f>
        <v/>
      </c>
      <c r="AP131" s="246">
        <f>'2E.ROE Scan'!AR218</f>
        <v/>
      </c>
      <c r="AQ131" s="246">
        <f>'2E.ROE Scan'!AS218</f>
        <v/>
      </c>
      <c r="AR131" s="246">
        <f>'2E.ROE Scan'!AT218</f>
        <v/>
      </c>
      <c r="AS131" s="246">
        <f>'2E.ROE Scan'!AU218</f>
        <v/>
      </c>
      <c r="AT131" s="246">
        <f>'2E.ROE Scan'!AV218</f>
        <v/>
      </c>
      <c r="AU131" s="246">
        <f>'2E.ROE Scan'!AW218</f>
        <v/>
      </c>
      <c r="AV131" s="246">
        <f>'2E.ROE Scan'!AX218</f>
        <v/>
      </c>
      <c r="AW131" s="246">
        <f>'2E.ROE Scan'!AY218</f>
        <v/>
      </c>
      <c r="AX131" s="246">
        <f>'2E.ROE Scan'!AZ218</f>
        <v/>
      </c>
      <c r="AY131" s="246">
        <f>'2E.ROE Scan'!BA218</f>
        <v/>
      </c>
      <c r="AZ131" s="246">
        <f>'2E.ROE Scan'!BB218</f>
        <v/>
      </c>
    </row>
    <row r="132" ht="16.5" customHeight="1" s="179">
      <c r="B132" s="65">
        <f>B93</f>
        <v/>
      </c>
      <c r="C132" s="246">
        <f>'2E.ROE Scan'!E219</f>
        <v/>
      </c>
      <c r="D132" s="246">
        <f>'2E.ROE Scan'!F219</f>
        <v/>
      </c>
      <c r="E132" s="246">
        <f>'2E.ROE Scan'!G219</f>
        <v/>
      </c>
      <c r="F132" s="246">
        <f>'2E.ROE Scan'!H219</f>
        <v/>
      </c>
      <c r="G132" s="246">
        <f>'2E.ROE Scan'!I219</f>
        <v/>
      </c>
      <c r="H132" s="246">
        <f>'2E.ROE Scan'!J219</f>
        <v/>
      </c>
      <c r="I132" s="246">
        <f>'2E.ROE Scan'!K219</f>
        <v/>
      </c>
      <c r="J132" s="246">
        <f>'2E.ROE Scan'!L219</f>
        <v/>
      </c>
      <c r="K132" s="246">
        <f>'2E.ROE Scan'!M219</f>
        <v/>
      </c>
      <c r="L132" s="246">
        <f>'2E.ROE Scan'!N219</f>
        <v/>
      </c>
      <c r="M132" s="246">
        <f>'2E.ROE Scan'!O219</f>
        <v/>
      </c>
      <c r="N132" s="246">
        <f>'2E.ROE Scan'!P219</f>
        <v/>
      </c>
      <c r="O132" s="246">
        <f>'2E.ROE Scan'!Q219</f>
        <v/>
      </c>
      <c r="P132" s="246">
        <f>'2E.ROE Scan'!R219</f>
        <v/>
      </c>
      <c r="Q132" s="246">
        <f>'2E.ROE Scan'!S219</f>
        <v/>
      </c>
      <c r="R132" s="246">
        <f>'2E.ROE Scan'!T219</f>
        <v/>
      </c>
      <c r="S132" s="246">
        <f>'2E.ROE Scan'!U219</f>
        <v/>
      </c>
      <c r="T132" s="246">
        <f>'2E.ROE Scan'!V219</f>
        <v/>
      </c>
      <c r="U132" s="246">
        <f>'2E.ROE Scan'!W219</f>
        <v/>
      </c>
      <c r="V132" s="246">
        <f>'2E.ROE Scan'!X219</f>
        <v/>
      </c>
      <c r="W132" s="246">
        <f>'2E.ROE Scan'!Y219</f>
        <v/>
      </c>
      <c r="X132" s="246">
        <f>'2E.ROE Scan'!Z219</f>
        <v/>
      </c>
      <c r="Y132" s="246">
        <f>'2E.ROE Scan'!AA219</f>
        <v/>
      </c>
      <c r="Z132" s="246">
        <f>'2E.ROE Scan'!AB219</f>
        <v/>
      </c>
      <c r="AA132" s="246">
        <f>'2E.ROE Scan'!AC219</f>
        <v/>
      </c>
      <c r="AB132" s="246">
        <f>'2E.ROE Scan'!AD219</f>
        <v/>
      </c>
      <c r="AC132" s="246">
        <f>'2E.ROE Scan'!AE219</f>
        <v/>
      </c>
      <c r="AD132" s="246">
        <f>'2E.ROE Scan'!AF219</f>
        <v/>
      </c>
      <c r="AE132" s="246">
        <f>'2E.ROE Scan'!AG219</f>
        <v/>
      </c>
      <c r="AF132" s="246">
        <f>'2E.ROE Scan'!AH219</f>
        <v/>
      </c>
      <c r="AG132" s="246">
        <f>'2E.ROE Scan'!AI219</f>
        <v/>
      </c>
      <c r="AH132" s="246">
        <f>'2E.ROE Scan'!AJ219</f>
        <v/>
      </c>
      <c r="AI132" s="246">
        <f>'2E.ROE Scan'!AK219</f>
        <v/>
      </c>
      <c r="AJ132" s="246">
        <f>'2E.ROE Scan'!AL219</f>
        <v/>
      </c>
      <c r="AK132" s="246">
        <f>'2E.ROE Scan'!AM219</f>
        <v/>
      </c>
      <c r="AL132" s="246">
        <f>'2E.ROE Scan'!AN219</f>
        <v/>
      </c>
      <c r="AM132" s="246">
        <f>'2E.ROE Scan'!AO219</f>
        <v/>
      </c>
      <c r="AN132" s="246">
        <f>'2E.ROE Scan'!AP219</f>
        <v/>
      </c>
      <c r="AO132" s="246">
        <f>'2E.ROE Scan'!AQ219</f>
        <v/>
      </c>
      <c r="AP132" s="246">
        <f>'2E.ROE Scan'!AR219</f>
        <v/>
      </c>
      <c r="AQ132" s="246">
        <f>'2E.ROE Scan'!AS219</f>
        <v/>
      </c>
      <c r="AR132" s="246">
        <f>'2E.ROE Scan'!AT219</f>
        <v/>
      </c>
      <c r="AS132" s="246">
        <f>'2E.ROE Scan'!AU219</f>
        <v/>
      </c>
      <c r="AT132" s="246">
        <f>'2E.ROE Scan'!AV219</f>
        <v/>
      </c>
      <c r="AU132" s="246">
        <f>'2E.ROE Scan'!AW219</f>
        <v/>
      </c>
      <c r="AV132" s="246">
        <f>'2E.ROE Scan'!AX219</f>
        <v/>
      </c>
      <c r="AW132" s="246">
        <f>'2E.ROE Scan'!AY219</f>
        <v/>
      </c>
      <c r="AX132" s="246">
        <f>'2E.ROE Scan'!AZ219</f>
        <v/>
      </c>
      <c r="AY132" s="246">
        <f>'2E.ROE Scan'!BA219</f>
        <v/>
      </c>
      <c r="AZ132" s="246">
        <f>'2E.ROE Scan'!BB219</f>
        <v/>
      </c>
    </row>
    <row r="133" ht="16.5" customHeight="1" s="179">
      <c r="B133" s="65">
        <f>B94</f>
        <v/>
      </c>
      <c r="C133" s="246">
        <f>'2E.ROE Scan'!E220</f>
        <v/>
      </c>
      <c r="D133" s="246">
        <f>'2E.ROE Scan'!F220</f>
        <v/>
      </c>
      <c r="E133" s="246">
        <f>'2E.ROE Scan'!G220</f>
        <v/>
      </c>
      <c r="F133" s="246">
        <f>'2E.ROE Scan'!H220</f>
        <v/>
      </c>
      <c r="G133" s="246">
        <f>'2E.ROE Scan'!I220</f>
        <v/>
      </c>
      <c r="H133" s="246">
        <f>'2E.ROE Scan'!J220</f>
        <v/>
      </c>
      <c r="I133" s="246">
        <f>'2E.ROE Scan'!K220</f>
        <v/>
      </c>
      <c r="J133" s="246">
        <f>'2E.ROE Scan'!L220</f>
        <v/>
      </c>
      <c r="K133" s="246">
        <f>'2E.ROE Scan'!M220</f>
        <v/>
      </c>
      <c r="L133" s="246">
        <f>'2E.ROE Scan'!N220</f>
        <v/>
      </c>
      <c r="M133" s="246">
        <f>'2E.ROE Scan'!O220</f>
        <v/>
      </c>
      <c r="N133" s="246">
        <f>'2E.ROE Scan'!P220</f>
        <v/>
      </c>
      <c r="O133" s="246">
        <f>'2E.ROE Scan'!Q220</f>
        <v/>
      </c>
      <c r="P133" s="246">
        <f>'2E.ROE Scan'!R220</f>
        <v/>
      </c>
      <c r="Q133" s="246">
        <f>'2E.ROE Scan'!S220</f>
        <v/>
      </c>
      <c r="R133" s="246">
        <f>'2E.ROE Scan'!T220</f>
        <v/>
      </c>
      <c r="S133" s="246">
        <f>'2E.ROE Scan'!U220</f>
        <v/>
      </c>
      <c r="T133" s="246">
        <f>'2E.ROE Scan'!V220</f>
        <v/>
      </c>
      <c r="U133" s="246">
        <f>'2E.ROE Scan'!W220</f>
        <v/>
      </c>
      <c r="V133" s="246">
        <f>'2E.ROE Scan'!X220</f>
        <v/>
      </c>
      <c r="W133" s="246">
        <f>'2E.ROE Scan'!Y220</f>
        <v/>
      </c>
      <c r="X133" s="246">
        <f>'2E.ROE Scan'!Z220</f>
        <v/>
      </c>
      <c r="Y133" s="246">
        <f>'2E.ROE Scan'!AA220</f>
        <v/>
      </c>
      <c r="Z133" s="246">
        <f>'2E.ROE Scan'!AB220</f>
        <v/>
      </c>
      <c r="AA133" s="246">
        <f>'2E.ROE Scan'!AC220</f>
        <v/>
      </c>
      <c r="AB133" s="246">
        <f>'2E.ROE Scan'!AD220</f>
        <v/>
      </c>
      <c r="AC133" s="246">
        <f>'2E.ROE Scan'!AE220</f>
        <v/>
      </c>
      <c r="AD133" s="246">
        <f>'2E.ROE Scan'!AF220</f>
        <v/>
      </c>
      <c r="AE133" s="246">
        <f>'2E.ROE Scan'!AG220</f>
        <v/>
      </c>
      <c r="AF133" s="246">
        <f>'2E.ROE Scan'!AH220</f>
        <v/>
      </c>
      <c r="AG133" s="246">
        <f>'2E.ROE Scan'!AI220</f>
        <v/>
      </c>
      <c r="AH133" s="246">
        <f>'2E.ROE Scan'!AJ220</f>
        <v/>
      </c>
      <c r="AI133" s="246">
        <f>'2E.ROE Scan'!AK220</f>
        <v/>
      </c>
      <c r="AJ133" s="246">
        <f>'2E.ROE Scan'!AL220</f>
        <v/>
      </c>
      <c r="AK133" s="246">
        <f>'2E.ROE Scan'!AM220</f>
        <v/>
      </c>
      <c r="AL133" s="246">
        <f>'2E.ROE Scan'!AN220</f>
        <v/>
      </c>
      <c r="AM133" s="246">
        <f>'2E.ROE Scan'!AO220</f>
        <v/>
      </c>
      <c r="AN133" s="246">
        <f>'2E.ROE Scan'!AP220</f>
        <v/>
      </c>
      <c r="AO133" s="246">
        <f>'2E.ROE Scan'!AQ220</f>
        <v/>
      </c>
      <c r="AP133" s="246">
        <f>'2E.ROE Scan'!AR220</f>
        <v/>
      </c>
      <c r="AQ133" s="246">
        <f>'2E.ROE Scan'!AS220</f>
        <v/>
      </c>
      <c r="AR133" s="246">
        <f>'2E.ROE Scan'!AT220</f>
        <v/>
      </c>
      <c r="AS133" s="246">
        <f>'2E.ROE Scan'!AU220</f>
        <v/>
      </c>
      <c r="AT133" s="246">
        <f>'2E.ROE Scan'!AV220</f>
        <v/>
      </c>
      <c r="AU133" s="246">
        <f>'2E.ROE Scan'!AW220</f>
        <v/>
      </c>
      <c r="AV133" s="246">
        <f>'2E.ROE Scan'!AX220</f>
        <v/>
      </c>
      <c r="AW133" s="246">
        <f>'2E.ROE Scan'!AY220</f>
        <v/>
      </c>
      <c r="AX133" s="246">
        <f>'2E.ROE Scan'!AZ220</f>
        <v/>
      </c>
      <c r="AY133" s="246">
        <f>'2E.ROE Scan'!BA220</f>
        <v/>
      </c>
      <c r="AZ133" s="246">
        <f>'2E.ROE Scan'!BB220</f>
        <v/>
      </c>
    </row>
    <row r="134" ht="16.5" customHeight="1" s="179">
      <c r="B134" s="65">
        <f>B95</f>
        <v/>
      </c>
      <c r="C134" s="246">
        <f>'2E.ROE Scan'!E221</f>
        <v/>
      </c>
      <c r="D134" s="246">
        <f>'2E.ROE Scan'!F221</f>
        <v/>
      </c>
      <c r="E134" s="246">
        <f>'2E.ROE Scan'!G221</f>
        <v/>
      </c>
      <c r="F134" s="246">
        <f>'2E.ROE Scan'!H221</f>
        <v/>
      </c>
      <c r="G134" s="246">
        <f>'2E.ROE Scan'!I221</f>
        <v/>
      </c>
      <c r="H134" s="246">
        <f>'2E.ROE Scan'!J221</f>
        <v/>
      </c>
      <c r="I134" s="246">
        <f>'2E.ROE Scan'!K221</f>
        <v/>
      </c>
      <c r="J134" s="246">
        <f>'2E.ROE Scan'!L221</f>
        <v/>
      </c>
      <c r="K134" s="246">
        <f>'2E.ROE Scan'!M221</f>
        <v/>
      </c>
      <c r="L134" s="246">
        <f>'2E.ROE Scan'!N221</f>
        <v/>
      </c>
      <c r="M134" s="246">
        <f>'2E.ROE Scan'!O221</f>
        <v/>
      </c>
      <c r="N134" s="246">
        <f>'2E.ROE Scan'!P221</f>
        <v/>
      </c>
      <c r="O134" s="246">
        <f>'2E.ROE Scan'!Q221</f>
        <v/>
      </c>
      <c r="P134" s="246">
        <f>'2E.ROE Scan'!R221</f>
        <v/>
      </c>
      <c r="Q134" s="246">
        <f>'2E.ROE Scan'!S221</f>
        <v/>
      </c>
      <c r="R134" s="246">
        <f>'2E.ROE Scan'!T221</f>
        <v/>
      </c>
      <c r="S134" s="246">
        <f>'2E.ROE Scan'!U221</f>
        <v/>
      </c>
      <c r="T134" s="246">
        <f>'2E.ROE Scan'!V221</f>
        <v/>
      </c>
      <c r="U134" s="246">
        <f>'2E.ROE Scan'!W221</f>
        <v/>
      </c>
      <c r="V134" s="246">
        <f>'2E.ROE Scan'!X221</f>
        <v/>
      </c>
      <c r="W134" s="246">
        <f>'2E.ROE Scan'!Y221</f>
        <v/>
      </c>
      <c r="X134" s="246">
        <f>'2E.ROE Scan'!Z221</f>
        <v/>
      </c>
      <c r="Y134" s="246">
        <f>'2E.ROE Scan'!AA221</f>
        <v/>
      </c>
      <c r="Z134" s="246">
        <f>'2E.ROE Scan'!AB221</f>
        <v/>
      </c>
      <c r="AA134" s="246">
        <f>'2E.ROE Scan'!AC221</f>
        <v/>
      </c>
      <c r="AB134" s="246">
        <f>'2E.ROE Scan'!AD221</f>
        <v/>
      </c>
      <c r="AC134" s="246">
        <f>'2E.ROE Scan'!AE221</f>
        <v/>
      </c>
      <c r="AD134" s="246">
        <f>'2E.ROE Scan'!AF221</f>
        <v/>
      </c>
      <c r="AE134" s="246">
        <f>'2E.ROE Scan'!AG221</f>
        <v/>
      </c>
      <c r="AF134" s="246">
        <f>'2E.ROE Scan'!AH221</f>
        <v/>
      </c>
      <c r="AG134" s="246">
        <f>'2E.ROE Scan'!AI221</f>
        <v/>
      </c>
      <c r="AH134" s="246">
        <f>'2E.ROE Scan'!AJ221</f>
        <v/>
      </c>
      <c r="AI134" s="246">
        <f>'2E.ROE Scan'!AK221</f>
        <v/>
      </c>
      <c r="AJ134" s="246">
        <f>'2E.ROE Scan'!AL221</f>
        <v/>
      </c>
      <c r="AK134" s="246">
        <f>'2E.ROE Scan'!AM221</f>
        <v/>
      </c>
      <c r="AL134" s="246">
        <f>'2E.ROE Scan'!AN221</f>
        <v/>
      </c>
      <c r="AM134" s="246">
        <f>'2E.ROE Scan'!AO221</f>
        <v/>
      </c>
      <c r="AN134" s="246">
        <f>'2E.ROE Scan'!AP221</f>
        <v/>
      </c>
      <c r="AO134" s="246">
        <f>'2E.ROE Scan'!AQ221</f>
        <v/>
      </c>
      <c r="AP134" s="246">
        <f>'2E.ROE Scan'!AR221</f>
        <v/>
      </c>
      <c r="AQ134" s="246">
        <f>'2E.ROE Scan'!AS221</f>
        <v/>
      </c>
      <c r="AR134" s="246">
        <f>'2E.ROE Scan'!AT221</f>
        <v/>
      </c>
      <c r="AS134" s="246">
        <f>'2E.ROE Scan'!AU221</f>
        <v/>
      </c>
      <c r="AT134" s="246">
        <f>'2E.ROE Scan'!AV221</f>
        <v/>
      </c>
      <c r="AU134" s="246">
        <f>'2E.ROE Scan'!AW221</f>
        <v/>
      </c>
      <c r="AV134" s="246">
        <f>'2E.ROE Scan'!AX221</f>
        <v/>
      </c>
      <c r="AW134" s="246">
        <f>'2E.ROE Scan'!AY221</f>
        <v/>
      </c>
      <c r="AX134" s="246">
        <f>'2E.ROE Scan'!AZ221</f>
        <v/>
      </c>
      <c r="AY134" s="246">
        <f>'2E.ROE Scan'!BA221</f>
        <v/>
      </c>
      <c r="AZ134" s="246">
        <f>'2E.ROE Scan'!BB221</f>
        <v/>
      </c>
    </row>
    <row r="135" ht="16.5" customHeight="1" s="179">
      <c r="B135" s="65">
        <f>B96</f>
        <v/>
      </c>
      <c r="C135" s="246">
        <f>'2E.ROE Scan'!E222</f>
        <v/>
      </c>
      <c r="D135" s="246">
        <f>'2E.ROE Scan'!F222</f>
        <v/>
      </c>
      <c r="E135" s="246">
        <f>'2E.ROE Scan'!G222</f>
        <v/>
      </c>
      <c r="F135" s="246">
        <f>'2E.ROE Scan'!H222</f>
        <v/>
      </c>
      <c r="G135" s="246">
        <f>'2E.ROE Scan'!I222</f>
        <v/>
      </c>
      <c r="H135" s="246">
        <f>'2E.ROE Scan'!J222</f>
        <v/>
      </c>
      <c r="I135" s="246">
        <f>'2E.ROE Scan'!K222</f>
        <v/>
      </c>
      <c r="J135" s="246">
        <f>'2E.ROE Scan'!L222</f>
        <v/>
      </c>
      <c r="K135" s="246">
        <f>'2E.ROE Scan'!M222</f>
        <v/>
      </c>
      <c r="L135" s="246">
        <f>'2E.ROE Scan'!N222</f>
        <v/>
      </c>
      <c r="M135" s="246">
        <f>'2E.ROE Scan'!O222</f>
        <v/>
      </c>
      <c r="N135" s="246">
        <f>'2E.ROE Scan'!P222</f>
        <v/>
      </c>
      <c r="O135" s="246">
        <f>'2E.ROE Scan'!Q222</f>
        <v/>
      </c>
      <c r="P135" s="246">
        <f>'2E.ROE Scan'!R222</f>
        <v/>
      </c>
      <c r="Q135" s="246">
        <f>'2E.ROE Scan'!S222</f>
        <v/>
      </c>
      <c r="R135" s="246">
        <f>'2E.ROE Scan'!T222</f>
        <v/>
      </c>
      <c r="S135" s="246">
        <f>'2E.ROE Scan'!U222</f>
        <v/>
      </c>
      <c r="T135" s="246">
        <f>'2E.ROE Scan'!V222</f>
        <v/>
      </c>
      <c r="U135" s="246">
        <f>'2E.ROE Scan'!W222</f>
        <v/>
      </c>
      <c r="V135" s="246">
        <f>'2E.ROE Scan'!X222</f>
        <v/>
      </c>
      <c r="W135" s="246">
        <f>'2E.ROE Scan'!Y222</f>
        <v/>
      </c>
      <c r="X135" s="246">
        <f>'2E.ROE Scan'!Z222</f>
        <v/>
      </c>
      <c r="Y135" s="246">
        <f>'2E.ROE Scan'!AA222</f>
        <v/>
      </c>
      <c r="Z135" s="246">
        <f>'2E.ROE Scan'!AB222</f>
        <v/>
      </c>
      <c r="AA135" s="246">
        <f>'2E.ROE Scan'!AC222</f>
        <v/>
      </c>
      <c r="AB135" s="246">
        <f>'2E.ROE Scan'!AD222</f>
        <v/>
      </c>
      <c r="AC135" s="246">
        <f>'2E.ROE Scan'!AE222</f>
        <v/>
      </c>
      <c r="AD135" s="246">
        <f>'2E.ROE Scan'!AF222</f>
        <v/>
      </c>
      <c r="AE135" s="246">
        <f>'2E.ROE Scan'!AG222</f>
        <v/>
      </c>
      <c r="AF135" s="246">
        <f>'2E.ROE Scan'!AH222</f>
        <v/>
      </c>
      <c r="AG135" s="246">
        <f>'2E.ROE Scan'!AI222</f>
        <v/>
      </c>
      <c r="AH135" s="246">
        <f>'2E.ROE Scan'!AJ222</f>
        <v/>
      </c>
      <c r="AI135" s="246">
        <f>'2E.ROE Scan'!AK222</f>
        <v/>
      </c>
      <c r="AJ135" s="246">
        <f>'2E.ROE Scan'!AL222</f>
        <v/>
      </c>
      <c r="AK135" s="246">
        <f>'2E.ROE Scan'!AM222</f>
        <v/>
      </c>
      <c r="AL135" s="246">
        <f>'2E.ROE Scan'!AN222</f>
        <v/>
      </c>
      <c r="AM135" s="246">
        <f>'2E.ROE Scan'!AO222</f>
        <v/>
      </c>
      <c r="AN135" s="246">
        <f>'2E.ROE Scan'!AP222</f>
        <v/>
      </c>
      <c r="AO135" s="246">
        <f>'2E.ROE Scan'!AQ222</f>
        <v/>
      </c>
      <c r="AP135" s="246">
        <f>'2E.ROE Scan'!AR222</f>
        <v/>
      </c>
      <c r="AQ135" s="246">
        <f>'2E.ROE Scan'!AS222</f>
        <v/>
      </c>
      <c r="AR135" s="246">
        <f>'2E.ROE Scan'!AT222</f>
        <v/>
      </c>
      <c r="AS135" s="246">
        <f>'2E.ROE Scan'!AU222</f>
        <v/>
      </c>
      <c r="AT135" s="246">
        <f>'2E.ROE Scan'!AV222</f>
        <v/>
      </c>
      <c r="AU135" s="246">
        <f>'2E.ROE Scan'!AW222</f>
        <v/>
      </c>
      <c r="AV135" s="246">
        <f>'2E.ROE Scan'!AX222</f>
        <v/>
      </c>
      <c r="AW135" s="246">
        <f>'2E.ROE Scan'!AY222</f>
        <v/>
      </c>
      <c r="AX135" s="246">
        <f>'2E.ROE Scan'!AZ222</f>
        <v/>
      </c>
      <c r="AY135" s="246">
        <f>'2E.ROE Scan'!BA222</f>
        <v/>
      </c>
      <c r="AZ135" s="246">
        <f>'2E.ROE Scan'!BB222</f>
        <v/>
      </c>
    </row>
    <row r="136" ht="16.5" customHeight="1" s="179">
      <c r="B136" s="65">
        <f>B97</f>
        <v/>
      </c>
      <c r="C136" s="246">
        <f>'2E.ROE Scan'!E223</f>
        <v/>
      </c>
      <c r="D136" s="246">
        <f>'2E.ROE Scan'!F223</f>
        <v/>
      </c>
      <c r="E136" s="246">
        <f>'2E.ROE Scan'!G223</f>
        <v/>
      </c>
      <c r="F136" s="246">
        <f>'2E.ROE Scan'!H223</f>
        <v/>
      </c>
      <c r="G136" s="246">
        <f>'2E.ROE Scan'!I223</f>
        <v/>
      </c>
      <c r="H136" s="246">
        <f>'2E.ROE Scan'!J223</f>
        <v/>
      </c>
      <c r="I136" s="246">
        <f>'2E.ROE Scan'!K223</f>
        <v/>
      </c>
      <c r="J136" s="246">
        <f>'2E.ROE Scan'!L223</f>
        <v/>
      </c>
      <c r="K136" s="246">
        <f>'2E.ROE Scan'!M223</f>
        <v/>
      </c>
      <c r="L136" s="246">
        <f>'2E.ROE Scan'!N223</f>
        <v/>
      </c>
      <c r="M136" s="246">
        <f>'2E.ROE Scan'!O223</f>
        <v/>
      </c>
      <c r="N136" s="246">
        <f>'2E.ROE Scan'!P223</f>
        <v/>
      </c>
      <c r="O136" s="246">
        <f>'2E.ROE Scan'!Q223</f>
        <v/>
      </c>
      <c r="P136" s="246">
        <f>'2E.ROE Scan'!R223</f>
        <v/>
      </c>
      <c r="Q136" s="246">
        <f>'2E.ROE Scan'!S223</f>
        <v/>
      </c>
      <c r="R136" s="246">
        <f>'2E.ROE Scan'!T223</f>
        <v/>
      </c>
      <c r="S136" s="246">
        <f>'2E.ROE Scan'!U223</f>
        <v/>
      </c>
      <c r="T136" s="246">
        <f>'2E.ROE Scan'!V223</f>
        <v/>
      </c>
      <c r="U136" s="246">
        <f>'2E.ROE Scan'!W223</f>
        <v/>
      </c>
      <c r="V136" s="246">
        <f>'2E.ROE Scan'!X223</f>
        <v/>
      </c>
      <c r="W136" s="246">
        <f>'2E.ROE Scan'!Y223</f>
        <v/>
      </c>
      <c r="X136" s="246">
        <f>'2E.ROE Scan'!Z223</f>
        <v/>
      </c>
      <c r="Y136" s="246">
        <f>'2E.ROE Scan'!AA223</f>
        <v/>
      </c>
      <c r="Z136" s="246">
        <f>'2E.ROE Scan'!AB223</f>
        <v/>
      </c>
      <c r="AA136" s="246">
        <f>'2E.ROE Scan'!AC223</f>
        <v/>
      </c>
      <c r="AB136" s="246">
        <f>'2E.ROE Scan'!AD223</f>
        <v/>
      </c>
      <c r="AC136" s="246">
        <f>'2E.ROE Scan'!AE223</f>
        <v/>
      </c>
      <c r="AD136" s="246">
        <f>'2E.ROE Scan'!AF223</f>
        <v/>
      </c>
      <c r="AE136" s="246">
        <f>'2E.ROE Scan'!AG223</f>
        <v/>
      </c>
      <c r="AF136" s="246">
        <f>'2E.ROE Scan'!AH223</f>
        <v/>
      </c>
      <c r="AG136" s="246">
        <f>'2E.ROE Scan'!AI223</f>
        <v/>
      </c>
      <c r="AH136" s="246">
        <f>'2E.ROE Scan'!AJ223</f>
        <v/>
      </c>
      <c r="AI136" s="246">
        <f>'2E.ROE Scan'!AK223</f>
        <v/>
      </c>
      <c r="AJ136" s="246">
        <f>'2E.ROE Scan'!AL223</f>
        <v/>
      </c>
      <c r="AK136" s="246">
        <f>'2E.ROE Scan'!AM223</f>
        <v/>
      </c>
      <c r="AL136" s="246">
        <f>'2E.ROE Scan'!AN223</f>
        <v/>
      </c>
      <c r="AM136" s="246">
        <f>'2E.ROE Scan'!AO223</f>
        <v/>
      </c>
      <c r="AN136" s="246">
        <f>'2E.ROE Scan'!AP223</f>
        <v/>
      </c>
      <c r="AO136" s="246">
        <f>'2E.ROE Scan'!AQ223</f>
        <v/>
      </c>
      <c r="AP136" s="246">
        <f>'2E.ROE Scan'!AR223</f>
        <v/>
      </c>
      <c r="AQ136" s="246">
        <f>'2E.ROE Scan'!AS223</f>
        <v/>
      </c>
      <c r="AR136" s="246">
        <f>'2E.ROE Scan'!AT223</f>
        <v/>
      </c>
      <c r="AS136" s="246">
        <f>'2E.ROE Scan'!AU223</f>
        <v/>
      </c>
      <c r="AT136" s="246">
        <f>'2E.ROE Scan'!AV223</f>
        <v/>
      </c>
      <c r="AU136" s="246">
        <f>'2E.ROE Scan'!AW223</f>
        <v/>
      </c>
      <c r="AV136" s="246">
        <f>'2E.ROE Scan'!AX223</f>
        <v/>
      </c>
      <c r="AW136" s="246">
        <f>'2E.ROE Scan'!AY223</f>
        <v/>
      </c>
      <c r="AX136" s="246">
        <f>'2E.ROE Scan'!AZ223</f>
        <v/>
      </c>
      <c r="AY136" s="246">
        <f>'2E.ROE Scan'!BA223</f>
        <v/>
      </c>
      <c r="AZ136" s="246">
        <f>'2E.ROE Scan'!BB223</f>
        <v/>
      </c>
    </row>
    <row r="137" ht="16.5" customHeight="1" s="179">
      <c r="B137" s="65">
        <f>B98</f>
        <v/>
      </c>
      <c r="C137" s="246">
        <f>'2E.ROE Scan'!E224</f>
        <v/>
      </c>
      <c r="D137" s="246">
        <f>'2E.ROE Scan'!F224</f>
        <v/>
      </c>
      <c r="E137" s="246">
        <f>'2E.ROE Scan'!G224</f>
        <v/>
      </c>
      <c r="F137" s="246">
        <f>'2E.ROE Scan'!H224</f>
        <v/>
      </c>
      <c r="G137" s="246">
        <f>'2E.ROE Scan'!I224</f>
        <v/>
      </c>
      <c r="H137" s="246">
        <f>'2E.ROE Scan'!J224</f>
        <v/>
      </c>
      <c r="I137" s="246">
        <f>'2E.ROE Scan'!K224</f>
        <v/>
      </c>
      <c r="J137" s="246">
        <f>'2E.ROE Scan'!L224</f>
        <v/>
      </c>
      <c r="K137" s="246">
        <f>'2E.ROE Scan'!M224</f>
        <v/>
      </c>
      <c r="L137" s="246">
        <f>'2E.ROE Scan'!N224</f>
        <v/>
      </c>
      <c r="M137" s="246">
        <f>'2E.ROE Scan'!O224</f>
        <v/>
      </c>
      <c r="N137" s="246">
        <f>'2E.ROE Scan'!P224</f>
        <v/>
      </c>
      <c r="O137" s="246">
        <f>'2E.ROE Scan'!Q224</f>
        <v/>
      </c>
      <c r="P137" s="246">
        <f>'2E.ROE Scan'!R224</f>
        <v/>
      </c>
      <c r="Q137" s="246">
        <f>'2E.ROE Scan'!S224</f>
        <v/>
      </c>
      <c r="R137" s="246">
        <f>'2E.ROE Scan'!T224</f>
        <v/>
      </c>
      <c r="S137" s="246">
        <f>'2E.ROE Scan'!U224</f>
        <v/>
      </c>
      <c r="T137" s="246">
        <f>'2E.ROE Scan'!V224</f>
        <v/>
      </c>
      <c r="U137" s="246">
        <f>'2E.ROE Scan'!W224</f>
        <v/>
      </c>
      <c r="V137" s="246">
        <f>'2E.ROE Scan'!X224</f>
        <v/>
      </c>
      <c r="W137" s="246">
        <f>'2E.ROE Scan'!Y224</f>
        <v/>
      </c>
      <c r="X137" s="246">
        <f>'2E.ROE Scan'!Z224</f>
        <v/>
      </c>
      <c r="Y137" s="246">
        <f>'2E.ROE Scan'!AA224</f>
        <v/>
      </c>
      <c r="Z137" s="246">
        <f>'2E.ROE Scan'!AB224</f>
        <v/>
      </c>
      <c r="AA137" s="246">
        <f>'2E.ROE Scan'!AC224</f>
        <v/>
      </c>
      <c r="AB137" s="246">
        <f>'2E.ROE Scan'!AD224</f>
        <v/>
      </c>
      <c r="AC137" s="246">
        <f>'2E.ROE Scan'!AE224</f>
        <v/>
      </c>
      <c r="AD137" s="246">
        <f>'2E.ROE Scan'!AF224</f>
        <v/>
      </c>
      <c r="AE137" s="246">
        <f>'2E.ROE Scan'!AG224</f>
        <v/>
      </c>
      <c r="AF137" s="246">
        <f>'2E.ROE Scan'!AH224</f>
        <v/>
      </c>
      <c r="AG137" s="246">
        <f>'2E.ROE Scan'!AI224</f>
        <v/>
      </c>
      <c r="AH137" s="246">
        <f>'2E.ROE Scan'!AJ224</f>
        <v/>
      </c>
      <c r="AI137" s="246">
        <f>'2E.ROE Scan'!AK224</f>
        <v/>
      </c>
      <c r="AJ137" s="246">
        <f>'2E.ROE Scan'!AL224</f>
        <v/>
      </c>
      <c r="AK137" s="246">
        <f>'2E.ROE Scan'!AM224</f>
        <v/>
      </c>
      <c r="AL137" s="246">
        <f>'2E.ROE Scan'!AN224</f>
        <v/>
      </c>
      <c r="AM137" s="246">
        <f>'2E.ROE Scan'!AO224</f>
        <v/>
      </c>
      <c r="AN137" s="246">
        <f>'2E.ROE Scan'!AP224</f>
        <v/>
      </c>
      <c r="AO137" s="246">
        <f>'2E.ROE Scan'!AQ224</f>
        <v/>
      </c>
      <c r="AP137" s="246">
        <f>'2E.ROE Scan'!AR224</f>
        <v/>
      </c>
      <c r="AQ137" s="246">
        <f>'2E.ROE Scan'!AS224</f>
        <v/>
      </c>
      <c r="AR137" s="246">
        <f>'2E.ROE Scan'!AT224</f>
        <v/>
      </c>
      <c r="AS137" s="246">
        <f>'2E.ROE Scan'!AU224</f>
        <v/>
      </c>
      <c r="AT137" s="246">
        <f>'2E.ROE Scan'!AV224</f>
        <v/>
      </c>
      <c r="AU137" s="246">
        <f>'2E.ROE Scan'!AW224</f>
        <v/>
      </c>
      <c r="AV137" s="246">
        <f>'2E.ROE Scan'!AX224</f>
        <v/>
      </c>
      <c r="AW137" s="246">
        <f>'2E.ROE Scan'!AY224</f>
        <v/>
      </c>
      <c r="AX137" s="246">
        <f>'2E.ROE Scan'!AZ224</f>
        <v/>
      </c>
      <c r="AY137" s="246">
        <f>'2E.ROE Scan'!BA224</f>
        <v/>
      </c>
      <c r="AZ137" s="246">
        <f>'2E.ROE Scan'!BB224</f>
        <v/>
      </c>
    </row>
    <row r="138" ht="16.5" customHeight="1" s="179">
      <c r="B138" s="65">
        <f>B99</f>
        <v/>
      </c>
      <c r="C138" s="246">
        <f>'2E.ROE Scan'!E225</f>
        <v/>
      </c>
      <c r="D138" s="246">
        <f>'2E.ROE Scan'!F225</f>
        <v/>
      </c>
      <c r="E138" s="246">
        <f>'2E.ROE Scan'!G225</f>
        <v/>
      </c>
      <c r="F138" s="246">
        <f>'2E.ROE Scan'!H225</f>
        <v/>
      </c>
      <c r="G138" s="246">
        <f>'2E.ROE Scan'!I225</f>
        <v/>
      </c>
      <c r="H138" s="246">
        <f>'2E.ROE Scan'!J225</f>
        <v/>
      </c>
      <c r="I138" s="246">
        <f>'2E.ROE Scan'!K225</f>
        <v/>
      </c>
      <c r="J138" s="246">
        <f>'2E.ROE Scan'!L225</f>
        <v/>
      </c>
      <c r="K138" s="246">
        <f>'2E.ROE Scan'!M225</f>
        <v/>
      </c>
      <c r="L138" s="246">
        <f>'2E.ROE Scan'!N225</f>
        <v/>
      </c>
      <c r="M138" s="246">
        <f>'2E.ROE Scan'!O225</f>
        <v/>
      </c>
      <c r="N138" s="246">
        <f>'2E.ROE Scan'!P225</f>
        <v/>
      </c>
      <c r="O138" s="246">
        <f>'2E.ROE Scan'!Q225</f>
        <v/>
      </c>
      <c r="P138" s="246">
        <f>'2E.ROE Scan'!R225</f>
        <v/>
      </c>
      <c r="Q138" s="246">
        <f>'2E.ROE Scan'!S225</f>
        <v/>
      </c>
      <c r="R138" s="246">
        <f>'2E.ROE Scan'!T225</f>
        <v/>
      </c>
      <c r="S138" s="246">
        <f>'2E.ROE Scan'!U225</f>
        <v/>
      </c>
      <c r="T138" s="246">
        <f>'2E.ROE Scan'!V225</f>
        <v/>
      </c>
      <c r="U138" s="246">
        <f>'2E.ROE Scan'!W225</f>
        <v/>
      </c>
      <c r="V138" s="246">
        <f>'2E.ROE Scan'!X225</f>
        <v/>
      </c>
      <c r="W138" s="246">
        <f>'2E.ROE Scan'!Y225</f>
        <v/>
      </c>
      <c r="X138" s="246">
        <f>'2E.ROE Scan'!Z225</f>
        <v/>
      </c>
      <c r="Y138" s="246">
        <f>'2E.ROE Scan'!AA225</f>
        <v/>
      </c>
      <c r="Z138" s="246">
        <f>'2E.ROE Scan'!AB225</f>
        <v/>
      </c>
      <c r="AA138" s="246">
        <f>'2E.ROE Scan'!AC225</f>
        <v/>
      </c>
      <c r="AB138" s="246">
        <f>'2E.ROE Scan'!AD225</f>
        <v/>
      </c>
      <c r="AC138" s="246">
        <f>'2E.ROE Scan'!AE225</f>
        <v/>
      </c>
      <c r="AD138" s="246">
        <f>'2E.ROE Scan'!AF225</f>
        <v/>
      </c>
      <c r="AE138" s="246">
        <f>'2E.ROE Scan'!AG225</f>
        <v/>
      </c>
      <c r="AF138" s="246">
        <f>'2E.ROE Scan'!AH225</f>
        <v/>
      </c>
      <c r="AG138" s="246">
        <f>'2E.ROE Scan'!AI225</f>
        <v/>
      </c>
      <c r="AH138" s="246">
        <f>'2E.ROE Scan'!AJ225</f>
        <v/>
      </c>
      <c r="AI138" s="246">
        <f>'2E.ROE Scan'!AK225</f>
        <v/>
      </c>
      <c r="AJ138" s="246">
        <f>'2E.ROE Scan'!AL225</f>
        <v/>
      </c>
      <c r="AK138" s="246">
        <f>'2E.ROE Scan'!AM225</f>
        <v/>
      </c>
      <c r="AL138" s="246">
        <f>'2E.ROE Scan'!AN225</f>
        <v/>
      </c>
      <c r="AM138" s="246">
        <f>'2E.ROE Scan'!AO225</f>
        <v/>
      </c>
      <c r="AN138" s="246">
        <f>'2E.ROE Scan'!AP225</f>
        <v/>
      </c>
      <c r="AO138" s="246">
        <f>'2E.ROE Scan'!AQ225</f>
        <v/>
      </c>
      <c r="AP138" s="246">
        <f>'2E.ROE Scan'!AR225</f>
        <v/>
      </c>
      <c r="AQ138" s="246">
        <f>'2E.ROE Scan'!AS225</f>
        <v/>
      </c>
      <c r="AR138" s="246">
        <f>'2E.ROE Scan'!AT225</f>
        <v/>
      </c>
      <c r="AS138" s="246">
        <f>'2E.ROE Scan'!AU225</f>
        <v/>
      </c>
      <c r="AT138" s="246">
        <f>'2E.ROE Scan'!AV225</f>
        <v/>
      </c>
      <c r="AU138" s="246">
        <f>'2E.ROE Scan'!AW225</f>
        <v/>
      </c>
      <c r="AV138" s="246">
        <f>'2E.ROE Scan'!AX225</f>
        <v/>
      </c>
      <c r="AW138" s="246">
        <f>'2E.ROE Scan'!AY225</f>
        <v/>
      </c>
      <c r="AX138" s="246">
        <f>'2E.ROE Scan'!AZ225</f>
        <v/>
      </c>
      <c r="AY138" s="246">
        <f>'2E.ROE Scan'!BA225</f>
        <v/>
      </c>
      <c r="AZ138" s="246">
        <f>'2E.ROE Scan'!BB225</f>
        <v/>
      </c>
    </row>
    <row r="139" ht="16.5" customHeight="1" s="179">
      <c r="B139" s="65">
        <f>B100</f>
        <v/>
      </c>
      <c r="C139" s="246">
        <f>'2E.ROE Scan'!E226</f>
        <v/>
      </c>
      <c r="D139" s="246">
        <f>'2E.ROE Scan'!F226</f>
        <v/>
      </c>
      <c r="E139" s="246">
        <f>'2E.ROE Scan'!G226</f>
        <v/>
      </c>
      <c r="F139" s="246">
        <f>'2E.ROE Scan'!H226</f>
        <v/>
      </c>
      <c r="G139" s="246">
        <f>'2E.ROE Scan'!I226</f>
        <v/>
      </c>
      <c r="H139" s="246">
        <f>'2E.ROE Scan'!J226</f>
        <v/>
      </c>
      <c r="I139" s="246">
        <f>'2E.ROE Scan'!K226</f>
        <v/>
      </c>
      <c r="J139" s="246">
        <f>'2E.ROE Scan'!L226</f>
        <v/>
      </c>
      <c r="K139" s="246">
        <f>'2E.ROE Scan'!M226</f>
        <v/>
      </c>
      <c r="L139" s="246">
        <f>'2E.ROE Scan'!N226</f>
        <v/>
      </c>
      <c r="M139" s="246">
        <f>'2E.ROE Scan'!O226</f>
        <v/>
      </c>
      <c r="N139" s="246">
        <f>'2E.ROE Scan'!P226</f>
        <v/>
      </c>
      <c r="O139" s="246">
        <f>'2E.ROE Scan'!Q226</f>
        <v/>
      </c>
      <c r="P139" s="246">
        <f>'2E.ROE Scan'!R226</f>
        <v/>
      </c>
      <c r="Q139" s="246">
        <f>'2E.ROE Scan'!S226</f>
        <v/>
      </c>
      <c r="R139" s="246">
        <f>'2E.ROE Scan'!T226</f>
        <v/>
      </c>
      <c r="S139" s="246">
        <f>'2E.ROE Scan'!U226</f>
        <v/>
      </c>
      <c r="T139" s="246">
        <f>'2E.ROE Scan'!V226</f>
        <v/>
      </c>
      <c r="U139" s="246">
        <f>'2E.ROE Scan'!W226</f>
        <v/>
      </c>
      <c r="V139" s="246">
        <f>'2E.ROE Scan'!X226</f>
        <v/>
      </c>
      <c r="W139" s="246">
        <f>'2E.ROE Scan'!Y226</f>
        <v/>
      </c>
      <c r="X139" s="246">
        <f>'2E.ROE Scan'!Z226</f>
        <v/>
      </c>
      <c r="Y139" s="246">
        <f>'2E.ROE Scan'!AA226</f>
        <v/>
      </c>
      <c r="Z139" s="246">
        <f>'2E.ROE Scan'!AB226</f>
        <v/>
      </c>
      <c r="AA139" s="246">
        <f>'2E.ROE Scan'!AC226</f>
        <v/>
      </c>
      <c r="AB139" s="246">
        <f>'2E.ROE Scan'!AD226</f>
        <v/>
      </c>
      <c r="AC139" s="246">
        <f>'2E.ROE Scan'!AE226</f>
        <v/>
      </c>
      <c r="AD139" s="246">
        <f>'2E.ROE Scan'!AF226</f>
        <v/>
      </c>
      <c r="AE139" s="246">
        <f>'2E.ROE Scan'!AG226</f>
        <v/>
      </c>
      <c r="AF139" s="246">
        <f>'2E.ROE Scan'!AH226</f>
        <v/>
      </c>
      <c r="AG139" s="246">
        <f>'2E.ROE Scan'!AI226</f>
        <v/>
      </c>
      <c r="AH139" s="246">
        <f>'2E.ROE Scan'!AJ226</f>
        <v/>
      </c>
      <c r="AI139" s="246">
        <f>'2E.ROE Scan'!AK226</f>
        <v/>
      </c>
      <c r="AJ139" s="246">
        <f>'2E.ROE Scan'!AL226</f>
        <v/>
      </c>
      <c r="AK139" s="246">
        <f>'2E.ROE Scan'!AM226</f>
        <v/>
      </c>
      <c r="AL139" s="246">
        <f>'2E.ROE Scan'!AN226</f>
        <v/>
      </c>
      <c r="AM139" s="246">
        <f>'2E.ROE Scan'!AO226</f>
        <v/>
      </c>
      <c r="AN139" s="246">
        <f>'2E.ROE Scan'!AP226</f>
        <v/>
      </c>
      <c r="AO139" s="246">
        <f>'2E.ROE Scan'!AQ226</f>
        <v/>
      </c>
      <c r="AP139" s="246">
        <f>'2E.ROE Scan'!AR226</f>
        <v/>
      </c>
      <c r="AQ139" s="246">
        <f>'2E.ROE Scan'!AS226</f>
        <v/>
      </c>
      <c r="AR139" s="246">
        <f>'2E.ROE Scan'!AT226</f>
        <v/>
      </c>
      <c r="AS139" s="246">
        <f>'2E.ROE Scan'!AU226</f>
        <v/>
      </c>
      <c r="AT139" s="246">
        <f>'2E.ROE Scan'!AV226</f>
        <v/>
      </c>
      <c r="AU139" s="246">
        <f>'2E.ROE Scan'!AW226</f>
        <v/>
      </c>
      <c r="AV139" s="246">
        <f>'2E.ROE Scan'!AX226</f>
        <v/>
      </c>
      <c r="AW139" s="246">
        <f>'2E.ROE Scan'!AY226</f>
        <v/>
      </c>
      <c r="AX139" s="246">
        <f>'2E.ROE Scan'!AZ226</f>
        <v/>
      </c>
      <c r="AY139" s="246">
        <f>'2E.ROE Scan'!BA226</f>
        <v/>
      </c>
      <c r="AZ139" s="246">
        <f>'2E.ROE Scan'!BB226</f>
        <v/>
      </c>
    </row>
    <row r="140" ht="16.5" customHeight="1" s="179">
      <c r="B140" s="65">
        <f>B101</f>
        <v/>
      </c>
      <c r="C140" s="246">
        <f>'2E.ROE Scan'!E227</f>
        <v/>
      </c>
      <c r="D140" s="246">
        <f>'2E.ROE Scan'!F227</f>
        <v/>
      </c>
      <c r="E140" s="246">
        <f>'2E.ROE Scan'!G227</f>
        <v/>
      </c>
      <c r="F140" s="246">
        <f>'2E.ROE Scan'!H227</f>
        <v/>
      </c>
      <c r="G140" s="246">
        <f>'2E.ROE Scan'!I227</f>
        <v/>
      </c>
      <c r="H140" s="246">
        <f>'2E.ROE Scan'!J227</f>
        <v/>
      </c>
      <c r="I140" s="246">
        <f>'2E.ROE Scan'!K227</f>
        <v/>
      </c>
      <c r="J140" s="246">
        <f>'2E.ROE Scan'!L227</f>
        <v/>
      </c>
      <c r="K140" s="246">
        <f>'2E.ROE Scan'!M227</f>
        <v/>
      </c>
      <c r="L140" s="246">
        <f>'2E.ROE Scan'!N227</f>
        <v/>
      </c>
      <c r="M140" s="246">
        <f>'2E.ROE Scan'!O227</f>
        <v/>
      </c>
      <c r="N140" s="246">
        <f>'2E.ROE Scan'!P227</f>
        <v/>
      </c>
      <c r="O140" s="246">
        <f>'2E.ROE Scan'!Q227</f>
        <v/>
      </c>
      <c r="P140" s="246">
        <f>'2E.ROE Scan'!R227</f>
        <v/>
      </c>
      <c r="Q140" s="246">
        <f>'2E.ROE Scan'!S227</f>
        <v/>
      </c>
      <c r="R140" s="246">
        <f>'2E.ROE Scan'!T227</f>
        <v/>
      </c>
      <c r="S140" s="246">
        <f>'2E.ROE Scan'!U227</f>
        <v/>
      </c>
      <c r="T140" s="246">
        <f>'2E.ROE Scan'!V227</f>
        <v/>
      </c>
      <c r="U140" s="246">
        <f>'2E.ROE Scan'!W227</f>
        <v/>
      </c>
      <c r="V140" s="246">
        <f>'2E.ROE Scan'!X227</f>
        <v/>
      </c>
      <c r="W140" s="246">
        <f>'2E.ROE Scan'!Y227</f>
        <v/>
      </c>
      <c r="X140" s="246">
        <f>'2E.ROE Scan'!Z227</f>
        <v/>
      </c>
      <c r="Y140" s="246">
        <f>'2E.ROE Scan'!AA227</f>
        <v/>
      </c>
      <c r="Z140" s="246">
        <f>'2E.ROE Scan'!AB227</f>
        <v/>
      </c>
      <c r="AA140" s="246">
        <f>'2E.ROE Scan'!AC227</f>
        <v/>
      </c>
      <c r="AB140" s="246">
        <f>'2E.ROE Scan'!AD227</f>
        <v/>
      </c>
      <c r="AC140" s="246">
        <f>'2E.ROE Scan'!AE227</f>
        <v/>
      </c>
      <c r="AD140" s="246">
        <f>'2E.ROE Scan'!AF227</f>
        <v/>
      </c>
      <c r="AE140" s="246">
        <f>'2E.ROE Scan'!AG227</f>
        <v/>
      </c>
      <c r="AF140" s="246">
        <f>'2E.ROE Scan'!AH227</f>
        <v/>
      </c>
      <c r="AG140" s="246">
        <f>'2E.ROE Scan'!AI227</f>
        <v/>
      </c>
      <c r="AH140" s="246">
        <f>'2E.ROE Scan'!AJ227</f>
        <v/>
      </c>
      <c r="AI140" s="246">
        <f>'2E.ROE Scan'!AK227</f>
        <v/>
      </c>
      <c r="AJ140" s="246">
        <f>'2E.ROE Scan'!AL227</f>
        <v/>
      </c>
      <c r="AK140" s="246">
        <f>'2E.ROE Scan'!AM227</f>
        <v/>
      </c>
      <c r="AL140" s="246">
        <f>'2E.ROE Scan'!AN227</f>
        <v/>
      </c>
      <c r="AM140" s="246">
        <f>'2E.ROE Scan'!AO227</f>
        <v/>
      </c>
      <c r="AN140" s="246">
        <f>'2E.ROE Scan'!AP227</f>
        <v/>
      </c>
      <c r="AO140" s="246">
        <f>'2E.ROE Scan'!AQ227</f>
        <v/>
      </c>
      <c r="AP140" s="246">
        <f>'2E.ROE Scan'!AR227</f>
        <v/>
      </c>
      <c r="AQ140" s="246">
        <f>'2E.ROE Scan'!AS227</f>
        <v/>
      </c>
      <c r="AR140" s="246">
        <f>'2E.ROE Scan'!AT227</f>
        <v/>
      </c>
      <c r="AS140" s="246">
        <f>'2E.ROE Scan'!AU227</f>
        <v/>
      </c>
      <c r="AT140" s="246">
        <f>'2E.ROE Scan'!AV227</f>
        <v/>
      </c>
      <c r="AU140" s="246">
        <f>'2E.ROE Scan'!AW227</f>
        <v/>
      </c>
      <c r="AV140" s="246">
        <f>'2E.ROE Scan'!AX227</f>
        <v/>
      </c>
      <c r="AW140" s="246">
        <f>'2E.ROE Scan'!AY227</f>
        <v/>
      </c>
      <c r="AX140" s="246">
        <f>'2E.ROE Scan'!AZ227</f>
        <v/>
      </c>
      <c r="AY140" s="246">
        <f>'2E.ROE Scan'!BA227</f>
        <v/>
      </c>
      <c r="AZ140" s="246">
        <f>'2E.ROE Scan'!BB227</f>
        <v/>
      </c>
    </row>
    <row r="141" ht="16.5" customHeight="1" s="179">
      <c r="B141" s="65">
        <f>B102</f>
        <v/>
      </c>
      <c r="C141" s="246">
        <f>'2E.ROE Scan'!E228</f>
        <v/>
      </c>
      <c r="D141" s="246">
        <f>'2E.ROE Scan'!F228</f>
        <v/>
      </c>
      <c r="E141" s="246">
        <f>'2E.ROE Scan'!G228</f>
        <v/>
      </c>
      <c r="F141" s="246">
        <f>'2E.ROE Scan'!H228</f>
        <v/>
      </c>
      <c r="G141" s="246">
        <f>'2E.ROE Scan'!I228</f>
        <v/>
      </c>
      <c r="H141" s="246">
        <f>'2E.ROE Scan'!J228</f>
        <v/>
      </c>
      <c r="I141" s="246">
        <f>'2E.ROE Scan'!K228</f>
        <v/>
      </c>
      <c r="J141" s="246">
        <f>'2E.ROE Scan'!L228</f>
        <v/>
      </c>
      <c r="K141" s="246">
        <f>'2E.ROE Scan'!M228</f>
        <v/>
      </c>
      <c r="L141" s="246">
        <f>'2E.ROE Scan'!N228</f>
        <v/>
      </c>
      <c r="M141" s="246">
        <f>'2E.ROE Scan'!O228</f>
        <v/>
      </c>
      <c r="N141" s="246">
        <f>'2E.ROE Scan'!P228</f>
        <v/>
      </c>
      <c r="O141" s="246">
        <f>'2E.ROE Scan'!Q228</f>
        <v/>
      </c>
      <c r="P141" s="246">
        <f>'2E.ROE Scan'!R228</f>
        <v/>
      </c>
      <c r="Q141" s="246">
        <f>'2E.ROE Scan'!S228</f>
        <v/>
      </c>
      <c r="R141" s="246">
        <f>'2E.ROE Scan'!T228</f>
        <v/>
      </c>
      <c r="S141" s="246">
        <f>'2E.ROE Scan'!U228</f>
        <v/>
      </c>
      <c r="T141" s="246">
        <f>'2E.ROE Scan'!V228</f>
        <v/>
      </c>
      <c r="U141" s="246">
        <f>'2E.ROE Scan'!W228</f>
        <v/>
      </c>
      <c r="V141" s="246">
        <f>'2E.ROE Scan'!X228</f>
        <v/>
      </c>
      <c r="W141" s="246">
        <f>'2E.ROE Scan'!Y228</f>
        <v/>
      </c>
      <c r="X141" s="246">
        <f>'2E.ROE Scan'!Z228</f>
        <v/>
      </c>
      <c r="Y141" s="246">
        <f>'2E.ROE Scan'!AA228</f>
        <v/>
      </c>
      <c r="Z141" s="246">
        <f>'2E.ROE Scan'!AB228</f>
        <v/>
      </c>
      <c r="AA141" s="246">
        <f>'2E.ROE Scan'!AC228</f>
        <v/>
      </c>
      <c r="AB141" s="246">
        <f>'2E.ROE Scan'!AD228</f>
        <v/>
      </c>
      <c r="AC141" s="246">
        <f>'2E.ROE Scan'!AE228</f>
        <v/>
      </c>
      <c r="AD141" s="246">
        <f>'2E.ROE Scan'!AF228</f>
        <v/>
      </c>
      <c r="AE141" s="246">
        <f>'2E.ROE Scan'!AG228</f>
        <v/>
      </c>
      <c r="AF141" s="246">
        <f>'2E.ROE Scan'!AH228</f>
        <v/>
      </c>
      <c r="AG141" s="246">
        <f>'2E.ROE Scan'!AI228</f>
        <v/>
      </c>
      <c r="AH141" s="246">
        <f>'2E.ROE Scan'!AJ228</f>
        <v/>
      </c>
      <c r="AI141" s="246">
        <f>'2E.ROE Scan'!AK228</f>
        <v/>
      </c>
      <c r="AJ141" s="246">
        <f>'2E.ROE Scan'!AL228</f>
        <v/>
      </c>
      <c r="AK141" s="246">
        <f>'2E.ROE Scan'!AM228</f>
        <v/>
      </c>
      <c r="AL141" s="246">
        <f>'2E.ROE Scan'!AN228</f>
        <v/>
      </c>
      <c r="AM141" s="246">
        <f>'2E.ROE Scan'!AO228</f>
        <v/>
      </c>
      <c r="AN141" s="246">
        <f>'2E.ROE Scan'!AP228</f>
        <v/>
      </c>
      <c r="AO141" s="246">
        <f>'2E.ROE Scan'!AQ228</f>
        <v/>
      </c>
      <c r="AP141" s="246">
        <f>'2E.ROE Scan'!AR228</f>
        <v/>
      </c>
      <c r="AQ141" s="246">
        <f>'2E.ROE Scan'!AS228</f>
        <v/>
      </c>
      <c r="AR141" s="246">
        <f>'2E.ROE Scan'!AT228</f>
        <v/>
      </c>
      <c r="AS141" s="246">
        <f>'2E.ROE Scan'!AU228</f>
        <v/>
      </c>
      <c r="AT141" s="246">
        <f>'2E.ROE Scan'!AV228</f>
        <v/>
      </c>
      <c r="AU141" s="246">
        <f>'2E.ROE Scan'!AW228</f>
        <v/>
      </c>
      <c r="AV141" s="246">
        <f>'2E.ROE Scan'!AX228</f>
        <v/>
      </c>
      <c r="AW141" s="246">
        <f>'2E.ROE Scan'!AY228</f>
        <v/>
      </c>
      <c r="AX141" s="246">
        <f>'2E.ROE Scan'!AZ228</f>
        <v/>
      </c>
      <c r="AY141" s="246">
        <f>'2E.ROE Scan'!BA228</f>
        <v/>
      </c>
      <c r="AZ141" s="246">
        <f>'2E.ROE Scan'!BB228</f>
        <v/>
      </c>
    </row>
    <row r="142" ht="16.5" customHeight="1" s="179">
      <c r="B142" s="65">
        <f>B103</f>
        <v/>
      </c>
      <c r="C142" s="246">
        <f>'2E.ROE Scan'!E229</f>
        <v/>
      </c>
      <c r="D142" s="246">
        <f>'2E.ROE Scan'!F229</f>
        <v/>
      </c>
      <c r="E142" s="246">
        <f>'2E.ROE Scan'!G229</f>
        <v/>
      </c>
      <c r="F142" s="246">
        <f>'2E.ROE Scan'!H229</f>
        <v/>
      </c>
      <c r="G142" s="246">
        <f>'2E.ROE Scan'!I229</f>
        <v/>
      </c>
      <c r="H142" s="246">
        <f>'2E.ROE Scan'!J229</f>
        <v/>
      </c>
      <c r="I142" s="246">
        <f>'2E.ROE Scan'!K229</f>
        <v/>
      </c>
      <c r="J142" s="246">
        <f>'2E.ROE Scan'!L229</f>
        <v/>
      </c>
      <c r="K142" s="246">
        <f>'2E.ROE Scan'!M229</f>
        <v/>
      </c>
      <c r="L142" s="246">
        <f>'2E.ROE Scan'!N229</f>
        <v/>
      </c>
      <c r="M142" s="246">
        <f>'2E.ROE Scan'!O229</f>
        <v/>
      </c>
      <c r="N142" s="246">
        <f>'2E.ROE Scan'!P229</f>
        <v/>
      </c>
      <c r="O142" s="246">
        <f>'2E.ROE Scan'!Q229</f>
        <v/>
      </c>
      <c r="P142" s="246">
        <f>'2E.ROE Scan'!R229</f>
        <v/>
      </c>
      <c r="Q142" s="246">
        <f>'2E.ROE Scan'!S229</f>
        <v/>
      </c>
      <c r="R142" s="246">
        <f>'2E.ROE Scan'!T229</f>
        <v/>
      </c>
      <c r="S142" s="246">
        <f>'2E.ROE Scan'!U229</f>
        <v/>
      </c>
      <c r="T142" s="246">
        <f>'2E.ROE Scan'!V229</f>
        <v/>
      </c>
      <c r="U142" s="246">
        <f>'2E.ROE Scan'!W229</f>
        <v/>
      </c>
      <c r="V142" s="246">
        <f>'2E.ROE Scan'!X229</f>
        <v/>
      </c>
      <c r="W142" s="246">
        <f>'2E.ROE Scan'!Y229</f>
        <v/>
      </c>
      <c r="X142" s="246">
        <f>'2E.ROE Scan'!Z229</f>
        <v/>
      </c>
      <c r="Y142" s="246">
        <f>'2E.ROE Scan'!AA229</f>
        <v/>
      </c>
      <c r="Z142" s="246">
        <f>'2E.ROE Scan'!AB229</f>
        <v/>
      </c>
      <c r="AA142" s="246">
        <f>'2E.ROE Scan'!AC229</f>
        <v/>
      </c>
      <c r="AB142" s="246">
        <f>'2E.ROE Scan'!AD229</f>
        <v/>
      </c>
      <c r="AC142" s="246">
        <f>'2E.ROE Scan'!AE229</f>
        <v/>
      </c>
      <c r="AD142" s="246">
        <f>'2E.ROE Scan'!AF229</f>
        <v/>
      </c>
      <c r="AE142" s="246">
        <f>'2E.ROE Scan'!AG229</f>
        <v/>
      </c>
      <c r="AF142" s="246">
        <f>'2E.ROE Scan'!AH229</f>
        <v/>
      </c>
      <c r="AG142" s="246">
        <f>'2E.ROE Scan'!AI229</f>
        <v/>
      </c>
      <c r="AH142" s="246">
        <f>'2E.ROE Scan'!AJ229</f>
        <v/>
      </c>
      <c r="AI142" s="246">
        <f>'2E.ROE Scan'!AK229</f>
        <v/>
      </c>
      <c r="AJ142" s="246">
        <f>'2E.ROE Scan'!AL229</f>
        <v/>
      </c>
      <c r="AK142" s="246">
        <f>'2E.ROE Scan'!AM229</f>
        <v/>
      </c>
      <c r="AL142" s="246">
        <f>'2E.ROE Scan'!AN229</f>
        <v/>
      </c>
      <c r="AM142" s="246">
        <f>'2E.ROE Scan'!AO229</f>
        <v/>
      </c>
      <c r="AN142" s="246">
        <f>'2E.ROE Scan'!AP229</f>
        <v/>
      </c>
      <c r="AO142" s="246">
        <f>'2E.ROE Scan'!AQ229</f>
        <v/>
      </c>
      <c r="AP142" s="246">
        <f>'2E.ROE Scan'!AR229</f>
        <v/>
      </c>
      <c r="AQ142" s="246">
        <f>'2E.ROE Scan'!AS229</f>
        <v/>
      </c>
      <c r="AR142" s="246">
        <f>'2E.ROE Scan'!AT229</f>
        <v/>
      </c>
      <c r="AS142" s="246">
        <f>'2E.ROE Scan'!AU229</f>
        <v/>
      </c>
      <c r="AT142" s="246">
        <f>'2E.ROE Scan'!AV229</f>
        <v/>
      </c>
      <c r="AU142" s="246">
        <f>'2E.ROE Scan'!AW229</f>
        <v/>
      </c>
      <c r="AV142" s="246">
        <f>'2E.ROE Scan'!AX229</f>
        <v/>
      </c>
      <c r="AW142" s="246">
        <f>'2E.ROE Scan'!AY229</f>
        <v/>
      </c>
      <c r="AX142" s="246">
        <f>'2E.ROE Scan'!AZ229</f>
        <v/>
      </c>
      <c r="AY142" s="246">
        <f>'2E.ROE Scan'!BA229</f>
        <v/>
      </c>
      <c r="AZ142" s="246">
        <f>'2E.ROE Scan'!BB229</f>
        <v/>
      </c>
    </row>
    <row r="143" ht="16.5" customHeight="1" s="179">
      <c r="B143" s="65">
        <f>B104</f>
        <v/>
      </c>
      <c r="C143" s="246">
        <f>'2E.ROE Scan'!E230</f>
        <v/>
      </c>
      <c r="D143" s="246">
        <f>'2E.ROE Scan'!F230</f>
        <v/>
      </c>
      <c r="E143" s="246">
        <f>'2E.ROE Scan'!G230</f>
        <v/>
      </c>
      <c r="F143" s="246">
        <f>'2E.ROE Scan'!H230</f>
        <v/>
      </c>
      <c r="G143" s="246">
        <f>'2E.ROE Scan'!I230</f>
        <v/>
      </c>
      <c r="H143" s="246">
        <f>'2E.ROE Scan'!J230</f>
        <v/>
      </c>
      <c r="I143" s="246">
        <f>'2E.ROE Scan'!K230</f>
        <v/>
      </c>
      <c r="J143" s="246">
        <f>'2E.ROE Scan'!L230</f>
        <v/>
      </c>
      <c r="K143" s="246">
        <f>'2E.ROE Scan'!M230</f>
        <v/>
      </c>
      <c r="L143" s="246">
        <f>'2E.ROE Scan'!N230</f>
        <v/>
      </c>
      <c r="M143" s="246">
        <f>'2E.ROE Scan'!O230</f>
        <v/>
      </c>
      <c r="N143" s="246">
        <f>'2E.ROE Scan'!P230</f>
        <v/>
      </c>
      <c r="O143" s="246">
        <f>'2E.ROE Scan'!Q230</f>
        <v/>
      </c>
      <c r="P143" s="246">
        <f>'2E.ROE Scan'!R230</f>
        <v/>
      </c>
      <c r="Q143" s="246">
        <f>'2E.ROE Scan'!S230</f>
        <v/>
      </c>
      <c r="R143" s="246">
        <f>'2E.ROE Scan'!T230</f>
        <v/>
      </c>
      <c r="S143" s="246">
        <f>'2E.ROE Scan'!U230</f>
        <v/>
      </c>
      <c r="T143" s="246">
        <f>'2E.ROE Scan'!V230</f>
        <v/>
      </c>
      <c r="U143" s="246">
        <f>'2E.ROE Scan'!W230</f>
        <v/>
      </c>
      <c r="V143" s="246">
        <f>'2E.ROE Scan'!X230</f>
        <v/>
      </c>
      <c r="W143" s="246">
        <f>'2E.ROE Scan'!Y230</f>
        <v/>
      </c>
      <c r="X143" s="246">
        <f>'2E.ROE Scan'!Z230</f>
        <v/>
      </c>
      <c r="Y143" s="246">
        <f>'2E.ROE Scan'!AA230</f>
        <v/>
      </c>
      <c r="Z143" s="246">
        <f>'2E.ROE Scan'!AB230</f>
        <v/>
      </c>
      <c r="AA143" s="246">
        <f>'2E.ROE Scan'!AC230</f>
        <v/>
      </c>
      <c r="AB143" s="246">
        <f>'2E.ROE Scan'!AD230</f>
        <v/>
      </c>
      <c r="AC143" s="246">
        <f>'2E.ROE Scan'!AE230</f>
        <v/>
      </c>
      <c r="AD143" s="246">
        <f>'2E.ROE Scan'!AF230</f>
        <v/>
      </c>
      <c r="AE143" s="246">
        <f>'2E.ROE Scan'!AG230</f>
        <v/>
      </c>
      <c r="AF143" s="246">
        <f>'2E.ROE Scan'!AH230</f>
        <v/>
      </c>
      <c r="AG143" s="246">
        <f>'2E.ROE Scan'!AI230</f>
        <v/>
      </c>
      <c r="AH143" s="246">
        <f>'2E.ROE Scan'!AJ230</f>
        <v/>
      </c>
      <c r="AI143" s="246">
        <f>'2E.ROE Scan'!AK230</f>
        <v/>
      </c>
      <c r="AJ143" s="246">
        <f>'2E.ROE Scan'!AL230</f>
        <v/>
      </c>
      <c r="AK143" s="246">
        <f>'2E.ROE Scan'!AM230</f>
        <v/>
      </c>
      <c r="AL143" s="246">
        <f>'2E.ROE Scan'!AN230</f>
        <v/>
      </c>
      <c r="AM143" s="246">
        <f>'2E.ROE Scan'!AO230</f>
        <v/>
      </c>
      <c r="AN143" s="246">
        <f>'2E.ROE Scan'!AP230</f>
        <v/>
      </c>
      <c r="AO143" s="246">
        <f>'2E.ROE Scan'!AQ230</f>
        <v/>
      </c>
      <c r="AP143" s="246">
        <f>'2E.ROE Scan'!AR230</f>
        <v/>
      </c>
      <c r="AQ143" s="246">
        <f>'2E.ROE Scan'!AS230</f>
        <v/>
      </c>
      <c r="AR143" s="246">
        <f>'2E.ROE Scan'!AT230</f>
        <v/>
      </c>
      <c r="AS143" s="246">
        <f>'2E.ROE Scan'!AU230</f>
        <v/>
      </c>
      <c r="AT143" s="246">
        <f>'2E.ROE Scan'!AV230</f>
        <v/>
      </c>
      <c r="AU143" s="246">
        <f>'2E.ROE Scan'!AW230</f>
        <v/>
      </c>
      <c r="AV143" s="246">
        <f>'2E.ROE Scan'!AX230</f>
        <v/>
      </c>
      <c r="AW143" s="246">
        <f>'2E.ROE Scan'!AY230</f>
        <v/>
      </c>
      <c r="AX143" s="246">
        <f>'2E.ROE Scan'!AZ230</f>
        <v/>
      </c>
      <c r="AY143" s="246">
        <f>'2E.ROE Scan'!BA230</f>
        <v/>
      </c>
      <c r="AZ143" s="246">
        <f>'2E.ROE Scan'!BB230</f>
        <v/>
      </c>
    </row>
    <row r="144" ht="16.5" customHeight="1" s="179">
      <c r="B144" s="65">
        <f>B105</f>
        <v/>
      </c>
      <c r="C144" s="246">
        <f>'2E.ROE Scan'!E231</f>
        <v/>
      </c>
      <c r="D144" s="246">
        <f>'2E.ROE Scan'!F231</f>
        <v/>
      </c>
      <c r="E144" s="246">
        <f>'2E.ROE Scan'!G231</f>
        <v/>
      </c>
      <c r="F144" s="246">
        <f>'2E.ROE Scan'!H231</f>
        <v/>
      </c>
      <c r="G144" s="246">
        <f>'2E.ROE Scan'!I231</f>
        <v/>
      </c>
      <c r="H144" s="246">
        <f>'2E.ROE Scan'!J231</f>
        <v/>
      </c>
      <c r="I144" s="246">
        <f>'2E.ROE Scan'!K231</f>
        <v/>
      </c>
      <c r="J144" s="246">
        <f>'2E.ROE Scan'!L231</f>
        <v/>
      </c>
      <c r="K144" s="246">
        <f>'2E.ROE Scan'!M231</f>
        <v/>
      </c>
      <c r="L144" s="246">
        <f>'2E.ROE Scan'!N231</f>
        <v/>
      </c>
      <c r="M144" s="246">
        <f>'2E.ROE Scan'!O231</f>
        <v/>
      </c>
      <c r="N144" s="246">
        <f>'2E.ROE Scan'!P231</f>
        <v/>
      </c>
      <c r="O144" s="246">
        <f>'2E.ROE Scan'!Q231</f>
        <v/>
      </c>
      <c r="P144" s="246">
        <f>'2E.ROE Scan'!R231</f>
        <v/>
      </c>
      <c r="Q144" s="246">
        <f>'2E.ROE Scan'!S231</f>
        <v/>
      </c>
      <c r="R144" s="246">
        <f>'2E.ROE Scan'!T231</f>
        <v/>
      </c>
      <c r="S144" s="246">
        <f>'2E.ROE Scan'!U231</f>
        <v/>
      </c>
      <c r="T144" s="246">
        <f>'2E.ROE Scan'!V231</f>
        <v/>
      </c>
      <c r="U144" s="246">
        <f>'2E.ROE Scan'!W231</f>
        <v/>
      </c>
      <c r="V144" s="246">
        <f>'2E.ROE Scan'!X231</f>
        <v/>
      </c>
      <c r="W144" s="246">
        <f>'2E.ROE Scan'!Y231</f>
        <v/>
      </c>
      <c r="X144" s="246">
        <f>'2E.ROE Scan'!Z231</f>
        <v/>
      </c>
      <c r="Y144" s="246">
        <f>'2E.ROE Scan'!AA231</f>
        <v/>
      </c>
      <c r="Z144" s="246">
        <f>'2E.ROE Scan'!AB231</f>
        <v/>
      </c>
      <c r="AA144" s="246">
        <f>'2E.ROE Scan'!AC231</f>
        <v/>
      </c>
      <c r="AB144" s="246">
        <f>'2E.ROE Scan'!AD231</f>
        <v/>
      </c>
      <c r="AC144" s="246">
        <f>'2E.ROE Scan'!AE231</f>
        <v/>
      </c>
      <c r="AD144" s="246">
        <f>'2E.ROE Scan'!AF231</f>
        <v/>
      </c>
      <c r="AE144" s="246">
        <f>'2E.ROE Scan'!AG231</f>
        <v/>
      </c>
      <c r="AF144" s="246">
        <f>'2E.ROE Scan'!AH231</f>
        <v/>
      </c>
      <c r="AG144" s="246">
        <f>'2E.ROE Scan'!AI231</f>
        <v/>
      </c>
      <c r="AH144" s="246">
        <f>'2E.ROE Scan'!AJ231</f>
        <v/>
      </c>
      <c r="AI144" s="246">
        <f>'2E.ROE Scan'!AK231</f>
        <v/>
      </c>
      <c r="AJ144" s="246">
        <f>'2E.ROE Scan'!AL231</f>
        <v/>
      </c>
      <c r="AK144" s="246">
        <f>'2E.ROE Scan'!AM231</f>
        <v/>
      </c>
      <c r="AL144" s="246">
        <f>'2E.ROE Scan'!AN231</f>
        <v/>
      </c>
      <c r="AM144" s="246">
        <f>'2E.ROE Scan'!AO231</f>
        <v/>
      </c>
      <c r="AN144" s="246">
        <f>'2E.ROE Scan'!AP231</f>
        <v/>
      </c>
      <c r="AO144" s="246">
        <f>'2E.ROE Scan'!AQ231</f>
        <v/>
      </c>
      <c r="AP144" s="246">
        <f>'2E.ROE Scan'!AR231</f>
        <v/>
      </c>
      <c r="AQ144" s="246">
        <f>'2E.ROE Scan'!AS231</f>
        <v/>
      </c>
      <c r="AR144" s="246">
        <f>'2E.ROE Scan'!AT231</f>
        <v/>
      </c>
      <c r="AS144" s="246">
        <f>'2E.ROE Scan'!AU231</f>
        <v/>
      </c>
      <c r="AT144" s="246">
        <f>'2E.ROE Scan'!AV231</f>
        <v/>
      </c>
      <c r="AU144" s="246">
        <f>'2E.ROE Scan'!AW231</f>
        <v/>
      </c>
      <c r="AV144" s="246">
        <f>'2E.ROE Scan'!AX231</f>
        <v/>
      </c>
      <c r="AW144" s="246">
        <f>'2E.ROE Scan'!AY231</f>
        <v/>
      </c>
      <c r="AX144" s="246">
        <f>'2E.ROE Scan'!AZ231</f>
        <v/>
      </c>
      <c r="AY144" s="246">
        <f>'2E.ROE Scan'!BA231</f>
        <v/>
      </c>
      <c r="AZ144" s="246">
        <f>'2E.ROE Scan'!BB231</f>
        <v/>
      </c>
    </row>
    <row r="145" ht="16.5" customHeight="1" s="179">
      <c r="B145" s="65">
        <f>B106</f>
        <v/>
      </c>
      <c r="C145" s="246">
        <f>'2E.ROE Scan'!E232</f>
        <v/>
      </c>
      <c r="D145" s="246">
        <f>'2E.ROE Scan'!F232</f>
        <v/>
      </c>
      <c r="E145" s="246">
        <f>'2E.ROE Scan'!G232</f>
        <v/>
      </c>
      <c r="F145" s="246">
        <f>'2E.ROE Scan'!H232</f>
        <v/>
      </c>
      <c r="G145" s="246">
        <f>'2E.ROE Scan'!I232</f>
        <v/>
      </c>
      <c r="H145" s="246">
        <f>'2E.ROE Scan'!J232</f>
        <v/>
      </c>
      <c r="I145" s="246">
        <f>'2E.ROE Scan'!K232</f>
        <v/>
      </c>
      <c r="J145" s="246">
        <f>'2E.ROE Scan'!L232</f>
        <v/>
      </c>
      <c r="K145" s="246">
        <f>'2E.ROE Scan'!M232</f>
        <v/>
      </c>
      <c r="L145" s="246">
        <f>'2E.ROE Scan'!N232</f>
        <v/>
      </c>
      <c r="M145" s="246">
        <f>'2E.ROE Scan'!O232</f>
        <v/>
      </c>
      <c r="N145" s="246">
        <f>'2E.ROE Scan'!P232</f>
        <v/>
      </c>
      <c r="O145" s="246">
        <f>'2E.ROE Scan'!Q232</f>
        <v/>
      </c>
      <c r="P145" s="246">
        <f>'2E.ROE Scan'!R232</f>
        <v/>
      </c>
      <c r="Q145" s="246">
        <f>'2E.ROE Scan'!S232</f>
        <v/>
      </c>
      <c r="R145" s="246">
        <f>'2E.ROE Scan'!T232</f>
        <v/>
      </c>
      <c r="S145" s="246">
        <f>'2E.ROE Scan'!U232</f>
        <v/>
      </c>
      <c r="T145" s="246">
        <f>'2E.ROE Scan'!V232</f>
        <v/>
      </c>
      <c r="U145" s="246">
        <f>'2E.ROE Scan'!W232</f>
        <v/>
      </c>
      <c r="V145" s="246">
        <f>'2E.ROE Scan'!X232</f>
        <v/>
      </c>
      <c r="W145" s="246">
        <f>'2E.ROE Scan'!Y232</f>
        <v/>
      </c>
      <c r="X145" s="246">
        <f>'2E.ROE Scan'!Z232</f>
        <v/>
      </c>
      <c r="Y145" s="246">
        <f>'2E.ROE Scan'!AA232</f>
        <v/>
      </c>
      <c r="Z145" s="246">
        <f>'2E.ROE Scan'!AB232</f>
        <v/>
      </c>
      <c r="AA145" s="246">
        <f>'2E.ROE Scan'!AC232</f>
        <v/>
      </c>
      <c r="AB145" s="246">
        <f>'2E.ROE Scan'!AD232</f>
        <v/>
      </c>
      <c r="AC145" s="246">
        <f>'2E.ROE Scan'!AE232</f>
        <v/>
      </c>
      <c r="AD145" s="246">
        <f>'2E.ROE Scan'!AF232</f>
        <v/>
      </c>
      <c r="AE145" s="246">
        <f>'2E.ROE Scan'!AG232</f>
        <v/>
      </c>
      <c r="AF145" s="246">
        <f>'2E.ROE Scan'!AH232</f>
        <v/>
      </c>
      <c r="AG145" s="246">
        <f>'2E.ROE Scan'!AI232</f>
        <v/>
      </c>
      <c r="AH145" s="246">
        <f>'2E.ROE Scan'!AJ232</f>
        <v/>
      </c>
      <c r="AI145" s="246">
        <f>'2E.ROE Scan'!AK232</f>
        <v/>
      </c>
      <c r="AJ145" s="246">
        <f>'2E.ROE Scan'!AL232</f>
        <v/>
      </c>
      <c r="AK145" s="246">
        <f>'2E.ROE Scan'!AM232</f>
        <v/>
      </c>
      <c r="AL145" s="246">
        <f>'2E.ROE Scan'!AN232</f>
        <v/>
      </c>
      <c r="AM145" s="246">
        <f>'2E.ROE Scan'!AO232</f>
        <v/>
      </c>
      <c r="AN145" s="246">
        <f>'2E.ROE Scan'!AP232</f>
        <v/>
      </c>
      <c r="AO145" s="246">
        <f>'2E.ROE Scan'!AQ232</f>
        <v/>
      </c>
      <c r="AP145" s="246">
        <f>'2E.ROE Scan'!AR232</f>
        <v/>
      </c>
      <c r="AQ145" s="246">
        <f>'2E.ROE Scan'!AS232</f>
        <v/>
      </c>
      <c r="AR145" s="246">
        <f>'2E.ROE Scan'!AT232</f>
        <v/>
      </c>
      <c r="AS145" s="246">
        <f>'2E.ROE Scan'!AU232</f>
        <v/>
      </c>
      <c r="AT145" s="246">
        <f>'2E.ROE Scan'!AV232</f>
        <v/>
      </c>
      <c r="AU145" s="246">
        <f>'2E.ROE Scan'!AW232</f>
        <v/>
      </c>
      <c r="AV145" s="246">
        <f>'2E.ROE Scan'!AX232</f>
        <v/>
      </c>
      <c r="AW145" s="246">
        <f>'2E.ROE Scan'!AY232</f>
        <v/>
      </c>
      <c r="AX145" s="246">
        <f>'2E.ROE Scan'!AZ232</f>
        <v/>
      </c>
      <c r="AY145" s="246">
        <f>'2E.ROE Scan'!BA232</f>
        <v/>
      </c>
      <c r="AZ145" s="246">
        <f>'2E.ROE Scan'!BB232</f>
        <v/>
      </c>
    </row>
    <row r="146" ht="16.5" customHeight="1" s="179">
      <c r="B146" s="65">
        <f>B107</f>
        <v/>
      </c>
      <c r="C146" s="246">
        <f>'2E.ROE Scan'!E233</f>
        <v/>
      </c>
      <c r="D146" s="246">
        <f>'2E.ROE Scan'!F233</f>
        <v/>
      </c>
      <c r="E146" s="246">
        <f>'2E.ROE Scan'!G233</f>
        <v/>
      </c>
      <c r="F146" s="246">
        <f>'2E.ROE Scan'!H233</f>
        <v/>
      </c>
      <c r="G146" s="246">
        <f>'2E.ROE Scan'!I233</f>
        <v/>
      </c>
      <c r="H146" s="246">
        <f>'2E.ROE Scan'!J233</f>
        <v/>
      </c>
      <c r="I146" s="246">
        <f>'2E.ROE Scan'!K233</f>
        <v/>
      </c>
      <c r="J146" s="246">
        <f>'2E.ROE Scan'!L233</f>
        <v/>
      </c>
      <c r="K146" s="246">
        <f>'2E.ROE Scan'!M233</f>
        <v/>
      </c>
      <c r="L146" s="246">
        <f>'2E.ROE Scan'!N233</f>
        <v/>
      </c>
      <c r="M146" s="246">
        <f>'2E.ROE Scan'!O233</f>
        <v/>
      </c>
      <c r="N146" s="246">
        <f>'2E.ROE Scan'!P233</f>
        <v/>
      </c>
      <c r="O146" s="246">
        <f>'2E.ROE Scan'!Q233</f>
        <v/>
      </c>
      <c r="P146" s="246">
        <f>'2E.ROE Scan'!R233</f>
        <v/>
      </c>
      <c r="Q146" s="246">
        <f>'2E.ROE Scan'!S233</f>
        <v/>
      </c>
      <c r="R146" s="246">
        <f>'2E.ROE Scan'!T233</f>
        <v/>
      </c>
      <c r="S146" s="246">
        <f>'2E.ROE Scan'!U233</f>
        <v/>
      </c>
      <c r="T146" s="246">
        <f>'2E.ROE Scan'!V233</f>
        <v/>
      </c>
      <c r="U146" s="246">
        <f>'2E.ROE Scan'!W233</f>
        <v/>
      </c>
      <c r="V146" s="246">
        <f>'2E.ROE Scan'!X233</f>
        <v/>
      </c>
      <c r="W146" s="246">
        <f>'2E.ROE Scan'!Y233</f>
        <v/>
      </c>
      <c r="X146" s="246">
        <f>'2E.ROE Scan'!Z233</f>
        <v/>
      </c>
      <c r="Y146" s="246">
        <f>'2E.ROE Scan'!AA233</f>
        <v/>
      </c>
      <c r="Z146" s="246">
        <f>'2E.ROE Scan'!AB233</f>
        <v/>
      </c>
      <c r="AA146" s="246">
        <f>'2E.ROE Scan'!AC233</f>
        <v/>
      </c>
      <c r="AB146" s="246">
        <f>'2E.ROE Scan'!AD233</f>
        <v/>
      </c>
      <c r="AC146" s="246">
        <f>'2E.ROE Scan'!AE233</f>
        <v/>
      </c>
      <c r="AD146" s="246">
        <f>'2E.ROE Scan'!AF233</f>
        <v/>
      </c>
      <c r="AE146" s="246">
        <f>'2E.ROE Scan'!AG233</f>
        <v/>
      </c>
      <c r="AF146" s="246">
        <f>'2E.ROE Scan'!AH233</f>
        <v/>
      </c>
      <c r="AG146" s="246">
        <f>'2E.ROE Scan'!AI233</f>
        <v/>
      </c>
      <c r="AH146" s="246">
        <f>'2E.ROE Scan'!AJ233</f>
        <v/>
      </c>
      <c r="AI146" s="246">
        <f>'2E.ROE Scan'!AK233</f>
        <v/>
      </c>
      <c r="AJ146" s="246">
        <f>'2E.ROE Scan'!AL233</f>
        <v/>
      </c>
      <c r="AK146" s="246">
        <f>'2E.ROE Scan'!AM233</f>
        <v/>
      </c>
      <c r="AL146" s="246">
        <f>'2E.ROE Scan'!AN233</f>
        <v/>
      </c>
      <c r="AM146" s="246">
        <f>'2E.ROE Scan'!AO233</f>
        <v/>
      </c>
      <c r="AN146" s="246">
        <f>'2E.ROE Scan'!AP233</f>
        <v/>
      </c>
      <c r="AO146" s="246">
        <f>'2E.ROE Scan'!AQ233</f>
        <v/>
      </c>
      <c r="AP146" s="246">
        <f>'2E.ROE Scan'!AR233</f>
        <v/>
      </c>
      <c r="AQ146" s="246">
        <f>'2E.ROE Scan'!AS233</f>
        <v/>
      </c>
      <c r="AR146" s="246">
        <f>'2E.ROE Scan'!AT233</f>
        <v/>
      </c>
      <c r="AS146" s="246">
        <f>'2E.ROE Scan'!AU233</f>
        <v/>
      </c>
      <c r="AT146" s="246">
        <f>'2E.ROE Scan'!AV233</f>
        <v/>
      </c>
      <c r="AU146" s="246">
        <f>'2E.ROE Scan'!AW233</f>
        <v/>
      </c>
      <c r="AV146" s="246">
        <f>'2E.ROE Scan'!AX233</f>
        <v/>
      </c>
      <c r="AW146" s="246">
        <f>'2E.ROE Scan'!AY233</f>
        <v/>
      </c>
      <c r="AX146" s="246">
        <f>'2E.ROE Scan'!AZ233</f>
        <v/>
      </c>
      <c r="AY146" s="246">
        <f>'2E.ROE Scan'!BA233</f>
        <v/>
      </c>
      <c r="AZ146" s="246">
        <f>'2E.ROE Scan'!BB233</f>
        <v/>
      </c>
    </row>
    <row r="147" ht="16.5" customHeight="1" s="179">
      <c r="B147" s="65">
        <f>B108</f>
        <v/>
      </c>
      <c r="C147" s="246">
        <f>'2E.ROE Scan'!E234</f>
        <v/>
      </c>
      <c r="D147" s="246">
        <f>'2E.ROE Scan'!F234</f>
        <v/>
      </c>
      <c r="E147" s="246">
        <f>'2E.ROE Scan'!G234</f>
        <v/>
      </c>
      <c r="F147" s="246">
        <f>'2E.ROE Scan'!H234</f>
        <v/>
      </c>
      <c r="G147" s="246">
        <f>'2E.ROE Scan'!I234</f>
        <v/>
      </c>
      <c r="H147" s="246">
        <f>'2E.ROE Scan'!J234</f>
        <v/>
      </c>
      <c r="I147" s="246">
        <f>'2E.ROE Scan'!K234</f>
        <v/>
      </c>
      <c r="J147" s="246">
        <f>'2E.ROE Scan'!L234</f>
        <v/>
      </c>
      <c r="K147" s="246">
        <f>'2E.ROE Scan'!M234</f>
        <v/>
      </c>
      <c r="L147" s="246">
        <f>'2E.ROE Scan'!N234</f>
        <v/>
      </c>
      <c r="M147" s="246">
        <f>'2E.ROE Scan'!O234</f>
        <v/>
      </c>
      <c r="N147" s="246">
        <f>'2E.ROE Scan'!P234</f>
        <v/>
      </c>
      <c r="O147" s="246">
        <f>'2E.ROE Scan'!Q234</f>
        <v/>
      </c>
      <c r="P147" s="246">
        <f>'2E.ROE Scan'!R234</f>
        <v/>
      </c>
      <c r="Q147" s="246">
        <f>'2E.ROE Scan'!S234</f>
        <v/>
      </c>
      <c r="R147" s="246">
        <f>'2E.ROE Scan'!T234</f>
        <v/>
      </c>
      <c r="S147" s="246">
        <f>'2E.ROE Scan'!U234</f>
        <v/>
      </c>
      <c r="T147" s="246">
        <f>'2E.ROE Scan'!V234</f>
        <v/>
      </c>
      <c r="U147" s="246">
        <f>'2E.ROE Scan'!W234</f>
        <v/>
      </c>
      <c r="V147" s="246">
        <f>'2E.ROE Scan'!X234</f>
        <v/>
      </c>
      <c r="W147" s="246">
        <f>'2E.ROE Scan'!Y234</f>
        <v/>
      </c>
      <c r="X147" s="246">
        <f>'2E.ROE Scan'!Z234</f>
        <v/>
      </c>
      <c r="Y147" s="246">
        <f>'2E.ROE Scan'!AA234</f>
        <v/>
      </c>
      <c r="Z147" s="246">
        <f>'2E.ROE Scan'!AB234</f>
        <v/>
      </c>
      <c r="AA147" s="246">
        <f>'2E.ROE Scan'!AC234</f>
        <v/>
      </c>
      <c r="AB147" s="246">
        <f>'2E.ROE Scan'!AD234</f>
        <v/>
      </c>
      <c r="AC147" s="246">
        <f>'2E.ROE Scan'!AE234</f>
        <v/>
      </c>
      <c r="AD147" s="246">
        <f>'2E.ROE Scan'!AF234</f>
        <v/>
      </c>
      <c r="AE147" s="246">
        <f>'2E.ROE Scan'!AG234</f>
        <v/>
      </c>
      <c r="AF147" s="246">
        <f>'2E.ROE Scan'!AH234</f>
        <v/>
      </c>
      <c r="AG147" s="246">
        <f>'2E.ROE Scan'!AI234</f>
        <v/>
      </c>
      <c r="AH147" s="246">
        <f>'2E.ROE Scan'!AJ234</f>
        <v/>
      </c>
      <c r="AI147" s="246">
        <f>'2E.ROE Scan'!AK234</f>
        <v/>
      </c>
      <c r="AJ147" s="246">
        <f>'2E.ROE Scan'!AL234</f>
        <v/>
      </c>
      <c r="AK147" s="246">
        <f>'2E.ROE Scan'!AM234</f>
        <v/>
      </c>
      <c r="AL147" s="246">
        <f>'2E.ROE Scan'!AN234</f>
        <v/>
      </c>
      <c r="AM147" s="246">
        <f>'2E.ROE Scan'!AO234</f>
        <v/>
      </c>
      <c r="AN147" s="246">
        <f>'2E.ROE Scan'!AP234</f>
        <v/>
      </c>
      <c r="AO147" s="246">
        <f>'2E.ROE Scan'!AQ234</f>
        <v/>
      </c>
      <c r="AP147" s="246">
        <f>'2E.ROE Scan'!AR234</f>
        <v/>
      </c>
      <c r="AQ147" s="246">
        <f>'2E.ROE Scan'!AS234</f>
        <v/>
      </c>
      <c r="AR147" s="246">
        <f>'2E.ROE Scan'!AT234</f>
        <v/>
      </c>
      <c r="AS147" s="246">
        <f>'2E.ROE Scan'!AU234</f>
        <v/>
      </c>
      <c r="AT147" s="246">
        <f>'2E.ROE Scan'!AV234</f>
        <v/>
      </c>
      <c r="AU147" s="246">
        <f>'2E.ROE Scan'!AW234</f>
        <v/>
      </c>
      <c r="AV147" s="246">
        <f>'2E.ROE Scan'!AX234</f>
        <v/>
      </c>
      <c r="AW147" s="246">
        <f>'2E.ROE Scan'!AY234</f>
        <v/>
      </c>
      <c r="AX147" s="246">
        <f>'2E.ROE Scan'!AZ234</f>
        <v/>
      </c>
      <c r="AY147" s="246">
        <f>'2E.ROE Scan'!BA234</f>
        <v/>
      </c>
      <c r="AZ147" s="246">
        <f>'2E.ROE Scan'!BB234</f>
        <v/>
      </c>
    </row>
    <row r="148" ht="16.5" customHeight="1" s="179">
      <c r="B148" s="65">
        <f>B109</f>
        <v/>
      </c>
      <c r="C148" s="246">
        <f>'2E.ROE Scan'!E235</f>
        <v/>
      </c>
      <c r="D148" s="246">
        <f>'2E.ROE Scan'!F235</f>
        <v/>
      </c>
      <c r="E148" s="246">
        <f>'2E.ROE Scan'!G235</f>
        <v/>
      </c>
      <c r="F148" s="246">
        <f>'2E.ROE Scan'!H235</f>
        <v/>
      </c>
      <c r="G148" s="246">
        <f>'2E.ROE Scan'!I235</f>
        <v/>
      </c>
      <c r="H148" s="246">
        <f>'2E.ROE Scan'!J235</f>
        <v/>
      </c>
      <c r="I148" s="246">
        <f>'2E.ROE Scan'!K235</f>
        <v/>
      </c>
      <c r="J148" s="246">
        <f>'2E.ROE Scan'!L235</f>
        <v/>
      </c>
      <c r="K148" s="246">
        <f>'2E.ROE Scan'!M235</f>
        <v/>
      </c>
      <c r="L148" s="246">
        <f>'2E.ROE Scan'!N235</f>
        <v/>
      </c>
      <c r="M148" s="246">
        <f>'2E.ROE Scan'!O235</f>
        <v/>
      </c>
      <c r="N148" s="246">
        <f>'2E.ROE Scan'!P235</f>
        <v/>
      </c>
      <c r="O148" s="246">
        <f>'2E.ROE Scan'!Q235</f>
        <v/>
      </c>
      <c r="P148" s="246">
        <f>'2E.ROE Scan'!R235</f>
        <v/>
      </c>
      <c r="Q148" s="246">
        <f>'2E.ROE Scan'!S235</f>
        <v/>
      </c>
      <c r="R148" s="246">
        <f>'2E.ROE Scan'!T235</f>
        <v/>
      </c>
      <c r="S148" s="246">
        <f>'2E.ROE Scan'!U235</f>
        <v/>
      </c>
      <c r="T148" s="246">
        <f>'2E.ROE Scan'!V235</f>
        <v/>
      </c>
      <c r="U148" s="246">
        <f>'2E.ROE Scan'!W235</f>
        <v/>
      </c>
      <c r="V148" s="246">
        <f>'2E.ROE Scan'!X235</f>
        <v/>
      </c>
      <c r="W148" s="246">
        <f>'2E.ROE Scan'!Y235</f>
        <v/>
      </c>
      <c r="X148" s="246">
        <f>'2E.ROE Scan'!Z235</f>
        <v/>
      </c>
      <c r="Y148" s="246">
        <f>'2E.ROE Scan'!AA235</f>
        <v/>
      </c>
      <c r="Z148" s="246">
        <f>'2E.ROE Scan'!AB235</f>
        <v/>
      </c>
      <c r="AA148" s="246">
        <f>'2E.ROE Scan'!AC235</f>
        <v/>
      </c>
      <c r="AB148" s="246">
        <f>'2E.ROE Scan'!AD235</f>
        <v/>
      </c>
      <c r="AC148" s="246">
        <f>'2E.ROE Scan'!AE235</f>
        <v/>
      </c>
      <c r="AD148" s="246">
        <f>'2E.ROE Scan'!AF235</f>
        <v/>
      </c>
      <c r="AE148" s="246">
        <f>'2E.ROE Scan'!AG235</f>
        <v/>
      </c>
      <c r="AF148" s="246">
        <f>'2E.ROE Scan'!AH235</f>
        <v/>
      </c>
      <c r="AG148" s="246">
        <f>'2E.ROE Scan'!AI235</f>
        <v/>
      </c>
      <c r="AH148" s="246">
        <f>'2E.ROE Scan'!AJ235</f>
        <v/>
      </c>
      <c r="AI148" s="246">
        <f>'2E.ROE Scan'!AK235</f>
        <v/>
      </c>
      <c r="AJ148" s="246">
        <f>'2E.ROE Scan'!AL235</f>
        <v/>
      </c>
      <c r="AK148" s="246">
        <f>'2E.ROE Scan'!AM235</f>
        <v/>
      </c>
      <c r="AL148" s="246">
        <f>'2E.ROE Scan'!AN235</f>
        <v/>
      </c>
      <c r="AM148" s="246">
        <f>'2E.ROE Scan'!AO235</f>
        <v/>
      </c>
      <c r="AN148" s="246">
        <f>'2E.ROE Scan'!AP235</f>
        <v/>
      </c>
      <c r="AO148" s="246">
        <f>'2E.ROE Scan'!AQ235</f>
        <v/>
      </c>
      <c r="AP148" s="246">
        <f>'2E.ROE Scan'!AR235</f>
        <v/>
      </c>
      <c r="AQ148" s="246">
        <f>'2E.ROE Scan'!AS235</f>
        <v/>
      </c>
      <c r="AR148" s="246">
        <f>'2E.ROE Scan'!AT235</f>
        <v/>
      </c>
      <c r="AS148" s="246">
        <f>'2E.ROE Scan'!AU235</f>
        <v/>
      </c>
      <c r="AT148" s="246">
        <f>'2E.ROE Scan'!AV235</f>
        <v/>
      </c>
      <c r="AU148" s="246">
        <f>'2E.ROE Scan'!AW235</f>
        <v/>
      </c>
      <c r="AV148" s="246">
        <f>'2E.ROE Scan'!AX235</f>
        <v/>
      </c>
      <c r="AW148" s="246">
        <f>'2E.ROE Scan'!AY235</f>
        <v/>
      </c>
      <c r="AX148" s="246">
        <f>'2E.ROE Scan'!AZ235</f>
        <v/>
      </c>
      <c r="AY148" s="246">
        <f>'2E.ROE Scan'!BA235</f>
        <v/>
      </c>
      <c r="AZ148" s="246">
        <f>'2E.ROE Scan'!BB235</f>
        <v/>
      </c>
    </row>
    <row r="149" ht="16.5" customHeight="1" s="179">
      <c r="B149" s="65">
        <f>B110</f>
        <v/>
      </c>
      <c r="C149" s="246">
        <f>'2E.ROE Scan'!E236</f>
        <v/>
      </c>
      <c r="D149" s="246">
        <f>'2E.ROE Scan'!F236</f>
        <v/>
      </c>
      <c r="E149" s="246">
        <f>'2E.ROE Scan'!G236</f>
        <v/>
      </c>
      <c r="F149" s="246">
        <f>'2E.ROE Scan'!H236</f>
        <v/>
      </c>
      <c r="G149" s="246">
        <f>'2E.ROE Scan'!I236</f>
        <v/>
      </c>
      <c r="H149" s="246">
        <f>'2E.ROE Scan'!J236</f>
        <v/>
      </c>
      <c r="I149" s="246">
        <f>'2E.ROE Scan'!K236</f>
        <v/>
      </c>
      <c r="J149" s="246">
        <f>'2E.ROE Scan'!L236</f>
        <v/>
      </c>
      <c r="K149" s="246">
        <f>'2E.ROE Scan'!M236</f>
        <v/>
      </c>
      <c r="L149" s="246">
        <f>'2E.ROE Scan'!N236</f>
        <v/>
      </c>
      <c r="M149" s="246">
        <f>'2E.ROE Scan'!O236</f>
        <v/>
      </c>
      <c r="N149" s="246">
        <f>'2E.ROE Scan'!P236</f>
        <v/>
      </c>
      <c r="O149" s="246">
        <f>'2E.ROE Scan'!Q236</f>
        <v/>
      </c>
      <c r="P149" s="246">
        <f>'2E.ROE Scan'!R236</f>
        <v/>
      </c>
      <c r="Q149" s="246">
        <f>'2E.ROE Scan'!S236</f>
        <v/>
      </c>
      <c r="R149" s="246">
        <f>'2E.ROE Scan'!T236</f>
        <v/>
      </c>
      <c r="S149" s="246">
        <f>'2E.ROE Scan'!U236</f>
        <v/>
      </c>
      <c r="T149" s="246">
        <f>'2E.ROE Scan'!V236</f>
        <v/>
      </c>
      <c r="U149" s="246">
        <f>'2E.ROE Scan'!W236</f>
        <v/>
      </c>
      <c r="V149" s="246">
        <f>'2E.ROE Scan'!X236</f>
        <v/>
      </c>
      <c r="W149" s="246">
        <f>'2E.ROE Scan'!Y236</f>
        <v/>
      </c>
      <c r="X149" s="246">
        <f>'2E.ROE Scan'!Z236</f>
        <v/>
      </c>
      <c r="Y149" s="246">
        <f>'2E.ROE Scan'!AA236</f>
        <v/>
      </c>
      <c r="Z149" s="246">
        <f>'2E.ROE Scan'!AB236</f>
        <v/>
      </c>
      <c r="AA149" s="246">
        <f>'2E.ROE Scan'!AC236</f>
        <v/>
      </c>
      <c r="AB149" s="246">
        <f>'2E.ROE Scan'!AD236</f>
        <v/>
      </c>
      <c r="AC149" s="246">
        <f>'2E.ROE Scan'!AE236</f>
        <v/>
      </c>
      <c r="AD149" s="246">
        <f>'2E.ROE Scan'!AF236</f>
        <v/>
      </c>
      <c r="AE149" s="246">
        <f>'2E.ROE Scan'!AG236</f>
        <v/>
      </c>
      <c r="AF149" s="246">
        <f>'2E.ROE Scan'!AH236</f>
        <v/>
      </c>
      <c r="AG149" s="246">
        <f>'2E.ROE Scan'!AI236</f>
        <v/>
      </c>
      <c r="AH149" s="246">
        <f>'2E.ROE Scan'!AJ236</f>
        <v/>
      </c>
      <c r="AI149" s="246">
        <f>'2E.ROE Scan'!AK236</f>
        <v/>
      </c>
      <c r="AJ149" s="246">
        <f>'2E.ROE Scan'!AL236</f>
        <v/>
      </c>
      <c r="AK149" s="246">
        <f>'2E.ROE Scan'!AM236</f>
        <v/>
      </c>
      <c r="AL149" s="246">
        <f>'2E.ROE Scan'!AN236</f>
        <v/>
      </c>
      <c r="AM149" s="246">
        <f>'2E.ROE Scan'!AO236</f>
        <v/>
      </c>
      <c r="AN149" s="246">
        <f>'2E.ROE Scan'!AP236</f>
        <v/>
      </c>
      <c r="AO149" s="246">
        <f>'2E.ROE Scan'!AQ236</f>
        <v/>
      </c>
      <c r="AP149" s="246">
        <f>'2E.ROE Scan'!AR236</f>
        <v/>
      </c>
      <c r="AQ149" s="246">
        <f>'2E.ROE Scan'!AS236</f>
        <v/>
      </c>
      <c r="AR149" s="246">
        <f>'2E.ROE Scan'!AT236</f>
        <v/>
      </c>
      <c r="AS149" s="246">
        <f>'2E.ROE Scan'!AU236</f>
        <v/>
      </c>
      <c r="AT149" s="246">
        <f>'2E.ROE Scan'!AV236</f>
        <v/>
      </c>
      <c r="AU149" s="246">
        <f>'2E.ROE Scan'!AW236</f>
        <v/>
      </c>
      <c r="AV149" s="246">
        <f>'2E.ROE Scan'!AX236</f>
        <v/>
      </c>
      <c r="AW149" s="246">
        <f>'2E.ROE Scan'!AY236</f>
        <v/>
      </c>
      <c r="AX149" s="246">
        <f>'2E.ROE Scan'!AZ236</f>
        <v/>
      </c>
      <c r="AY149" s="246">
        <f>'2E.ROE Scan'!BA236</f>
        <v/>
      </c>
      <c r="AZ149" s="246">
        <f>'2E.ROE Scan'!BB236</f>
        <v/>
      </c>
    </row>
    <row r="150" ht="16.5" customHeight="1" s="179">
      <c r="B150" s="65">
        <f>B111</f>
        <v/>
      </c>
      <c r="C150" s="246">
        <f>'2E.ROE Scan'!E237</f>
        <v/>
      </c>
      <c r="D150" s="246">
        <f>'2E.ROE Scan'!F237</f>
        <v/>
      </c>
      <c r="E150" s="246">
        <f>'2E.ROE Scan'!G237</f>
        <v/>
      </c>
      <c r="F150" s="246">
        <f>'2E.ROE Scan'!H237</f>
        <v/>
      </c>
      <c r="G150" s="246">
        <f>'2E.ROE Scan'!I237</f>
        <v/>
      </c>
      <c r="H150" s="246">
        <f>'2E.ROE Scan'!J237</f>
        <v/>
      </c>
      <c r="I150" s="246">
        <f>'2E.ROE Scan'!K237</f>
        <v/>
      </c>
      <c r="J150" s="246">
        <f>'2E.ROE Scan'!L237</f>
        <v/>
      </c>
      <c r="K150" s="246">
        <f>'2E.ROE Scan'!M237</f>
        <v/>
      </c>
      <c r="L150" s="246">
        <f>'2E.ROE Scan'!N237</f>
        <v/>
      </c>
      <c r="M150" s="246">
        <f>'2E.ROE Scan'!O237</f>
        <v/>
      </c>
      <c r="N150" s="246">
        <f>'2E.ROE Scan'!P237</f>
        <v/>
      </c>
      <c r="O150" s="246">
        <f>'2E.ROE Scan'!Q237</f>
        <v/>
      </c>
      <c r="P150" s="246">
        <f>'2E.ROE Scan'!R237</f>
        <v/>
      </c>
      <c r="Q150" s="246">
        <f>'2E.ROE Scan'!S237</f>
        <v/>
      </c>
      <c r="R150" s="246">
        <f>'2E.ROE Scan'!T237</f>
        <v/>
      </c>
      <c r="S150" s="246">
        <f>'2E.ROE Scan'!U237</f>
        <v/>
      </c>
      <c r="T150" s="246">
        <f>'2E.ROE Scan'!V237</f>
        <v/>
      </c>
      <c r="U150" s="246">
        <f>'2E.ROE Scan'!W237</f>
        <v/>
      </c>
      <c r="V150" s="246">
        <f>'2E.ROE Scan'!X237</f>
        <v/>
      </c>
      <c r="W150" s="246">
        <f>'2E.ROE Scan'!Y237</f>
        <v/>
      </c>
      <c r="X150" s="246">
        <f>'2E.ROE Scan'!Z237</f>
        <v/>
      </c>
      <c r="Y150" s="246">
        <f>'2E.ROE Scan'!AA237</f>
        <v/>
      </c>
      <c r="Z150" s="246">
        <f>'2E.ROE Scan'!AB237</f>
        <v/>
      </c>
      <c r="AA150" s="246">
        <f>'2E.ROE Scan'!AC237</f>
        <v/>
      </c>
      <c r="AB150" s="246">
        <f>'2E.ROE Scan'!AD237</f>
        <v/>
      </c>
      <c r="AC150" s="246">
        <f>'2E.ROE Scan'!AE237</f>
        <v/>
      </c>
      <c r="AD150" s="246">
        <f>'2E.ROE Scan'!AF237</f>
        <v/>
      </c>
      <c r="AE150" s="246">
        <f>'2E.ROE Scan'!AG237</f>
        <v/>
      </c>
      <c r="AF150" s="246">
        <f>'2E.ROE Scan'!AH237</f>
        <v/>
      </c>
      <c r="AG150" s="246">
        <f>'2E.ROE Scan'!AI237</f>
        <v/>
      </c>
      <c r="AH150" s="246">
        <f>'2E.ROE Scan'!AJ237</f>
        <v/>
      </c>
      <c r="AI150" s="246">
        <f>'2E.ROE Scan'!AK237</f>
        <v/>
      </c>
      <c r="AJ150" s="246">
        <f>'2E.ROE Scan'!AL237</f>
        <v/>
      </c>
      <c r="AK150" s="246">
        <f>'2E.ROE Scan'!AM237</f>
        <v/>
      </c>
      <c r="AL150" s="246">
        <f>'2E.ROE Scan'!AN237</f>
        <v/>
      </c>
      <c r="AM150" s="246">
        <f>'2E.ROE Scan'!AO237</f>
        <v/>
      </c>
      <c r="AN150" s="246">
        <f>'2E.ROE Scan'!AP237</f>
        <v/>
      </c>
      <c r="AO150" s="246">
        <f>'2E.ROE Scan'!AQ237</f>
        <v/>
      </c>
      <c r="AP150" s="246">
        <f>'2E.ROE Scan'!AR237</f>
        <v/>
      </c>
      <c r="AQ150" s="246">
        <f>'2E.ROE Scan'!AS237</f>
        <v/>
      </c>
      <c r="AR150" s="246">
        <f>'2E.ROE Scan'!AT237</f>
        <v/>
      </c>
      <c r="AS150" s="246">
        <f>'2E.ROE Scan'!AU237</f>
        <v/>
      </c>
      <c r="AT150" s="246">
        <f>'2E.ROE Scan'!AV237</f>
        <v/>
      </c>
      <c r="AU150" s="246">
        <f>'2E.ROE Scan'!AW237</f>
        <v/>
      </c>
      <c r="AV150" s="246">
        <f>'2E.ROE Scan'!AX237</f>
        <v/>
      </c>
      <c r="AW150" s="246">
        <f>'2E.ROE Scan'!AY237</f>
        <v/>
      </c>
      <c r="AX150" s="246">
        <f>'2E.ROE Scan'!AZ237</f>
        <v/>
      </c>
      <c r="AY150" s="246">
        <f>'2E.ROE Scan'!BA237</f>
        <v/>
      </c>
      <c r="AZ150" s="246">
        <f>'2E.ROE Scan'!BB237</f>
        <v/>
      </c>
    </row>
    <row r="151" ht="16.5" customHeight="1" s="179">
      <c r="B151" s="65">
        <f>B112</f>
        <v/>
      </c>
      <c r="C151" s="246">
        <f>'2E.ROE Scan'!E238</f>
        <v/>
      </c>
      <c r="D151" s="246">
        <f>'2E.ROE Scan'!F238</f>
        <v/>
      </c>
      <c r="E151" s="246">
        <f>'2E.ROE Scan'!G238</f>
        <v/>
      </c>
      <c r="F151" s="246">
        <f>'2E.ROE Scan'!H238</f>
        <v/>
      </c>
      <c r="G151" s="246">
        <f>'2E.ROE Scan'!I238</f>
        <v/>
      </c>
      <c r="H151" s="246">
        <f>'2E.ROE Scan'!J238</f>
        <v/>
      </c>
      <c r="I151" s="246">
        <f>'2E.ROE Scan'!K238</f>
        <v/>
      </c>
      <c r="J151" s="246">
        <f>'2E.ROE Scan'!L238</f>
        <v/>
      </c>
      <c r="K151" s="246">
        <f>'2E.ROE Scan'!M238</f>
        <v/>
      </c>
      <c r="L151" s="246">
        <f>'2E.ROE Scan'!N238</f>
        <v/>
      </c>
      <c r="M151" s="246">
        <f>'2E.ROE Scan'!O238</f>
        <v/>
      </c>
      <c r="N151" s="246">
        <f>'2E.ROE Scan'!P238</f>
        <v/>
      </c>
      <c r="O151" s="246">
        <f>'2E.ROE Scan'!Q238</f>
        <v/>
      </c>
      <c r="P151" s="246">
        <f>'2E.ROE Scan'!R238</f>
        <v/>
      </c>
      <c r="Q151" s="246">
        <f>'2E.ROE Scan'!S238</f>
        <v/>
      </c>
      <c r="R151" s="246">
        <f>'2E.ROE Scan'!T238</f>
        <v/>
      </c>
      <c r="S151" s="246">
        <f>'2E.ROE Scan'!U238</f>
        <v/>
      </c>
      <c r="T151" s="246">
        <f>'2E.ROE Scan'!V238</f>
        <v/>
      </c>
      <c r="U151" s="246">
        <f>'2E.ROE Scan'!W238</f>
        <v/>
      </c>
      <c r="V151" s="246">
        <f>'2E.ROE Scan'!X238</f>
        <v/>
      </c>
      <c r="W151" s="246">
        <f>'2E.ROE Scan'!Y238</f>
        <v/>
      </c>
      <c r="X151" s="246">
        <f>'2E.ROE Scan'!Z238</f>
        <v/>
      </c>
      <c r="Y151" s="246">
        <f>'2E.ROE Scan'!AA238</f>
        <v/>
      </c>
      <c r="Z151" s="246">
        <f>'2E.ROE Scan'!AB238</f>
        <v/>
      </c>
      <c r="AA151" s="246">
        <f>'2E.ROE Scan'!AC238</f>
        <v/>
      </c>
      <c r="AB151" s="246">
        <f>'2E.ROE Scan'!AD238</f>
        <v/>
      </c>
      <c r="AC151" s="246">
        <f>'2E.ROE Scan'!AE238</f>
        <v/>
      </c>
      <c r="AD151" s="246">
        <f>'2E.ROE Scan'!AF238</f>
        <v/>
      </c>
      <c r="AE151" s="246">
        <f>'2E.ROE Scan'!AG238</f>
        <v/>
      </c>
      <c r="AF151" s="246">
        <f>'2E.ROE Scan'!AH238</f>
        <v/>
      </c>
      <c r="AG151" s="246">
        <f>'2E.ROE Scan'!AI238</f>
        <v/>
      </c>
      <c r="AH151" s="246">
        <f>'2E.ROE Scan'!AJ238</f>
        <v/>
      </c>
      <c r="AI151" s="246">
        <f>'2E.ROE Scan'!AK238</f>
        <v/>
      </c>
      <c r="AJ151" s="246">
        <f>'2E.ROE Scan'!AL238</f>
        <v/>
      </c>
      <c r="AK151" s="246">
        <f>'2E.ROE Scan'!AM238</f>
        <v/>
      </c>
      <c r="AL151" s="246">
        <f>'2E.ROE Scan'!AN238</f>
        <v/>
      </c>
      <c r="AM151" s="246">
        <f>'2E.ROE Scan'!AO238</f>
        <v/>
      </c>
      <c r="AN151" s="246">
        <f>'2E.ROE Scan'!AP238</f>
        <v/>
      </c>
      <c r="AO151" s="246">
        <f>'2E.ROE Scan'!AQ238</f>
        <v/>
      </c>
      <c r="AP151" s="246">
        <f>'2E.ROE Scan'!AR238</f>
        <v/>
      </c>
      <c r="AQ151" s="246">
        <f>'2E.ROE Scan'!AS238</f>
        <v/>
      </c>
      <c r="AR151" s="246">
        <f>'2E.ROE Scan'!AT238</f>
        <v/>
      </c>
      <c r="AS151" s="246">
        <f>'2E.ROE Scan'!AU238</f>
        <v/>
      </c>
      <c r="AT151" s="246">
        <f>'2E.ROE Scan'!AV238</f>
        <v/>
      </c>
      <c r="AU151" s="246">
        <f>'2E.ROE Scan'!AW238</f>
        <v/>
      </c>
      <c r="AV151" s="246">
        <f>'2E.ROE Scan'!AX238</f>
        <v/>
      </c>
      <c r="AW151" s="246">
        <f>'2E.ROE Scan'!AY238</f>
        <v/>
      </c>
      <c r="AX151" s="246">
        <f>'2E.ROE Scan'!AZ238</f>
        <v/>
      </c>
      <c r="AY151" s="246">
        <f>'2E.ROE Scan'!BA238</f>
        <v/>
      </c>
      <c r="AZ151" s="246">
        <f>'2E.ROE Scan'!BB238</f>
        <v/>
      </c>
    </row>
    <row r="152" ht="16.5" customHeight="1" s="179">
      <c r="B152" s="65">
        <f>B113</f>
        <v/>
      </c>
      <c r="C152" s="246">
        <f>'2E.ROE Scan'!E239</f>
        <v/>
      </c>
      <c r="D152" s="246">
        <f>'2E.ROE Scan'!F239</f>
        <v/>
      </c>
      <c r="E152" s="246">
        <f>'2E.ROE Scan'!G239</f>
        <v/>
      </c>
      <c r="F152" s="246">
        <f>'2E.ROE Scan'!H239</f>
        <v/>
      </c>
      <c r="G152" s="246">
        <f>'2E.ROE Scan'!I239</f>
        <v/>
      </c>
      <c r="H152" s="246">
        <f>'2E.ROE Scan'!J239</f>
        <v/>
      </c>
      <c r="I152" s="246">
        <f>'2E.ROE Scan'!K239</f>
        <v/>
      </c>
      <c r="J152" s="246">
        <f>'2E.ROE Scan'!L239</f>
        <v/>
      </c>
      <c r="K152" s="246">
        <f>'2E.ROE Scan'!M239</f>
        <v/>
      </c>
      <c r="L152" s="246">
        <f>'2E.ROE Scan'!N239</f>
        <v/>
      </c>
      <c r="M152" s="246">
        <f>'2E.ROE Scan'!O239</f>
        <v/>
      </c>
      <c r="N152" s="246">
        <f>'2E.ROE Scan'!P239</f>
        <v/>
      </c>
      <c r="O152" s="246">
        <f>'2E.ROE Scan'!Q239</f>
        <v/>
      </c>
      <c r="P152" s="246">
        <f>'2E.ROE Scan'!R239</f>
        <v/>
      </c>
      <c r="Q152" s="246">
        <f>'2E.ROE Scan'!S239</f>
        <v/>
      </c>
      <c r="R152" s="246">
        <f>'2E.ROE Scan'!T239</f>
        <v/>
      </c>
      <c r="S152" s="246">
        <f>'2E.ROE Scan'!U239</f>
        <v/>
      </c>
      <c r="T152" s="246">
        <f>'2E.ROE Scan'!V239</f>
        <v/>
      </c>
      <c r="U152" s="246">
        <f>'2E.ROE Scan'!W239</f>
        <v/>
      </c>
      <c r="V152" s="246">
        <f>'2E.ROE Scan'!X239</f>
        <v/>
      </c>
      <c r="W152" s="246">
        <f>'2E.ROE Scan'!Y239</f>
        <v/>
      </c>
      <c r="X152" s="246">
        <f>'2E.ROE Scan'!Z239</f>
        <v/>
      </c>
      <c r="Y152" s="246">
        <f>'2E.ROE Scan'!AA239</f>
        <v/>
      </c>
      <c r="Z152" s="246">
        <f>'2E.ROE Scan'!AB239</f>
        <v/>
      </c>
      <c r="AA152" s="246">
        <f>'2E.ROE Scan'!AC239</f>
        <v/>
      </c>
      <c r="AB152" s="246">
        <f>'2E.ROE Scan'!AD239</f>
        <v/>
      </c>
      <c r="AC152" s="246">
        <f>'2E.ROE Scan'!AE239</f>
        <v/>
      </c>
      <c r="AD152" s="246">
        <f>'2E.ROE Scan'!AF239</f>
        <v/>
      </c>
      <c r="AE152" s="246">
        <f>'2E.ROE Scan'!AG239</f>
        <v/>
      </c>
      <c r="AF152" s="246">
        <f>'2E.ROE Scan'!AH239</f>
        <v/>
      </c>
      <c r="AG152" s="246">
        <f>'2E.ROE Scan'!AI239</f>
        <v/>
      </c>
      <c r="AH152" s="246">
        <f>'2E.ROE Scan'!AJ239</f>
        <v/>
      </c>
      <c r="AI152" s="246">
        <f>'2E.ROE Scan'!AK239</f>
        <v/>
      </c>
      <c r="AJ152" s="246">
        <f>'2E.ROE Scan'!AL239</f>
        <v/>
      </c>
      <c r="AK152" s="246">
        <f>'2E.ROE Scan'!AM239</f>
        <v/>
      </c>
      <c r="AL152" s="246">
        <f>'2E.ROE Scan'!AN239</f>
        <v/>
      </c>
      <c r="AM152" s="246">
        <f>'2E.ROE Scan'!AO239</f>
        <v/>
      </c>
      <c r="AN152" s="246">
        <f>'2E.ROE Scan'!AP239</f>
        <v/>
      </c>
      <c r="AO152" s="246">
        <f>'2E.ROE Scan'!AQ239</f>
        <v/>
      </c>
      <c r="AP152" s="246">
        <f>'2E.ROE Scan'!AR239</f>
        <v/>
      </c>
      <c r="AQ152" s="246">
        <f>'2E.ROE Scan'!AS239</f>
        <v/>
      </c>
      <c r="AR152" s="246">
        <f>'2E.ROE Scan'!AT239</f>
        <v/>
      </c>
      <c r="AS152" s="246">
        <f>'2E.ROE Scan'!AU239</f>
        <v/>
      </c>
      <c r="AT152" s="246">
        <f>'2E.ROE Scan'!AV239</f>
        <v/>
      </c>
      <c r="AU152" s="246">
        <f>'2E.ROE Scan'!AW239</f>
        <v/>
      </c>
      <c r="AV152" s="246">
        <f>'2E.ROE Scan'!AX239</f>
        <v/>
      </c>
      <c r="AW152" s="246">
        <f>'2E.ROE Scan'!AY239</f>
        <v/>
      </c>
      <c r="AX152" s="246">
        <f>'2E.ROE Scan'!AZ239</f>
        <v/>
      </c>
      <c r="AY152" s="246">
        <f>'2E.ROE Scan'!BA239</f>
        <v/>
      </c>
      <c r="AZ152" s="246">
        <f>'2E.ROE Scan'!BB239</f>
        <v/>
      </c>
    </row>
    <row r="153" ht="16.5" customHeight="1" s="179">
      <c r="B153" s="65">
        <f>B114</f>
        <v/>
      </c>
      <c r="C153" s="246">
        <f>'2E.ROE Scan'!E240</f>
        <v/>
      </c>
      <c r="D153" s="246">
        <f>'2E.ROE Scan'!F240</f>
        <v/>
      </c>
      <c r="E153" s="246">
        <f>'2E.ROE Scan'!G240</f>
        <v/>
      </c>
      <c r="F153" s="246">
        <f>'2E.ROE Scan'!H240</f>
        <v/>
      </c>
      <c r="G153" s="246">
        <f>'2E.ROE Scan'!I240</f>
        <v/>
      </c>
      <c r="H153" s="246">
        <f>'2E.ROE Scan'!J240</f>
        <v/>
      </c>
      <c r="I153" s="246">
        <f>'2E.ROE Scan'!K240</f>
        <v/>
      </c>
      <c r="J153" s="246">
        <f>'2E.ROE Scan'!L240</f>
        <v/>
      </c>
      <c r="K153" s="246">
        <f>'2E.ROE Scan'!M240</f>
        <v/>
      </c>
      <c r="L153" s="246">
        <f>'2E.ROE Scan'!N240</f>
        <v/>
      </c>
      <c r="M153" s="246">
        <f>'2E.ROE Scan'!O240</f>
        <v/>
      </c>
      <c r="N153" s="246">
        <f>'2E.ROE Scan'!P240</f>
        <v/>
      </c>
      <c r="O153" s="246">
        <f>'2E.ROE Scan'!Q240</f>
        <v/>
      </c>
      <c r="P153" s="246">
        <f>'2E.ROE Scan'!R240</f>
        <v/>
      </c>
      <c r="Q153" s="246">
        <f>'2E.ROE Scan'!S240</f>
        <v/>
      </c>
      <c r="R153" s="246">
        <f>'2E.ROE Scan'!T240</f>
        <v/>
      </c>
      <c r="S153" s="246">
        <f>'2E.ROE Scan'!U240</f>
        <v/>
      </c>
      <c r="T153" s="246">
        <f>'2E.ROE Scan'!V240</f>
        <v/>
      </c>
      <c r="U153" s="246">
        <f>'2E.ROE Scan'!W240</f>
        <v/>
      </c>
      <c r="V153" s="246">
        <f>'2E.ROE Scan'!X240</f>
        <v/>
      </c>
      <c r="W153" s="246">
        <f>'2E.ROE Scan'!Y240</f>
        <v/>
      </c>
      <c r="X153" s="246">
        <f>'2E.ROE Scan'!Z240</f>
        <v/>
      </c>
      <c r="Y153" s="246">
        <f>'2E.ROE Scan'!AA240</f>
        <v/>
      </c>
      <c r="Z153" s="246">
        <f>'2E.ROE Scan'!AB240</f>
        <v/>
      </c>
      <c r="AA153" s="246">
        <f>'2E.ROE Scan'!AC240</f>
        <v/>
      </c>
      <c r="AB153" s="246">
        <f>'2E.ROE Scan'!AD240</f>
        <v/>
      </c>
      <c r="AC153" s="246">
        <f>'2E.ROE Scan'!AE240</f>
        <v/>
      </c>
      <c r="AD153" s="246">
        <f>'2E.ROE Scan'!AF240</f>
        <v/>
      </c>
      <c r="AE153" s="246">
        <f>'2E.ROE Scan'!AG240</f>
        <v/>
      </c>
      <c r="AF153" s="246">
        <f>'2E.ROE Scan'!AH240</f>
        <v/>
      </c>
      <c r="AG153" s="246">
        <f>'2E.ROE Scan'!AI240</f>
        <v/>
      </c>
      <c r="AH153" s="246">
        <f>'2E.ROE Scan'!AJ240</f>
        <v/>
      </c>
      <c r="AI153" s="246">
        <f>'2E.ROE Scan'!AK240</f>
        <v/>
      </c>
      <c r="AJ153" s="246">
        <f>'2E.ROE Scan'!AL240</f>
        <v/>
      </c>
      <c r="AK153" s="246">
        <f>'2E.ROE Scan'!AM240</f>
        <v/>
      </c>
      <c r="AL153" s="246">
        <f>'2E.ROE Scan'!AN240</f>
        <v/>
      </c>
      <c r="AM153" s="246">
        <f>'2E.ROE Scan'!AO240</f>
        <v/>
      </c>
      <c r="AN153" s="246">
        <f>'2E.ROE Scan'!AP240</f>
        <v/>
      </c>
      <c r="AO153" s="246">
        <f>'2E.ROE Scan'!AQ240</f>
        <v/>
      </c>
      <c r="AP153" s="246">
        <f>'2E.ROE Scan'!AR240</f>
        <v/>
      </c>
      <c r="AQ153" s="246">
        <f>'2E.ROE Scan'!AS240</f>
        <v/>
      </c>
      <c r="AR153" s="246">
        <f>'2E.ROE Scan'!AT240</f>
        <v/>
      </c>
      <c r="AS153" s="246">
        <f>'2E.ROE Scan'!AU240</f>
        <v/>
      </c>
      <c r="AT153" s="246">
        <f>'2E.ROE Scan'!AV240</f>
        <v/>
      </c>
      <c r="AU153" s="246">
        <f>'2E.ROE Scan'!AW240</f>
        <v/>
      </c>
      <c r="AV153" s="246">
        <f>'2E.ROE Scan'!AX240</f>
        <v/>
      </c>
      <c r="AW153" s="246">
        <f>'2E.ROE Scan'!AY240</f>
        <v/>
      </c>
      <c r="AX153" s="246">
        <f>'2E.ROE Scan'!AZ240</f>
        <v/>
      </c>
      <c r="AY153" s="246">
        <f>'2E.ROE Scan'!BA240</f>
        <v/>
      </c>
      <c r="AZ153" s="246">
        <f>'2E.ROE Scan'!BB240</f>
        <v/>
      </c>
    </row>
    <row r="154" ht="16.5" customHeight="1" s="179">
      <c r="B154" s="65">
        <f>B115</f>
        <v/>
      </c>
      <c r="C154" s="246">
        <f>'2E.ROE Scan'!E241</f>
        <v/>
      </c>
      <c r="D154" s="246">
        <f>'2E.ROE Scan'!F241</f>
        <v/>
      </c>
      <c r="E154" s="246">
        <f>'2E.ROE Scan'!G241</f>
        <v/>
      </c>
      <c r="F154" s="246">
        <f>'2E.ROE Scan'!H241</f>
        <v/>
      </c>
      <c r="G154" s="246">
        <f>'2E.ROE Scan'!I241</f>
        <v/>
      </c>
      <c r="H154" s="246">
        <f>'2E.ROE Scan'!J241</f>
        <v/>
      </c>
      <c r="I154" s="246">
        <f>'2E.ROE Scan'!K241</f>
        <v/>
      </c>
      <c r="J154" s="246">
        <f>'2E.ROE Scan'!L241</f>
        <v/>
      </c>
      <c r="K154" s="246">
        <f>'2E.ROE Scan'!M241</f>
        <v/>
      </c>
      <c r="L154" s="246">
        <f>'2E.ROE Scan'!N241</f>
        <v/>
      </c>
      <c r="M154" s="246">
        <f>'2E.ROE Scan'!O241</f>
        <v/>
      </c>
      <c r="N154" s="246">
        <f>'2E.ROE Scan'!P241</f>
        <v/>
      </c>
      <c r="O154" s="246">
        <f>'2E.ROE Scan'!Q241</f>
        <v/>
      </c>
      <c r="P154" s="246">
        <f>'2E.ROE Scan'!R241</f>
        <v/>
      </c>
      <c r="Q154" s="246">
        <f>'2E.ROE Scan'!S241</f>
        <v/>
      </c>
      <c r="R154" s="246">
        <f>'2E.ROE Scan'!T241</f>
        <v/>
      </c>
      <c r="S154" s="246">
        <f>'2E.ROE Scan'!U241</f>
        <v/>
      </c>
      <c r="T154" s="246">
        <f>'2E.ROE Scan'!V241</f>
        <v/>
      </c>
      <c r="U154" s="246">
        <f>'2E.ROE Scan'!W241</f>
        <v/>
      </c>
      <c r="V154" s="246">
        <f>'2E.ROE Scan'!X241</f>
        <v/>
      </c>
      <c r="W154" s="246">
        <f>'2E.ROE Scan'!Y241</f>
        <v/>
      </c>
      <c r="X154" s="246">
        <f>'2E.ROE Scan'!Z241</f>
        <v/>
      </c>
      <c r="Y154" s="246">
        <f>'2E.ROE Scan'!AA241</f>
        <v/>
      </c>
      <c r="Z154" s="246">
        <f>'2E.ROE Scan'!AB241</f>
        <v/>
      </c>
      <c r="AA154" s="246">
        <f>'2E.ROE Scan'!AC241</f>
        <v/>
      </c>
      <c r="AB154" s="246">
        <f>'2E.ROE Scan'!AD241</f>
        <v/>
      </c>
      <c r="AC154" s="246">
        <f>'2E.ROE Scan'!AE241</f>
        <v/>
      </c>
      <c r="AD154" s="246">
        <f>'2E.ROE Scan'!AF241</f>
        <v/>
      </c>
      <c r="AE154" s="246">
        <f>'2E.ROE Scan'!AG241</f>
        <v/>
      </c>
      <c r="AF154" s="246">
        <f>'2E.ROE Scan'!AH241</f>
        <v/>
      </c>
      <c r="AG154" s="246">
        <f>'2E.ROE Scan'!AI241</f>
        <v/>
      </c>
      <c r="AH154" s="246">
        <f>'2E.ROE Scan'!AJ241</f>
        <v/>
      </c>
      <c r="AI154" s="246">
        <f>'2E.ROE Scan'!AK241</f>
        <v/>
      </c>
      <c r="AJ154" s="246">
        <f>'2E.ROE Scan'!AL241</f>
        <v/>
      </c>
      <c r="AK154" s="246">
        <f>'2E.ROE Scan'!AM241</f>
        <v/>
      </c>
      <c r="AL154" s="246">
        <f>'2E.ROE Scan'!AN241</f>
        <v/>
      </c>
      <c r="AM154" s="246">
        <f>'2E.ROE Scan'!AO241</f>
        <v/>
      </c>
      <c r="AN154" s="246">
        <f>'2E.ROE Scan'!AP241</f>
        <v/>
      </c>
      <c r="AO154" s="246">
        <f>'2E.ROE Scan'!AQ241</f>
        <v/>
      </c>
      <c r="AP154" s="246">
        <f>'2E.ROE Scan'!AR241</f>
        <v/>
      </c>
      <c r="AQ154" s="246">
        <f>'2E.ROE Scan'!AS241</f>
        <v/>
      </c>
      <c r="AR154" s="246">
        <f>'2E.ROE Scan'!AT241</f>
        <v/>
      </c>
      <c r="AS154" s="246">
        <f>'2E.ROE Scan'!AU241</f>
        <v/>
      </c>
      <c r="AT154" s="246">
        <f>'2E.ROE Scan'!AV241</f>
        <v/>
      </c>
      <c r="AU154" s="246">
        <f>'2E.ROE Scan'!AW241</f>
        <v/>
      </c>
      <c r="AV154" s="246">
        <f>'2E.ROE Scan'!AX241</f>
        <v/>
      </c>
      <c r="AW154" s="246">
        <f>'2E.ROE Scan'!AY241</f>
        <v/>
      </c>
      <c r="AX154" s="246">
        <f>'2E.ROE Scan'!AZ241</f>
        <v/>
      </c>
      <c r="AY154" s="246">
        <f>'2E.ROE Scan'!BA241</f>
        <v/>
      </c>
      <c r="AZ154" s="246">
        <f>'2E.ROE Scan'!BB241</f>
        <v/>
      </c>
    </row>
    <row r="155" ht="16.5" customHeight="1" s="179">
      <c r="B155" s="65">
        <f>B116</f>
        <v/>
      </c>
      <c r="C155" s="246">
        <f>'2E.ROE Scan'!E242</f>
        <v/>
      </c>
      <c r="D155" s="246">
        <f>'2E.ROE Scan'!F242</f>
        <v/>
      </c>
      <c r="E155" s="246">
        <f>'2E.ROE Scan'!G242</f>
        <v/>
      </c>
      <c r="F155" s="246">
        <f>'2E.ROE Scan'!H242</f>
        <v/>
      </c>
      <c r="G155" s="246">
        <f>'2E.ROE Scan'!I242</f>
        <v/>
      </c>
      <c r="H155" s="246">
        <f>'2E.ROE Scan'!J242</f>
        <v/>
      </c>
      <c r="I155" s="246">
        <f>'2E.ROE Scan'!K242</f>
        <v/>
      </c>
      <c r="J155" s="246">
        <f>'2E.ROE Scan'!L242</f>
        <v/>
      </c>
      <c r="K155" s="246">
        <f>'2E.ROE Scan'!M242</f>
        <v/>
      </c>
      <c r="L155" s="246">
        <f>'2E.ROE Scan'!N242</f>
        <v/>
      </c>
      <c r="M155" s="246">
        <f>'2E.ROE Scan'!O242</f>
        <v/>
      </c>
      <c r="N155" s="246">
        <f>'2E.ROE Scan'!P242</f>
        <v/>
      </c>
      <c r="O155" s="246">
        <f>'2E.ROE Scan'!Q242</f>
        <v/>
      </c>
      <c r="P155" s="246">
        <f>'2E.ROE Scan'!R242</f>
        <v/>
      </c>
      <c r="Q155" s="246">
        <f>'2E.ROE Scan'!S242</f>
        <v/>
      </c>
      <c r="R155" s="246">
        <f>'2E.ROE Scan'!T242</f>
        <v/>
      </c>
      <c r="S155" s="246">
        <f>'2E.ROE Scan'!U242</f>
        <v/>
      </c>
      <c r="T155" s="246">
        <f>'2E.ROE Scan'!V242</f>
        <v/>
      </c>
      <c r="U155" s="246">
        <f>'2E.ROE Scan'!W242</f>
        <v/>
      </c>
      <c r="V155" s="246">
        <f>'2E.ROE Scan'!X242</f>
        <v/>
      </c>
      <c r="W155" s="246">
        <f>'2E.ROE Scan'!Y242</f>
        <v/>
      </c>
      <c r="X155" s="246">
        <f>'2E.ROE Scan'!Z242</f>
        <v/>
      </c>
      <c r="Y155" s="246">
        <f>'2E.ROE Scan'!AA242</f>
        <v/>
      </c>
      <c r="Z155" s="246">
        <f>'2E.ROE Scan'!AB242</f>
        <v/>
      </c>
      <c r="AA155" s="246">
        <f>'2E.ROE Scan'!AC242</f>
        <v/>
      </c>
      <c r="AB155" s="246">
        <f>'2E.ROE Scan'!AD242</f>
        <v/>
      </c>
      <c r="AC155" s="246">
        <f>'2E.ROE Scan'!AE242</f>
        <v/>
      </c>
      <c r="AD155" s="246">
        <f>'2E.ROE Scan'!AF242</f>
        <v/>
      </c>
      <c r="AE155" s="246">
        <f>'2E.ROE Scan'!AG242</f>
        <v/>
      </c>
      <c r="AF155" s="246">
        <f>'2E.ROE Scan'!AH242</f>
        <v/>
      </c>
      <c r="AG155" s="246">
        <f>'2E.ROE Scan'!AI242</f>
        <v/>
      </c>
      <c r="AH155" s="246">
        <f>'2E.ROE Scan'!AJ242</f>
        <v/>
      </c>
      <c r="AI155" s="246">
        <f>'2E.ROE Scan'!AK242</f>
        <v/>
      </c>
      <c r="AJ155" s="246">
        <f>'2E.ROE Scan'!AL242</f>
        <v/>
      </c>
      <c r="AK155" s="246">
        <f>'2E.ROE Scan'!AM242</f>
        <v/>
      </c>
      <c r="AL155" s="246">
        <f>'2E.ROE Scan'!AN242</f>
        <v/>
      </c>
      <c r="AM155" s="246">
        <f>'2E.ROE Scan'!AO242</f>
        <v/>
      </c>
      <c r="AN155" s="246">
        <f>'2E.ROE Scan'!AP242</f>
        <v/>
      </c>
      <c r="AO155" s="246">
        <f>'2E.ROE Scan'!AQ242</f>
        <v/>
      </c>
      <c r="AP155" s="246">
        <f>'2E.ROE Scan'!AR242</f>
        <v/>
      </c>
      <c r="AQ155" s="246">
        <f>'2E.ROE Scan'!AS242</f>
        <v/>
      </c>
      <c r="AR155" s="246">
        <f>'2E.ROE Scan'!AT242</f>
        <v/>
      </c>
      <c r="AS155" s="246">
        <f>'2E.ROE Scan'!AU242</f>
        <v/>
      </c>
      <c r="AT155" s="246">
        <f>'2E.ROE Scan'!AV242</f>
        <v/>
      </c>
      <c r="AU155" s="246">
        <f>'2E.ROE Scan'!AW242</f>
        <v/>
      </c>
      <c r="AV155" s="246">
        <f>'2E.ROE Scan'!AX242</f>
        <v/>
      </c>
      <c r="AW155" s="246">
        <f>'2E.ROE Scan'!AY242</f>
        <v/>
      </c>
      <c r="AX155" s="246">
        <f>'2E.ROE Scan'!AZ242</f>
        <v/>
      </c>
      <c r="AY155" s="246">
        <f>'2E.ROE Scan'!BA242</f>
        <v/>
      </c>
      <c r="AZ155" s="246">
        <f>'2E.ROE Scan'!BB242</f>
        <v/>
      </c>
    </row>
    <row r="156" ht="16.5" customHeight="1" s="179">
      <c r="B156" s="65">
        <f>B117</f>
        <v/>
      </c>
      <c r="C156" s="246">
        <f>'2E.ROE Scan'!E243</f>
        <v/>
      </c>
      <c r="D156" s="246">
        <f>'2E.ROE Scan'!F243</f>
        <v/>
      </c>
      <c r="E156" s="246">
        <f>'2E.ROE Scan'!G243</f>
        <v/>
      </c>
      <c r="F156" s="246">
        <f>'2E.ROE Scan'!H243</f>
        <v/>
      </c>
      <c r="G156" s="246">
        <f>'2E.ROE Scan'!I243</f>
        <v/>
      </c>
      <c r="H156" s="246">
        <f>'2E.ROE Scan'!J243</f>
        <v/>
      </c>
      <c r="I156" s="246">
        <f>'2E.ROE Scan'!K243</f>
        <v/>
      </c>
      <c r="J156" s="246">
        <f>'2E.ROE Scan'!L243</f>
        <v/>
      </c>
      <c r="K156" s="246">
        <f>'2E.ROE Scan'!M243</f>
        <v/>
      </c>
      <c r="L156" s="246">
        <f>'2E.ROE Scan'!N243</f>
        <v/>
      </c>
      <c r="M156" s="246">
        <f>'2E.ROE Scan'!O243</f>
        <v/>
      </c>
      <c r="N156" s="246">
        <f>'2E.ROE Scan'!P243</f>
        <v/>
      </c>
      <c r="O156" s="246">
        <f>'2E.ROE Scan'!Q243</f>
        <v/>
      </c>
      <c r="P156" s="246">
        <f>'2E.ROE Scan'!R243</f>
        <v/>
      </c>
      <c r="Q156" s="246">
        <f>'2E.ROE Scan'!S243</f>
        <v/>
      </c>
      <c r="R156" s="246">
        <f>'2E.ROE Scan'!T243</f>
        <v/>
      </c>
      <c r="S156" s="246">
        <f>'2E.ROE Scan'!U243</f>
        <v/>
      </c>
      <c r="T156" s="246">
        <f>'2E.ROE Scan'!V243</f>
        <v/>
      </c>
      <c r="U156" s="246">
        <f>'2E.ROE Scan'!W243</f>
        <v/>
      </c>
      <c r="V156" s="246">
        <f>'2E.ROE Scan'!X243</f>
        <v/>
      </c>
      <c r="W156" s="246">
        <f>'2E.ROE Scan'!Y243</f>
        <v/>
      </c>
      <c r="X156" s="246">
        <f>'2E.ROE Scan'!Z243</f>
        <v/>
      </c>
      <c r="Y156" s="246">
        <f>'2E.ROE Scan'!AA243</f>
        <v/>
      </c>
      <c r="Z156" s="246">
        <f>'2E.ROE Scan'!AB243</f>
        <v/>
      </c>
      <c r="AA156" s="246">
        <f>'2E.ROE Scan'!AC243</f>
        <v/>
      </c>
      <c r="AB156" s="246">
        <f>'2E.ROE Scan'!AD243</f>
        <v/>
      </c>
      <c r="AC156" s="246">
        <f>'2E.ROE Scan'!AE243</f>
        <v/>
      </c>
      <c r="AD156" s="246">
        <f>'2E.ROE Scan'!AF243</f>
        <v/>
      </c>
      <c r="AE156" s="246">
        <f>'2E.ROE Scan'!AG243</f>
        <v/>
      </c>
      <c r="AF156" s="246">
        <f>'2E.ROE Scan'!AH243</f>
        <v/>
      </c>
      <c r="AG156" s="246">
        <f>'2E.ROE Scan'!AI243</f>
        <v/>
      </c>
      <c r="AH156" s="246">
        <f>'2E.ROE Scan'!AJ243</f>
        <v/>
      </c>
      <c r="AI156" s="246">
        <f>'2E.ROE Scan'!AK243</f>
        <v/>
      </c>
      <c r="AJ156" s="246">
        <f>'2E.ROE Scan'!AL243</f>
        <v/>
      </c>
      <c r="AK156" s="246">
        <f>'2E.ROE Scan'!AM243</f>
        <v/>
      </c>
      <c r="AL156" s="246">
        <f>'2E.ROE Scan'!AN243</f>
        <v/>
      </c>
      <c r="AM156" s="246">
        <f>'2E.ROE Scan'!AO243</f>
        <v/>
      </c>
      <c r="AN156" s="246">
        <f>'2E.ROE Scan'!AP243</f>
        <v/>
      </c>
      <c r="AO156" s="246">
        <f>'2E.ROE Scan'!AQ243</f>
        <v/>
      </c>
      <c r="AP156" s="246">
        <f>'2E.ROE Scan'!AR243</f>
        <v/>
      </c>
      <c r="AQ156" s="246">
        <f>'2E.ROE Scan'!AS243</f>
        <v/>
      </c>
      <c r="AR156" s="246">
        <f>'2E.ROE Scan'!AT243</f>
        <v/>
      </c>
      <c r="AS156" s="246">
        <f>'2E.ROE Scan'!AU243</f>
        <v/>
      </c>
      <c r="AT156" s="246">
        <f>'2E.ROE Scan'!AV243</f>
        <v/>
      </c>
      <c r="AU156" s="246">
        <f>'2E.ROE Scan'!AW243</f>
        <v/>
      </c>
      <c r="AV156" s="246">
        <f>'2E.ROE Scan'!AX243</f>
        <v/>
      </c>
      <c r="AW156" s="246">
        <f>'2E.ROE Scan'!AY243</f>
        <v/>
      </c>
      <c r="AX156" s="246">
        <f>'2E.ROE Scan'!AZ243</f>
        <v/>
      </c>
      <c r="AY156" s="246">
        <f>'2E.ROE Scan'!BA243</f>
        <v/>
      </c>
      <c r="AZ156" s="246">
        <f>'2E.ROE Scan'!BB243</f>
        <v/>
      </c>
    </row>
    <row r="157" ht="16.5" customHeight="1" s="179">
      <c r="B157" s="65">
        <f>B118</f>
        <v/>
      </c>
      <c r="C157" s="246">
        <f>'2E.ROE Scan'!E244</f>
        <v/>
      </c>
      <c r="D157" s="246">
        <f>'2E.ROE Scan'!F244</f>
        <v/>
      </c>
      <c r="E157" s="246">
        <f>'2E.ROE Scan'!G244</f>
        <v/>
      </c>
      <c r="F157" s="246">
        <f>'2E.ROE Scan'!H244</f>
        <v/>
      </c>
      <c r="G157" s="246">
        <f>'2E.ROE Scan'!I244</f>
        <v/>
      </c>
      <c r="H157" s="246">
        <f>'2E.ROE Scan'!J244</f>
        <v/>
      </c>
      <c r="I157" s="246">
        <f>'2E.ROE Scan'!K244</f>
        <v/>
      </c>
      <c r="J157" s="246">
        <f>'2E.ROE Scan'!L244</f>
        <v/>
      </c>
      <c r="K157" s="246">
        <f>'2E.ROE Scan'!M244</f>
        <v/>
      </c>
      <c r="L157" s="246">
        <f>'2E.ROE Scan'!N244</f>
        <v/>
      </c>
      <c r="M157" s="246">
        <f>'2E.ROE Scan'!O244</f>
        <v/>
      </c>
      <c r="N157" s="246">
        <f>'2E.ROE Scan'!P244</f>
        <v/>
      </c>
      <c r="O157" s="246">
        <f>'2E.ROE Scan'!Q244</f>
        <v/>
      </c>
      <c r="P157" s="246">
        <f>'2E.ROE Scan'!R244</f>
        <v/>
      </c>
      <c r="Q157" s="246">
        <f>'2E.ROE Scan'!S244</f>
        <v/>
      </c>
      <c r="R157" s="246">
        <f>'2E.ROE Scan'!T244</f>
        <v/>
      </c>
      <c r="S157" s="246">
        <f>'2E.ROE Scan'!U244</f>
        <v/>
      </c>
      <c r="T157" s="246">
        <f>'2E.ROE Scan'!V244</f>
        <v/>
      </c>
      <c r="U157" s="246">
        <f>'2E.ROE Scan'!W244</f>
        <v/>
      </c>
      <c r="V157" s="246">
        <f>'2E.ROE Scan'!X244</f>
        <v/>
      </c>
      <c r="W157" s="246">
        <f>'2E.ROE Scan'!Y244</f>
        <v/>
      </c>
      <c r="X157" s="246">
        <f>'2E.ROE Scan'!Z244</f>
        <v/>
      </c>
      <c r="Y157" s="246">
        <f>'2E.ROE Scan'!AA244</f>
        <v/>
      </c>
      <c r="Z157" s="246">
        <f>'2E.ROE Scan'!AB244</f>
        <v/>
      </c>
      <c r="AA157" s="246">
        <f>'2E.ROE Scan'!AC244</f>
        <v/>
      </c>
      <c r="AB157" s="246">
        <f>'2E.ROE Scan'!AD244</f>
        <v/>
      </c>
      <c r="AC157" s="246">
        <f>'2E.ROE Scan'!AE244</f>
        <v/>
      </c>
      <c r="AD157" s="246">
        <f>'2E.ROE Scan'!AF244</f>
        <v/>
      </c>
      <c r="AE157" s="246">
        <f>'2E.ROE Scan'!AG244</f>
        <v/>
      </c>
      <c r="AF157" s="246">
        <f>'2E.ROE Scan'!AH244</f>
        <v/>
      </c>
      <c r="AG157" s="246">
        <f>'2E.ROE Scan'!AI244</f>
        <v/>
      </c>
      <c r="AH157" s="246">
        <f>'2E.ROE Scan'!AJ244</f>
        <v/>
      </c>
      <c r="AI157" s="246">
        <f>'2E.ROE Scan'!AK244</f>
        <v/>
      </c>
      <c r="AJ157" s="246">
        <f>'2E.ROE Scan'!AL244</f>
        <v/>
      </c>
      <c r="AK157" s="246">
        <f>'2E.ROE Scan'!AM244</f>
        <v/>
      </c>
      <c r="AL157" s="246">
        <f>'2E.ROE Scan'!AN244</f>
        <v/>
      </c>
      <c r="AM157" s="246">
        <f>'2E.ROE Scan'!AO244</f>
        <v/>
      </c>
      <c r="AN157" s="246">
        <f>'2E.ROE Scan'!AP244</f>
        <v/>
      </c>
      <c r="AO157" s="246">
        <f>'2E.ROE Scan'!AQ244</f>
        <v/>
      </c>
      <c r="AP157" s="246">
        <f>'2E.ROE Scan'!AR244</f>
        <v/>
      </c>
      <c r="AQ157" s="246">
        <f>'2E.ROE Scan'!AS244</f>
        <v/>
      </c>
      <c r="AR157" s="246">
        <f>'2E.ROE Scan'!AT244</f>
        <v/>
      </c>
      <c r="AS157" s="246">
        <f>'2E.ROE Scan'!AU244</f>
        <v/>
      </c>
      <c r="AT157" s="246">
        <f>'2E.ROE Scan'!AV244</f>
        <v/>
      </c>
      <c r="AU157" s="246">
        <f>'2E.ROE Scan'!AW244</f>
        <v/>
      </c>
      <c r="AV157" s="246">
        <f>'2E.ROE Scan'!AX244</f>
        <v/>
      </c>
      <c r="AW157" s="246">
        <f>'2E.ROE Scan'!AY244</f>
        <v/>
      </c>
      <c r="AX157" s="246">
        <f>'2E.ROE Scan'!AZ244</f>
        <v/>
      </c>
      <c r="AY157" s="246">
        <f>'2E.ROE Scan'!BA244</f>
        <v/>
      </c>
      <c r="AZ157" s="246">
        <f>'2E.ROE Scan'!BB244</f>
        <v/>
      </c>
    </row>
    <row r="158" ht="16.5" customHeight="1" s="179">
      <c r="B158" s="65">
        <f>B119</f>
        <v/>
      </c>
      <c r="C158" s="246">
        <f>'2E.ROE Scan'!E245</f>
        <v/>
      </c>
      <c r="D158" s="246">
        <f>'2E.ROE Scan'!F245</f>
        <v/>
      </c>
      <c r="E158" s="246">
        <f>'2E.ROE Scan'!G245</f>
        <v/>
      </c>
      <c r="F158" s="246">
        <f>'2E.ROE Scan'!H245</f>
        <v/>
      </c>
      <c r="G158" s="246">
        <f>'2E.ROE Scan'!I245</f>
        <v/>
      </c>
      <c r="H158" s="246">
        <f>'2E.ROE Scan'!J245</f>
        <v/>
      </c>
      <c r="I158" s="246">
        <f>'2E.ROE Scan'!K245</f>
        <v/>
      </c>
      <c r="J158" s="246">
        <f>'2E.ROE Scan'!L245</f>
        <v/>
      </c>
      <c r="K158" s="246">
        <f>'2E.ROE Scan'!M245</f>
        <v/>
      </c>
      <c r="L158" s="246">
        <f>'2E.ROE Scan'!N245</f>
        <v/>
      </c>
      <c r="M158" s="246">
        <f>'2E.ROE Scan'!O245</f>
        <v/>
      </c>
      <c r="N158" s="246">
        <f>'2E.ROE Scan'!P245</f>
        <v/>
      </c>
      <c r="O158" s="246">
        <f>'2E.ROE Scan'!Q245</f>
        <v/>
      </c>
      <c r="P158" s="246">
        <f>'2E.ROE Scan'!R245</f>
        <v/>
      </c>
      <c r="Q158" s="246">
        <f>'2E.ROE Scan'!S245</f>
        <v/>
      </c>
      <c r="R158" s="246">
        <f>'2E.ROE Scan'!T245</f>
        <v/>
      </c>
      <c r="S158" s="246">
        <f>'2E.ROE Scan'!U245</f>
        <v/>
      </c>
      <c r="T158" s="246">
        <f>'2E.ROE Scan'!V245</f>
        <v/>
      </c>
      <c r="U158" s="246">
        <f>'2E.ROE Scan'!W245</f>
        <v/>
      </c>
      <c r="V158" s="246">
        <f>'2E.ROE Scan'!X245</f>
        <v/>
      </c>
      <c r="W158" s="246">
        <f>'2E.ROE Scan'!Y245</f>
        <v/>
      </c>
      <c r="X158" s="246">
        <f>'2E.ROE Scan'!Z245</f>
        <v/>
      </c>
      <c r="Y158" s="246">
        <f>'2E.ROE Scan'!AA245</f>
        <v/>
      </c>
      <c r="Z158" s="246">
        <f>'2E.ROE Scan'!AB245</f>
        <v/>
      </c>
      <c r="AA158" s="246">
        <f>'2E.ROE Scan'!AC245</f>
        <v/>
      </c>
      <c r="AB158" s="246">
        <f>'2E.ROE Scan'!AD245</f>
        <v/>
      </c>
      <c r="AC158" s="246">
        <f>'2E.ROE Scan'!AE245</f>
        <v/>
      </c>
      <c r="AD158" s="246">
        <f>'2E.ROE Scan'!AF245</f>
        <v/>
      </c>
      <c r="AE158" s="246">
        <f>'2E.ROE Scan'!AG245</f>
        <v/>
      </c>
      <c r="AF158" s="246">
        <f>'2E.ROE Scan'!AH245</f>
        <v/>
      </c>
      <c r="AG158" s="246">
        <f>'2E.ROE Scan'!AI245</f>
        <v/>
      </c>
      <c r="AH158" s="246">
        <f>'2E.ROE Scan'!AJ245</f>
        <v/>
      </c>
      <c r="AI158" s="246">
        <f>'2E.ROE Scan'!AK245</f>
        <v/>
      </c>
      <c r="AJ158" s="246">
        <f>'2E.ROE Scan'!AL245</f>
        <v/>
      </c>
      <c r="AK158" s="246">
        <f>'2E.ROE Scan'!AM245</f>
        <v/>
      </c>
      <c r="AL158" s="246">
        <f>'2E.ROE Scan'!AN245</f>
        <v/>
      </c>
      <c r="AM158" s="246">
        <f>'2E.ROE Scan'!AO245</f>
        <v/>
      </c>
      <c r="AN158" s="246">
        <f>'2E.ROE Scan'!AP245</f>
        <v/>
      </c>
      <c r="AO158" s="246">
        <f>'2E.ROE Scan'!AQ245</f>
        <v/>
      </c>
      <c r="AP158" s="246">
        <f>'2E.ROE Scan'!AR245</f>
        <v/>
      </c>
      <c r="AQ158" s="246">
        <f>'2E.ROE Scan'!AS245</f>
        <v/>
      </c>
      <c r="AR158" s="246">
        <f>'2E.ROE Scan'!AT245</f>
        <v/>
      </c>
      <c r="AS158" s="246">
        <f>'2E.ROE Scan'!AU245</f>
        <v/>
      </c>
      <c r="AT158" s="246">
        <f>'2E.ROE Scan'!AV245</f>
        <v/>
      </c>
      <c r="AU158" s="246">
        <f>'2E.ROE Scan'!AW245</f>
        <v/>
      </c>
      <c r="AV158" s="246">
        <f>'2E.ROE Scan'!AX245</f>
        <v/>
      </c>
      <c r="AW158" s="246">
        <f>'2E.ROE Scan'!AY245</f>
        <v/>
      </c>
      <c r="AX158" s="246">
        <f>'2E.ROE Scan'!AZ245</f>
        <v/>
      </c>
      <c r="AY158" s="246">
        <f>'2E.ROE Scan'!BA245</f>
        <v/>
      </c>
      <c r="AZ158" s="246">
        <f>'2E.ROE Scan'!BB245</f>
        <v/>
      </c>
    </row>
    <row r="159" ht="16.5" customHeight="1" s="179">
      <c r="B159" s="65">
        <f>B120</f>
        <v/>
      </c>
      <c r="C159" s="246">
        <f>'2E.ROE Scan'!E246</f>
        <v/>
      </c>
      <c r="D159" s="246">
        <f>'2E.ROE Scan'!F246</f>
        <v/>
      </c>
      <c r="E159" s="246">
        <f>'2E.ROE Scan'!G246</f>
        <v/>
      </c>
      <c r="F159" s="246">
        <f>'2E.ROE Scan'!H246</f>
        <v/>
      </c>
      <c r="G159" s="246">
        <f>'2E.ROE Scan'!I246</f>
        <v/>
      </c>
      <c r="H159" s="246">
        <f>'2E.ROE Scan'!J246</f>
        <v/>
      </c>
      <c r="I159" s="246">
        <f>'2E.ROE Scan'!K246</f>
        <v/>
      </c>
      <c r="J159" s="246">
        <f>'2E.ROE Scan'!L246</f>
        <v/>
      </c>
      <c r="K159" s="246">
        <f>'2E.ROE Scan'!M246</f>
        <v/>
      </c>
      <c r="L159" s="246">
        <f>'2E.ROE Scan'!N246</f>
        <v/>
      </c>
      <c r="M159" s="246">
        <f>'2E.ROE Scan'!O246</f>
        <v/>
      </c>
      <c r="N159" s="246">
        <f>'2E.ROE Scan'!P246</f>
        <v/>
      </c>
      <c r="O159" s="246">
        <f>'2E.ROE Scan'!Q246</f>
        <v/>
      </c>
      <c r="P159" s="246">
        <f>'2E.ROE Scan'!R246</f>
        <v/>
      </c>
      <c r="Q159" s="246">
        <f>'2E.ROE Scan'!S246</f>
        <v/>
      </c>
      <c r="R159" s="246">
        <f>'2E.ROE Scan'!T246</f>
        <v/>
      </c>
      <c r="S159" s="246">
        <f>'2E.ROE Scan'!U246</f>
        <v/>
      </c>
      <c r="T159" s="246">
        <f>'2E.ROE Scan'!V246</f>
        <v/>
      </c>
      <c r="U159" s="246">
        <f>'2E.ROE Scan'!W246</f>
        <v/>
      </c>
      <c r="V159" s="246">
        <f>'2E.ROE Scan'!X246</f>
        <v/>
      </c>
      <c r="W159" s="246">
        <f>'2E.ROE Scan'!Y246</f>
        <v/>
      </c>
      <c r="X159" s="246">
        <f>'2E.ROE Scan'!Z246</f>
        <v/>
      </c>
      <c r="Y159" s="246">
        <f>'2E.ROE Scan'!AA246</f>
        <v/>
      </c>
      <c r="Z159" s="246">
        <f>'2E.ROE Scan'!AB246</f>
        <v/>
      </c>
      <c r="AA159" s="246">
        <f>'2E.ROE Scan'!AC246</f>
        <v/>
      </c>
      <c r="AB159" s="246">
        <f>'2E.ROE Scan'!AD246</f>
        <v/>
      </c>
      <c r="AC159" s="246">
        <f>'2E.ROE Scan'!AE246</f>
        <v/>
      </c>
      <c r="AD159" s="246">
        <f>'2E.ROE Scan'!AF246</f>
        <v/>
      </c>
      <c r="AE159" s="246">
        <f>'2E.ROE Scan'!AG246</f>
        <v/>
      </c>
      <c r="AF159" s="246">
        <f>'2E.ROE Scan'!AH246</f>
        <v/>
      </c>
      <c r="AG159" s="246">
        <f>'2E.ROE Scan'!AI246</f>
        <v/>
      </c>
      <c r="AH159" s="246">
        <f>'2E.ROE Scan'!AJ246</f>
        <v/>
      </c>
      <c r="AI159" s="246">
        <f>'2E.ROE Scan'!AK246</f>
        <v/>
      </c>
      <c r="AJ159" s="246">
        <f>'2E.ROE Scan'!AL246</f>
        <v/>
      </c>
      <c r="AK159" s="246">
        <f>'2E.ROE Scan'!AM246</f>
        <v/>
      </c>
      <c r="AL159" s="246">
        <f>'2E.ROE Scan'!AN246</f>
        <v/>
      </c>
      <c r="AM159" s="246">
        <f>'2E.ROE Scan'!AO246</f>
        <v/>
      </c>
      <c r="AN159" s="246">
        <f>'2E.ROE Scan'!AP246</f>
        <v/>
      </c>
      <c r="AO159" s="246">
        <f>'2E.ROE Scan'!AQ246</f>
        <v/>
      </c>
      <c r="AP159" s="246">
        <f>'2E.ROE Scan'!AR246</f>
        <v/>
      </c>
      <c r="AQ159" s="246">
        <f>'2E.ROE Scan'!AS246</f>
        <v/>
      </c>
      <c r="AR159" s="246">
        <f>'2E.ROE Scan'!AT246</f>
        <v/>
      </c>
      <c r="AS159" s="246">
        <f>'2E.ROE Scan'!AU246</f>
        <v/>
      </c>
      <c r="AT159" s="246">
        <f>'2E.ROE Scan'!AV246</f>
        <v/>
      </c>
      <c r="AU159" s="246">
        <f>'2E.ROE Scan'!AW246</f>
        <v/>
      </c>
      <c r="AV159" s="246">
        <f>'2E.ROE Scan'!AX246</f>
        <v/>
      </c>
      <c r="AW159" s="246">
        <f>'2E.ROE Scan'!AY246</f>
        <v/>
      </c>
      <c r="AX159" s="246">
        <f>'2E.ROE Scan'!AZ246</f>
        <v/>
      </c>
      <c r="AY159" s="246">
        <f>'2E.ROE Scan'!BA246</f>
        <v/>
      </c>
      <c r="AZ159" s="246">
        <f>'2E.ROE Scan'!BB246</f>
        <v/>
      </c>
    </row>
    <row r="160" ht="16.5" customHeight="1" s="179">
      <c r="B160" s="65">
        <f>B121</f>
        <v/>
      </c>
      <c r="C160" s="246">
        <f>'2E.ROE Scan'!E247</f>
        <v/>
      </c>
      <c r="D160" s="246">
        <f>'2E.ROE Scan'!F247</f>
        <v/>
      </c>
      <c r="E160" s="246">
        <f>'2E.ROE Scan'!G247</f>
        <v/>
      </c>
      <c r="F160" s="246">
        <f>'2E.ROE Scan'!H247</f>
        <v/>
      </c>
      <c r="G160" s="246">
        <f>'2E.ROE Scan'!I247</f>
        <v/>
      </c>
      <c r="H160" s="246">
        <f>'2E.ROE Scan'!J247</f>
        <v/>
      </c>
      <c r="I160" s="246">
        <f>'2E.ROE Scan'!K247</f>
        <v/>
      </c>
      <c r="J160" s="246">
        <f>'2E.ROE Scan'!L247</f>
        <v/>
      </c>
      <c r="K160" s="246">
        <f>'2E.ROE Scan'!M247</f>
        <v/>
      </c>
      <c r="L160" s="246">
        <f>'2E.ROE Scan'!N247</f>
        <v/>
      </c>
      <c r="M160" s="246">
        <f>'2E.ROE Scan'!O247</f>
        <v/>
      </c>
      <c r="N160" s="246">
        <f>'2E.ROE Scan'!P247</f>
        <v/>
      </c>
      <c r="O160" s="246">
        <f>'2E.ROE Scan'!Q247</f>
        <v/>
      </c>
      <c r="P160" s="246">
        <f>'2E.ROE Scan'!R247</f>
        <v/>
      </c>
      <c r="Q160" s="246">
        <f>'2E.ROE Scan'!S247</f>
        <v/>
      </c>
      <c r="R160" s="246">
        <f>'2E.ROE Scan'!T247</f>
        <v/>
      </c>
      <c r="S160" s="246">
        <f>'2E.ROE Scan'!U247</f>
        <v/>
      </c>
      <c r="T160" s="246">
        <f>'2E.ROE Scan'!V247</f>
        <v/>
      </c>
      <c r="U160" s="246">
        <f>'2E.ROE Scan'!W247</f>
        <v/>
      </c>
      <c r="V160" s="246">
        <f>'2E.ROE Scan'!X247</f>
        <v/>
      </c>
      <c r="W160" s="246">
        <f>'2E.ROE Scan'!Y247</f>
        <v/>
      </c>
      <c r="X160" s="246">
        <f>'2E.ROE Scan'!Z247</f>
        <v/>
      </c>
      <c r="Y160" s="246">
        <f>'2E.ROE Scan'!AA247</f>
        <v/>
      </c>
      <c r="Z160" s="246">
        <f>'2E.ROE Scan'!AB247</f>
        <v/>
      </c>
      <c r="AA160" s="246">
        <f>'2E.ROE Scan'!AC247</f>
        <v/>
      </c>
      <c r="AB160" s="246">
        <f>'2E.ROE Scan'!AD247</f>
        <v/>
      </c>
      <c r="AC160" s="246">
        <f>'2E.ROE Scan'!AE247</f>
        <v/>
      </c>
      <c r="AD160" s="246">
        <f>'2E.ROE Scan'!AF247</f>
        <v/>
      </c>
      <c r="AE160" s="246">
        <f>'2E.ROE Scan'!AG247</f>
        <v/>
      </c>
      <c r="AF160" s="246">
        <f>'2E.ROE Scan'!AH247</f>
        <v/>
      </c>
      <c r="AG160" s="246">
        <f>'2E.ROE Scan'!AI247</f>
        <v/>
      </c>
      <c r="AH160" s="246">
        <f>'2E.ROE Scan'!AJ247</f>
        <v/>
      </c>
      <c r="AI160" s="246">
        <f>'2E.ROE Scan'!AK247</f>
        <v/>
      </c>
      <c r="AJ160" s="246">
        <f>'2E.ROE Scan'!AL247</f>
        <v/>
      </c>
      <c r="AK160" s="246">
        <f>'2E.ROE Scan'!AM247</f>
        <v/>
      </c>
      <c r="AL160" s="246">
        <f>'2E.ROE Scan'!AN247</f>
        <v/>
      </c>
      <c r="AM160" s="246">
        <f>'2E.ROE Scan'!AO247</f>
        <v/>
      </c>
      <c r="AN160" s="246">
        <f>'2E.ROE Scan'!AP247</f>
        <v/>
      </c>
      <c r="AO160" s="246">
        <f>'2E.ROE Scan'!AQ247</f>
        <v/>
      </c>
      <c r="AP160" s="246">
        <f>'2E.ROE Scan'!AR247</f>
        <v/>
      </c>
      <c r="AQ160" s="246">
        <f>'2E.ROE Scan'!AS247</f>
        <v/>
      </c>
      <c r="AR160" s="246">
        <f>'2E.ROE Scan'!AT247</f>
        <v/>
      </c>
      <c r="AS160" s="246">
        <f>'2E.ROE Scan'!AU247</f>
        <v/>
      </c>
      <c r="AT160" s="246">
        <f>'2E.ROE Scan'!AV247</f>
        <v/>
      </c>
      <c r="AU160" s="246">
        <f>'2E.ROE Scan'!AW247</f>
        <v/>
      </c>
      <c r="AV160" s="246">
        <f>'2E.ROE Scan'!AX247</f>
        <v/>
      </c>
      <c r="AW160" s="246">
        <f>'2E.ROE Scan'!AY247</f>
        <v/>
      </c>
      <c r="AX160" s="246">
        <f>'2E.ROE Scan'!AZ247</f>
        <v/>
      </c>
      <c r="AY160" s="246">
        <f>'2E.ROE Scan'!BA247</f>
        <v/>
      </c>
      <c r="AZ160" s="246">
        <f>'2E.ROE Scan'!BB247</f>
        <v/>
      </c>
    </row>
    <row r="161" ht="16.5" customHeight="1" s="179">
      <c r="B161" s="65">
        <f>B122</f>
        <v/>
      </c>
      <c r="C161" s="246">
        <f>'2E.ROE Scan'!E248</f>
        <v/>
      </c>
      <c r="D161" s="246">
        <f>'2E.ROE Scan'!F248</f>
        <v/>
      </c>
      <c r="E161" s="246">
        <f>'2E.ROE Scan'!G248</f>
        <v/>
      </c>
      <c r="F161" s="246">
        <f>'2E.ROE Scan'!H248</f>
        <v/>
      </c>
      <c r="G161" s="246">
        <f>'2E.ROE Scan'!I248</f>
        <v/>
      </c>
      <c r="H161" s="246">
        <f>'2E.ROE Scan'!J248</f>
        <v/>
      </c>
      <c r="I161" s="246">
        <f>'2E.ROE Scan'!K248</f>
        <v/>
      </c>
      <c r="J161" s="246">
        <f>'2E.ROE Scan'!L248</f>
        <v/>
      </c>
      <c r="K161" s="246">
        <f>'2E.ROE Scan'!M248</f>
        <v/>
      </c>
      <c r="L161" s="246">
        <f>'2E.ROE Scan'!N248</f>
        <v/>
      </c>
      <c r="M161" s="246">
        <f>'2E.ROE Scan'!O248</f>
        <v/>
      </c>
      <c r="N161" s="246">
        <f>'2E.ROE Scan'!P248</f>
        <v/>
      </c>
      <c r="O161" s="246">
        <f>'2E.ROE Scan'!Q248</f>
        <v/>
      </c>
      <c r="P161" s="246">
        <f>'2E.ROE Scan'!R248</f>
        <v/>
      </c>
      <c r="Q161" s="246">
        <f>'2E.ROE Scan'!S248</f>
        <v/>
      </c>
      <c r="R161" s="246">
        <f>'2E.ROE Scan'!T248</f>
        <v/>
      </c>
      <c r="S161" s="246">
        <f>'2E.ROE Scan'!U248</f>
        <v/>
      </c>
      <c r="T161" s="246">
        <f>'2E.ROE Scan'!V248</f>
        <v/>
      </c>
      <c r="U161" s="246">
        <f>'2E.ROE Scan'!W248</f>
        <v/>
      </c>
      <c r="V161" s="246">
        <f>'2E.ROE Scan'!X248</f>
        <v/>
      </c>
      <c r="W161" s="246">
        <f>'2E.ROE Scan'!Y248</f>
        <v/>
      </c>
      <c r="X161" s="246">
        <f>'2E.ROE Scan'!Z248</f>
        <v/>
      </c>
      <c r="Y161" s="246">
        <f>'2E.ROE Scan'!AA248</f>
        <v/>
      </c>
      <c r="Z161" s="246">
        <f>'2E.ROE Scan'!AB248</f>
        <v/>
      </c>
      <c r="AA161" s="246">
        <f>'2E.ROE Scan'!AC248</f>
        <v/>
      </c>
      <c r="AB161" s="246">
        <f>'2E.ROE Scan'!AD248</f>
        <v/>
      </c>
      <c r="AC161" s="246">
        <f>'2E.ROE Scan'!AE248</f>
        <v/>
      </c>
      <c r="AD161" s="246">
        <f>'2E.ROE Scan'!AF248</f>
        <v/>
      </c>
      <c r="AE161" s="246">
        <f>'2E.ROE Scan'!AG248</f>
        <v/>
      </c>
      <c r="AF161" s="246">
        <f>'2E.ROE Scan'!AH248</f>
        <v/>
      </c>
      <c r="AG161" s="246">
        <f>'2E.ROE Scan'!AI248</f>
        <v/>
      </c>
      <c r="AH161" s="246">
        <f>'2E.ROE Scan'!AJ248</f>
        <v/>
      </c>
      <c r="AI161" s="246">
        <f>'2E.ROE Scan'!AK248</f>
        <v/>
      </c>
      <c r="AJ161" s="246">
        <f>'2E.ROE Scan'!AL248</f>
        <v/>
      </c>
      <c r="AK161" s="246">
        <f>'2E.ROE Scan'!AM248</f>
        <v/>
      </c>
      <c r="AL161" s="246">
        <f>'2E.ROE Scan'!AN248</f>
        <v/>
      </c>
      <c r="AM161" s="246">
        <f>'2E.ROE Scan'!AO248</f>
        <v/>
      </c>
      <c r="AN161" s="246">
        <f>'2E.ROE Scan'!AP248</f>
        <v/>
      </c>
      <c r="AO161" s="246">
        <f>'2E.ROE Scan'!AQ248</f>
        <v/>
      </c>
      <c r="AP161" s="246">
        <f>'2E.ROE Scan'!AR248</f>
        <v/>
      </c>
      <c r="AQ161" s="246">
        <f>'2E.ROE Scan'!AS248</f>
        <v/>
      </c>
      <c r="AR161" s="246">
        <f>'2E.ROE Scan'!AT248</f>
        <v/>
      </c>
      <c r="AS161" s="246">
        <f>'2E.ROE Scan'!AU248</f>
        <v/>
      </c>
      <c r="AT161" s="246">
        <f>'2E.ROE Scan'!AV248</f>
        <v/>
      </c>
      <c r="AU161" s="246">
        <f>'2E.ROE Scan'!AW248</f>
        <v/>
      </c>
      <c r="AV161" s="246">
        <f>'2E.ROE Scan'!AX248</f>
        <v/>
      </c>
      <c r="AW161" s="246">
        <f>'2E.ROE Scan'!AY248</f>
        <v/>
      </c>
      <c r="AX161" s="246">
        <f>'2E.ROE Scan'!AZ248</f>
        <v/>
      </c>
      <c r="AY161" s="246">
        <f>'2E.ROE Scan'!BA248</f>
        <v/>
      </c>
      <c r="AZ161" s="246">
        <f>'2E.ROE Scan'!BB248</f>
        <v/>
      </c>
    </row>
  </sheetData>
  <conditionalFormatting sqref="B10:AZ44">
    <cfRule type="cellIs" priority="4" operator="equal" dxfId="0">
      <formula>0</formula>
    </cfRule>
  </conditionalFormatting>
  <conditionalFormatting sqref="B49:AZ83">
    <cfRule type="cellIs" priority="1" operator="equal" dxfId="0">
      <formula>0</formula>
    </cfRule>
  </conditionalFormatting>
  <conditionalFormatting sqref="B88:AZ122">
    <cfRule type="cellIs" priority="2" operator="equal" dxfId="0">
      <formula>0</formula>
    </cfRule>
  </conditionalFormatting>
  <conditionalFormatting sqref="B127:AZ161">
    <cfRule type="cellIs" priority="3" operator="equal" dxfId="0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E20"/>
  <sheetViews>
    <sheetView workbookViewId="0">
      <selection activeCell="H16" sqref="H16"/>
    </sheetView>
  </sheetViews>
  <sheetFormatPr baseColWidth="8" defaultRowHeight="14"/>
  <cols>
    <col width="16" customWidth="1" style="179" min="1" max="1"/>
    <col width="21" customWidth="1" style="179" min="2" max="2"/>
    <col width="15" customWidth="1" style="179" min="3" max="3"/>
    <col width="15" customWidth="1" style="179" min="4" max="4"/>
    <col width="4" customWidth="1" style="179" min="5" max="5"/>
  </cols>
  <sheetData>
    <row r="1">
      <c r="A1" t="inlineStr">
        <is>
          <t>KPI 样本量校对</t>
        </is>
      </c>
    </row>
    <row r="2">
      <c r="A2" t="inlineStr">
        <is>
          <t>表名</t>
        </is>
      </c>
      <c r="B2" t="inlineStr">
        <is>
          <t>KPI标签</t>
        </is>
      </c>
      <c r="C2" t="inlineStr">
        <is>
          <t>Data_Check样本量</t>
        </is>
      </c>
      <c r="D2" t="inlineStr">
        <is>
          <t>Mean*N (描述统计)</t>
        </is>
      </c>
      <c r="E2" t="inlineStr">
        <is>
          <t>差异</t>
        </is>
      </c>
    </row>
    <row r="3">
      <c r="A3" t="inlineStr">
        <is>
          <t>KPI</t>
        </is>
      </c>
      <c r="B3" t="inlineStr">
        <is>
          <t>K301</t>
        </is>
      </c>
      <c r="C3" t="n">
        <v>567</v>
      </c>
      <c r="D3" t="n">
        <v>567</v>
      </c>
      <c r="E3" t="n">
        <v>0</v>
      </c>
    </row>
    <row r="4">
      <c r="A4" t="inlineStr">
        <is>
          <t>KPI</t>
        </is>
      </c>
      <c r="B4" t="inlineStr">
        <is>
          <t>OEK1K2001</t>
        </is>
      </c>
      <c r="C4" t="n">
        <v>236</v>
      </c>
      <c r="D4" t="n">
        <v>236</v>
      </c>
      <c r="E4" t="n">
        <v>0</v>
      </c>
    </row>
    <row r="5">
      <c r="A5" t="inlineStr">
        <is>
          <t>KPI</t>
        </is>
      </c>
      <c r="B5" t="inlineStr">
        <is>
          <t>K801</t>
        </is>
      </c>
      <c r="C5" t="n">
        <v>136</v>
      </c>
      <c r="D5" t="n">
        <v>136</v>
      </c>
      <c r="E5" t="n">
        <v>0</v>
      </c>
    </row>
    <row r="6">
      <c r="A6" t="inlineStr">
        <is>
          <t>KPI</t>
        </is>
      </c>
      <c r="B6" t="inlineStr">
        <is>
          <t>IM1_Flip_V1_Slice06</t>
        </is>
      </c>
      <c r="C6" t="n">
        <v>152</v>
      </c>
      <c r="D6" t="n">
        <v>152</v>
      </c>
      <c r="E6" t="n">
        <v>0</v>
      </c>
    </row>
    <row r="7">
      <c r="A7" t="inlineStr">
        <is>
          <t>KPI</t>
        </is>
      </c>
      <c r="B7" t="inlineStr">
        <is>
          <t>IM1_Flip_V1_Slice04</t>
        </is>
      </c>
      <c r="C7" t="n">
        <v>150</v>
      </c>
      <c r="D7" t="n">
        <v>150</v>
      </c>
      <c r="E7" t="n">
        <v>0</v>
      </c>
    </row>
    <row r="8">
      <c r="A8" t="inlineStr">
        <is>
          <t>KPI</t>
        </is>
      </c>
      <c r="B8" t="inlineStr">
        <is>
          <t>bumo</t>
        </is>
      </c>
      <c r="C8" t="n">
        <v>38</v>
      </c>
      <c r="D8" t="n">
        <v>38</v>
      </c>
      <c r="E8" t="n">
        <v>0</v>
      </c>
    </row>
    <row r="9"/>
    <row r="10">
      <c r="A10" t="inlineStr">
        <is>
          <t>渠道样本量校对</t>
        </is>
      </c>
    </row>
    <row r="11">
      <c r="A11" t="inlineStr">
        <is>
          <t>表名</t>
        </is>
      </c>
      <c r="B11" t="inlineStr">
        <is>
          <t>渠道名</t>
        </is>
      </c>
      <c r="C11" t="inlineStr">
        <is>
          <t>Data_Check样本量</t>
        </is>
      </c>
      <c r="D11" t="inlineStr">
        <is>
          <t>Mean*N (描述统计)</t>
        </is>
      </c>
      <c r="E11" t="inlineStr">
        <is>
          <t>差异</t>
        </is>
      </c>
    </row>
    <row r="12">
      <c r="A12" t="inlineStr">
        <is>
          <t>Channel/merge后</t>
        </is>
      </c>
      <c r="B12" t="inlineStr">
        <is>
          <t>Instagram</t>
        </is>
      </c>
      <c r="C12" t="n">
        <v>125</v>
      </c>
      <c r="D12" t="n">
        <v>125</v>
      </c>
      <c r="E12" t="n">
        <v>0</v>
      </c>
    </row>
    <row r="13">
      <c r="A13" t="inlineStr">
        <is>
          <t>Channel/merge后</t>
        </is>
      </c>
      <c r="B13" t="inlineStr">
        <is>
          <t>YouTube</t>
        </is>
      </c>
      <c r="C13" t="n">
        <v>207</v>
      </c>
      <c r="D13" t="n">
        <v>207</v>
      </c>
      <c r="E13" t="n">
        <v>0</v>
      </c>
    </row>
    <row r="14">
      <c r="A14" t="inlineStr">
        <is>
          <t>Channel/merge后</t>
        </is>
      </c>
      <c r="B14" t="inlineStr">
        <is>
          <t>TikTok</t>
        </is>
      </c>
      <c r="C14" t="n">
        <v>122</v>
      </c>
      <c r="D14" t="n">
        <v>122</v>
      </c>
      <c r="E14" t="n">
        <v>0</v>
      </c>
    </row>
    <row r="15">
      <c r="A15" t="inlineStr">
        <is>
          <t>Channel/merge后</t>
        </is>
      </c>
      <c r="B15" t="inlineStr">
        <is>
          <t>Metro</t>
        </is>
      </c>
      <c r="C15" t="n">
        <v>162</v>
      </c>
      <c r="D15" t="n">
        <v>162</v>
      </c>
      <c r="E15" t="n">
        <v>0</v>
      </c>
    </row>
    <row r="16">
      <c r="A16" t="inlineStr">
        <is>
          <t>Channel/merge前</t>
        </is>
      </c>
      <c r="B16" t="inlineStr">
        <is>
          <t>Instagram</t>
        </is>
      </c>
      <c r="C16" t="n">
        <v>125</v>
      </c>
      <c r="D16" t="n">
        <v>125</v>
      </c>
      <c r="E16" t="n">
        <v>0</v>
      </c>
    </row>
    <row r="17">
      <c r="A17" t="inlineStr">
        <is>
          <t>Channel/merge前</t>
        </is>
      </c>
      <c r="B17" t="inlineStr">
        <is>
          <t>YouTube</t>
        </is>
      </c>
      <c r="C17" t="n">
        <v>207</v>
      </c>
      <c r="D17" t="n">
        <v>207</v>
      </c>
      <c r="E17" t="n">
        <v>0</v>
      </c>
    </row>
    <row r="18">
      <c r="A18" t="inlineStr">
        <is>
          <t>Channel/merge前</t>
        </is>
      </c>
      <c r="B18" t="inlineStr">
        <is>
          <t>TikTok</t>
        </is>
      </c>
      <c r="C18" t="n">
        <v>122</v>
      </c>
      <c r="D18" t="n">
        <v>122</v>
      </c>
      <c r="E18" t="n">
        <v>0</v>
      </c>
    </row>
    <row r="19"/>
    <row r="20">
      <c r="A20" t="inlineStr">
        <is>
          <t>样本量校对结果：</t>
        </is>
      </c>
      <c r="B20" t="inlineStr">
        <is>
          <t>成功</t>
        </is>
      </c>
    </row>
  </sheetData>
  <conditionalFormatting sqref="E2:E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Liang, Meifang (KT)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2026-08-20T03:07:51Z</dcterms:modified>
  <cp:lastModifiedBy>Xinyi Deng (external)</cp:lastModifiedBy>
</cp:coreProperties>
</file>